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52" windowHeight="9105" activeTab="1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<sst xmlns="http://schemas.openxmlformats.org/spreadsheetml/2006/main" count="2036" uniqueCount="2004">
  <si>
    <t>Date</t>
  </si>
  <si>
    <t xml:space="preserve"> Powerball
Sales($)</t>
  </si>
  <si>
    <t>PowerPlay
Sales($)</t>
  </si>
  <si>
    <t>Jackpot($Millions)</t>
  </si>
  <si>
    <t>current-sales</t>
  </si>
  <si>
    <t>万元</t>
  </si>
  <si>
    <t>pool-amout</t>
  </si>
  <si>
    <t>growth rate of jackpot</t>
  </si>
  <si>
    <t>powerball total 
sales</t>
  </si>
  <si>
    <t>current-sales($)</t>
  </si>
  <si>
    <t>growth rate of jackpot(currentsales)</t>
  </si>
  <si>
    <r>
      <rPr>
        <sz val="11"/>
        <color theme="1"/>
        <rFont val="Times New Roman"/>
        <charset val="134"/>
      </rPr>
      <t>05/29/24</t>
    </r>
  </si>
  <si>
    <r>
      <rPr>
        <sz val="11"/>
        <color theme="1"/>
        <rFont val="Times New Roman"/>
        <charset val="134"/>
      </rPr>
      <t>05/27/24</t>
    </r>
  </si>
  <si>
    <r>
      <rPr>
        <sz val="11"/>
        <color theme="1"/>
        <rFont val="Times New Roman"/>
        <charset val="134"/>
      </rPr>
      <t>05/25/24</t>
    </r>
  </si>
  <si>
    <r>
      <rPr>
        <sz val="11"/>
        <color theme="1"/>
        <rFont val="Times New Roman"/>
        <charset val="134"/>
      </rPr>
      <t>05/22/24</t>
    </r>
  </si>
  <si>
    <r>
      <rPr>
        <sz val="11"/>
        <color theme="1"/>
        <rFont val="Times New Roman"/>
        <charset val="134"/>
      </rPr>
      <t>05/20/24</t>
    </r>
  </si>
  <si>
    <r>
      <rPr>
        <sz val="11"/>
        <color theme="1"/>
        <rFont val="Times New Roman"/>
        <charset val="134"/>
      </rPr>
      <t>05/18/24</t>
    </r>
  </si>
  <si>
    <r>
      <rPr>
        <sz val="11"/>
        <color theme="1"/>
        <rFont val="Times New Roman"/>
        <charset val="134"/>
      </rPr>
      <t>05/15/24</t>
    </r>
  </si>
  <si>
    <r>
      <rPr>
        <sz val="11"/>
        <color theme="1"/>
        <rFont val="Times New Roman"/>
        <charset val="134"/>
      </rPr>
      <t>05/13/24</t>
    </r>
  </si>
  <si>
    <r>
      <rPr>
        <sz val="11"/>
        <color theme="1"/>
        <rFont val="Times New Roman"/>
        <charset val="134"/>
      </rPr>
      <t>04/29/24</t>
    </r>
  </si>
  <si>
    <r>
      <rPr>
        <sz val="11"/>
        <color theme="1"/>
        <rFont val="Times New Roman"/>
        <charset val="134"/>
      </rPr>
      <t>04/27/24</t>
    </r>
  </si>
  <si>
    <r>
      <rPr>
        <sz val="11"/>
        <color theme="1"/>
        <rFont val="Times New Roman"/>
        <charset val="134"/>
      </rPr>
      <t>04/24/24</t>
    </r>
  </si>
  <si>
    <r>
      <rPr>
        <sz val="11"/>
        <color theme="1"/>
        <rFont val="Times New Roman"/>
        <charset val="134"/>
      </rPr>
      <t>04/22/24</t>
    </r>
  </si>
  <si>
    <r>
      <rPr>
        <sz val="11"/>
        <color theme="1"/>
        <rFont val="Times New Roman"/>
        <charset val="134"/>
      </rPr>
      <t>04/20/24</t>
    </r>
  </si>
  <si>
    <r>
      <rPr>
        <sz val="11"/>
        <color theme="1"/>
        <rFont val="Times New Roman"/>
        <charset val="134"/>
      </rPr>
      <t>04/17/24</t>
    </r>
  </si>
  <si>
    <r>
      <rPr>
        <sz val="11"/>
        <color theme="1"/>
        <rFont val="Times New Roman"/>
        <charset val="134"/>
      </rPr>
      <t>04/15/24</t>
    </r>
  </si>
  <si>
    <r>
      <rPr>
        <sz val="11"/>
        <color theme="1"/>
        <rFont val="Times New Roman"/>
        <charset val="134"/>
      </rPr>
      <t>04/13/24</t>
    </r>
  </si>
  <si>
    <t> 1.325B</t>
  </si>
  <si>
    <t>1.09 B</t>
  </si>
  <si>
    <t>1 B</t>
  </si>
  <si>
    <r>
      <rPr>
        <sz val="11"/>
        <color theme="1"/>
        <rFont val="Times New Roman"/>
        <charset val="134"/>
      </rPr>
      <t>03/30/24</t>
    </r>
  </si>
  <si>
    <r>
      <rPr>
        <sz val="11"/>
        <color theme="1"/>
        <rFont val="Times New Roman"/>
        <charset val="134"/>
      </rPr>
      <t>03/27/24</t>
    </r>
  </si>
  <si>
    <r>
      <rPr>
        <sz val="11"/>
        <color theme="1"/>
        <rFont val="Times New Roman"/>
        <charset val="134"/>
      </rPr>
      <t>03/25/24</t>
    </r>
  </si>
  <si>
    <r>
      <rPr>
        <sz val="11"/>
        <color theme="1"/>
        <rFont val="Times New Roman"/>
        <charset val="134"/>
      </rPr>
      <t>03/23/24</t>
    </r>
  </si>
  <si>
    <r>
      <rPr>
        <sz val="11"/>
        <color theme="1"/>
        <rFont val="Times New Roman"/>
        <charset val="134"/>
      </rPr>
      <t>03/20/24</t>
    </r>
  </si>
  <si>
    <r>
      <rPr>
        <sz val="11"/>
        <color theme="1"/>
        <rFont val="Times New Roman"/>
        <charset val="134"/>
      </rPr>
      <t>03/18/24</t>
    </r>
  </si>
  <si>
    <r>
      <rPr>
        <sz val="11"/>
        <color theme="1"/>
        <rFont val="Times New Roman"/>
        <charset val="134"/>
      </rPr>
      <t>03/16/24</t>
    </r>
  </si>
  <si>
    <r>
      <rPr>
        <sz val="11"/>
        <color theme="1"/>
        <rFont val="Times New Roman"/>
        <charset val="134"/>
      </rPr>
      <t>03/13/24</t>
    </r>
  </si>
  <si>
    <r>
      <rPr>
        <sz val="11"/>
        <color theme="1"/>
        <rFont val="Times New Roman"/>
        <charset val="134"/>
      </rPr>
      <t>02/28/24</t>
    </r>
  </si>
  <si>
    <r>
      <rPr>
        <sz val="11"/>
        <color theme="1"/>
        <rFont val="Times New Roman"/>
        <charset val="134"/>
      </rPr>
      <t>02/26/24</t>
    </r>
  </si>
  <si>
    <r>
      <rPr>
        <sz val="11"/>
        <color theme="1"/>
        <rFont val="Times New Roman"/>
        <charset val="134"/>
      </rPr>
      <t>02/24/24</t>
    </r>
  </si>
  <si>
    <r>
      <rPr>
        <sz val="11"/>
        <color theme="1"/>
        <rFont val="Times New Roman"/>
        <charset val="134"/>
      </rPr>
      <t>02/21/24</t>
    </r>
  </si>
  <si>
    <r>
      <rPr>
        <sz val="11"/>
        <color theme="1"/>
        <rFont val="Times New Roman"/>
        <charset val="134"/>
      </rPr>
      <t>02/19/24</t>
    </r>
  </si>
  <si>
    <r>
      <rPr>
        <sz val="11"/>
        <color theme="1"/>
        <rFont val="Times New Roman"/>
        <charset val="134"/>
      </rPr>
      <t>02/17/24</t>
    </r>
  </si>
  <si>
    <r>
      <rPr>
        <sz val="11"/>
        <color theme="1"/>
        <rFont val="Times New Roman"/>
        <charset val="134"/>
      </rPr>
      <t>02/14/24</t>
    </r>
  </si>
  <si>
    <r>
      <rPr>
        <sz val="11"/>
        <color theme="1"/>
        <rFont val="Times New Roman"/>
        <charset val="134"/>
      </rPr>
      <t>01/31/24</t>
    </r>
  </si>
  <si>
    <r>
      <rPr>
        <sz val="11"/>
        <color theme="1"/>
        <rFont val="Times New Roman"/>
        <charset val="134"/>
      </rPr>
      <t>01/29/24</t>
    </r>
  </si>
  <si>
    <r>
      <rPr>
        <sz val="11"/>
        <color theme="1"/>
        <rFont val="Times New Roman"/>
        <charset val="134"/>
      </rPr>
      <t>01/27/24</t>
    </r>
  </si>
  <si>
    <r>
      <rPr>
        <sz val="11"/>
        <color theme="1"/>
        <rFont val="Times New Roman"/>
        <charset val="134"/>
      </rPr>
      <t>01/24/24</t>
    </r>
  </si>
  <si>
    <r>
      <rPr>
        <sz val="11"/>
        <color theme="1"/>
        <rFont val="Times New Roman"/>
        <charset val="134"/>
      </rPr>
      <t>01/22/24</t>
    </r>
  </si>
  <si>
    <r>
      <rPr>
        <sz val="11"/>
        <color theme="1"/>
        <rFont val="Times New Roman"/>
        <charset val="134"/>
      </rPr>
      <t>01/20/24</t>
    </r>
  </si>
  <si>
    <r>
      <rPr>
        <sz val="11"/>
        <color theme="1"/>
        <rFont val="Times New Roman"/>
        <charset val="134"/>
      </rPr>
      <t>01/17/24</t>
    </r>
  </si>
  <si>
    <r>
      <rPr>
        <sz val="11"/>
        <color theme="1"/>
        <rFont val="Times New Roman"/>
        <charset val="134"/>
      </rPr>
      <t>01/15/24</t>
    </r>
  </si>
  <si>
    <r>
      <rPr>
        <sz val="11"/>
        <color theme="1"/>
        <rFont val="Times New Roman"/>
        <charset val="134"/>
      </rPr>
      <t>01/13/24</t>
    </r>
  </si>
  <si>
    <r>
      <rPr>
        <sz val="11"/>
        <color theme="1"/>
        <rFont val="Times New Roman"/>
        <charset val="134"/>
      </rPr>
      <t>12/30/23</t>
    </r>
  </si>
  <si>
    <r>
      <rPr>
        <sz val="11"/>
        <color theme="1"/>
        <rFont val="Times New Roman"/>
        <charset val="134"/>
      </rPr>
      <t>12/27/23</t>
    </r>
  </si>
  <si>
    <r>
      <rPr>
        <sz val="11"/>
        <color theme="1"/>
        <rFont val="Times New Roman"/>
        <charset val="134"/>
      </rPr>
      <t>12/25/23</t>
    </r>
  </si>
  <si>
    <r>
      <rPr>
        <sz val="11"/>
        <color theme="1"/>
        <rFont val="Times New Roman"/>
        <charset val="134"/>
      </rPr>
      <t>12/23/24</t>
    </r>
  </si>
  <si>
    <r>
      <rPr>
        <sz val="11"/>
        <color theme="1"/>
        <rFont val="Times New Roman"/>
        <charset val="134"/>
      </rPr>
      <t>12/20/23</t>
    </r>
  </si>
  <si>
    <r>
      <rPr>
        <sz val="11"/>
        <color theme="1"/>
        <rFont val="Times New Roman"/>
        <charset val="134"/>
      </rPr>
      <t>12/18/23</t>
    </r>
  </si>
  <si>
    <r>
      <rPr>
        <sz val="11"/>
        <color theme="1"/>
        <rFont val="Times New Roman"/>
        <charset val="134"/>
      </rPr>
      <t>12/16/23</t>
    </r>
  </si>
  <si>
    <r>
      <rPr>
        <sz val="11"/>
        <color theme="1"/>
        <rFont val="Times New Roman"/>
        <charset val="134"/>
      </rPr>
      <t>12/13/23</t>
    </r>
  </si>
  <si>
    <r>
      <rPr>
        <sz val="11"/>
        <color theme="1"/>
        <rFont val="Times New Roman"/>
        <charset val="134"/>
      </rPr>
      <t>11/29/23</t>
    </r>
  </si>
  <si>
    <r>
      <rPr>
        <sz val="11"/>
        <color theme="1"/>
        <rFont val="Times New Roman"/>
        <charset val="134"/>
      </rPr>
      <t>11/27/23</t>
    </r>
  </si>
  <si>
    <r>
      <rPr>
        <sz val="11"/>
        <color theme="1"/>
        <rFont val="Times New Roman"/>
        <charset val="134"/>
      </rPr>
      <t>11/25/23</t>
    </r>
  </si>
  <si>
    <r>
      <rPr>
        <sz val="11"/>
        <color theme="1"/>
        <rFont val="Times New Roman"/>
        <charset val="134"/>
      </rPr>
      <t>11/22/23</t>
    </r>
  </si>
  <si>
    <r>
      <rPr>
        <sz val="11"/>
        <color theme="1"/>
        <rFont val="Times New Roman"/>
        <charset val="134"/>
      </rPr>
      <t>11/20/23</t>
    </r>
  </si>
  <si>
    <r>
      <rPr>
        <sz val="11"/>
        <color theme="1"/>
        <rFont val="Times New Roman"/>
        <charset val="134"/>
      </rPr>
      <t>11/18/23</t>
    </r>
  </si>
  <si>
    <r>
      <rPr>
        <sz val="11"/>
        <color theme="1"/>
        <rFont val="Times New Roman"/>
        <charset val="134"/>
      </rPr>
      <t>11/15/23</t>
    </r>
  </si>
  <si>
    <r>
      <rPr>
        <sz val="11"/>
        <color theme="1"/>
        <rFont val="Times New Roman"/>
        <charset val="134"/>
      </rPr>
      <t>11/13/23</t>
    </r>
  </si>
  <si>
    <r>
      <rPr>
        <sz val="11"/>
        <color theme="1"/>
        <rFont val="Times New Roman"/>
        <charset val="134"/>
      </rPr>
      <t>10/30/23</t>
    </r>
  </si>
  <si>
    <r>
      <rPr>
        <sz val="11"/>
        <color theme="1"/>
        <rFont val="Times New Roman"/>
        <charset val="134"/>
      </rPr>
      <t>10/28/23</t>
    </r>
  </si>
  <si>
    <r>
      <rPr>
        <sz val="11"/>
        <color theme="1"/>
        <rFont val="Times New Roman"/>
        <charset val="134"/>
      </rPr>
      <t>10/25/23</t>
    </r>
  </si>
  <si>
    <r>
      <rPr>
        <sz val="11"/>
        <color theme="1"/>
        <rFont val="Times New Roman"/>
        <charset val="134"/>
      </rPr>
      <t>10/23/23</t>
    </r>
  </si>
  <si>
    <r>
      <rPr>
        <sz val="11"/>
        <color theme="1"/>
        <rFont val="Times New Roman"/>
        <charset val="134"/>
      </rPr>
      <t>10/21/23</t>
    </r>
  </si>
  <si>
    <r>
      <rPr>
        <sz val="11"/>
        <color theme="1"/>
        <rFont val="Times New Roman"/>
        <charset val="134"/>
      </rPr>
      <t>10/18/23</t>
    </r>
  </si>
  <si>
    <r>
      <rPr>
        <sz val="11"/>
        <color theme="1"/>
        <rFont val="Times New Roman"/>
        <charset val="134"/>
      </rPr>
      <t>10/16/23</t>
    </r>
  </si>
  <si>
    <r>
      <rPr>
        <sz val="11"/>
        <color theme="1"/>
        <rFont val="Times New Roman"/>
        <charset val="134"/>
      </rPr>
      <t>10/14/23</t>
    </r>
  </si>
  <si>
    <t>$1.764 B</t>
  </si>
  <si>
    <t>$1.55 B</t>
  </si>
  <si>
    <t>$1.40 B</t>
  </si>
  <si>
    <t>$1.20 B</t>
  </si>
  <si>
    <t>$1.040 B</t>
  </si>
  <si>
    <r>
      <rPr>
        <sz val="11"/>
        <color theme="1"/>
        <rFont val="Times New Roman"/>
        <charset val="134"/>
      </rPr>
      <t>09/30/23</t>
    </r>
  </si>
  <si>
    <r>
      <rPr>
        <sz val="11"/>
        <color theme="1"/>
        <rFont val="Times New Roman"/>
        <charset val="134"/>
      </rPr>
      <t>09/27/23</t>
    </r>
  </si>
  <si>
    <r>
      <rPr>
        <sz val="11"/>
        <color theme="1"/>
        <rFont val="Times New Roman"/>
        <charset val="134"/>
      </rPr>
      <t>09/25/23</t>
    </r>
  </si>
  <si>
    <r>
      <rPr>
        <sz val="11"/>
        <color theme="1"/>
        <rFont val="Times New Roman"/>
        <charset val="134"/>
      </rPr>
      <t>09/23/23</t>
    </r>
  </si>
  <si>
    <r>
      <rPr>
        <sz val="11"/>
        <color theme="1"/>
        <rFont val="Times New Roman"/>
        <charset val="134"/>
      </rPr>
      <t>09/20/23</t>
    </r>
  </si>
  <si>
    <r>
      <rPr>
        <sz val="11"/>
        <color theme="1"/>
        <rFont val="Times New Roman"/>
        <charset val="134"/>
      </rPr>
      <t>09/18/23</t>
    </r>
  </si>
  <si>
    <r>
      <rPr>
        <sz val="11"/>
        <color theme="1"/>
        <rFont val="Times New Roman"/>
        <charset val="134"/>
      </rPr>
      <t>09/16/23</t>
    </r>
  </si>
  <si>
    <r>
      <rPr>
        <sz val="11"/>
        <color theme="1"/>
        <rFont val="Times New Roman"/>
        <charset val="134"/>
      </rPr>
      <t>09/13/23</t>
    </r>
  </si>
  <si>
    <r>
      <rPr>
        <sz val="11"/>
        <color theme="1"/>
        <rFont val="Times New Roman"/>
        <charset val="134"/>
      </rPr>
      <t>08/30/23</t>
    </r>
  </si>
  <si>
    <r>
      <rPr>
        <sz val="11"/>
        <color theme="1"/>
        <rFont val="Times New Roman"/>
        <charset val="134"/>
      </rPr>
      <t>08/28/23</t>
    </r>
  </si>
  <si>
    <r>
      <rPr>
        <sz val="11"/>
        <color theme="1"/>
        <rFont val="Times New Roman"/>
        <charset val="134"/>
      </rPr>
      <t>08/26/23</t>
    </r>
  </si>
  <si>
    <r>
      <rPr>
        <sz val="11"/>
        <color theme="1"/>
        <rFont val="Times New Roman"/>
        <charset val="134"/>
      </rPr>
      <t>08/23/23</t>
    </r>
  </si>
  <si>
    <r>
      <rPr>
        <sz val="11"/>
        <color theme="1"/>
        <rFont val="Times New Roman"/>
        <charset val="134"/>
      </rPr>
      <t>08/21/23</t>
    </r>
  </si>
  <si>
    <r>
      <rPr>
        <sz val="11"/>
        <color theme="1"/>
        <rFont val="Times New Roman"/>
        <charset val="134"/>
      </rPr>
      <t>08/19/23</t>
    </r>
  </si>
  <si>
    <r>
      <rPr>
        <sz val="11"/>
        <color theme="1"/>
        <rFont val="Times New Roman"/>
        <charset val="134"/>
      </rPr>
      <t>08/16/23</t>
    </r>
  </si>
  <si>
    <r>
      <rPr>
        <sz val="11"/>
        <color theme="1"/>
        <rFont val="Times New Roman"/>
        <charset val="134"/>
      </rPr>
      <t>08/14/23</t>
    </r>
  </si>
  <si>
    <r>
      <rPr>
        <sz val="11"/>
        <color theme="1"/>
        <rFont val="Times New Roman"/>
        <charset val="134"/>
      </rPr>
      <t>07/31/23</t>
    </r>
  </si>
  <si>
    <r>
      <rPr>
        <sz val="11"/>
        <color theme="1"/>
        <rFont val="Times New Roman"/>
        <charset val="134"/>
      </rPr>
      <t>07/29/23</t>
    </r>
  </si>
  <si>
    <r>
      <rPr>
        <sz val="11"/>
        <color theme="1"/>
        <rFont val="Times New Roman"/>
        <charset val="134"/>
      </rPr>
      <t>07/26/23</t>
    </r>
  </si>
  <si>
    <r>
      <rPr>
        <sz val="11"/>
        <color theme="1"/>
        <rFont val="Times New Roman"/>
        <charset val="134"/>
      </rPr>
      <t>07/24/23</t>
    </r>
  </si>
  <si>
    <r>
      <rPr>
        <sz val="11"/>
        <color theme="1"/>
        <rFont val="Times New Roman"/>
        <charset val="134"/>
      </rPr>
      <t>07/22/23</t>
    </r>
  </si>
  <si>
    <r>
      <rPr>
        <sz val="11"/>
        <color theme="1"/>
        <rFont val="Times New Roman"/>
        <charset val="134"/>
      </rPr>
      <t>07/19/23</t>
    </r>
  </si>
  <si>
    <t>$1 B</t>
  </si>
  <si>
    <r>
      <rPr>
        <sz val="11"/>
        <color theme="1"/>
        <rFont val="Times New Roman"/>
        <charset val="134"/>
      </rPr>
      <t>07/17/23</t>
    </r>
  </si>
  <si>
    <r>
      <rPr>
        <sz val="11"/>
        <color theme="1"/>
        <rFont val="Times New Roman"/>
        <charset val="134"/>
      </rPr>
      <t>07/15/23</t>
    </r>
  </si>
  <si>
    <r>
      <rPr>
        <sz val="11"/>
        <color theme="1"/>
        <rFont val="Times New Roman"/>
        <charset val="134"/>
      </rPr>
      <t>06/28/23</t>
    </r>
  </si>
  <si>
    <r>
      <rPr>
        <sz val="11"/>
        <color theme="1"/>
        <rFont val="Times New Roman"/>
        <charset val="134"/>
      </rPr>
      <t>06/26/23</t>
    </r>
  </si>
  <si>
    <r>
      <rPr>
        <sz val="11"/>
        <color theme="1"/>
        <rFont val="Times New Roman"/>
        <charset val="134"/>
      </rPr>
      <t>06/24/23</t>
    </r>
  </si>
  <si>
    <r>
      <rPr>
        <sz val="11"/>
        <color theme="1"/>
        <rFont val="Times New Roman"/>
        <charset val="134"/>
      </rPr>
      <t>06/21/23</t>
    </r>
  </si>
  <si>
    <r>
      <rPr>
        <sz val="11"/>
        <color theme="1"/>
        <rFont val="Times New Roman"/>
        <charset val="134"/>
      </rPr>
      <t>06/19/23</t>
    </r>
  </si>
  <si>
    <r>
      <rPr>
        <sz val="11"/>
        <color theme="1"/>
        <rFont val="Times New Roman"/>
        <charset val="134"/>
      </rPr>
      <t>06/17/23</t>
    </r>
  </si>
  <si>
    <r>
      <rPr>
        <sz val="11"/>
        <color theme="1"/>
        <rFont val="Times New Roman"/>
        <charset val="134"/>
      </rPr>
      <t>06/14/23</t>
    </r>
  </si>
  <si>
    <r>
      <rPr>
        <sz val="11"/>
        <color theme="1"/>
        <rFont val="Times New Roman"/>
        <charset val="134"/>
      </rPr>
      <t>05/31/23</t>
    </r>
  </si>
  <si>
    <r>
      <rPr>
        <sz val="11"/>
        <color theme="1"/>
        <rFont val="Times New Roman"/>
        <charset val="134"/>
      </rPr>
      <t>05/29/23</t>
    </r>
  </si>
  <si>
    <r>
      <rPr>
        <sz val="11"/>
        <color theme="1"/>
        <rFont val="Times New Roman"/>
        <charset val="134"/>
      </rPr>
      <t>05/27/23</t>
    </r>
  </si>
  <si>
    <r>
      <rPr>
        <sz val="11"/>
        <color theme="1"/>
        <rFont val="Times New Roman"/>
        <charset val="134"/>
      </rPr>
      <t>05/24/23</t>
    </r>
  </si>
  <si>
    <r>
      <rPr>
        <sz val="11"/>
        <color theme="1"/>
        <rFont val="Times New Roman"/>
        <charset val="134"/>
      </rPr>
      <t>05/22/23</t>
    </r>
  </si>
  <si>
    <r>
      <rPr>
        <sz val="11"/>
        <color theme="1"/>
        <rFont val="Times New Roman"/>
        <charset val="134"/>
      </rPr>
      <t>05/20/23</t>
    </r>
  </si>
  <si>
    <r>
      <rPr>
        <sz val="11"/>
        <color theme="1"/>
        <rFont val="Times New Roman"/>
        <charset val="134"/>
      </rPr>
      <t>05/17/23</t>
    </r>
  </si>
  <si>
    <r>
      <rPr>
        <sz val="11"/>
        <color theme="1"/>
        <rFont val="Times New Roman"/>
        <charset val="134"/>
      </rPr>
      <t>05/15/23</t>
    </r>
  </si>
  <si>
    <r>
      <rPr>
        <sz val="11"/>
        <color theme="1"/>
        <rFont val="Times New Roman"/>
        <charset val="134"/>
      </rPr>
      <t>05/13/23</t>
    </r>
  </si>
  <si>
    <r>
      <rPr>
        <sz val="11"/>
        <color theme="1"/>
        <rFont val="Times New Roman"/>
        <charset val="134"/>
      </rPr>
      <t>04/29/23</t>
    </r>
  </si>
  <si>
    <r>
      <rPr>
        <sz val="11"/>
        <color theme="1"/>
        <rFont val="Times New Roman"/>
        <charset val="134"/>
      </rPr>
      <t>04/26/23</t>
    </r>
  </si>
  <si>
    <r>
      <rPr>
        <sz val="11"/>
        <color theme="1"/>
        <rFont val="Times New Roman"/>
        <charset val="134"/>
      </rPr>
      <t>04/24/23</t>
    </r>
  </si>
  <si>
    <r>
      <rPr>
        <sz val="11"/>
        <color theme="1"/>
        <rFont val="Times New Roman"/>
        <charset val="134"/>
      </rPr>
      <t>04/22/23</t>
    </r>
  </si>
  <si>
    <r>
      <rPr>
        <sz val="11"/>
        <color theme="1"/>
        <rFont val="Times New Roman"/>
        <charset val="134"/>
      </rPr>
      <t>04/19/23</t>
    </r>
  </si>
  <si>
    <r>
      <rPr>
        <sz val="11"/>
        <color theme="1"/>
        <rFont val="Times New Roman"/>
        <charset val="134"/>
      </rPr>
      <t>04/17/23</t>
    </r>
  </si>
  <si>
    <r>
      <rPr>
        <sz val="11"/>
        <color theme="1"/>
        <rFont val="Times New Roman"/>
        <charset val="134"/>
      </rPr>
      <t>04/15/23</t>
    </r>
  </si>
  <si>
    <r>
      <rPr>
        <sz val="11"/>
        <color theme="1"/>
        <rFont val="Times New Roman"/>
        <charset val="134"/>
      </rPr>
      <t>03/29/23</t>
    </r>
  </si>
  <si>
    <r>
      <rPr>
        <sz val="11"/>
        <color theme="1"/>
        <rFont val="Times New Roman"/>
        <charset val="134"/>
      </rPr>
      <t>03/27/23</t>
    </r>
  </si>
  <si>
    <r>
      <rPr>
        <sz val="11"/>
        <color theme="1"/>
        <rFont val="Times New Roman"/>
        <charset val="134"/>
      </rPr>
      <t>03/25/23</t>
    </r>
  </si>
  <si>
    <r>
      <rPr>
        <sz val="11"/>
        <color theme="1"/>
        <rFont val="Times New Roman"/>
        <charset val="134"/>
      </rPr>
      <t>03/22/23</t>
    </r>
  </si>
  <si>
    <r>
      <rPr>
        <sz val="11"/>
        <color theme="1"/>
        <rFont val="Times New Roman"/>
        <charset val="134"/>
      </rPr>
      <t>03/20/23</t>
    </r>
  </si>
  <si>
    <r>
      <rPr>
        <sz val="11"/>
        <color theme="1"/>
        <rFont val="Times New Roman"/>
        <charset val="134"/>
      </rPr>
      <t>03/18/23</t>
    </r>
  </si>
  <si>
    <r>
      <rPr>
        <sz val="11"/>
        <color theme="1"/>
        <rFont val="Times New Roman"/>
        <charset val="134"/>
      </rPr>
      <t>03/15/23</t>
    </r>
  </si>
  <si>
    <r>
      <rPr>
        <sz val="11"/>
        <color theme="1"/>
        <rFont val="Times New Roman"/>
        <charset val="134"/>
      </rPr>
      <t>03/13/23</t>
    </r>
  </si>
  <si>
    <r>
      <rPr>
        <sz val="11"/>
        <color theme="1"/>
        <rFont val="Times New Roman"/>
        <charset val="134"/>
      </rPr>
      <t>02/27/23</t>
    </r>
  </si>
  <si>
    <r>
      <rPr>
        <sz val="11"/>
        <color theme="1"/>
        <rFont val="Times New Roman"/>
        <charset val="134"/>
      </rPr>
      <t>02/25/23</t>
    </r>
  </si>
  <si>
    <r>
      <rPr>
        <sz val="11"/>
        <color theme="1"/>
        <rFont val="Times New Roman"/>
        <charset val="134"/>
      </rPr>
      <t>02/22/23</t>
    </r>
  </si>
  <si>
    <r>
      <rPr>
        <sz val="11"/>
        <color theme="1"/>
        <rFont val="Times New Roman"/>
        <charset val="134"/>
      </rPr>
      <t>02/20/23</t>
    </r>
  </si>
  <si>
    <r>
      <rPr>
        <sz val="11"/>
        <color theme="1"/>
        <rFont val="Times New Roman"/>
        <charset val="134"/>
      </rPr>
      <t>02/18/23</t>
    </r>
  </si>
  <si>
    <r>
      <rPr>
        <sz val="11"/>
        <color theme="1"/>
        <rFont val="Times New Roman"/>
        <charset val="134"/>
      </rPr>
      <t>02/15/23</t>
    </r>
  </si>
  <si>
    <r>
      <rPr>
        <sz val="11"/>
        <color theme="1"/>
        <rFont val="Times New Roman"/>
        <charset val="134"/>
      </rPr>
      <t>02/13/23</t>
    </r>
  </si>
  <si>
    <r>
      <rPr>
        <sz val="11"/>
        <color theme="1"/>
        <rFont val="Times New Roman"/>
        <charset val="134"/>
      </rPr>
      <t>01/30/23</t>
    </r>
  </si>
  <si>
    <r>
      <rPr>
        <sz val="11"/>
        <color theme="1"/>
        <rFont val="Times New Roman"/>
        <charset val="134"/>
      </rPr>
      <t>01/28/23</t>
    </r>
  </si>
  <si>
    <r>
      <rPr>
        <sz val="11"/>
        <color theme="1"/>
        <rFont val="Times New Roman"/>
        <charset val="134"/>
      </rPr>
      <t>01/25/23</t>
    </r>
  </si>
  <si>
    <r>
      <rPr>
        <sz val="11"/>
        <color theme="1"/>
        <rFont val="Times New Roman"/>
        <charset val="134"/>
      </rPr>
      <t>01/23/23</t>
    </r>
  </si>
  <si>
    <r>
      <rPr>
        <sz val="11"/>
        <color theme="1"/>
        <rFont val="Times New Roman"/>
        <charset val="134"/>
      </rPr>
      <t>01/21/23</t>
    </r>
  </si>
  <si>
    <r>
      <rPr>
        <sz val="11"/>
        <color theme="1"/>
        <rFont val="Times New Roman"/>
        <charset val="134"/>
      </rPr>
      <t>01/18/23</t>
    </r>
  </si>
  <si>
    <r>
      <rPr>
        <sz val="11"/>
        <color theme="1"/>
        <rFont val="Times New Roman"/>
        <charset val="134"/>
      </rPr>
      <t>01/16/23</t>
    </r>
  </si>
  <si>
    <r>
      <rPr>
        <sz val="11"/>
        <color theme="1"/>
        <rFont val="Times New Roman"/>
        <charset val="134"/>
      </rPr>
      <t>01/14/23</t>
    </r>
  </si>
  <si>
    <r>
      <rPr>
        <sz val="11"/>
        <color theme="1"/>
        <rFont val="Times New Roman"/>
        <charset val="134"/>
      </rPr>
      <t>12/31/22 (S)</t>
    </r>
  </si>
  <si>
    <r>
      <rPr>
        <sz val="11"/>
        <color theme="1"/>
        <rFont val="Times New Roman"/>
        <charset val="134"/>
      </rPr>
      <t>12/28/22 (W)</t>
    </r>
  </si>
  <si>
    <r>
      <rPr>
        <sz val="11"/>
        <color theme="1"/>
        <rFont val="Times New Roman"/>
        <charset val="134"/>
      </rPr>
      <t>12/26/22 (M)</t>
    </r>
  </si>
  <si>
    <r>
      <rPr>
        <sz val="11"/>
        <color theme="1"/>
        <rFont val="Times New Roman"/>
        <charset val="134"/>
      </rPr>
      <t>12/24/22 (S)</t>
    </r>
  </si>
  <si>
    <r>
      <rPr>
        <sz val="11"/>
        <color theme="1"/>
        <rFont val="Times New Roman"/>
        <charset val="134"/>
      </rPr>
      <t>12/21/22 (W)</t>
    </r>
  </si>
  <si>
    <r>
      <rPr>
        <sz val="11"/>
        <color theme="1"/>
        <rFont val="Times New Roman"/>
        <charset val="134"/>
      </rPr>
      <t>12/19/22 (M)</t>
    </r>
  </si>
  <si>
    <r>
      <rPr>
        <sz val="11"/>
        <color theme="1"/>
        <rFont val="Times New Roman"/>
        <charset val="134"/>
      </rPr>
      <t>12/17/22 (S)</t>
    </r>
  </si>
  <si>
    <r>
      <rPr>
        <sz val="11"/>
        <color theme="1"/>
        <rFont val="Times New Roman"/>
        <charset val="134"/>
      </rPr>
      <t>12/14/22 (W)</t>
    </r>
  </si>
  <si>
    <r>
      <rPr>
        <sz val="11"/>
        <color theme="1"/>
        <rFont val="Times New Roman"/>
        <charset val="134"/>
      </rPr>
      <t>12/12/22 (M)</t>
    </r>
  </si>
  <si>
    <r>
      <rPr>
        <sz val="11"/>
        <color theme="1"/>
        <rFont val="Times New Roman"/>
        <charset val="134"/>
      </rPr>
      <t>12/10/22 (S)</t>
    </r>
  </si>
  <si>
    <r>
      <rPr>
        <sz val="11"/>
        <color theme="1"/>
        <rFont val="Times New Roman"/>
        <charset val="134"/>
      </rPr>
      <t>12/07/22 (W)</t>
    </r>
  </si>
  <si>
    <r>
      <rPr>
        <sz val="11"/>
        <color theme="1"/>
        <rFont val="Times New Roman"/>
        <charset val="134"/>
      </rPr>
      <t>12/05/22 (M)</t>
    </r>
  </si>
  <si>
    <r>
      <rPr>
        <sz val="11"/>
        <color theme="1"/>
        <rFont val="Times New Roman"/>
        <charset val="134"/>
      </rPr>
      <t>12/03/22 (S)</t>
    </r>
  </si>
  <si>
    <r>
      <rPr>
        <sz val="11"/>
        <color theme="1"/>
        <rFont val="Times New Roman"/>
        <charset val="134"/>
      </rPr>
      <t>11/30/22 (W)</t>
    </r>
  </si>
  <si>
    <r>
      <rPr>
        <sz val="11"/>
        <color theme="1"/>
        <rFont val="Times New Roman"/>
        <charset val="134"/>
      </rPr>
      <t>11/28/22 (M)</t>
    </r>
  </si>
  <si>
    <r>
      <rPr>
        <sz val="11"/>
        <color theme="1"/>
        <rFont val="Times New Roman"/>
        <charset val="134"/>
      </rPr>
      <t>11/26/22 (S)</t>
    </r>
  </si>
  <si>
    <r>
      <rPr>
        <sz val="11"/>
        <color theme="1"/>
        <rFont val="Times New Roman"/>
        <charset val="134"/>
      </rPr>
      <t>11/23/22 (W)</t>
    </r>
  </si>
  <si>
    <r>
      <rPr>
        <sz val="11"/>
        <color theme="1"/>
        <rFont val="Times New Roman"/>
        <charset val="134"/>
      </rPr>
      <t>11/21/22 (M)</t>
    </r>
  </si>
  <si>
    <r>
      <rPr>
        <sz val="11"/>
        <color theme="1"/>
        <rFont val="Times New Roman"/>
        <charset val="134"/>
      </rPr>
      <t>11/19/22 (S)</t>
    </r>
  </si>
  <si>
    <r>
      <rPr>
        <sz val="11"/>
        <color theme="1"/>
        <rFont val="Times New Roman"/>
        <charset val="134"/>
      </rPr>
      <t>11/16/22 (W)</t>
    </r>
  </si>
  <si>
    <r>
      <rPr>
        <sz val="11"/>
        <color theme="1"/>
        <rFont val="Times New Roman"/>
        <charset val="134"/>
      </rPr>
      <t>11/14/22(M)</t>
    </r>
  </si>
  <si>
    <r>
      <rPr>
        <sz val="11"/>
        <color theme="1"/>
        <rFont val="Times New Roman"/>
        <charset val="134"/>
      </rPr>
      <t>11/12/22 (S)</t>
    </r>
  </si>
  <si>
    <r>
      <rPr>
        <sz val="11"/>
        <color theme="1"/>
        <rFont val="Times New Roman"/>
        <charset val="134"/>
      </rPr>
      <t>11/09/22 (W)</t>
    </r>
  </si>
  <si>
    <r>
      <rPr>
        <sz val="11"/>
        <color theme="1"/>
        <rFont val="Times New Roman"/>
        <charset val="134"/>
      </rPr>
      <t>11/07/22 (M)</t>
    </r>
  </si>
  <si>
    <t>$2.04 B</t>
  </si>
  <si>
    <r>
      <rPr>
        <sz val="11"/>
        <color theme="1"/>
        <rFont val="Times New Roman"/>
        <charset val="134"/>
      </rPr>
      <t>11/05/22 (S)</t>
    </r>
  </si>
  <si>
    <t>$1.6 B</t>
  </si>
  <si>
    <r>
      <rPr>
        <sz val="11"/>
        <color theme="1"/>
        <rFont val="Times New Roman"/>
        <charset val="134"/>
      </rPr>
      <t>11/02/22 (W)</t>
    </r>
  </si>
  <si>
    <t>$1.2 B</t>
  </si>
  <si>
    <r>
      <rPr>
        <sz val="11"/>
        <color theme="1"/>
        <rFont val="Times New Roman"/>
        <charset val="134"/>
      </rPr>
      <t>10/31/22 (M)</t>
    </r>
  </si>
  <si>
    <r>
      <rPr>
        <sz val="11"/>
        <color theme="1"/>
        <rFont val="Times New Roman"/>
        <charset val="134"/>
      </rPr>
      <t>10/29/22 (S)</t>
    </r>
  </si>
  <si>
    <r>
      <rPr>
        <sz val="11"/>
        <color theme="1"/>
        <rFont val="Times New Roman"/>
        <charset val="134"/>
      </rPr>
      <t>10/26/22 (W)</t>
    </r>
  </si>
  <si>
    <r>
      <rPr>
        <sz val="11"/>
        <color theme="1"/>
        <rFont val="Times New Roman"/>
        <charset val="134"/>
      </rPr>
      <t>10/24/22 (M)</t>
    </r>
  </si>
  <si>
    <r>
      <rPr>
        <sz val="11"/>
        <color theme="1"/>
        <rFont val="Times New Roman"/>
        <charset val="134"/>
      </rPr>
      <t>10/22/22 (S)</t>
    </r>
  </si>
  <si>
    <r>
      <rPr>
        <sz val="11"/>
        <color theme="1"/>
        <rFont val="Times New Roman"/>
        <charset val="134"/>
      </rPr>
      <t>10/19/22 (W)</t>
    </r>
  </si>
  <si>
    <r>
      <rPr>
        <sz val="11"/>
        <color theme="1"/>
        <rFont val="Times New Roman"/>
        <charset val="134"/>
      </rPr>
      <t>10/17/22 (M)</t>
    </r>
  </si>
  <si>
    <r>
      <rPr>
        <sz val="11"/>
        <color theme="1"/>
        <rFont val="Times New Roman"/>
        <charset val="134"/>
      </rPr>
      <t>10/15/22 (S)</t>
    </r>
  </si>
  <si>
    <r>
      <rPr>
        <sz val="11"/>
        <color theme="1"/>
        <rFont val="Times New Roman"/>
        <charset val="134"/>
      </rPr>
      <t>10/12/22 (W)</t>
    </r>
  </si>
  <si>
    <r>
      <rPr>
        <sz val="11"/>
        <color theme="1"/>
        <rFont val="Times New Roman"/>
        <charset val="134"/>
      </rPr>
      <t>10/10/22 (M)</t>
    </r>
  </si>
  <si>
    <r>
      <rPr>
        <sz val="11"/>
        <color theme="1"/>
        <rFont val="Times New Roman"/>
        <charset val="134"/>
      </rPr>
      <t>10/08/22 (S)</t>
    </r>
  </si>
  <si>
    <r>
      <rPr>
        <sz val="11"/>
        <color theme="1"/>
        <rFont val="Times New Roman"/>
        <charset val="134"/>
      </rPr>
      <t>10/05/22 (W)</t>
    </r>
  </si>
  <si>
    <r>
      <rPr>
        <sz val="11"/>
        <color theme="1"/>
        <rFont val="Times New Roman"/>
        <charset val="134"/>
      </rPr>
      <t>10/03/22 (M)</t>
    </r>
  </si>
  <si>
    <r>
      <rPr>
        <sz val="11"/>
        <color theme="1"/>
        <rFont val="Times New Roman"/>
        <charset val="134"/>
      </rPr>
      <t>10/01/22 (S)</t>
    </r>
  </si>
  <si>
    <r>
      <rPr>
        <sz val="11"/>
        <color theme="1"/>
        <rFont val="Times New Roman"/>
        <charset val="134"/>
      </rPr>
      <t>09/28/22 (W)</t>
    </r>
  </si>
  <si>
    <r>
      <rPr>
        <sz val="11"/>
        <color theme="1"/>
        <rFont val="Times New Roman"/>
        <charset val="134"/>
      </rPr>
      <t>09/26/22 (M)</t>
    </r>
  </si>
  <si>
    <r>
      <rPr>
        <sz val="11"/>
        <color theme="1"/>
        <rFont val="Times New Roman"/>
        <charset val="134"/>
      </rPr>
      <t>09/24/22 (S)</t>
    </r>
  </si>
  <si>
    <r>
      <rPr>
        <sz val="11"/>
        <color theme="1"/>
        <rFont val="Times New Roman"/>
        <charset val="134"/>
      </rPr>
      <t>09/21/22 (W)</t>
    </r>
  </si>
  <si>
    <r>
      <rPr>
        <sz val="11"/>
        <color theme="1"/>
        <rFont val="Times New Roman"/>
        <charset val="134"/>
      </rPr>
      <t>09/19/22 (M)</t>
    </r>
  </si>
  <si>
    <r>
      <rPr>
        <sz val="11"/>
        <color theme="1"/>
        <rFont val="Times New Roman"/>
        <charset val="134"/>
      </rPr>
      <t>09/17/22 (S)</t>
    </r>
  </si>
  <si>
    <r>
      <rPr>
        <sz val="11"/>
        <color theme="1"/>
        <rFont val="Times New Roman"/>
        <charset val="134"/>
      </rPr>
      <t>09/14/22 (W)</t>
    </r>
  </si>
  <si>
    <r>
      <rPr>
        <sz val="11"/>
        <color theme="1"/>
        <rFont val="Times New Roman"/>
        <charset val="134"/>
      </rPr>
      <t>09/12/22 (M)</t>
    </r>
  </si>
  <si>
    <r>
      <rPr>
        <sz val="11"/>
        <color theme="1"/>
        <rFont val="Times New Roman"/>
        <charset val="134"/>
      </rPr>
      <t>09/10/22 (S)</t>
    </r>
  </si>
  <si>
    <r>
      <rPr>
        <sz val="11"/>
        <color theme="1"/>
        <rFont val="Times New Roman"/>
        <charset val="134"/>
      </rPr>
      <t>09/07/22 (W)</t>
    </r>
  </si>
  <si>
    <r>
      <rPr>
        <sz val="11"/>
        <color theme="1"/>
        <rFont val="Times New Roman"/>
        <charset val="134"/>
      </rPr>
      <t>09/05/22 (M)</t>
    </r>
  </si>
  <si>
    <r>
      <rPr>
        <sz val="11"/>
        <color theme="1"/>
        <rFont val="Times New Roman"/>
        <charset val="134"/>
      </rPr>
      <t>09/03/22 (S)</t>
    </r>
  </si>
  <si>
    <r>
      <rPr>
        <sz val="11"/>
        <color theme="1"/>
        <rFont val="Times New Roman"/>
        <charset val="134"/>
      </rPr>
      <t>08/31/22 (W)</t>
    </r>
  </si>
  <si>
    <r>
      <rPr>
        <sz val="11"/>
        <color theme="1"/>
        <rFont val="Times New Roman"/>
        <charset val="134"/>
      </rPr>
      <t>08/29/22 (M)</t>
    </r>
  </si>
  <si>
    <r>
      <rPr>
        <sz val="11"/>
        <color theme="1"/>
        <rFont val="Times New Roman"/>
        <charset val="134"/>
      </rPr>
      <t>08/27/22 (S)</t>
    </r>
  </si>
  <si>
    <r>
      <rPr>
        <sz val="11"/>
        <color theme="1"/>
        <rFont val="Times New Roman"/>
        <charset val="134"/>
      </rPr>
      <t>08/24/22 (W)</t>
    </r>
  </si>
  <si>
    <r>
      <rPr>
        <sz val="11"/>
        <color theme="1"/>
        <rFont val="Times New Roman"/>
        <charset val="134"/>
      </rPr>
      <t>08/22/22 (M)</t>
    </r>
  </si>
  <si>
    <r>
      <rPr>
        <sz val="11"/>
        <color theme="1"/>
        <rFont val="Times New Roman"/>
        <charset val="134"/>
      </rPr>
      <t>08/20/22 (S)</t>
    </r>
  </si>
  <si>
    <r>
      <rPr>
        <sz val="11"/>
        <color theme="1"/>
        <rFont val="Times New Roman"/>
        <charset val="134"/>
      </rPr>
      <t>08/17/22 (W)</t>
    </r>
  </si>
  <si>
    <r>
      <rPr>
        <sz val="11"/>
        <color theme="1"/>
        <rFont val="Times New Roman"/>
        <charset val="134"/>
      </rPr>
      <t>08/15/22 (M)</t>
    </r>
  </si>
  <si>
    <r>
      <rPr>
        <sz val="11"/>
        <color theme="1"/>
        <rFont val="Times New Roman"/>
        <charset val="134"/>
      </rPr>
      <t>08/13/22 (S)</t>
    </r>
  </si>
  <si>
    <r>
      <rPr>
        <sz val="11"/>
        <color theme="1"/>
        <rFont val="Times New Roman"/>
        <charset val="134"/>
      </rPr>
      <t>08/10/22 (W)</t>
    </r>
  </si>
  <si>
    <r>
      <rPr>
        <sz val="11"/>
        <color theme="1"/>
        <rFont val="Times New Roman"/>
        <charset val="134"/>
      </rPr>
      <t>08/08/22 (M)</t>
    </r>
  </si>
  <si>
    <r>
      <rPr>
        <sz val="11"/>
        <color theme="1"/>
        <rFont val="Times New Roman"/>
        <charset val="134"/>
      </rPr>
      <t>08/06/22 (S)</t>
    </r>
  </si>
  <si>
    <r>
      <rPr>
        <sz val="11"/>
        <color theme="1"/>
        <rFont val="Times New Roman"/>
        <charset val="134"/>
      </rPr>
      <t>08/03/22 (W)</t>
    </r>
  </si>
  <si>
    <r>
      <rPr>
        <sz val="11"/>
        <color theme="1"/>
        <rFont val="Times New Roman"/>
        <charset val="134"/>
      </rPr>
      <t>08/01/22 (M)</t>
    </r>
  </si>
  <si>
    <r>
      <rPr>
        <sz val="11"/>
        <color theme="1"/>
        <rFont val="Times New Roman"/>
        <charset val="134"/>
      </rPr>
      <t>07/30/22 (S)</t>
    </r>
  </si>
  <si>
    <r>
      <rPr>
        <sz val="11"/>
        <color theme="1"/>
        <rFont val="Times New Roman"/>
        <charset val="134"/>
      </rPr>
      <t>07/27/22 (W)</t>
    </r>
  </si>
  <si>
    <r>
      <rPr>
        <sz val="11"/>
        <color theme="1"/>
        <rFont val="Times New Roman"/>
        <charset val="134"/>
      </rPr>
      <t>07/25/22 (M)</t>
    </r>
  </si>
  <si>
    <r>
      <rPr>
        <sz val="11"/>
        <color theme="1"/>
        <rFont val="Times New Roman"/>
        <charset val="134"/>
      </rPr>
      <t>07/23/22 (S)</t>
    </r>
  </si>
  <si>
    <r>
      <rPr>
        <sz val="11"/>
        <color theme="1"/>
        <rFont val="Times New Roman"/>
        <charset val="134"/>
      </rPr>
      <t>07/20/22(W)</t>
    </r>
  </si>
  <si>
    <r>
      <rPr>
        <sz val="11"/>
        <color theme="1"/>
        <rFont val="Times New Roman"/>
        <charset val="134"/>
      </rPr>
      <t>07/18/22 (M)</t>
    </r>
  </si>
  <si>
    <r>
      <rPr>
        <sz val="11"/>
        <color theme="1"/>
        <rFont val="Times New Roman"/>
        <charset val="134"/>
      </rPr>
      <t>07/16/22 (S)</t>
    </r>
  </si>
  <si>
    <r>
      <rPr>
        <sz val="11"/>
        <color theme="1"/>
        <rFont val="Times New Roman"/>
        <charset val="134"/>
      </rPr>
      <t>07/13/22 (W)</t>
    </r>
  </si>
  <si>
    <r>
      <rPr>
        <sz val="11"/>
        <color theme="1"/>
        <rFont val="Times New Roman"/>
        <charset val="134"/>
      </rPr>
      <t>07/11/22 (M)</t>
    </r>
  </si>
  <si>
    <r>
      <rPr>
        <sz val="11"/>
        <color theme="1"/>
        <rFont val="Times New Roman"/>
        <charset val="134"/>
      </rPr>
      <t>07/09/22 (S)</t>
    </r>
  </si>
  <si>
    <r>
      <rPr>
        <sz val="11"/>
        <color theme="1"/>
        <rFont val="Times New Roman"/>
        <charset val="134"/>
      </rPr>
      <t>07/06/22 (W)</t>
    </r>
  </si>
  <si>
    <r>
      <rPr>
        <sz val="11"/>
        <color theme="1"/>
        <rFont val="Times New Roman"/>
        <charset val="134"/>
      </rPr>
      <t>07/04/22 (M)</t>
    </r>
  </si>
  <si>
    <r>
      <rPr>
        <sz val="11"/>
        <color theme="1"/>
        <rFont val="Times New Roman"/>
        <charset val="134"/>
      </rPr>
      <t>07/02/22 (S)</t>
    </r>
  </si>
  <si>
    <r>
      <rPr>
        <sz val="11"/>
        <color theme="1"/>
        <rFont val="Times New Roman"/>
        <charset val="134"/>
      </rPr>
      <t>06/29/22 (W)</t>
    </r>
  </si>
  <si>
    <r>
      <rPr>
        <sz val="11"/>
        <color theme="1"/>
        <rFont val="Times New Roman"/>
        <charset val="134"/>
      </rPr>
      <t>06/27/22 (M)</t>
    </r>
  </si>
  <si>
    <r>
      <rPr>
        <sz val="11"/>
        <color theme="1"/>
        <rFont val="Times New Roman"/>
        <charset val="134"/>
      </rPr>
      <t>06/25/22 (S)</t>
    </r>
  </si>
  <si>
    <r>
      <rPr>
        <sz val="11"/>
        <color theme="1"/>
        <rFont val="Times New Roman"/>
        <charset val="134"/>
      </rPr>
      <t>06/22/22 (W)</t>
    </r>
  </si>
  <si>
    <r>
      <rPr>
        <sz val="11"/>
        <color theme="1"/>
        <rFont val="Times New Roman"/>
        <charset val="134"/>
      </rPr>
      <t>06/20/22 (M)</t>
    </r>
  </si>
  <si>
    <r>
      <rPr>
        <sz val="11"/>
        <color theme="1"/>
        <rFont val="Times New Roman"/>
        <charset val="134"/>
      </rPr>
      <t>06/18/22 (S)</t>
    </r>
  </si>
  <si>
    <r>
      <rPr>
        <sz val="11"/>
        <color theme="1"/>
        <rFont val="Times New Roman"/>
        <charset val="134"/>
      </rPr>
      <t>06/15/22 (W)</t>
    </r>
  </si>
  <si>
    <r>
      <rPr>
        <sz val="11"/>
        <color theme="1"/>
        <rFont val="Times New Roman"/>
        <charset val="134"/>
      </rPr>
      <t>06/13/22 (M)</t>
    </r>
  </si>
  <si>
    <r>
      <rPr>
        <sz val="11"/>
        <color theme="1"/>
        <rFont val="Times New Roman"/>
        <charset val="134"/>
      </rPr>
      <t>06/11/22 (S)</t>
    </r>
  </si>
  <si>
    <r>
      <rPr>
        <sz val="11"/>
        <color theme="1"/>
        <rFont val="Times New Roman"/>
        <charset val="134"/>
      </rPr>
      <t>06/08/22 (W)</t>
    </r>
  </si>
  <si>
    <r>
      <rPr>
        <sz val="11"/>
        <color theme="1"/>
        <rFont val="Times New Roman"/>
        <charset val="134"/>
      </rPr>
      <t>06/06/22 (M)</t>
    </r>
  </si>
  <si>
    <r>
      <rPr>
        <sz val="11"/>
        <color theme="1"/>
        <rFont val="Times New Roman"/>
        <charset val="134"/>
      </rPr>
      <t>06/04/22 (S)</t>
    </r>
  </si>
  <si>
    <r>
      <rPr>
        <sz val="11"/>
        <color theme="1"/>
        <rFont val="Times New Roman"/>
        <charset val="134"/>
      </rPr>
      <t>06/01/22 (W)</t>
    </r>
  </si>
  <si>
    <r>
      <rPr>
        <sz val="11"/>
        <color theme="1"/>
        <rFont val="Times New Roman"/>
        <charset val="134"/>
      </rPr>
      <t>05/30/22 (M)</t>
    </r>
  </si>
  <si>
    <r>
      <rPr>
        <sz val="11"/>
        <color theme="1"/>
        <rFont val="Times New Roman"/>
        <charset val="134"/>
      </rPr>
      <t>05/28/22 (S)</t>
    </r>
  </si>
  <si>
    <r>
      <rPr>
        <sz val="11"/>
        <color theme="1"/>
        <rFont val="Times New Roman"/>
        <charset val="134"/>
      </rPr>
      <t>05/25/22 (W)</t>
    </r>
  </si>
  <si>
    <r>
      <rPr>
        <sz val="11"/>
        <color theme="1"/>
        <rFont val="Times New Roman"/>
        <charset val="134"/>
      </rPr>
      <t>05/23/22 (M)</t>
    </r>
  </si>
  <si>
    <r>
      <rPr>
        <sz val="11"/>
        <color theme="1"/>
        <rFont val="Times New Roman"/>
        <charset val="134"/>
      </rPr>
      <t>05/21/22 (S)</t>
    </r>
  </si>
  <si>
    <r>
      <rPr>
        <sz val="11"/>
        <color theme="1"/>
        <rFont val="Times New Roman"/>
        <charset val="134"/>
      </rPr>
      <t>05/18/22 (W)</t>
    </r>
  </si>
  <si>
    <r>
      <rPr>
        <sz val="11"/>
        <color theme="1"/>
        <rFont val="Times New Roman"/>
        <charset val="134"/>
      </rPr>
      <t>05/16/22 (M)</t>
    </r>
  </si>
  <si>
    <r>
      <rPr>
        <sz val="11"/>
        <color theme="1"/>
        <rFont val="Times New Roman"/>
        <charset val="134"/>
      </rPr>
      <t>05/14/22 (S)</t>
    </r>
  </si>
  <si>
    <r>
      <rPr>
        <sz val="11"/>
        <color theme="1"/>
        <rFont val="Times New Roman"/>
        <charset val="134"/>
      </rPr>
      <t>05/11/22 (W)</t>
    </r>
  </si>
  <si>
    <r>
      <rPr>
        <sz val="11"/>
        <color theme="1"/>
        <rFont val="Times New Roman"/>
        <charset val="134"/>
      </rPr>
      <t>05/09/22 (M)</t>
    </r>
  </si>
  <si>
    <r>
      <rPr>
        <sz val="11"/>
        <color theme="1"/>
        <rFont val="Times New Roman"/>
        <charset val="134"/>
      </rPr>
      <t>05/07/22 (S)</t>
    </r>
  </si>
  <si>
    <r>
      <rPr>
        <sz val="11"/>
        <color theme="1"/>
        <rFont val="Times New Roman"/>
        <charset val="134"/>
      </rPr>
      <t>05/04/22 (W)</t>
    </r>
  </si>
  <si>
    <r>
      <rPr>
        <sz val="11"/>
        <color theme="1"/>
        <rFont val="Times New Roman"/>
        <charset val="134"/>
      </rPr>
      <t>05/02/22 (M)</t>
    </r>
  </si>
  <si>
    <r>
      <rPr>
        <sz val="11"/>
        <color theme="1"/>
        <rFont val="Times New Roman"/>
        <charset val="134"/>
      </rPr>
      <t>04/30/22 (S)</t>
    </r>
  </si>
  <si>
    <r>
      <rPr>
        <sz val="11"/>
        <color theme="1"/>
        <rFont val="Times New Roman"/>
        <charset val="134"/>
      </rPr>
      <t>04/27/22 (W)</t>
    </r>
  </si>
  <si>
    <r>
      <rPr>
        <sz val="11"/>
        <color theme="1"/>
        <rFont val="Times New Roman"/>
        <charset val="134"/>
      </rPr>
      <t>04/25/22 (M)</t>
    </r>
  </si>
  <si>
    <r>
      <rPr>
        <sz val="11"/>
        <color theme="1"/>
        <rFont val="Times New Roman"/>
        <charset val="134"/>
      </rPr>
      <t>04/23/22 (S)</t>
    </r>
  </si>
  <si>
    <r>
      <rPr>
        <sz val="11"/>
        <color theme="1"/>
        <rFont val="Times New Roman"/>
        <charset val="134"/>
      </rPr>
      <t>04/20/22 (W)</t>
    </r>
  </si>
  <si>
    <r>
      <rPr>
        <sz val="11"/>
        <color theme="1"/>
        <rFont val="Times New Roman"/>
        <charset val="134"/>
      </rPr>
      <t>04/18/22 (M)</t>
    </r>
  </si>
  <si>
    <r>
      <rPr>
        <sz val="11"/>
        <color theme="1"/>
        <rFont val="Times New Roman"/>
        <charset val="134"/>
      </rPr>
      <t>04/16/22 (S)</t>
    </r>
  </si>
  <si>
    <r>
      <rPr>
        <sz val="11"/>
        <color theme="1"/>
        <rFont val="Times New Roman"/>
        <charset val="134"/>
      </rPr>
      <t>04/13/22 (W)</t>
    </r>
  </si>
  <si>
    <r>
      <rPr>
        <sz val="11"/>
        <color theme="1"/>
        <rFont val="Times New Roman"/>
        <charset val="134"/>
      </rPr>
      <t>04/11/22 (M)</t>
    </r>
  </si>
  <si>
    <r>
      <rPr>
        <sz val="11"/>
        <color theme="1"/>
        <rFont val="Times New Roman"/>
        <charset val="134"/>
      </rPr>
      <t>04/09/22 (S)</t>
    </r>
  </si>
  <si>
    <r>
      <rPr>
        <sz val="11"/>
        <color theme="1"/>
        <rFont val="Times New Roman"/>
        <charset val="134"/>
      </rPr>
      <t>04/06/22 (W)</t>
    </r>
  </si>
  <si>
    <r>
      <rPr>
        <sz val="11"/>
        <color theme="1"/>
        <rFont val="Times New Roman"/>
        <charset val="134"/>
      </rPr>
      <t>04/04/22 (M)</t>
    </r>
  </si>
  <si>
    <r>
      <rPr>
        <sz val="11"/>
        <color theme="1"/>
        <rFont val="Times New Roman"/>
        <charset val="134"/>
      </rPr>
      <t>04/02/22 (S)</t>
    </r>
  </si>
  <si>
    <r>
      <rPr>
        <sz val="11"/>
        <color theme="1"/>
        <rFont val="Times New Roman"/>
        <charset val="134"/>
      </rPr>
      <t>03/30/22 (W)</t>
    </r>
  </si>
  <si>
    <r>
      <rPr>
        <sz val="11"/>
        <color theme="1"/>
        <rFont val="Times New Roman"/>
        <charset val="134"/>
      </rPr>
      <t>03/28/22 (M)</t>
    </r>
  </si>
  <si>
    <r>
      <rPr>
        <sz val="11"/>
        <color theme="1"/>
        <rFont val="Times New Roman"/>
        <charset val="134"/>
      </rPr>
      <t>03/26/22 (S)</t>
    </r>
  </si>
  <si>
    <r>
      <rPr>
        <sz val="11"/>
        <color theme="1"/>
        <rFont val="Times New Roman"/>
        <charset val="134"/>
      </rPr>
      <t>03/23/22 (W)</t>
    </r>
  </si>
  <si>
    <r>
      <rPr>
        <sz val="11"/>
        <color theme="1"/>
        <rFont val="Times New Roman"/>
        <charset val="134"/>
      </rPr>
      <t>03/21/22 (M)</t>
    </r>
  </si>
  <si>
    <r>
      <rPr>
        <sz val="11"/>
        <color theme="1"/>
        <rFont val="Times New Roman"/>
        <charset val="134"/>
      </rPr>
      <t>03/19/22 (S)</t>
    </r>
  </si>
  <si>
    <r>
      <rPr>
        <sz val="11"/>
        <color theme="1"/>
        <rFont val="Times New Roman"/>
        <charset val="134"/>
      </rPr>
      <t>03/16/22 (W)</t>
    </r>
  </si>
  <si>
    <r>
      <rPr>
        <sz val="11"/>
        <color theme="1"/>
        <rFont val="Times New Roman"/>
        <charset val="134"/>
      </rPr>
      <t>03/14/22 (M)</t>
    </r>
  </si>
  <si>
    <r>
      <rPr>
        <sz val="11"/>
        <color theme="1"/>
        <rFont val="Times New Roman"/>
        <charset val="134"/>
      </rPr>
      <t>03/12/22 (S)</t>
    </r>
  </si>
  <si>
    <r>
      <rPr>
        <sz val="11"/>
        <color theme="1"/>
        <rFont val="Times New Roman"/>
        <charset val="134"/>
      </rPr>
      <t>03/09/22 (W)</t>
    </r>
  </si>
  <si>
    <r>
      <rPr>
        <sz val="11"/>
        <color theme="1"/>
        <rFont val="Times New Roman"/>
        <charset val="134"/>
      </rPr>
      <t>03/07/22 (M)</t>
    </r>
  </si>
  <si>
    <r>
      <rPr>
        <sz val="11"/>
        <color theme="1"/>
        <rFont val="Times New Roman"/>
        <charset val="134"/>
      </rPr>
      <t>03/05/22 (S)</t>
    </r>
  </si>
  <si>
    <r>
      <rPr>
        <sz val="11"/>
        <color theme="1"/>
        <rFont val="Times New Roman"/>
        <charset val="134"/>
      </rPr>
      <t>03/02/22 (W)</t>
    </r>
  </si>
  <si>
    <r>
      <rPr>
        <sz val="11"/>
        <color theme="1"/>
        <rFont val="Times New Roman"/>
        <charset val="134"/>
      </rPr>
      <t>02/28/22 (M)</t>
    </r>
  </si>
  <si>
    <r>
      <rPr>
        <sz val="11"/>
        <color theme="1"/>
        <rFont val="Times New Roman"/>
        <charset val="134"/>
      </rPr>
      <t>02/26/22 (S)</t>
    </r>
  </si>
  <si>
    <r>
      <rPr>
        <sz val="11"/>
        <color theme="1"/>
        <rFont val="Times New Roman"/>
        <charset val="134"/>
      </rPr>
      <t>02/23/22 (W)</t>
    </r>
  </si>
  <si>
    <r>
      <rPr>
        <sz val="11"/>
        <color theme="1"/>
        <rFont val="Times New Roman"/>
        <charset val="134"/>
      </rPr>
      <t>02/21/22 (M)</t>
    </r>
  </si>
  <si>
    <r>
      <rPr>
        <sz val="11"/>
        <color theme="1"/>
        <rFont val="Times New Roman"/>
        <charset val="134"/>
      </rPr>
      <t>02/19/22 (S)</t>
    </r>
  </si>
  <si>
    <r>
      <rPr>
        <sz val="11"/>
        <color theme="1"/>
        <rFont val="Times New Roman"/>
        <charset val="134"/>
      </rPr>
      <t>02/16/22 (W)</t>
    </r>
  </si>
  <si>
    <r>
      <rPr>
        <sz val="11"/>
        <color theme="1"/>
        <rFont val="Times New Roman"/>
        <charset val="134"/>
      </rPr>
      <t>02/14/22 (M)</t>
    </r>
  </si>
  <si>
    <r>
      <rPr>
        <sz val="11"/>
        <color theme="1"/>
        <rFont val="Times New Roman"/>
        <charset val="134"/>
      </rPr>
      <t>02/12/22 (S)</t>
    </r>
  </si>
  <si>
    <r>
      <rPr>
        <sz val="11"/>
        <color theme="1"/>
        <rFont val="Times New Roman"/>
        <charset val="134"/>
      </rPr>
      <t>02/09/22 (W)</t>
    </r>
  </si>
  <si>
    <r>
      <rPr>
        <sz val="11"/>
        <color theme="1"/>
        <rFont val="Times New Roman"/>
        <charset val="134"/>
      </rPr>
      <t>02/07/22 (M)</t>
    </r>
  </si>
  <si>
    <r>
      <rPr>
        <sz val="11"/>
        <color theme="1"/>
        <rFont val="Times New Roman"/>
        <charset val="134"/>
      </rPr>
      <t>02/05/22 (S)</t>
    </r>
  </si>
  <si>
    <r>
      <rPr>
        <sz val="11"/>
        <color theme="1"/>
        <rFont val="Times New Roman"/>
        <charset val="134"/>
      </rPr>
      <t>02/02/22 (W)</t>
    </r>
  </si>
  <si>
    <r>
      <rPr>
        <sz val="11"/>
        <color theme="1"/>
        <rFont val="Times New Roman"/>
        <charset val="134"/>
      </rPr>
      <t>01/31/22 (M)</t>
    </r>
  </si>
  <si>
    <r>
      <rPr>
        <sz val="11"/>
        <color theme="1"/>
        <rFont val="Times New Roman"/>
        <charset val="134"/>
      </rPr>
      <t>01/29/22 (S)</t>
    </r>
  </si>
  <si>
    <r>
      <rPr>
        <sz val="11"/>
        <color theme="1"/>
        <rFont val="Times New Roman"/>
        <charset val="134"/>
      </rPr>
      <t>01/26/22 (W)</t>
    </r>
  </si>
  <si>
    <r>
      <rPr>
        <sz val="11"/>
        <color theme="1"/>
        <rFont val="Times New Roman"/>
        <charset val="134"/>
      </rPr>
      <t>01/24/22 (M)</t>
    </r>
  </si>
  <si>
    <r>
      <rPr>
        <sz val="11"/>
        <color theme="1"/>
        <rFont val="Times New Roman"/>
        <charset val="134"/>
      </rPr>
      <t>01/22/22 (S)</t>
    </r>
  </si>
  <si>
    <r>
      <rPr>
        <sz val="11"/>
        <color theme="1"/>
        <rFont val="Times New Roman"/>
        <charset val="134"/>
      </rPr>
      <t>01/19/22 (W)</t>
    </r>
  </si>
  <si>
    <r>
      <rPr>
        <sz val="11"/>
        <color theme="1"/>
        <rFont val="Times New Roman"/>
        <charset val="134"/>
      </rPr>
      <t>01/17/22 (M)</t>
    </r>
  </si>
  <si>
    <r>
      <rPr>
        <sz val="11"/>
        <color theme="1"/>
        <rFont val="Times New Roman"/>
        <charset val="134"/>
      </rPr>
      <t>01/15/22 (S)</t>
    </r>
  </si>
  <si>
    <r>
      <rPr>
        <sz val="11"/>
        <color theme="1"/>
        <rFont val="Times New Roman"/>
        <charset val="134"/>
      </rPr>
      <t>01/12/22 (W)</t>
    </r>
  </si>
  <si>
    <r>
      <rPr>
        <sz val="11"/>
        <color theme="1"/>
        <rFont val="Times New Roman"/>
        <charset val="134"/>
      </rPr>
      <t>01/10/22 (M)</t>
    </r>
  </si>
  <si>
    <r>
      <rPr>
        <sz val="11"/>
        <color theme="1"/>
        <rFont val="Times New Roman"/>
        <charset val="134"/>
      </rPr>
      <t>01/08/22 (S)</t>
    </r>
  </si>
  <si>
    <r>
      <rPr>
        <sz val="11"/>
        <color theme="1"/>
        <rFont val="Times New Roman"/>
        <charset val="134"/>
      </rPr>
      <t>01/05/22 (W)</t>
    </r>
  </si>
  <si>
    <r>
      <rPr>
        <sz val="11"/>
        <color theme="1"/>
        <rFont val="Times New Roman"/>
        <charset val="134"/>
      </rPr>
      <t>01/03/22 (M)</t>
    </r>
  </si>
  <si>
    <r>
      <rPr>
        <sz val="11"/>
        <color theme="1"/>
        <rFont val="Times New Roman"/>
        <charset val="134"/>
      </rPr>
      <t>01/01/22 (S)</t>
    </r>
  </si>
  <si>
    <r>
      <rPr>
        <sz val="11"/>
        <color theme="1"/>
        <rFont val="Times New Roman"/>
        <charset val="134"/>
      </rPr>
      <t>12/29/21 (W)</t>
    </r>
  </si>
  <si>
    <r>
      <rPr>
        <sz val="11"/>
        <color theme="1"/>
        <rFont val="Times New Roman"/>
        <charset val="134"/>
      </rPr>
      <t>12/27/21 (M)</t>
    </r>
  </si>
  <si>
    <r>
      <rPr>
        <sz val="11"/>
        <color theme="1"/>
        <rFont val="Times New Roman"/>
        <charset val="134"/>
      </rPr>
      <t>12/25/21 (S)</t>
    </r>
  </si>
  <si>
    <r>
      <rPr>
        <sz val="11"/>
        <color theme="1"/>
        <rFont val="Times New Roman"/>
        <charset val="134"/>
      </rPr>
      <t>12/22/21 (W)</t>
    </r>
  </si>
  <si>
    <r>
      <rPr>
        <sz val="11"/>
        <color theme="1"/>
        <rFont val="Times New Roman"/>
        <charset val="134"/>
      </rPr>
      <t>12/20/21 (M)</t>
    </r>
  </si>
  <si>
    <r>
      <rPr>
        <sz val="11"/>
        <color theme="1"/>
        <rFont val="Times New Roman"/>
        <charset val="134"/>
      </rPr>
      <t>12/18/21 (S)</t>
    </r>
  </si>
  <si>
    <r>
      <rPr>
        <sz val="11"/>
        <color theme="1"/>
        <rFont val="Times New Roman"/>
        <charset val="134"/>
      </rPr>
      <t>12/15/21 (W)</t>
    </r>
  </si>
  <si>
    <r>
      <rPr>
        <sz val="11"/>
        <color theme="1"/>
        <rFont val="Times New Roman"/>
        <charset val="134"/>
      </rPr>
      <t>12/13/21 (M)</t>
    </r>
  </si>
  <si>
    <r>
      <rPr>
        <sz val="11"/>
        <color theme="1"/>
        <rFont val="Times New Roman"/>
        <charset val="134"/>
      </rPr>
      <t>12/11/21 (S)</t>
    </r>
  </si>
  <si>
    <r>
      <rPr>
        <sz val="11"/>
        <color theme="1"/>
        <rFont val="Times New Roman"/>
        <charset val="134"/>
      </rPr>
      <t>12/08/21 (W)</t>
    </r>
  </si>
  <si>
    <r>
      <rPr>
        <sz val="11"/>
        <color theme="1"/>
        <rFont val="Times New Roman"/>
        <charset val="134"/>
      </rPr>
      <t>12/06/21 (M)</t>
    </r>
  </si>
  <si>
    <r>
      <rPr>
        <sz val="11"/>
        <color theme="1"/>
        <rFont val="Times New Roman"/>
        <charset val="134"/>
      </rPr>
      <t>12/04/21 (S)</t>
    </r>
  </si>
  <si>
    <r>
      <rPr>
        <sz val="11"/>
        <color theme="1"/>
        <rFont val="Times New Roman"/>
        <charset val="134"/>
      </rPr>
      <t>12/01/21 (W)</t>
    </r>
  </si>
  <si>
    <r>
      <rPr>
        <sz val="11"/>
        <color theme="1"/>
        <rFont val="Times New Roman"/>
        <charset val="134"/>
      </rPr>
      <t>11/29/21 (M)</t>
    </r>
  </si>
  <si>
    <r>
      <rPr>
        <sz val="11"/>
        <color theme="1"/>
        <rFont val="Times New Roman"/>
        <charset val="134"/>
      </rPr>
      <t>11/27/21 (S)</t>
    </r>
  </si>
  <si>
    <r>
      <rPr>
        <sz val="11"/>
        <color theme="1"/>
        <rFont val="Times New Roman"/>
        <charset val="134"/>
      </rPr>
      <t>11/24/21 (W)</t>
    </r>
  </si>
  <si>
    <r>
      <rPr>
        <sz val="11"/>
        <color theme="1"/>
        <rFont val="Times New Roman"/>
        <charset val="134"/>
      </rPr>
      <t>11/22/21 (M)</t>
    </r>
  </si>
  <si>
    <r>
      <rPr>
        <sz val="11"/>
        <color theme="1"/>
        <rFont val="Times New Roman"/>
        <charset val="134"/>
      </rPr>
      <t>11/20/21 (S)</t>
    </r>
  </si>
  <si>
    <r>
      <rPr>
        <sz val="11"/>
        <color theme="1"/>
        <rFont val="Times New Roman"/>
        <charset val="134"/>
      </rPr>
      <t>11/17/21 (W)</t>
    </r>
  </si>
  <si>
    <r>
      <rPr>
        <sz val="11"/>
        <color theme="1"/>
        <rFont val="Times New Roman"/>
        <charset val="134"/>
      </rPr>
      <t>11/15/21 (M)</t>
    </r>
  </si>
  <si>
    <r>
      <rPr>
        <sz val="11"/>
        <color theme="1"/>
        <rFont val="Times New Roman"/>
        <charset val="134"/>
      </rPr>
      <t>11/13/21 (S)</t>
    </r>
  </si>
  <si>
    <r>
      <rPr>
        <sz val="11"/>
        <color theme="1"/>
        <rFont val="Times New Roman"/>
        <charset val="134"/>
      </rPr>
      <t>11/10/21 (W)</t>
    </r>
  </si>
  <si>
    <r>
      <rPr>
        <sz val="11"/>
        <color theme="1"/>
        <rFont val="Times New Roman"/>
        <charset val="134"/>
      </rPr>
      <t>11/08/21 (M)</t>
    </r>
  </si>
  <si>
    <r>
      <rPr>
        <sz val="11"/>
        <color theme="1"/>
        <rFont val="Times New Roman"/>
        <charset val="134"/>
      </rPr>
      <t>11/06/21 (S)</t>
    </r>
  </si>
  <si>
    <r>
      <rPr>
        <sz val="11"/>
        <color theme="1"/>
        <rFont val="Times New Roman"/>
        <charset val="134"/>
      </rPr>
      <t>11/03/21 (W)</t>
    </r>
  </si>
  <si>
    <r>
      <rPr>
        <sz val="11"/>
        <color theme="1"/>
        <rFont val="Times New Roman"/>
        <charset val="134"/>
      </rPr>
      <t>11/01/21 (M)</t>
    </r>
  </si>
  <si>
    <r>
      <rPr>
        <sz val="11"/>
        <color theme="1"/>
        <rFont val="Times New Roman"/>
        <charset val="134"/>
      </rPr>
      <t>10/30/21 (S)</t>
    </r>
  </si>
  <si>
    <r>
      <rPr>
        <sz val="11"/>
        <color theme="1"/>
        <rFont val="Times New Roman"/>
        <charset val="134"/>
      </rPr>
      <t>10/27/21 (W)</t>
    </r>
  </si>
  <si>
    <r>
      <rPr>
        <sz val="11"/>
        <color theme="1"/>
        <rFont val="Times New Roman"/>
        <charset val="134"/>
      </rPr>
      <t>10/25/21 (M)</t>
    </r>
  </si>
  <si>
    <r>
      <rPr>
        <sz val="11"/>
        <color theme="1"/>
        <rFont val="Times New Roman"/>
        <charset val="134"/>
      </rPr>
      <t>10/23/21 (S)</t>
    </r>
  </si>
  <si>
    <r>
      <rPr>
        <sz val="11"/>
        <color theme="1"/>
        <rFont val="Times New Roman"/>
        <charset val="134"/>
      </rPr>
      <t>10/20/21 (W)</t>
    </r>
  </si>
  <si>
    <r>
      <rPr>
        <sz val="11"/>
        <color theme="1"/>
        <rFont val="Times New Roman"/>
        <charset val="134"/>
      </rPr>
      <t>10/18/21 (M)</t>
    </r>
  </si>
  <si>
    <r>
      <rPr>
        <sz val="11"/>
        <color theme="1"/>
        <rFont val="Times New Roman"/>
        <charset val="134"/>
      </rPr>
      <t>10/16/21 (S)</t>
    </r>
  </si>
  <si>
    <r>
      <rPr>
        <sz val="11"/>
        <color theme="1"/>
        <rFont val="Times New Roman"/>
        <charset val="134"/>
      </rPr>
      <t>10/13/21 (W)</t>
    </r>
  </si>
  <si>
    <r>
      <rPr>
        <sz val="11"/>
        <color theme="1"/>
        <rFont val="Times New Roman"/>
        <charset val="134"/>
      </rPr>
      <t>10/11/21 (M)</t>
    </r>
  </si>
  <si>
    <r>
      <rPr>
        <sz val="11"/>
        <color theme="1"/>
        <rFont val="Times New Roman"/>
        <charset val="134"/>
      </rPr>
      <t>10/09/21 (S)</t>
    </r>
  </si>
  <si>
    <r>
      <rPr>
        <sz val="11"/>
        <color theme="1"/>
        <rFont val="Times New Roman"/>
        <charset val="134"/>
      </rPr>
      <t>10/06/21 (W)</t>
    </r>
  </si>
  <si>
    <r>
      <rPr>
        <sz val="11"/>
        <color theme="1"/>
        <rFont val="Times New Roman"/>
        <charset val="134"/>
      </rPr>
      <t>10/04/21 (M)</t>
    </r>
  </si>
  <si>
    <r>
      <rPr>
        <sz val="11"/>
        <color theme="1"/>
        <rFont val="Times New Roman"/>
        <charset val="134"/>
      </rPr>
      <t>10/02/21 (S)</t>
    </r>
  </si>
  <si>
    <r>
      <rPr>
        <sz val="11"/>
        <color theme="1"/>
        <rFont val="Times New Roman"/>
        <charset val="134"/>
      </rPr>
      <t>09/29/21 (W)</t>
    </r>
  </si>
  <si>
    <r>
      <rPr>
        <sz val="11"/>
        <color theme="1"/>
        <rFont val="Times New Roman"/>
        <charset val="134"/>
      </rPr>
      <t>09/27/21 (M)</t>
    </r>
  </si>
  <si>
    <r>
      <rPr>
        <sz val="11"/>
        <color theme="1"/>
        <rFont val="Times New Roman"/>
        <charset val="134"/>
      </rPr>
      <t>09/25/21 (S)</t>
    </r>
  </si>
  <si>
    <r>
      <rPr>
        <sz val="11"/>
        <color theme="1"/>
        <rFont val="Times New Roman"/>
        <charset val="134"/>
      </rPr>
      <t>09/22/21 (W)</t>
    </r>
  </si>
  <si>
    <r>
      <rPr>
        <sz val="11"/>
        <color theme="1"/>
        <rFont val="Times New Roman"/>
        <charset val="134"/>
      </rPr>
      <t>09/20/21 (M)</t>
    </r>
  </si>
  <si>
    <r>
      <rPr>
        <sz val="11"/>
        <color theme="1"/>
        <rFont val="Times New Roman"/>
        <charset val="134"/>
      </rPr>
      <t>09/18/21 (S)</t>
    </r>
  </si>
  <si>
    <r>
      <rPr>
        <sz val="11"/>
        <color theme="1"/>
        <rFont val="Times New Roman"/>
        <charset val="134"/>
      </rPr>
      <t>09/15/21 (W)</t>
    </r>
  </si>
  <si>
    <r>
      <rPr>
        <sz val="11"/>
        <color theme="1"/>
        <rFont val="Times New Roman"/>
        <charset val="134"/>
      </rPr>
      <t>09/13/21 (M)</t>
    </r>
  </si>
  <si>
    <r>
      <rPr>
        <sz val="11"/>
        <color theme="1"/>
        <rFont val="Times New Roman"/>
        <charset val="134"/>
      </rPr>
      <t>09/11/21 (S)</t>
    </r>
  </si>
  <si>
    <r>
      <rPr>
        <sz val="11"/>
        <color theme="1"/>
        <rFont val="Times New Roman"/>
        <charset val="134"/>
      </rPr>
      <t>09/08/21 (W)</t>
    </r>
  </si>
  <si>
    <r>
      <rPr>
        <sz val="11"/>
        <color theme="1"/>
        <rFont val="Times New Roman"/>
        <charset val="134"/>
      </rPr>
      <t>09/06/21 (M)</t>
    </r>
  </si>
  <si>
    <r>
      <rPr>
        <sz val="11"/>
        <color theme="1"/>
        <rFont val="Times New Roman"/>
        <charset val="134"/>
      </rPr>
      <t>09/04/21 (S)</t>
    </r>
  </si>
  <si>
    <r>
      <rPr>
        <sz val="11"/>
        <color theme="1"/>
        <rFont val="Times New Roman"/>
        <charset val="134"/>
      </rPr>
      <t>09/01/21 (W)</t>
    </r>
  </si>
  <si>
    <r>
      <rPr>
        <sz val="11"/>
        <color theme="1"/>
        <rFont val="Times New Roman"/>
        <charset val="134"/>
      </rPr>
      <t>08/30/21 (M)</t>
    </r>
  </si>
  <si>
    <r>
      <rPr>
        <sz val="11"/>
        <color theme="1"/>
        <rFont val="Times New Roman"/>
        <charset val="134"/>
      </rPr>
      <t>08/28/21 (S)</t>
    </r>
  </si>
  <si>
    <r>
      <rPr>
        <sz val="11"/>
        <color theme="1"/>
        <rFont val="Times New Roman"/>
        <charset val="134"/>
      </rPr>
      <t>08/25/21 (W)</t>
    </r>
  </si>
  <si>
    <r>
      <rPr>
        <sz val="11"/>
        <color theme="1"/>
        <rFont val="Times New Roman"/>
        <charset val="134"/>
      </rPr>
      <t>08/23/21 (M)</t>
    </r>
  </si>
  <si>
    <r>
      <rPr>
        <sz val="11"/>
        <color theme="1"/>
        <rFont val="Times New Roman"/>
        <charset val="134"/>
      </rPr>
      <t>08/21/21</t>
    </r>
  </si>
  <si>
    <r>
      <rPr>
        <sz val="11"/>
        <color theme="1"/>
        <rFont val="Times New Roman"/>
        <charset val="134"/>
      </rPr>
      <t>08/18/21</t>
    </r>
  </si>
  <si>
    <r>
      <rPr>
        <sz val="11"/>
        <color theme="1"/>
        <rFont val="Times New Roman"/>
        <charset val="134"/>
      </rPr>
      <t>08/14/21</t>
    </r>
  </si>
  <si>
    <r>
      <rPr>
        <sz val="11"/>
        <color theme="1"/>
        <rFont val="Times New Roman"/>
        <charset val="134"/>
      </rPr>
      <t>07/31/21</t>
    </r>
  </si>
  <si>
    <r>
      <rPr>
        <sz val="11"/>
        <color theme="1"/>
        <rFont val="Times New Roman"/>
        <charset val="134"/>
      </rPr>
      <t>07/28/21</t>
    </r>
  </si>
  <si>
    <r>
      <rPr>
        <sz val="11"/>
        <color theme="1"/>
        <rFont val="Times New Roman"/>
        <charset val="134"/>
      </rPr>
      <t>07/24/21</t>
    </r>
  </si>
  <si>
    <r>
      <rPr>
        <sz val="11"/>
        <color theme="1"/>
        <rFont val="Times New Roman"/>
        <charset val="134"/>
      </rPr>
      <t>07/21/21</t>
    </r>
  </si>
  <si>
    <r>
      <rPr>
        <sz val="11"/>
        <color theme="1"/>
        <rFont val="Times New Roman"/>
        <charset val="134"/>
      </rPr>
      <t>07/17/21</t>
    </r>
  </si>
  <si>
    <r>
      <rPr>
        <sz val="11"/>
        <color theme="1"/>
        <rFont val="Times New Roman"/>
        <charset val="134"/>
      </rPr>
      <t>07/14/21</t>
    </r>
  </si>
  <si>
    <r>
      <rPr>
        <sz val="11"/>
        <color theme="1"/>
        <rFont val="Times New Roman"/>
        <charset val="134"/>
      </rPr>
      <t>06/30/21</t>
    </r>
  </si>
  <si>
    <r>
      <rPr>
        <sz val="11"/>
        <color theme="1"/>
        <rFont val="Times New Roman"/>
        <charset val="134"/>
      </rPr>
      <t>06/26/21</t>
    </r>
  </si>
  <si>
    <r>
      <rPr>
        <sz val="11"/>
        <color theme="1"/>
        <rFont val="Times New Roman"/>
        <charset val="134"/>
      </rPr>
      <t>06/23/21</t>
    </r>
  </si>
  <si>
    <r>
      <rPr>
        <sz val="11"/>
        <color theme="1"/>
        <rFont val="Times New Roman"/>
        <charset val="134"/>
      </rPr>
      <t>06/19/21</t>
    </r>
  </si>
  <si>
    <r>
      <rPr>
        <sz val="11"/>
        <color theme="1"/>
        <rFont val="Times New Roman"/>
        <charset val="134"/>
      </rPr>
      <t>06/16/21</t>
    </r>
  </si>
  <si>
    <r>
      <rPr>
        <sz val="11"/>
        <color theme="1"/>
        <rFont val="Times New Roman"/>
        <charset val="134"/>
      </rPr>
      <t>05/29/21</t>
    </r>
  </si>
  <si>
    <r>
      <rPr>
        <sz val="11"/>
        <color theme="1"/>
        <rFont val="Times New Roman"/>
        <charset val="134"/>
      </rPr>
      <t>05/26/21</t>
    </r>
  </si>
  <si>
    <r>
      <rPr>
        <sz val="11"/>
        <color theme="1"/>
        <rFont val="Times New Roman"/>
        <charset val="134"/>
      </rPr>
      <t>05/22/21</t>
    </r>
  </si>
  <si>
    <r>
      <rPr>
        <sz val="11"/>
        <color theme="1"/>
        <rFont val="Times New Roman"/>
        <charset val="134"/>
      </rPr>
      <t>05/19/21</t>
    </r>
  </si>
  <si>
    <r>
      <rPr>
        <sz val="11"/>
        <color theme="1"/>
        <rFont val="Times New Roman"/>
        <charset val="134"/>
      </rPr>
      <t>05/15/21</t>
    </r>
  </si>
  <si>
    <r>
      <rPr>
        <sz val="11"/>
        <color theme="1"/>
        <rFont val="Times New Roman"/>
        <charset val="134"/>
      </rPr>
      <t>04/28/21</t>
    </r>
  </si>
  <si>
    <r>
      <rPr>
        <sz val="11"/>
        <color theme="1"/>
        <rFont val="Times New Roman"/>
        <charset val="134"/>
      </rPr>
      <t>04/24/21</t>
    </r>
  </si>
  <si>
    <r>
      <rPr>
        <sz val="11"/>
        <color theme="1"/>
        <rFont val="Times New Roman"/>
        <charset val="134"/>
      </rPr>
      <t>04/21/21</t>
    </r>
  </si>
  <si>
    <r>
      <rPr>
        <sz val="11"/>
        <color theme="1"/>
        <rFont val="Times New Roman"/>
        <charset val="134"/>
      </rPr>
      <t>04/17/21</t>
    </r>
  </si>
  <si>
    <r>
      <rPr>
        <sz val="11"/>
        <color theme="1"/>
        <rFont val="Times New Roman"/>
        <charset val="134"/>
      </rPr>
      <t>04/14/21</t>
    </r>
  </si>
  <si>
    <r>
      <rPr>
        <sz val="11"/>
        <color theme="1"/>
        <rFont val="Times New Roman"/>
        <charset val="134"/>
      </rPr>
      <t>03/31/21</t>
    </r>
  </si>
  <si>
    <r>
      <rPr>
        <sz val="11"/>
        <color theme="1"/>
        <rFont val="Times New Roman"/>
        <charset val="134"/>
      </rPr>
      <t>03/27/21</t>
    </r>
  </si>
  <si>
    <r>
      <rPr>
        <sz val="11"/>
        <color theme="1"/>
        <rFont val="Times New Roman"/>
        <charset val="134"/>
      </rPr>
      <t>03/24/21</t>
    </r>
  </si>
  <si>
    <r>
      <rPr>
        <sz val="11"/>
        <color theme="1"/>
        <rFont val="Times New Roman"/>
        <charset val="134"/>
      </rPr>
      <t>03/20/21</t>
    </r>
  </si>
  <si>
    <r>
      <rPr>
        <sz val="11"/>
        <color theme="1"/>
        <rFont val="Times New Roman"/>
        <charset val="134"/>
      </rPr>
      <t>03/17/21</t>
    </r>
  </si>
  <si>
    <r>
      <rPr>
        <sz val="11"/>
        <color theme="1"/>
        <rFont val="Times New Roman"/>
        <charset val="134"/>
      </rPr>
      <t>03/13/21</t>
    </r>
  </si>
  <si>
    <r>
      <rPr>
        <sz val="11"/>
        <color theme="1"/>
        <rFont val="Times New Roman"/>
        <charset val="134"/>
      </rPr>
      <t>02/27/21</t>
    </r>
  </si>
  <si>
    <r>
      <rPr>
        <sz val="11"/>
        <color theme="1"/>
        <rFont val="Times New Roman"/>
        <charset val="134"/>
      </rPr>
      <t>02/24/21</t>
    </r>
  </si>
  <si>
    <r>
      <rPr>
        <sz val="11"/>
        <color theme="1"/>
        <rFont val="Times New Roman"/>
        <charset val="134"/>
      </rPr>
      <t>02/20/21</t>
    </r>
  </si>
  <si>
    <r>
      <rPr>
        <sz val="11"/>
        <color theme="1"/>
        <rFont val="Times New Roman"/>
        <charset val="134"/>
      </rPr>
      <t>02/17/21</t>
    </r>
  </si>
  <si>
    <r>
      <rPr>
        <sz val="11"/>
        <color theme="1"/>
        <rFont val="Times New Roman"/>
        <charset val="134"/>
      </rPr>
      <t>02/13/21</t>
    </r>
  </si>
  <si>
    <r>
      <rPr>
        <sz val="11"/>
        <color theme="1"/>
        <rFont val="Times New Roman"/>
        <charset val="134"/>
      </rPr>
      <t>01/30/21</t>
    </r>
  </si>
  <si>
    <r>
      <rPr>
        <sz val="11"/>
        <color theme="1"/>
        <rFont val="Times New Roman"/>
        <charset val="134"/>
      </rPr>
      <t>01/27/21</t>
    </r>
  </si>
  <si>
    <r>
      <rPr>
        <sz val="11"/>
        <color theme="1"/>
        <rFont val="Times New Roman"/>
        <charset val="134"/>
      </rPr>
      <t>01/23/21</t>
    </r>
  </si>
  <si>
    <r>
      <rPr>
        <sz val="11"/>
        <color theme="1"/>
        <rFont val="Times New Roman"/>
        <charset val="134"/>
      </rPr>
      <t>01/20/21</t>
    </r>
  </si>
  <si>
    <r>
      <rPr>
        <sz val="11"/>
        <color theme="1"/>
        <rFont val="Times New Roman"/>
        <charset val="134"/>
      </rPr>
      <t>01/16/21</t>
    </r>
  </si>
  <si>
    <r>
      <rPr>
        <sz val="11"/>
        <color theme="1"/>
        <rFont val="Times New Roman"/>
        <charset val="134"/>
      </rPr>
      <t>01/13/21</t>
    </r>
  </si>
  <si>
    <r>
      <rPr>
        <sz val="11"/>
        <color theme="1"/>
        <rFont val="Times New Roman"/>
        <charset val="134"/>
      </rPr>
      <t>12/30/20</t>
    </r>
  </si>
  <si>
    <r>
      <rPr>
        <sz val="11"/>
        <color theme="1"/>
        <rFont val="Times New Roman"/>
        <charset val="134"/>
      </rPr>
      <t>12/26/20</t>
    </r>
  </si>
  <si>
    <r>
      <rPr>
        <sz val="11"/>
        <color theme="1"/>
        <rFont val="Times New Roman"/>
        <charset val="134"/>
      </rPr>
      <t>12/23/20</t>
    </r>
  </si>
  <si>
    <r>
      <rPr>
        <sz val="11"/>
        <color theme="1"/>
        <rFont val="Times New Roman"/>
        <charset val="134"/>
      </rPr>
      <t>12/19/20</t>
    </r>
  </si>
  <si>
    <r>
      <rPr>
        <sz val="11"/>
        <color theme="1"/>
        <rFont val="Times New Roman"/>
        <charset val="134"/>
      </rPr>
      <t>12/16/20</t>
    </r>
  </si>
  <si>
    <r>
      <rPr>
        <sz val="11"/>
        <color theme="1"/>
        <rFont val="Times New Roman"/>
        <charset val="134"/>
      </rPr>
      <t>11/28/20</t>
    </r>
  </si>
  <si>
    <r>
      <rPr>
        <sz val="11"/>
        <color theme="1"/>
        <rFont val="Times New Roman"/>
        <charset val="134"/>
      </rPr>
      <t>11/25/20</t>
    </r>
  </si>
  <si>
    <r>
      <rPr>
        <sz val="11"/>
        <color theme="1"/>
        <rFont val="Times New Roman"/>
        <charset val="134"/>
      </rPr>
      <t>11/21/20</t>
    </r>
  </si>
  <si>
    <r>
      <rPr>
        <sz val="11"/>
        <color theme="1"/>
        <rFont val="Times New Roman"/>
        <charset val="134"/>
      </rPr>
      <t>11/18/20</t>
    </r>
  </si>
  <si>
    <r>
      <rPr>
        <sz val="11"/>
        <color theme="1"/>
        <rFont val="Times New Roman"/>
        <charset val="134"/>
      </rPr>
      <t>11/14/20</t>
    </r>
  </si>
  <si>
    <r>
      <rPr>
        <sz val="11"/>
        <color theme="1"/>
        <rFont val="Times New Roman"/>
        <charset val="134"/>
      </rPr>
      <t>10/31/20</t>
    </r>
  </si>
  <si>
    <r>
      <rPr>
        <sz val="11"/>
        <color theme="1"/>
        <rFont val="Times New Roman"/>
        <charset val="134"/>
      </rPr>
      <t>10/28/20</t>
    </r>
  </si>
  <si>
    <r>
      <rPr>
        <sz val="11"/>
        <color theme="1"/>
        <rFont val="Times New Roman"/>
        <charset val="134"/>
      </rPr>
      <t>10/24/20</t>
    </r>
  </si>
  <si>
    <r>
      <rPr>
        <sz val="11"/>
        <color theme="1"/>
        <rFont val="Times New Roman"/>
        <charset val="134"/>
      </rPr>
      <t>10/21/20</t>
    </r>
  </si>
  <si>
    <r>
      <rPr>
        <sz val="11"/>
        <color theme="1"/>
        <rFont val="Times New Roman"/>
        <charset val="134"/>
      </rPr>
      <t>10/17/20</t>
    </r>
  </si>
  <si>
    <r>
      <rPr>
        <sz val="11"/>
        <color theme="1"/>
        <rFont val="Times New Roman"/>
        <charset val="134"/>
      </rPr>
      <t>10/14/20</t>
    </r>
  </si>
  <si>
    <r>
      <rPr>
        <sz val="11"/>
        <color theme="1"/>
        <rFont val="Times New Roman"/>
        <charset val="134"/>
      </rPr>
      <t>09/30/20</t>
    </r>
  </si>
  <si>
    <r>
      <rPr>
        <sz val="11"/>
        <color theme="1"/>
        <rFont val="Times New Roman"/>
        <charset val="134"/>
      </rPr>
      <t>09/26/20</t>
    </r>
  </si>
  <si>
    <r>
      <rPr>
        <sz val="11"/>
        <color theme="1"/>
        <rFont val="Times New Roman"/>
        <charset val="134"/>
      </rPr>
      <t>09/23/20</t>
    </r>
  </si>
  <si>
    <r>
      <rPr>
        <sz val="11"/>
        <color theme="1"/>
        <rFont val="Times New Roman"/>
        <charset val="134"/>
      </rPr>
      <t>09/19/20</t>
    </r>
  </si>
  <si>
    <r>
      <rPr>
        <sz val="11"/>
        <color theme="1"/>
        <rFont val="Times New Roman"/>
        <charset val="134"/>
      </rPr>
      <t>09/16/20</t>
    </r>
  </si>
  <si>
    <r>
      <rPr>
        <sz val="11"/>
        <color theme="1"/>
        <rFont val="Times New Roman"/>
        <charset val="134"/>
      </rPr>
      <t>08/29/20</t>
    </r>
  </si>
  <si>
    <r>
      <rPr>
        <sz val="11"/>
        <color theme="1"/>
        <rFont val="Times New Roman"/>
        <charset val="134"/>
      </rPr>
      <t>08/26/20</t>
    </r>
  </si>
  <si>
    <r>
      <rPr>
        <sz val="11"/>
        <color theme="1"/>
        <rFont val="Times New Roman"/>
        <charset val="134"/>
      </rPr>
      <t>08/22/20</t>
    </r>
  </si>
  <si>
    <r>
      <rPr>
        <sz val="11"/>
        <color theme="1"/>
        <rFont val="Times New Roman"/>
        <charset val="134"/>
      </rPr>
      <t>08/19/20</t>
    </r>
  </si>
  <si>
    <r>
      <rPr>
        <sz val="11"/>
        <color theme="1"/>
        <rFont val="Times New Roman"/>
        <charset val="134"/>
      </rPr>
      <t>08/15/20</t>
    </r>
  </si>
  <si>
    <r>
      <rPr>
        <sz val="11"/>
        <color theme="1"/>
        <rFont val="Times New Roman"/>
        <charset val="134"/>
      </rPr>
      <t>07/29/20</t>
    </r>
  </si>
  <si>
    <r>
      <rPr>
        <sz val="11"/>
        <color theme="1"/>
        <rFont val="Times New Roman"/>
        <charset val="134"/>
      </rPr>
      <t>07/25/20</t>
    </r>
  </si>
  <si>
    <r>
      <rPr>
        <sz val="11"/>
        <color theme="1"/>
        <rFont val="Times New Roman"/>
        <charset val="134"/>
      </rPr>
      <t>07/22/20</t>
    </r>
  </si>
  <si>
    <r>
      <rPr>
        <sz val="11"/>
        <color theme="1"/>
        <rFont val="Times New Roman"/>
        <charset val="134"/>
      </rPr>
      <t>07/18/20</t>
    </r>
  </si>
  <si>
    <r>
      <rPr>
        <sz val="11"/>
        <color theme="1"/>
        <rFont val="Times New Roman"/>
        <charset val="134"/>
      </rPr>
      <t>07/15/20</t>
    </r>
  </si>
  <si>
    <r>
      <rPr>
        <sz val="11"/>
        <color theme="1"/>
        <rFont val="Times New Roman"/>
        <charset val="134"/>
      </rPr>
      <t>06/27/20</t>
    </r>
  </si>
  <si>
    <r>
      <rPr>
        <sz val="11"/>
        <color theme="1"/>
        <rFont val="Times New Roman"/>
        <charset val="134"/>
      </rPr>
      <t>06/24/20</t>
    </r>
  </si>
  <si>
    <r>
      <rPr>
        <sz val="11"/>
        <color theme="1"/>
        <rFont val="Times New Roman"/>
        <charset val="134"/>
      </rPr>
      <t>06/20/20</t>
    </r>
  </si>
  <si>
    <r>
      <rPr>
        <sz val="11"/>
        <color theme="1"/>
        <rFont val="Times New Roman"/>
        <charset val="134"/>
      </rPr>
      <t>06/17/20</t>
    </r>
  </si>
  <si>
    <r>
      <rPr>
        <sz val="11"/>
        <color theme="1"/>
        <rFont val="Times New Roman"/>
        <charset val="134"/>
      </rPr>
      <t>06/13/20</t>
    </r>
  </si>
  <si>
    <r>
      <rPr>
        <sz val="11"/>
        <color theme="1"/>
        <rFont val="Times New Roman"/>
        <charset val="134"/>
      </rPr>
      <t>05/30/20</t>
    </r>
  </si>
  <si>
    <r>
      <rPr>
        <sz val="11"/>
        <color theme="1"/>
        <rFont val="Times New Roman"/>
        <charset val="134"/>
      </rPr>
      <t>05/27/20</t>
    </r>
  </si>
  <si>
    <r>
      <rPr>
        <sz val="11"/>
        <color theme="1"/>
        <rFont val="Times New Roman"/>
        <charset val="134"/>
      </rPr>
      <t>05/23/20</t>
    </r>
  </si>
  <si>
    <r>
      <rPr>
        <sz val="11"/>
        <color theme="1"/>
        <rFont val="Times New Roman"/>
        <charset val="134"/>
      </rPr>
      <t>05/20/20</t>
    </r>
  </si>
  <si>
    <r>
      <rPr>
        <sz val="11"/>
        <color theme="1"/>
        <rFont val="Times New Roman"/>
        <charset val="134"/>
      </rPr>
      <t>05/16/20</t>
    </r>
  </si>
  <si>
    <r>
      <rPr>
        <sz val="11"/>
        <color theme="1"/>
        <rFont val="Times New Roman"/>
        <charset val="134"/>
      </rPr>
      <t>05/13/20</t>
    </r>
  </si>
  <si>
    <r>
      <rPr>
        <sz val="11"/>
        <color theme="1"/>
        <rFont val="Times New Roman"/>
        <charset val="134"/>
      </rPr>
      <t>04/29/20</t>
    </r>
  </si>
  <si>
    <r>
      <rPr>
        <sz val="11"/>
        <color theme="1"/>
        <rFont val="Times New Roman"/>
        <charset val="134"/>
      </rPr>
      <t>04/25/20</t>
    </r>
  </si>
  <si>
    <r>
      <rPr>
        <sz val="11"/>
        <color theme="1"/>
        <rFont val="Times New Roman"/>
        <charset val="134"/>
      </rPr>
      <t>04/22/20</t>
    </r>
  </si>
  <si>
    <r>
      <rPr>
        <sz val="11"/>
        <color theme="1"/>
        <rFont val="Times New Roman"/>
        <charset val="134"/>
      </rPr>
      <t>04/18/20</t>
    </r>
  </si>
  <si>
    <r>
      <rPr>
        <sz val="11"/>
        <color theme="1"/>
        <rFont val="Times New Roman"/>
        <charset val="134"/>
      </rPr>
      <t>04/15/20</t>
    </r>
  </si>
  <si>
    <r>
      <rPr>
        <sz val="11"/>
        <color theme="1"/>
        <rFont val="Times New Roman"/>
        <charset val="134"/>
      </rPr>
      <t>03/28/20</t>
    </r>
  </si>
  <si>
    <r>
      <rPr>
        <sz val="11"/>
        <color theme="1"/>
        <rFont val="Times New Roman"/>
        <charset val="134"/>
      </rPr>
      <t>03/25/20</t>
    </r>
  </si>
  <si>
    <r>
      <rPr>
        <sz val="11"/>
        <color theme="1"/>
        <rFont val="Times New Roman"/>
        <charset val="134"/>
      </rPr>
      <t>03/21/20</t>
    </r>
  </si>
  <si>
    <r>
      <rPr>
        <sz val="11"/>
        <color theme="1"/>
        <rFont val="Times New Roman"/>
        <charset val="134"/>
      </rPr>
      <t>03/18/20</t>
    </r>
  </si>
  <si>
    <r>
      <rPr>
        <sz val="11"/>
        <color theme="1"/>
        <rFont val="Times New Roman"/>
        <charset val="134"/>
      </rPr>
      <t>03/14/20</t>
    </r>
  </si>
  <si>
    <r>
      <rPr>
        <sz val="11"/>
        <color theme="1"/>
        <rFont val="Times New Roman"/>
        <charset val="134"/>
      </rPr>
      <t>02/29/20</t>
    </r>
  </si>
  <si>
    <r>
      <rPr>
        <sz val="11"/>
        <color theme="1"/>
        <rFont val="Times New Roman"/>
        <charset val="134"/>
      </rPr>
      <t>02/26/20</t>
    </r>
  </si>
  <si>
    <r>
      <rPr>
        <sz val="11"/>
        <color theme="1"/>
        <rFont val="Times New Roman"/>
        <charset val="134"/>
      </rPr>
      <t>02/22/20</t>
    </r>
  </si>
  <si>
    <r>
      <rPr>
        <sz val="11"/>
        <color theme="1"/>
        <rFont val="Times New Roman"/>
        <charset val="134"/>
      </rPr>
      <t>02/19/20</t>
    </r>
  </si>
  <si>
    <r>
      <rPr>
        <sz val="11"/>
        <color theme="1"/>
        <rFont val="Times New Roman"/>
        <charset val="134"/>
      </rPr>
      <t>02/15/20</t>
    </r>
  </si>
  <si>
    <r>
      <rPr>
        <sz val="11"/>
        <color theme="1"/>
        <rFont val="Times New Roman"/>
        <charset val="134"/>
      </rPr>
      <t>01/29/20</t>
    </r>
  </si>
  <si>
    <r>
      <rPr>
        <sz val="11"/>
        <color theme="1"/>
        <rFont val="Times New Roman"/>
        <charset val="134"/>
      </rPr>
      <t>01/25/20</t>
    </r>
  </si>
  <si>
    <r>
      <rPr>
        <sz val="11"/>
        <color theme="1"/>
        <rFont val="Times New Roman"/>
        <charset val="134"/>
      </rPr>
      <t>01/22/20</t>
    </r>
  </si>
  <si>
    <r>
      <rPr>
        <sz val="11"/>
        <color theme="1"/>
        <rFont val="Times New Roman"/>
        <charset val="134"/>
      </rPr>
      <t>01/18/20</t>
    </r>
  </si>
  <si>
    <r>
      <rPr>
        <sz val="11"/>
        <color theme="1"/>
        <rFont val="Times New Roman"/>
        <charset val="134"/>
      </rPr>
      <t>01/15/20</t>
    </r>
  </si>
  <si>
    <r>
      <rPr>
        <sz val="11"/>
        <color theme="1"/>
        <rFont val="Times New Roman"/>
        <charset val="134"/>
      </rPr>
      <t>12/28/19</t>
    </r>
  </si>
  <si>
    <r>
      <rPr>
        <sz val="11"/>
        <color theme="1"/>
        <rFont val="Times New Roman"/>
        <charset val="134"/>
      </rPr>
      <t>12/25/19</t>
    </r>
  </si>
  <si>
    <r>
      <rPr>
        <sz val="11"/>
        <color theme="1"/>
        <rFont val="Times New Roman"/>
        <charset val="134"/>
      </rPr>
      <t>12/21/19</t>
    </r>
  </si>
  <si>
    <r>
      <rPr>
        <sz val="11"/>
        <color theme="1"/>
        <rFont val="Times New Roman"/>
        <charset val="134"/>
      </rPr>
      <t>12/18/19</t>
    </r>
  </si>
  <si>
    <r>
      <rPr>
        <sz val="11"/>
        <color theme="1"/>
        <rFont val="Times New Roman"/>
        <charset val="134"/>
      </rPr>
      <t>12/14/19</t>
    </r>
  </si>
  <si>
    <r>
      <rPr>
        <sz val="11"/>
        <color theme="1"/>
        <rFont val="Times New Roman"/>
        <charset val="134"/>
      </rPr>
      <t>11/30/19</t>
    </r>
  </si>
  <si>
    <r>
      <rPr>
        <sz val="11"/>
        <color theme="1"/>
        <rFont val="Times New Roman"/>
        <charset val="134"/>
      </rPr>
      <t>11/27/19</t>
    </r>
  </si>
  <si>
    <r>
      <rPr>
        <sz val="11"/>
        <color theme="1"/>
        <rFont val="Times New Roman"/>
        <charset val="134"/>
      </rPr>
      <t>11/23/19</t>
    </r>
  </si>
  <si>
    <r>
      <rPr>
        <sz val="11"/>
        <color theme="1"/>
        <rFont val="Times New Roman"/>
        <charset val="134"/>
      </rPr>
      <t>11/20/19</t>
    </r>
  </si>
  <si>
    <r>
      <rPr>
        <sz val="11"/>
        <color theme="1"/>
        <rFont val="Times New Roman"/>
        <charset val="134"/>
      </rPr>
      <t>11/16/19</t>
    </r>
  </si>
  <si>
    <r>
      <rPr>
        <sz val="11"/>
        <color theme="1"/>
        <rFont val="Times New Roman"/>
        <charset val="134"/>
      </rPr>
      <t>11/13/19</t>
    </r>
  </si>
  <si>
    <r>
      <rPr>
        <sz val="11"/>
        <color theme="1"/>
        <rFont val="Times New Roman"/>
        <charset val="134"/>
      </rPr>
      <t>10/30/19</t>
    </r>
  </si>
  <si>
    <r>
      <rPr>
        <sz val="11"/>
        <color theme="1"/>
        <rFont val="Times New Roman"/>
        <charset val="134"/>
      </rPr>
      <t>10/26/19</t>
    </r>
  </si>
  <si>
    <r>
      <rPr>
        <sz val="11"/>
        <color theme="1"/>
        <rFont val="Times New Roman"/>
        <charset val="134"/>
      </rPr>
      <t>10/23/19</t>
    </r>
  </si>
  <si>
    <r>
      <rPr>
        <sz val="11"/>
        <color theme="1"/>
        <rFont val="Times New Roman"/>
        <charset val="134"/>
      </rPr>
      <t>10/19/19</t>
    </r>
  </si>
  <si>
    <r>
      <rPr>
        <sz val="11"/>
        <color theme="1"/>
        <rFont val="Times New Roman"/>
        <charset val="134"/>
      </rPr>
      <t>10/16/19</t>
    </r>
  </si>
  <si>
    <r>
      <rPr>
        <sz val="11"/>
        <color theme="1"/>
        <rFont val="Times New Roman"/>
        <charset val="134"/>
      </rPr>
      <t>09/28/19</t>
    </r>
  </si>
  <si>
    <r>
      <rPr>
        <sz val="11"/>
        <color theme="1"/>
        <rFont val="Times New Roman"/>
        <charset val="134"/>
      </rPr>
      <t>09/25/19</t>
    </r>
  </si>
  <si>
    <r>
      <rPr>
        <sz val="11"/>
        <color theme="1"/>
        <rFont val="Times New Roman"/>
        <charset val="134"/>
      </rPr>
      <t>09/21/19</t>
    </r>
  </si>
  <si>
    <r>
      <rPr>
        <sz val="11"/>
        <color theme="1"/>
        <rFont val="Times New Roman"/>
        <charset val="134"/>
      </rPr>
      <t>09/18/19</t>
    </r>
  </si>
  <si>
    <r>
      <rPr>
        <sz val="11"/>
        <color theme="1"/>
        <rFont val="Times New Roman"/>
        <charset val="134"/>
      </rPr>
      <t>09/14/19</t>
    </r>
  </si>
  <si>
    <r>
      <rPr>
        <sz val="11"/>
        <color theme="1"/>
        <rFont val="Times New Roman"/>
        <charset val="134"/>
      </rPr>
      <t>08/31/19</t>
    </r>
  </si>
  <si>
    <r>
      <rPr>
        <sz val="11"/>
        <color theme="1"/>
        <rFont val="Times New Roman"/>
        <charset val="134"/>
      </rPr>
      <t>08/28/19</t>
    </r>
  </si>
  <si>
    <r>
      <rPr>
        <sz val="11"/>
        <color theme="1"/>
        <rFont val="Times New Roman"/>
        <charset val="134"/>
      </rPr>
      <t>08/24/19</t>
    </r>
  </si>
  <si>
    <r>
      <rPr>
        <sz val="11"/>
        <color theme="1"/>
        <rFont val="Times New Roman"/>
        <charset val="134"/>
      </rPr>
      <t>08/21/19</t>
    </r>
  </si>
  <si>
    <r>
      <rPr>
        <sz val="11"/>
        <color theme="1"/>
        <rFont val="Times New Roman"/>
        <charset val="134"/>
      </rPr>
      <t>08/17/19</t>
    </r>
  </si>
  <si>
    <r>
      <rPr>
        <sz val="11"/>
        <color theme="1"/>
        <rFont val="Times New Roman"/>
        <charset val="134"/>
      </rPr>
      <t>08/14/19</t>
    </r>
  </si>
  <si>
    <r>
      <rPr>
        <sz val="11"/>
        <color theme="1"/>
        <rFont val="Times New Roman"/>
        <charset val="134"/>
      </rPr>
      <t>07/31/19</t>
    </r>
  </si>
  <si>
    <r>
      <rPr>
        <sz val="11"/>
        <color theme="1"/>
        <rFont val="Times New Roman"/>
        <charset val="134"/>
      </rPr>
      <t>07/27/19</t>
    </r>
  </si>
  <si>
    <r>
      <rPr>
        <sz val="11"/>
        <color theme="1"/>
        <rFont val="Times New Roman"/>
        <charset val="134"/>
      </rPr>
      <t>07/24/19</t>
    </r>
  </si>
  <si>
    <r>
      <rPr>
        <sz val="11"/>
        <color theme="1"/>
        <rFont val="Times New Roman"/>
        <charset val="134"/>
      </rPr>
      <t>07/20/19</t>
    </r>
  </si>
  <si>
    <r>
      <rPr>
        <sz val="11"/>
        <color theme="1"/>
        <rFont val="Times New Roman"/>
        <charset val="134"/>
      </rPr>
      <t>07/17/19</t>
    </r>
  </si>
  <si>
    <r>
      <rPr>
        <sz val="11"/>
        <color theme="1"/>
        <rFont val="Times New Roman"/>
        <charset val="134"/>
      </rPr>
      <t>07/13/19</t>
    </r>
  </si>
  <si>
    <r>
      <rPr>
        <sz val="11"/>
        <color theme="1"/>
        <rFont val="Times New Roman"/>
        <charset val="134"/>
      </rPr>
      <t>06/29/19</t>
    </r>
  </si>
  <si>
    <r>
      <rPr>
        <sz val="11"/>
        <color theme="1"/>
        <rFont val="Times New Roman"/>
        <charset val="134"/>
      </rPr>
      <t>06/26/19</t>
    </r>
  </si>
  <si>
    <r>
      <rPr>
        <sz val="11"/>
        <color theme="1"/>
        <rFont val="Times New Roman"/>
        <charset val="134"/>
      </rPr>
      <t>06/22/19</t>
    </r>
  </si>
  <si>
    <r>
      <rPr>
        <sz val="11"/>
        <color theme="1"/>
        <rFont val="Times New Roman"/>
        <charset val="134"/>
      </rPr>
      <t>06/19/19</t>
    </r>
  </si>
  <si>
    <r>
      <rPr>
        <sz val="11"/>
        <color theme="1"/>
        <rFont val="Times New Roman"/>
        <charset val="134"/>
      </rPr>
      <t>06/15/19</t>
    </r>
  </si>
  <si>
    <r>
      <rPr>
        <sz val="11"/>
        <color theme="1"/>
        <rFont val="Times New Roman"/>
        <charset val="134"/>
      </rPr>
      <t>05/29/19</t>
    </r>
  </si>
  <si>
    <r>
      <rPr>
        <sz val="11"/>
        <color theme="1"/>
        <rFont val="Times New Roman"/>
        <charset val="134"/>
      </rPr>
      <t>05/25/19</t>
    </r>
  </si>
  <si>
    <r>
      <rPr>
        <sz val="11"/>
        <color theme="1"/>
        <rFont val="Times New Roman"/>
        <charset val="134"/>
      </rPr>
      <t>05/22/19</t>
    </r>
  </si>
  <si>
    <r>
      <rPr>
        <sz val="11"/>
        <color theme="1"/>
        <rFont val="Times New Roman"/>
        <charset val="134"/>
      </rPr>
      <t>05/18/19</t>
    </r>
  </si>
  <si>
    <r>
      <rPr>
        <sz val="11"/>
        <color theme="1"/>
        <rFont val="Times New Roman"/>
        <charset val="134"/>
      </rPr>
      <t>05/15/19</t>
    </r>
  </si>
  <si>
    <r>
      <rPr>
        <sz val="11"/>
        <color theme="1"/>
        <rFont val="Times New Roman"/>
        <charset val="134"/>
      </rPr>
      <t>04/27/19</t>
    </r>
  </si>
  <si>
    <r>
      <rPr>
        <sz val="11"/>
        <color theme="1"/>
        <rFont val="Times New Roman"/>
        <charset val="134"/>
      </rPr>
      <t>04/24/19</t>
    </r>
  </si>
  <si>
    <r>
      <rPr>
        <sz val="11"/>
        <color theme="1"/>
        <rFont val="Times New Roman"/>
        <charset val="134"/>
      </rPr>
      <t>04/20/19</t>
    </r>
  </si>
  <si>
    <r>
      <rPr>
        <sz val="11"/>
        <color theme="1"/>
        <rFont val="Times New Roman"/>
        <charset val="134"/>
      </rPr>
      <t>04/17/19</t>
    </r>
  </si>
  <si>
    <r>
      <rPr>
        <sz val="11"/>
        <color theme="1"/>
        <rFont val="Times New Roman"/>
        <charset val="134"/>
      </rPr>
      <t>04/13/19</t>
    </r>
  </si>
  <si>
    <r>
      <rPr>
        <sz val="11"/>
        <color theme="1"/>
        <rFont val="Times New Roman"/>
        <charset val="134"/>
      </rPr>
      <t>03/30/19</t>
    </r>
  </si>
  <si>
    <r>
      <rPr>
        <sz val="11"/>
        <color theme="1"/>
        <rFont val="Times New Roman"/>
        <charset val="134"/>
      </rPr>
      <t>03/27/19</t>
    </r>
  </si>
  <si>
    <r>
      <rPr>
        <sz val="11"/>
        <color theme="1"/>
        <rFont val="Times New Roman"/>
        <charset val="134"/>
      </rPr>
      <t>03/23/19</t>
    </r>
  </si>
  <si>
    <r>
      <rPr>
        <sz val="11"/>
        <color theme="1"/>
        <rFont val="Times New Roman"/>
        <charset val="134"/>
      </rPr>
      <t>03/20/19</t>
    </r>
  </si>
  <si>
    <r>
      <rPr>
        <sz val="11"/>
        <color theme="1"/>
        <rFont val="Times New Roman"/>
        <charset val="134"/>
      </rPr>
      <t>03/16/19</t>
    </r>
  </si>
  <si>
    <r>
      <rPr>
        <sz val="11"/>
        <color theme="1"/>
        <rFont val="Times New Roman"/>
        <charset val="134"/>
      </rPr>
      <t>03/13/19</t>
    </r>
  </si>
  <si>
    <r>
      <rPr>
        <sz val="11"/>
        <color theme="1"/>
        <rFont val="Times New Roman"/>
        <charset val="134"/>
      </rPr>
      <t>02/27/19</t>
    </r>
  </si>
  <si>
    <r>
      <rPr>
        <sz val="11"/>
        <color theme="1"/>
        <rFont val="Times New Roman"/>
        <charset val="134"/>
      </rPr>
      <t>02/23/19</t>
    </r>
  </si>
  <si>
    <r>
      <rPr>
        <sz val="11"/>
        <color theme="1"/>
        <rFont val="Times New Roman"/>
        <charset val="134"/>
      </rPr>
      <t>02/20/19</t>
    </r>
  </si>
  <si>
    <r>
      <rPr>
        <sz val="11"/>
        <color theme="1"/>
        <rFont val="Times New Roman"/>
        <charset val="134"/>
      </rPr>
      <t>02/16/19</t>
    </r>
  </si>
  <si>
    <r>
      <rPr>
        <sz val="11"/>
        <color theme="1"/>
        <rFont val="Times New Roman"/>
        <charset val="134"/>
      </rPr>
      <t>02/13/19</t>
    </r>
  </si>
  <si>
    <r>
      <rPr>
        <sz val="11"/>
        <color theme="1"/>
        <rFont val="Times New Roman"/>
        <charset val="134"/>
      </rPr>
      <t>01/30/19</t>
    </r>
  </si>
  <si>
    <r>
      <rPr>
        <sz val="11"/>
        <color theme="1"/>
        <rFont val="Times New Roman"/>
        <charset val="134"/>
      </rPr>
      <t>01/26/19</t>
    </r>
  </si>
  <si>
    <r>
      <rPr>
        <sz val="11"/>
        <color theme="1"/>
        <rFont val="Times New Roman"/>
        <charset val="134"/>
      </rPr>
      <t>01/23/19</t>
    </r>
  </si>
  <si>
    <r>
      <rPr>
        <sz val="11"/>
        <color theme="1"/>
        <rFont val="Times New Roman"/>
        <charset val="134"/>
      </rPr>
      <t>01/19/19</t>
    </r>
  </si>
  <si>
    <r>
      <rPr>
        <sz val="11"/>
        <color theme="1"/>
        <rFont val="Times New Roman"/>
        <charset val="134"/>
      </rPr>
      <t>01/16/19</t>
    </r>
  </si>
  <si>
    <r>
      <rPr>
        <sz val="11"/>
        <color theme="1"/>
        <rFont val="Times New Roman"/>
        <charset val="134"/>
      </rPr>
      <t>12/29/18</t>
    </r>
  </si>
  <si>
    <r>
      <rPr>
        <sz val="11"/>
        <color theme="1"/>
        <rFont val="Times New Roman"/>
        <charset val="134"/>
      </rPr>
      <t>12/26/18</t>
    </r>
  </si>
  <si>
    <r>
      <rPr>
        <sz val="11"/>
        <color theme="1"/>
        <rFont val="Times New Roman"/>
        <charset val="134"/>
      </rPr>
      <t>12/22/18</t>
    </r>
  </si>
  <si>
    <r>
      <rPr>
        <sz val="11"/>
        <color theme="1"/>
        <rFont val="Times New Roman"/>
        <charset val="134"/>
      </rPr>
      <t>12/19/18</t>
    </r>
  </si>
  <si>
    <r>
      <rPr>
        <sz val="11"/>
        <color theme="1"/>
        <rFont val="Times New Roman"/>
        <charset val="134"/>
      </rPr>
      <t>12/15/18</t>
    </r>
  </si>
  <si>
    <r>
      <rPr>
        <sz val="11"/>
        <color theme="1"/>
        <rFont val="Times New Roman"/>
        <charset val="134"/>
      </rPr>
      <t>11/28/18</t>
    </r>
  </si>
  <si>
    <r>
      <rPr>
        <sz val="11"/>
        <color theme="1"/>
        <rFont val="Times New Roman"/>
        <charset val="134"/>
      </rPr>
      <t>11/24/18</t>
    </r>
  </si>
  <si>
    <r>
      <rPr>
        <sz val="11"/>
        <color theme="1"/>
        <rFont val="Times New Roman"/>
        <charset val="134"/>
      </rPr>
      <t>11/21/18</t>
    </r>
  </si>
  <si>
    <r>
      <rPr>
        <sz val="11"/>
        <color theme="1"/>
        <rFont val="Times New Roman"/>
        <charset val="134"/>
      </rPr>
      <t>11/17/18</t>
    </r>
  </si>
  <si>
    <r>
      <rPr>
        <sz val="11"/>
        <color theme="1"/>
        <rFont val="Times New Roman"/>
        <charset val="134"/>
      </rPr>
      <t>11/14/18</t>
    </r>
  </si>
  <si>
    <r>
      <rPr>
        <sz val="11"/>
        <color theme="1"/>
        <rFont val="Times New Roman"/>
        <charset val="134"/>
      </rPr>
      <t>10/31/18</t>
    </r>
  </si>
  <si>
    <r>
      <rPr>
        <sz val="11"/>
        <color theme="1"/>
        <rFont val="Times New Roman"/>
        <charset val="134"/>
      </rPr>
      <t>10/27/18</t>
    </r>
  </si>
  <si>
    <r>
      <rPr>
        <sz val="11"/>
        <color theme="1"/>
        <rFont val="Times New Roman"/>
        <charset val="134"/>
      </rPr>
      <t>10/24/18</t>
    </r>
  </si>
  <si>
    <r>
      <rPr>
        <sz val="11"/>
        <color theme="1"/>
        <rFont val="Times New Roman"/>
        <charset val="134"/>
      </rPr>
      <t>10/20/18</t>
    </r>
  </si>
  <si>
    <r>
      <rPr>
        <sz val="11"/>
        <color theme="1"/>
        <rFont val="Times New Roman"/>
        <charset val="134"/>
      </rPr>
      <t>10/17/18</t>
    </r>
  </si>
  <si>
    <r>
      <rPr>
        <sz val="11"/>
        <color theme="1"/>
        <rFont val="Times New Roman"/>
        <charset val="134"/>
      </rPr>
      <t>10/13/18</t>
    </r>
  </si>
  <si>
    <r>
      <rPr>
        <sz val="11"/>
        <color theme="1"/>
        <rFont val="Times New Roman"/>
        <charset val="134"/>
      </rPr>
      <t>09/29/18</t>
    </r>
  </si>
  <si>
    <r>
      <rPr>
        <sz val="11"/>
        <color theme="1"/>
        <rFont val="Times New Roman"/>
        <charset val="134"/>
      </rPr>
      <t>09/26/18</t>
    </r>
  </si>
  <si>
    <r>
      <rPr>
        <sz val="11"/>
        <color theme="1"/>
        <rFont val="Times New Roman"/>
        <charset val="134"/>
      </rPr>
      <t>09/22/18</t>
    </r>
  </si>
  <si>
    <r>
      <rPr>
        <sz val="11"/>
        <color theme="1"/>
        <rFont val="Times New Roman"/>
        <charset val="134"/>
      </rPr>
      <t>09/19/18</t>
    </r>
  </si>
  <si>
    <r>
      <rPr>
        <sz val="11"/>
        <color theme="1"/>
        <rFont val="Times New Roman"/>
        <charset val="134"/>
      </rPr>
      <t>09/15/18</t>
    </r>
  </si>
  <si>
    <r>
      <rPr>
        <sz val="11"/>
        <color theme="1"/>
        <rFont val="Times New Roman"/>
        <charset val="134"/>
      </rPr>
      <t>08/29/18</t>
    </r>
  </si>
  <si>
    <r>
      <rPr>
        <sz val="11"/>
        <color theme="1"/>
        <rFont val="Times New Roman"/>
        <charset val="134"/>
      </rPr>
      <t>08/25/18</t>
    </r>
  </si>
  <si>
    <r>
      <rPr>
        <sz val="11"/>
        <color theme="1"/>
        <rFont val="Times New Roman"/>
        <charset val="134"/>
      </rPr>
      <t>08/22/18</t>
    </r>
  </si>
  <si>
    <r>
      <rPr>
        <sz val="11"/>
        <color theme="1"/>
        <rFont val="Times New Roman"/>
        <charset val="134"/>
      </rPr>
      <t>08/18/18</t>
    </r>
  </si>
  <si>
    <r>
      <rPr>
        <sz val="11"/>
        <color theme="1"/>
        <rFont val="Times New Roman"/>
        <charset val="134"/>
      </rPr>
      <t>08/15/18</t>
    </r>
  </si>
  <si>
    <r>
      <rPr>
        <sz val="11"/>
        <color theme="1"/>
        <rFont val="Times New Roman"/>
        <charset val="134"/>
      </rPr>
      <t>07/28/18</t>
    </r>
  </si>
  <si>
    <r>
      <rPr>
        <sz val="11"/>
        <color theme="1"/>
        <rFont val="Times New Roman"/>
        <charset val="134"/>
      </rPr>
      <t>07/25/18</t>
    </r>
  </si>
  <si>
    <r>
      <rPr>
        <sz val="11"/>
        <color theme="1"/>
        <rFont val="Times New Roman"/>
        <charset val="134"/>
      </rPr>
      <t>07/21/18</t>
    </r>
  </si>
  <si>
    <r>
      <rPr>
        <sz val="11"/>
        <color theme="1"/>
        <rFont val="Times New Roman"/>
        <charset val="134"/>
      </rPr>
      <t>07/18/18</t>
    </r>
  </si>
  <si>
    <r>
      <rPr>
        <sz val="11"/>
        <color theme="1"/>
        <rFont val="Times New Roman"/>
        <charset val="134"/>
      </rPr>
      <t>07/14/18</t>
    </r>
  </si>
  <si>
    <r>
      <rPr>
        <sz val="11"/>
        <color theme="1"/>
        <rFont val="Times New Roman"/>
        <charset val="134"/>
      </rPr>
      <t>06/30/18</t>
    </r>
  </si>
  <si>
    <r>
      <rPr>
        <sz val="11"/>
        <color theme="1"/>
        <rFont val="Times New Roman"/>
        <charset val="134"/>
      </rPr>
      <t>06/27/18</t>
    </r>
  </si>
  <si>
    <r>
      <rPr>
        <sz val="11"/>
        <color theme="1"/>
        <rFont val="Times New Roman"/>
        <charset val="134"/>
      </rPr>
      <t>06/23/18</t>
    </r>
  </si>
  <si>
    <r>
      <rPr>
        <sz val="11"/>
        <color theme="1"/>
        <rFont val="Times New Roman"/>
        <charset val="134"/>
      </rPr>
      <t>06/20/18</t>
    </r>
  </si>
  <si>
    <r>
      <rPr>
        <sz val="11"/>
        <color theme="1"/>
        <rFont val="Times New Roman"/>
        <charset val="134"/>
      </rPr>
      <t>06/16/18</t>
    </r>
  </si>
  <si>
    <r>
      <rPr>
        <sz val="11"/>
        <color theme="1"/>
        <rFont val="Times New Roman"/>
        <charset val="134"/>
      </rPr>
      <t>06/13/18</t>
    </r>
  </si>
  <si>
    <r>
      <rPr>
        <sz val="11"/>
        <color theme="1"/>
        <rFont val="Times New Roman"/>
        <charset val="134"/>
      </rPr>
      <t>05/30/18</t>
    </r>
  </si>
  <si>
    <r>
      <rPr>
        <sz val="11"/>
        <color theme="1"/>
        <rFont val="Times New Roman"/>
        <charset val="134"/>
      </rPr>
      <t>05/26/18</t>
    </r>
  </si>
  <si>
    <r>
      <rPr>
        <sz val="11"/>
        <color theme="1"/>
        <rFont val="Times New Roman"/>
        <charset val="134"/>
      </rPr>
      <t>05/23/18</t>
    </r>
  </si>
  <si>
    <r>
      <rPr>
        <sz val="11"/>
        <color theme="1"/>
        <rFont val="Times New Roman"/>
        <charset val="134"/>
      </rPr>
      <t>05/19/18</t>
    </r>
  </si>
  <si>
    <r>
      <rPr>
        <sz val="11"/>
        <color theme="1"/>
        <rFont val="Times New Roman"/>
        <charset val="134"/>
      </rPr>
      <t>05/16/18</t>
    </r>
  </si>
  <si>
    <r>
      <rPr>
        <sz val="11"/>
        <color theme="1"/>
        <rFont val="Times New Roman"/>
        <charset val="134"/>
      </rPr>
      <t>04/28/18</t>
    </r>
  </si>
  <si>
    <r>
      <rPr>
        <sz val="11"/>
        <color theme="1"/>
        <rFont val="Times New Roman"/>
        <charset val="134"/>
      </rPr>
      <t>04/25/18</t>
    </r>
  </si>
  <si>
    <r>
      <rPr>
        <sz val="11"/>
        <color theme="1"/>
        <rFont val="Times New Roman"/>
        <charset val="134"/>
      </rPr>
      <t>04/21/18</t>
    </r>
  </si>
  <si>
    <r>
      <rPr>
        <sz val="11"/>
        <color theme="1"/>
        <rFont val="Times New Roman"/>
        <charset val="134"/>
      </rPr>
      <t>04/18/18</t>
    </r>
  </si>
  <si>
    <r>
      <rPr>
        <sz val="11"/>
        <color theme="1"/>
        <rFont val="Times New Roman"/>
        <charset val="134"/>
      </rPr>
      <t>04/14/18</t>
    </r>
  </si>
  <si>
    <r>
      <rPr>
        <sz val="11"/>
        <color theme="1"/>
        <rFont val="Times New Roman"/>
        <charset val="134"/>
      </rPr>
      <t>03/31/18</t>
    </r>
  </si>
  <si>
    <r>
      <rPr>
        <sz val="11"/>
        <color theme="1"/>
        <rFont val="Times New Roman"/>
        <charset val="134"/>
      </rPr>
      <t>03/28/18</t>
    </r>
  </si>
  <si>
    <r>
      <rPr>
        <sz val="11"/>
        <color theme="1"/>
        <rFont val="Times New Roman"/>
        <charset val="134"/>
      </rPr>
      <t>03/24/18</t>
    </r>
  </si>
  <si>
    <r>
      <rPr>
        <sz val="11"/>
        <color theme="1"/>
        <rFont val="Times New Roman"/>
        <charset val="134"/>
      </rPr>
      <t>03/21/18</t>
    </r>
  </si>
  <si>
    <r>
      <rPr>
        <sz val="11"/>
        <color theme="1"/>
        <rFont val="Times New Roman"/>
        <charset val="134"/>
      </rPr>
      <t>03/17/18</t>
    </r>
  </si>
  <si>
    <r>
      <rPr>
        <sz val="11"/>
        <color theme="1"/>
        <rFont val="Times New Roman"/>
        <charset val="134"/>
      </rPr>
      <t>03/14/18</t>
    </r>
  </si>
  <si>
    <r>
      <rPr>
        <sz val="11"/>
        <color theme="1"/>
        <rFont val="Times New Roman"/>
        <charset val="134"/>
      </rPr>
      <t>02/28/18</t>
    </r>
  </si>
  <si>
    <r>
      <rPr>
        <sz val="11"/>
        <color theme="1"/>
        <rFont val="Times New Roman"/>
        <charset val="134"/>
      </rPr>
      <t>02/24/18</t>
    </r>
  </si>
  <si>
    <r>
      <rPr>
        <sz val="11"/>
        <color theme="1"/>
        <rFont val="Times New Roman"/>
        <charset val="134"/>
      </rPr>
      <t>02/21/18</t>
    </r>
  </si>
  <si>
    <r>
      <rPr>
        <sz val="11"/>
        <color theme="1"/>
        <rFont val="Times New Roman"/>
        <charset val="134"/>
      </rPr>
      <t>02/17/18</t>
    </r>
  </si>
  <si>
    <r>
      <rPr>
        <sz val="11"/>
        <color theme="1"/>
        <rFont val="Times New Roman"/>
        <charset val="134"/>
      </rPr>
      <t>02/14/18</t>
    </r>
  </si>
  <si>
    <r>
      <rPr>
        <sz val="11"/>
        <color theme="1"/>
        <rFont val="Times New Roman"/>
        <charset val="134"/>
      </rPr>
      <t>01/31/18</t>
    </r>
  </si>
  <si>
    <r>
      <rPr>
        <sz val="11"/>
        <color theme="1"/>
        <rFont val="Times New Roman"/>
        <charset val="134"/>
      </rPr>
      <t>01/27/18</t>
    </r>
  </si>
  <si>
    <r>
      <rPr>
        <sz val="11"/>
        <color theme="1"/>
        <rFont val="Times New Roman"/>
        <charset val="134"/>
      </rPr>
      <t>01/24/18</t>
    </r>
  </si>
  <si>
    <r>
      <rPr>
        <sz val="11"/>
        <color theme="1"/>
        <rFont val="Times New Roman"/>
        <charset val="134"/>
      </rPr>
      <t>01/20/18</t>
    </r>
  </si>
  <si>
    <r>
      <rPr>
        <sz val="11"/>
        <color theme="1"/>
        <rFont val="Times New Roman"/>
        <charset val="134"/>
      </rPr>
      <t>01/17/18</t>
    </r>
  </si>
  <si>
    <r>
      <rPr>
        <sz val="11"/>
        <color theme="1"/>
        <rFont val="Times New Roman"/>
        <charset val="134"/>
      </rPr>
      <t>01/13/18</t>
    </r>
  </si>
  <si>
    <r>
      <rPr>
        <sz val="11"/>
        <color theme="1"/>
        <rFont val="Times New Roman"/>
        <charset val="134"/>
      </rPr>
      <t>12/30/17</t>
    </r>
  </si>
  <si>
    <r>
      <rPr>
        <sz val="11"/>
        <color theme="1"/>
        <rFont val="Times New Roman"/>
        <charset val="134"/>
      </rPr>
      <t>12/27/17</t>
    </r>
  </si>
  <si>
    <r>
      <rPr>
        <sz val="11"/>
        <color theme="1"/>
        <rFont val="Times New Roman"/>
        <charset val="134"/>
      </rPr>
      <t>12/23/17</t>
    </r>
  </si>
  <si>
    <r>
      <rPr>
        <sz val="11"/>
        <color theme="1"/>
        <rFont val="Times New Roman"/>
        <charset val="134"/>
      </rPr>
      <t>12/20/17</t>
    </r>
  </si>
  <si>
    <r>
      <rPr>
        <sz val="11"/>
        <color theme="1"/>
        <rFont val="Times New Roman"/>
        <charset val="134"/>
      </rPr>
      <t>12/16/17</t>
    </r>
  </si>
  <si>
    <r>
      <rPr>
        <sz val="11"/>
        <color theme="1"/>
        <rFont val="Times New Roman"/>
        <charset val="134"/>
      </rPr>
      <t>12/13/17</t>
    </r>
  </si>
  <si>
    <r>
      <rPr>
        <sz val="11"/>
        <color theme="1"/>
        <rFont val="Times New Roman"/>
        <charset val="134"/>
      </rPr>
      <t>11/29/17</t>
    </r>
  </si>
  <si>
    <r>
      <rPr>
        <sz val="11"/>
        <color theme="1"/>
        <rFont val="Times New Roman"/>
        <charset val="134"/>
      </rPr>
      <t>11/25/17</t>
    </r>
  </si>
  <si>
    <r>
      <rPr>
        <sz val="11"/>
        <color theme="1"/>
        <rFont val="Times New Roman"/>
        <charset val="134"/>
      </rPr>
      <t>11/22/17</t>
    </r>
  </si>
  <si>
    <r>
      <rPr>
        <sz val="11"/>
        <color theme="1"/>
        <rFont val="Times New Roman"/>
        <charset val="134"/>
      </rPr>
      <t>11/18/17</t>
    </r>
  </si>
  <si>
    <r>
      <rPr>
        <sz val="11"/>
        <color theme="1"/>
        <rFont val="Times New Roman"/>
        <charset val="134"/>
      </rPr>
      <t>11/15/17</t>
    </r>
  </si>
  <si>
    <r>
      <rPr>
        <sz val="11"/>
        <color theme="1"/>
        <rFont val="Times New Roman"/>
        <charset val="134"/>
      </rPr>
      <t>10/28/17</t>
    </r>
  </si>
  <si>
    <r>
      <rPr>
        <sz val="11"/>
        <color theme="1"/>
        <rFont val="Times New Roman"/>
        <charset val="134"/>
      </rPr>
      <t>10/25/17</t>
    </r>
  </si>
  <si>
    <r>
      <rPr>
        <sz val="11"/>
        <color theme="1"/>
        <rFont val="Times New Roman"/>
        <charset val="134"/>
      </rPr>
      <t>10/21/17</t>
    </r>
  </si>
  <si>
    <r>
      <rPr>
        <sz val="11"/>
        <color theme="1"/>
        <rFont val="Times New Roman"/>
        <charset val="134"/>
      </rPr>
      <t>10/18/17</t>
    </r>
  </si>
  <si>
    <r>
      <rPr>
        <sz val="11"/>
        <color theme="1"/>
        <rFont val="Times New Roman"/>
        <charset val="134"/>
      </rPr>
      <t>10/14/17</t>
    </r>
  </si>
  <si>
    <r>
      <rPr>
        <sz val="11"/>
        <color theme="1"/>
        <rFont val="Times New Roman"/>
        <charset val="134"/>
      </rPr>
      <t>09/30/17</t>
    </r>
  </si>
  <si>
    <r>
      <rPr>
        <sz val="11"/>
        <color theme="1"/>
        <rFont val="Times New Roman"/>
        <charset val="134"/>
      </rPr>
      <t>09/27/17</t>
    </r>
  </si>
  <si>
    <r>
      <rPr>
        <sz val="11"/>
        <color theme="1"/>
        <rFont val="Times New Roman"/>
        <charset val="134"/>
      </rPr>
      <t>09/23/17</t>
    </r>
  </si>
  <si>
    <r>
      <rPr>
        <sz val="11"/>
        <color theme="1"/>
        <rFont val="Times New Roman"/>
        <charset val="134"/>
      </rPr>
      <t>09/20/17</t>
    </r>
  </si>
  <si>
    <r>
      <rPr>
        <sz val="11"/>
        <color theme="1"/>
        <rFont val="Times New Roman"/>
        <charset val="134"/>
      </rPr>
      <t>09/16/17</t>
    </r>
  </si>
  <si>
    <r>
      <rPr>
        <sz val="11"/>
        <color theme="1"/>
        <rFont val="Times New Roman"/>
        <charset val="134"/>
      </rPr>
      <t>09/13/17</t>
    </r>
  </si>
  <si>
    <r>
      <rPr>
        <sz val="11"/>
        <color theme="1"/>
        <rFont val="Times New Roman"/>
        <charset val="134"/>
      </rPr>
      <t>08/30/17</t>
    </r>
  </si>
  <si>
    <r>
      <rPr>
        <sz val="11"/>
        <color theme="1"/>
        <rFont val="Times New Roman"/>
        <charset val="134"/>
      </rPr>
      <t>08/26/17</t>
    </r>
  </si>
  <si>
    <r>
      <rPr>
        <sz val="11"/>
        <color theme="1"/>
        <rFont val="Times New Roman"/>
        <charset val="134"/>
      </rPr>
      <t>08/23/17</t>
    </r>
  </si>
  <si>
    <r>
      <rPr>
        <sz val="11"/>
        <color theme="1"/>
        <rFont val="Times New Roman"/>
        <charset val="134"/>
      </rPr>
      <t>08/19/17</t>
    </r>
  </si>
  <si>
    <r>
      <rPr>
        <sz val="11"/>
        <color theme="1"/>
        <rFont val="Times New Roman"/>
        <charset val="134"/>
      </rPr>
      <t>08/16/17</t>
    </r>
  </si>
  <si>
    <r>
      <rPr>
        <sz val="11"/>
        <color theme="1"/>
        <rFont val="Times New Roman"/>
        <charset val="134"/>
      </rPr>
      <t>07/29/17</t>
    </r>
  </si>
  <si>
    <r>
      <rPr>
        <sz val="11"/>
        <color theme="1"/>
        <rFont val="Times New Roman"/>
        <charset val="134"/>
      </rPr>
      <t>07/26/17</t>
    </r>
  </si>
  <si>
    <r>
      <rPr>
        <sz val="11"/>
        <color theme="1"/>
        <rFont val="Times New Roman"/>
        <charset val="134"/>
      </rPr>
      <t>07/22/17</t>
    </r>
  </si>
  <si>
    <r>
      <rPr>
        <sz val="11"/>
        <color theme="1"/>
        <rFont val="Times New Roman"/>
        <charset val="134"/>
      </rPr>
      <t>07/19/17</t>
    </r>
  </si>
  <si>
    <r>
      <rPr>
        <sz val="11"/>
        <color theme="1"/>
        <rFont val="Times New Roman"/>
        <charset val="134"/>
      </rPr>
      <t>07/15/17</t>
    </r>
  </si>
  <si>
    <r>
      <rPr>
        <sz val="11"/>
        <color theme="1"/>
        <rFont val="Times New Roman"/>
        <charset val="134"/>
      </rPr>
      <t>06/28/17</t>
    </r>
  </si>
  <si>
    <r>
      <rPr>
        <sz val="11"/>
        <color theme="1"/>
        <rFont val="Times New Roman"/>
        <charset val="134"/>
      </rPr>
      <t>06/24/17</t>
    </r>
  </si>
  <si>
    <r>
      <rPr>
        <sz val="11"/>
        <color theme="1"/>
        <rFont val="Times New Roman"/>
        <charset val="134"/>
      </rPr>
      <t>06/21/17</t>
    </r>
  </si>
  <si>
    <r>
      <rPr>
        <sz val="11"/>
        <color theme="1"/>
        <rFont val="Times New Roman"/>
        <charset val="134"/>
      </rPr>
      <t>06/17/17</t>
    </r>
  </si>
  <si>
    <r>
      <rPr>
        <sz val="11"/>
        <color theme="1"/>
        <rFont val="Times New Roman"/>
        <charset val="134"/>
      </rPr>
      <t>06/14/17</t>
    </r>
  </si>
  <si>
    <r>
      <rPr>
        <sz val="11"/>
        <color theme="1"/>
        <rFont val="Times New Roman"/>
        <charset val="134"/>
      </rPr>
      <t>05/31/17</t>
    </r>
  </si>
  <si>
    <r>
      <rPr>
        <sz val="11"/>
        <color theme="1"/>
        <rFont val="Times New Roman"/>
        <charset val="134"/>
      </rPr>
      <t>05/27/17</t>
    </r>
  </si>
  <si>
    <r>
      <rPr>
        <sz val="11"/>
        <color theme="1"/>
        <rFont val="Times New Roman"/>
        <charset val="134"/>
      </rPr>
      <t>05/24/17</t>
    </r>
  </si>
  <si>
    <r>
      <rPr>
        <sz val="11"/>
        <color theme="1"/>
        <rFont val="Times New Roman"/>
        <charset val="134"/>
      </rPr>
      <t>05/20/17</t>
    </r>
  </si>
  <si>
    <r>
      <rPr>
        <sz val="11"/>
        <color theme="1"/>
        <rFont val="Times New Roman"/>
        <charset val="134"/>
      </rPr>
      <t>05/17/17</t>
    </r>
  </si>
  <si>
    <r>
      <rPr>
        <sz val="11"/>
        <color theme="1"/>
        <rFont val="Times New Roman"/>
        <charset val="134"/>
      </rPr>
      <t>05/13/17</t>
    </r>
  </si>
  <si>
    <r>
      <rPr>
        <sz val="11"/>
        <color theme="1"/>
        <rFont val="Times New Roman"/>
        <charset val="134"/>
      </rPr>
      <t>04/29/17</t>
    </r>
  </si>
  <si>
    <r>
      <rPr>
        <sz val="11"/>
        <color theme="1"/>
        <rFont val="Times New Roman"/>
        <charset val="134"/>
      </rPr>
      <t>04/26/17</t>
    </r>
  </si>
  <si>
    <r>
      <rPr>
        <sz val="11"/>
        <color theme="1"/>
        <rFont val="Times New Roman"/>
        <charset val="134"/>
      </rPr>
      <t>04/22/17</t>
    </r>
  </si>
  <si>
    <r>
      <rPr>
        <sz val="11"/>
        <color theme="1"/>
        <rFont val="Times New Roman"/>
        <charset val="134"/>
      </rPr>
      <t>04/19/17</t>
    </r>
  </si>
  <si>
    <r>
      <rPr>
        <sz val="11"/>
        <color theme="1"/>
        <rFont val="Times New Roman"/>
        <charset val="134"/>
      </rPr>
      <t>04/15/17</t>
    </r>
  </si>
  <si>
    <r>
      <rPr>
        <sz val="11"/>
        <color theme="1"/>
        <rFont val="Times New Roman"/>
        <charset val="134"/>
      </rPr>
      <t>03/29/17</t>
    </r>
  </si>
  <si>
    <r>
      <rPr>
        <sz val="11"/>
        <color theme="1"/>
        <rFont val="Times New Roman"/>
        <charset val="134"/>
      </rPr>
      <t>03/25/17</t>
    </r>
  </si>
  <si>
    <r>
      <rPr>
        <sz val="11"/>
        <color theme="1"/>
        <rFont val="Times New Roman"/>
        <charset val="134"/>
      </rPr>
      <t>03/22/17</t>
    </r>
  </si>
  <si>
    <r>
      <rPr>
        <sz val="11"/>
        <color theme="1"/>
        <rFont val="Times New Roman"/>
        <charset val="134"/>
      </rPr>
      <t>03/18/17</t>
    </r>
  </si>
  <si>
    <r>
      <rPr>
        <sz val="11"/>
        <color theme="1"/>
        <rFont val="Times New Roman"/>
        <charset val="134"/>
      </rPr>
      <t>03/15/17</t>
    </r>
  </si>
  <si>
    <r>
      <rPr>
        <sz val="11"/>
        <color theme="1"/>
        <rFont val="Times New Roman"/>
        <charset val="134"/>
      </rPr>
      <t>02/25/17</t>
    </r>
  </si>
  <si>
    <r>
      <rPr>
        <sz val="11"/>
        <color theme="1"/>
        <rFont val="Times New Roman"/>
        <charset val="134"/>
      </rPr>
      <t>02/22/17</t>
    </r>
  </si>
  <si>
    <r>
      <rPr>
        <sz val="11"/>
        <color theme="1"/>
        <rFont val="Times New Roman"/>
        <charset val="134"/>
      </rPr>
      <t>02/18/17</t>
    </r>
  </si>
  <si>
    <r>
      <rPr>
        <sz val="11"/>
        <color theme="1"/>
        <rFont val="Times New Roman"/>
        <charset val="134"/>
      </rPr>
      <t>02/15/17</t>
    </r>
  </si>
  <si>
    <r>
      <rPr>
        <sz val="11"/>
        <color theme="1"/>
        <rFont val="Times New Roman"/>
        <charset val="134"/>
      </rPr>
      <t>01/28/17</t>
    </r>
  </si>
  <si>
    <r>
      <rPr>
        <sz val="11"/>
        <color theme="1"/>
        <rFont val="Times New Roman"/>
        <charset val="134"/>
      </rPr>
      <t>01/25/17</t>
    </r>
  </si>
  <si>
    <r>
      <rPr>
        <sz val="11"/>
        <color theme="1"/>
        <rFont val="Times New Roman"/>
        <charset val="134"/>
      </rPr>
      <t>01/21/17</t>
    </r>
  </si>
  <si>
    <r>
      <rPr>
        <sz val="11"/>
        <color theme="1"/>
        <rFont val="Times New Roman"/>
        <charset val="134"/>
      </rPr>
      <t>01/18/17</t>
    </r>
  </si>
  <si>
    <r>
      <rPr>
        <sz val="11"/>
        <color theme="1"/>
        <rFont val="Times New Roman"/>
        <charset val="134"/>
      </rPr>
      <t>01/14/17</t>
    </r>
  </si>
  <si>
    <r>
      <rPr>
        <sz val="11"/>
        <color theme="1"/>
        <rFont val="Times New Roman"/>
        <charset val="134"/>
      </rPr>
      <t>12/31/16</t>
    </r>
  </si>
  <si>
    <r>
      <rPr>
        <sz val="11"/>
        <color theme="1"/>
        <rFont val="Times New Roman"/>
        <charset val="134"/>
      </rPr>
      <t>12/28/16</t>
    </r>
  </si>
  <si>
    <r>
      <rPr>
        <sz val="11"/>
        <color theme="1"/>
        <rFont val="Times New Roman"/>
        <charset val="134"/>
      </rPr>
      <t>12/24/16</t>
    </r>
  </si>
  <si>
    <r>
      <rPr>
        <sz val="11"/>
        <color theme="1"/>
        <rFont val="Times New Roman"/>
        <charset val="134"/>
      </rPr>
      <t>12/21/16</t>
    </r>
  </si>
  <si>
    <r>
      <rPr>
        <sz val="11"/>
        <color theme="1"/>
        <rFont val="Times New Roman"/>
        <charset val="134"/>
      </rPr>
      <t>12/17/16</t>
    </r>
  </si>
  <si>
    <r>
      <rPr>
        <sz val="11"/>
        <color theme="1"/>
        <rFont val="Times New Roman"/>
        <charset val="134"/>
      </rPr>
      <t>12/14/16</t>
    </r>
  </si>
  <si>
    <r>
      <rPr>
        <sz val="11"/>
        <color theme="1"/>
        <rFont val="Times New Roman"/>
        <charset val="134"/>
      </rPr>
      <t>11/30/16</t>
    </r>
  </si>
  <si>
    <r>
      <rPr>
        <sz val="11"/>
        <color theme="1"/>
        <rFont val="Times New Roman"/>
        <charset val="134"/>
      </rPr>
      <t>11/26/16</t>
    </r>
  </si>
  <si>
    <r>
      <rPr>
        <sz val="11"/>
        <color theme="1"/>
        <rFont val="Times New Roman"/>
        <charset val="134"/>
      </rPr>
      <t>11/23/16</t>
    </r>
  </si>
  <si>
    <r>
      <rPr>
        <sz val="11"/>
        <color theme="1"/>
        <rFont val="Times New Roman"/>
        <charset val="134"/>
      </rPr>
      <t>11/19/16</t>
    </r>
  </si>
  <si>
    <r>
      <rPr>
        <sz val="11"/>
        <color theme="1"/>
        <rFont val="Times New Roman"/>
        <charset val="134"/>
      </rPr>
      <t>11/16/16</t>
    </r>
  </si>
  <si>
    <r>
      <rPr>
        <sz val="11"/>
        <color theme="1"/>
        <rFont val="Times New Roman"/>
        <charset val="134"/>
      </rPr>
      <t>10/29/16</t>
    </r>
  </si>
  <si>
    <r>
      <rPr>
        <sz val="11"/>
        <color theme="1"/>
        <rFont val="Times New Roman"/>
        <charset val="134"/>
      </rPr>
      <t>10/26/16</t>
    </r>
  </si>
  <si>
    <r>
      <rPr>
        <sz val="11"/>
        <color theme="1"/>
        <rFont val="Times New Roman"/>
        <charset val="134"/>
      </rPr>
      <t>10/22/16</t>
    </r>
  </si>
  <si>
    <r>
      <rPr>
        <sz val="11"/>
        <color theme="1"/>
        <rFont val="Times New Roman"/>
        <charset val="134"/>
      </rPr>
      <t>10/19/16</t>
    </r>
  </si>
  <si>
    <r>
      <rPr>
        <sz val="11"/>
        <color theme="1"/>
        <rFont val="Times New Roman"/>
        <charset val="134"/>
      </rPr>
      <t>10/15/16</t>
    </r>
  </si>
  <si>
    <r>
      <rPr>
        <sz val="11"/>
        <color theme="1"/>
        <rFont val="Times New Roman"/>
        <charset val="134"/>
      </rPr>
      <t>09/28/16</t>
    </r>
  </si>
  <si>
    <r>
      <rPr>
        <sz val="11"/>
        <color theme="1"/>
        <rFont val="Times New Roman"/>
        <charset val="134"/>
      </rPr>
      <t>09/24/16</t>
    </r>
  </si>
  <si>
    <r>
      <rPr>
        <sz val="11"/>
        <color theme="1"/>
        <rFont val="Times New Roman"/>
        <charset val="134"/>
      </rPr>
      <t>09/21/16</t>
    </r>
  </si>
  <si>
    <r>
      <rPr>
        <sz val="11"/>
        <color theme="1"/>
        <rFont val="Times New Roman"/>
        <charset val="134"/>
      </rPr>
      <t>09/17/16</t>
    </r>
  </si>
  <si>
    <r>
      <rPr>
        <sz val="11"/>
        <color theme="1"/>
        <rFont val="Times New Roman"/>
        <charset val="134"/>
      </rPr>
      <t>09/14/16</t>
    </r>
  </si>
  <si>
    <r>
      <rPr>
        <sz val="11"/>
        <color theme="1"/>
        <rFont val="Times New Roman"/>
        <charset val="134"/>
      </rPr>
      <t>08/31/16</t>
    </r>
  </si>
  <si>
    <r>
      <rPr>
        <sz val="11"/>
        <color theme="1"/>
        <rFont val="Times New Roman"/>
        <charset val="134"/>
      </rPr>
      <t>08/27/16</t>
    </r>
  </si>
  <si>
    <r>
      <rPr>
        <sz val="11"/>
        <color theme="1"/>
        <rFont val="Times New Roman"/>
        <charset val="134"/>
      </rPr>
      <t>08/24/16</t>
    </r>
  </si>
  <si>
    <r>
      <rPr>
        <sz val="11"/>
        <color theme="1"/>
        <rFont val="Times New Roman"/>
        <charset val="134"/>
      </rPr>
      <t>08/20/16</t>
    </r>
  </si>
  <si>
    <r>
      <rPr>
        <sz val="11"/>
        <color theme="1"/>
        <rFont val="Times New Roman"/>
        <charset val="134"/>
      </rPr>
      <t>08/17/16</t>
    </r>
  </si>
  <si>
    <r>
      <rPr>
        <sz val="11"/>
        <color theme="1"/>
        <rFont val="Times New Roman"/>
        <charset val="134"/>
      </rPr>
      <t>08/13/16</t>
    </r>
  </si>
  <si>
    <r>
      <rPr>
        <sz val="11"/>
        <color theme="1"/>
        <rFont val="Times New Roman"/>
        <charset val="134"/>
      </rPr>
      <t>07/29/16</t>
    </r>
  </si>
  <si>
    <r>
      <rPr>
        <sz val="11"/>
        <color theme="1"/>
        <rFont val="Times New Roman"/>
        <charset val="134"/>
      </rPr>
      <t>07/26/16</t>
    </r>
  </si>
  <si>
    <r>
      <rPr>
        <sz val="11"/>
        <color theme="1"/>
        <rFont val="Times New Roman"/>
        <charset val="134"/>
      </rPr>
      <t>07/23/16</t>
    </r>
  </si>
  <si>
    <r>
      <rPr>
        <sz val="11"/>
        <color theme="1"/>
        <rFont val="Times New Roman"/>
        <charset val="134"/>
      </rPr>
      <t>07/20/16</t>
    </r>
  </si>
  <si>
    <r>
      <rPr>
        <sz val="11"/>
        <color theme="1"/>
        <rFont val="Times New Roman"/>
        <charset val="134"/>
      </rPr>
      <t>07/16/16</t>
    </r>
  </si>
  <si>
    <r>
      <rPr>
        <sz val="11"/>
        <color theme="1"/>
        <rFont val="Times New Roman"/>
        <charset val="134"/>
      </rPr>
      <t>07/13/16</t>
    </r>
  </si>
  <si>
    <r>
      <rPr>
        <sz val="11"/>
        <color theme="1"/>
        <rFont val="Times New Roman"/>
        <charset val="134"/>
      </rPr>
      <t>06/29/16</t>
    </r>
  </si>
  <si>
    <r>
      <rPr>
        <sz val="11"/>
        <color theme="1"/>
        <rFont val="Times New Roman"/>
        <charset val="134"/>
      </rPr>
      <t>06/25/16</t>
    </r>
  </si>
  <si>
    <r>
      <rPr>
        <sz val="11"/>
        <color theme="1"/>
        <rFont val="Times New Roman"/>
        <charset val="134"/>
      </rPr>
      <t>06/22/16</t>
    </r>
  </si>
  <si>
    <r>
      <rPr>
        <sz val="11"/>
        <color theme="1"/>
        <rFont val="Times New Roman"/>
        <charset val="134"/>
      </rPr>
      <t>06/18/16</t>
    </r>
  </si>
  <si>
    <r>
      <rPr>
        <sz val="11"/>
        <color theme="1"/>
        <rFont val="Times New Roman"/>
        <charset val="134"/>
      </rPr>
      <t>06/15/16</t>
    </r>
  </si>
  <si>
    <r>
      <rPr>
        <sz val="11"/>
        <color theme="1"/>
        <rFont val="Times New Roman"/>
        <charset val="134"/>
      </rPr>
      <t>05/28/16</t>
    </r>
  </si>
  <si>
    <r>
      <rPr>
        <sz val="11"/>
        <color theme="1"/>
        <rFont val="Times New Roman"/>
        <charset val="134"/>
      </rPr>
      <t>05/25/16</t>
    </r>
  </si>
  <si>
    <r>
      <rPr>
        <sz val="11"/>
        <color theme="1"/>
        <rFont val="Times New Roman"/>
        <charset val="134"/>
      </rPr>
      <t>05/21/16</t>
    </r>
  </si>
  <si>
    <r>
      <rPr>
        <sz val="11"/>
        <color theme="1"/>
        <rFont val="Times New Roman"/>
        <charset val="134"/>
      </rPr>
      <t>05/18/16</t>
    </r>
  </si>
  <si>
    <r>
      <rPr>
        <sz val="11"/>
        <color theme="1"/>
        <rFont val="Times New Roman"/>
        <charset val="134"/>
      </rPr>
      <t>05/14/16</t>
    </r>
  </si>
  <si>
    <r>
      <rPr>
        <sz val="11"/>
        <color theme="1"/>
        <rFont val="Times New Roman"/>
        <charset val="134"/>
      </rPr>
      <t>04/30/16</t>
    </r>
  </si>
  <si>
    <r>
      <rPr>
        <sz val="11"/>
        <color theme="1"/>
        <rFont val="Times New Roman"/>
        <charset val="134"/>
      </rPr>
      <t>04/27/16</t>
    </r>
  </si>
  <si>
    <r>
      <rPr>
        <sz val="11"/>
        <color theme="1"/>
        <rFont val="Times New Roman"/>
        <charset val="134"/>
      </rPr>
      <t>04/23/16</t>
    </r>
  </si>
  <si>
    <r>
      <rPr>
        <sz val="11"/>
        <color theme="1"/>
        <rFont val="Times New Roman"/>
        <charset val="134"/>
      </rPr>
      <t>04/20/16</t>
    </r>
  </si>
  <si>
    <r>
      <rPr>
        <sz val="11"/>
        <color theme="1"/>
        <rFont val="Times New Roman"/>
        <charset val="134"/>
      </rPr>
      <t>04/16/16</t>
    </r>
  </si>
  <si>
    <r>
      <rPr>
        <sz val="11"/>
        <color theme="1"/>
        <rFont val="Times New Roman"/>
        <charset val="134"/>
      </rPr>
      <t>04/13/16</t>
    </r>
  </si>
  <si>
    <r>
      <rPr>
        <sz val="11"/>
        <color theme="1"/>
        <rFont val="Times New Roman"/>
        <charset val="134"/>
      </rPr>
      <t>03/30/16</t>
    </r>
  </si>
  <si>
    <r>
      <rPr>
        <sz val="11"/>
        <color theme="1"/>
        <rFont val="Times New Roman"/>
        <charset val="134"/>
      </rPr>
      <t>03/26/16</t>
    </r>
  </si>
  <si>
    <r>
      <rPr>
        <sz val="11"/>
        <color theme="1"/>
        <rFont val="Times New Roman"/>
        <charset val="134"/>
      </rPr>
      <t>03/23/16</t>
    </r>
  </si>
  <si>
    <r>
      <rPr>
        <sz val="11"/>
        <color theme="1"/>
        <rFont val="Times New Roman"/>
        <charset val="134"/>
      </rPr>
      <t>03/19/16</t>
    </r>
  </si>
  <si>
    <r>
      <rPr>
        <sz val="11"/>
        <color theme="1"/>
        <rFont val="Times New Roman"/>
        <charset val="134"/>
      </rPr>
      <t>03/16/16</t>
    </r>
  </si>
  <si>
    <r>
      <rPr>
        <sz val="11"/>
        <color theme="1"/>
        <rFont val="Times New Roman"/>
        <charset val="134"/>
      </rPr>
      <t>02/27/16</t>
    </r>
  </si>
  <si>
    <r>
      <rPr>
        <sz val="11"/>
        <color theme="1"/>
        <rFont val="Times New Roman"/>
        <charset val="134"/>
      </rPr>
      <t>02/24/16</t>
    </r>
  </si>
  <si>
    <r>
      <rPr>
        <sz val="11"/>
        <color theme="1"/>
        <rFont val="Times New Roman"/>
        <charset val="134"/>
      </rPr>
      <t>02/20/16</t>
    </r>
  </si>
  <si>
    <r>
      <rPr>
        <sz val="11"/>
        <color theme="1"/>
        <rFont val="Times New Roman"/>
        <charset val="134"/>
      </rPr>
      <t>02/17/16</t>
    </r>
  </si>
  <si>
    <r>
      <rPr>
        <sz val="11"/>
        <color theme="1"/>
        <rFont val="Times New Roman"/>
        <charset val="134"/>
      </rPr>
      <t>02/13/16</t>
    </r>
  </si>
  <si>
    <r>
      <rPr>
        <sz val="11"/>
        <color theme="1"/>
        <rFont val="Times New Roman"/>
        <charset val="134"/>
      </rPr>
      <t>01/30/16</t>
    </r>
  </si>
  <si>
    <r>
      <rPr>
        <sz val="11"/>
        <color theme="1"/>
        <rFont val="Times New Roman"/>
        <charset val="134"/>
      </rPr>
      <t>01/27/16</t>
    </r>
  </si>
  <si>
    <r>
      <rPr>
        <sz val="11"/>
        <color theme="1"/>
        <rFont val="Times New Roman"/>
        <charset val="134"/>
      </rPr>
      <t>01/23/16</t>
    </r>
  </si>
  <si>
    <r>
      <rPr>
        <sz val="11"/>
        <color theme="1"/>
        <rFont val="Times New Roman"/>
        <charset val="134"/>
      </rPr>
      <t>01/20/16</t>
    </r>
  </si>
  <si>
    <r>
      <rPr>
        <sz val="11"/>
        <color theme="1"/>
        <rFont val="Times New Roman"/>
        <charset val="134"/>
      </rPr>
      <t>01/16/16</t>
    </r>
  </si>
  <si>
    <r>
      <rPr>
        <sz val="11"/>
        <color theme="1"/>
        <rFont val="Times New Roman"/>
        <charset val="134"/>
      </rPr>
      <t>01/13/16</t>
    </r>
  </si>
  <si>
    <t>$1.58 B</t>
  </si>
  <si>
    <r>
      <rPr>
        <sz val="11"/>
        <color theme="1"/>
        <rFont val="Times New Roman"/>
        <charset val="134"/>
      </rPr>
      <t>12/30/15</t>
    </r>
  </si>
  <si>
    <r>
      <rPr>
        <sz val="11"/>
        <color theme="1"/>
        <rFont val="Times New Roman"/>
        <charset val="134"/>
      </rPr>
      <t>12/26/15</t>
    </r>
  </si>
  <si>
    <r>
      <rPr>
        <sz val="11"/>
        <color theme="1"/>
        <rFont val="Times New Roman"/>
        <charset val="134"/>
      </rPr>
      <t>12/23/15</t>
    </r>
  </si>
  <si>
    <r>
      <rPr>
        <sz val="11"/>
        <color theme="1"/>
        <rFont val="Times New Roman"/>
        <charset val="134"/>
      </rPr>
      <t>12/19/15</t>
    </r>
  </si>
  <si>
    <r>
      <rPr>
        <sz val="11"/>
        <color theme="1"/>
        <rFont val="Times New Roman"/>
        <charset val="134"/>
      </rPr>
      <t>12/16/15</t>
    </r>
  </si>
  <si>
    <r>
      <rPr>
        <sz val="11"/>
        <color theme="1"/>
        <rFont val="Times New Roman"/>
        <charset val="134"/>
      </rPr>
      <t>11/28/15</t>
    </r>
  </si>
  <si>
    <r>
      <rPr>
        <sz val="11"/>
        <color theme="1"/>
        <rFont val="Times New Roman"/>
        <charset val="134"/>
      </rPr>
      <t>11/25/15</t>
    </r>
  </si>
  <si>
    <r>
      <rPr>
        <sz val="11"/>
        <color theme="1"/>
        <rFont val="Times New Roman"/>
        <charset val="134"/>
      </rPr>
      <t>11/21/15</t>
    </r>
  </si>
  <si>
    <r>
      <rPr>
        <sz val="11"/>
        <color theme="1"/>
        <rFont val="Times New Roman"/>
        <charset val="134"/>
      </rPr>
      <t>11/18/15</t>
    </r>
  </si>
  <si>
    <r>
      <rPr>
        <sz val="11"/>
        <color theme="1"/>
        <rFont val="Times New Roman"/>
        <charset val="134"/>
      </rPr>
      <t>11/14/15</t>
    </r>
  </si>
  <si>
    <r>
      <rPr>
        <sz val="11"/>
        <color theme="1"/>
        <rFont val="Times New Roman"/>
        <charset val="134"/>
      </rPr>
      <t>10/31/15</t>
    </r>
  </si>
  <si>
    <r>
      <rPr>
        <sz val="11"/>
        <color theme="1"/>
        <rFont val="Times New Roman"/>
        <charset val="134"/>
      </rPr>
      <t>10/28/15</t>
    </r>
  </si>
  <si>
    <r>
      <rPr>
        <sz val="11"/>
        <color theme="1"/>
        <rFont val="Times New Roman"/>
        <charset val="134"/>
      </rPr>
      <t>10/24/15</t>
    </r>
  </si>
  <si>
    <r>
      <rPr>
        <sz val="11"/>
        <color theme="1"/>
        <rFont val="Times New Roman"/>
        <charset val="134"/>
      </rPr>
      <t>10/21/15</t>
    </r>
  </si>
  <si>
    <r>
      <rPr>
        <sz val="11"/>
        <color theme="1"/>
        <rFont val="Times New Roman"/>
        <charset val="134"/>
      </rPr>
      <t>10/17/15</t>
    </r>
  </si>
  <si>
    <r>
      <rPr>
        <sz val="11"/>
        <color theme="1"/>
        <rFont val="Times New Roman"/>
        <charset val="134"/>
      </rPr>
      <t>10/14/15</t>
    </r>
  </si>
  <si>
    <r>
      <rPr>
        <sz val="11"/>
        <color theme="1"/>
        <rFont val="Times New Roman"/>
        <charset val="134"/>
      </rPr>
      <t>09/30/15</t>
    </r>
  </si>
  <si>
    <r>
      <rPr>
        <sz val="11"/>
        <color theme="1"/>
        <rFont val="Times New Roman"/>
        <charset val="134"/>
      </rPr>
      <t>09/26/15</t>
    </r>
  </si>
  <si>
    <r>
      <rPr>
        <sz val="11"/>
        <color theme="1"/>
        <rFont val="Times New Roman"/>
        <charset val="134"/>
      </rPr>
      <t>09/23/15</t>
    </r>
  </si>
  <si>
    <r>
      <rPr>
        <sz val="11"/>
        <color theme="1"/>
        <rFont val="Times New Roman"/>
        <charset val="134"/>
      </rPr>
      <t>09/19/15</t>
    </r>
  </si>
  <si>
    <r>
      <rPr>
        <sz val="11"/>
        <color theme="1"/>
        <rFont val="Times New Roman"/>
        <charset val="134"/>
      </rPr>
      <t>09/16/15</t>
    </r>
  </si>
  <si>
    <r>
      <rPr>
        <sz val="11"/>
        <color theme="1"/>
        <rFont val="Times New Roman"/>
        <charset val="134"/>
      </rPr>
      <t>08/29/15</t>
    </r>
  </si>
  <si>
    <r>
      <rPr>
        <sz val="11"/>
        <color theme="1"/>
        <rFont val="Times New Roman"/>
        <charset val="134"/>
      </rPr>
      <t>08/26/15</t>
    </r>
  </si>
  <si>
    <r>
      <rPr>
        <sz val="11"/>
        <color theme="1"/>
        <rFont val="Times New Roman"/>
        <charset val="134"/>
      </rPr>
      <t>08/22/15</t>
    </r>
  </si>
  <si>
    <r>
      <rPr>
        <sz val="11"/>
        <color theme="1"/>
        <rFont val="Times New Roman"/>
        <charset val="134"/>
      </rPr>
      <t>08/19/15</t>
    </r>
  </si>
  <si>
    <r>
      <rPr>
        <sz val="11"/>
        <color theme="1"/>
        <rFont val="Times New Roman"/>
        <charset val="134"/>
      </rPr>
      <t>08/15/15</t>
    </r>
  </si>
  <si>
    <r>
      <rPr>
        <sz val="11"/>
        <color theme="1"/>
        <rFont val="Times New Roman"/>
        <charset val="134"/>
      </rPr>
      <t>07/29/15</t>
    </r>
  </si>
  <si>
    <r>
      <rPr>
        <sz val="11"/>
        <color theme="1"/>
        <rFont val="Times New Roman"/>
        <charset val="134"/>
      </rPr>
      <t>07/25/15</t>
    </r>
  </si>
  <si>
    <r>
      <rPr>
        <sz val="11"/>
        <color theme="1"/>
        <rFont val="Times New Roman"/>
        <charset val="134"/>
      </rPr>
      <t>07/22/15</t>
    </r>
  </si>
  <si>
    <r>
      <rPr>
        <sz val="11"/>
        <color theme="1"/>
        <rFont val="Times New Roman"/>
        <charset val="134"/>
      </rPr>
      <t>07/18/15</t>
    </r>
  </si>
  <si>
    <r>
      <rPr>
        <sz val="11"/>
        <color theme="1"/>
        <rFont val="Times New Roman"/>
        <charset val="134"/>
      </rPr>
      <t>07/15/15</t>
    </r>
  </si>
  <si>
    <r>
      <rPr>
        <sz val="11"/>
        <color theme="1"/>
        <rFont val="Times New Roman"/>
        <charset val="134"/>
      </rPr>
      <t>06/27/15</t>
    </r>
  </si>
  <si>
    <r>
      <rPr>
        <sz val="11"/>
        <color theme="1"/>
        <rFont val="Times New Roman"/>
        <charset val="134"/>
      </rPr>
      <t>06/24/15</t>
    </r>
  </si>
  <si>
    <r>
      <rPr>
        <sz val="11"/>
        <color theme="1"/>
        <rFont val="Times New Roman"/>
        <charset val="134"/>
      </rPr>
      <t>06/20/15</t>
    </r>
  </si>
  <si>
    <r>
      <rPr>
        <sz val="11"/>
        <color theme="1"/>
        <rFont val="Times New Roman"/>
        <charset val="134"/>
      </rPr>
      <t>06/17/15</t>
    </r>
  </si>
  <si>
    <r>
      <rPr>
        <sz val="11"/>
        <color theme="1"/>
        <rFont val="Times New Roman"/>
        <charset val="134"/>
      </rPr>
      <t>06/13/15</t>
    </r>
  </si>
  <si>
    <r>
      <rPr>
        <sz val="11"/>
        <color theme="1"/>
        <rFont val="Times New Roman"/>
        <charset val="134"/>
      </rPr>
      <t>05/30/15</t>
    </r>
  </si>
  <si>
    <r>
      <rPr>
        <sz val="11"/>
        <color theme="1"/>
        <rFont val="Times New Roman"/>
        <charset val="134"/>
      </rPr>
      <t>05/27/15</t>
    </r>
  </si>
  <si>
    <r>
      <rPr>
        <sz val="11"/>
        <color theme="1"/>
        <rFont val="Times New Roman"/>
        <charset val="134"/>
      </rPr>
      <t>05/23/15</t>
    </r>
  </si>
  <si>
    <r>
      <rPr>
        <sz val="11"/>
        <color theme="1"/>
        <rFont val="Times New Roman"/>
        <charset val="134"/>
      </rPr>
      <t>05/20/15</t>
    </r>
  </si>
  <si>
    <r>
      <rPr>
        <sz val="11"/>
        <color theme="1"/>
        <rFont val="Times New Roman"/>
        <charset val="134"/>
      </rPr>
      <t>05/16/15</t>
    </r>
  </si>
  <si>
    <r>
      <rPr>
        <sz val="11"/>
        <color theme="1"/>
        <rFont val="Times New Roman"/>
        <charset val="134"/>
      </rPr>
      <t>05/13/15</t>
    </r>
  </si>
  <si>
    <r>
      <rPr>
        <sz val="11"/>
        <color theme="1"/>
        <rFont val="Times New Roman"/>
        <charset val="134"/>
      </rPr>
      <t>04/29/15</t>
    </r>
  </si>
  <si>
    <r>
      <rPr>
        <sz val="11"/>
        <color theme="1"/>
        <rFont val="Times New Roman"/>
        <charset val="134"/>
      </rPr>
      <t>04/25/15</t>
    </r>
  </si>
  <si>
    <r>
      <rPr>
        <sz val="11"/>
        <color theme="1"/>
        <rFont val="Times New Roman"/>
        <charset val="134"/>
      </rPr>
      <t>04/22/15</t>
    </r>
  </si>
  <si>
    <r>
      <rPr>
        <sz val="11"/>
        <color theme="1"/>
        <rFont val="Times New Roman"/>
        <charset val="134"/>
      </rPr>
      <t>04/18/15</t>
    </r>
  </si>
  <si>
    <r>
      <rPr>
        <sz val="11"/>
        <color theme="1"/>
        <rFont val="Times New Roman"/>
        <charset val="134"/>
      </rPr>
      <t>04/15/15</t>
    </r>
  </si>
  <si>
    <r>
      <rPr>
        <sz val="11"/>
        <color theme="1"/>
        <rFont val="Times New Roman"/>
        <charset val="134"/>
      </rPr>
      <t>03/28/15</t>
    </r>
  </si>
  <si>
    <r>
      <rPr>
        <sz val="11"/>
        <color theme="1"/>
        <rFont val="Times New Roman"/>
        <charset val="134"/>
      </rPr>
      <t>03/25/15</t>
    </r>
  </si>
  <si>
    <r>
      <rPr>
        <sz val="11"/>
        <color theme="1"/>
        <rFont val="Times New Roman"/>
        <charset val="134"/>
      </rPr>
      <t>03/21/15</t>
    </r>
  </si>
  <si>
    <r>
      <rPr>
        <sz val="11"/>
        <color theme="1"/>
        <rFont val="Times New Roman"/>
        <charset val="134"/>
      </rPr>
      <t>03/18/15</t>
    </r>
  </si>
  <si>
    <r>
      <rPr>
        <sz val="11"/>
        <color theme="1"/>
        <rFont val="Times New Roman"/>
        <charset val="134"/>
      </rPr>
      <t>03/14/15</t>
    </r>
  </si>
  <si>
    <r>
      <rPr>
        <sz val="11"/>
        <color theme="1"/>
        <rFont val="Times New Roman"/>
        <charset val="134"/>
      </rPr>
      <t>02/28/15</t>
    </r>
  </si>
  <si>
    <r>
      <rPr>
        <sz val="11"/>
        <color theme="1"/>
        <rFont val="Times New Roman"/>
        <charset val="134"/>
      </rPr>
      <t>02/25/15</t>
    </r>
  </si>
  <si>
    <r>
      <rPr>
        <sz val="11"/>
        <color theme="1"/>
        <rFont val="Times New Roman"/>
        <charset val="134"/>
      </rPr>
      <t>02/21/15</t>
    </r>
  </si>
  <si>
    <r>
      <rPr>
        <sz val="11"/>
        <color theme="1"/>
        <rFont val="Times New Roman"/>
        <charset val="134"/>
      </rPr>
      <t>02/18/15</t>
    </r>
  </si>
  <si>
    <r>
      <rPr>
        <sz val="11"/>
        <color theme="1"/>
        <rFont val="Times New Roman"/>
        <charset val="134"/>
      </rPr>
      <t>02/14/15</t>
    </r>
  </si>
  <si>
    <r>
      <rPr>
        <sz val="11"/>
        <color theme="1"/>
        <rFont val="Times New Roman"/>
        <charset val="134"/>
      </rPr>
      <t>01/31/15</t>
    </r>
  </si>
  <si>
    <r>
      <rPr>
        <sz val="11"/>
        <color theme="1"/>
        <rFont val="Times New Roman"/>
        <charset val="134"/>
      </rPr>
      <t>01/28/15</t>
    </r>
  </si>
  <si>
    <r>
      <rPr>
        <sz val="11"/>
        <color theme="1"/>
        <rFont val="Times New Roman"/>
        <charset val="134"/>
      </rPr>
      <t>01/24/15</t>
    </r>
  </si>
  <si>
    <r>
      <rPr>
        <sz val="11"/>
        <color theme="1"/>
        <rFont val="Times New Roman"/>
        <charset val="134"/>
      </rPr>
      <t>01/21/15</t>
    </r>
  </si>
  <si>
    <r>
      <rPr>
        <sz val="11"/>
        <color theme="1"/>
        <rFont val="Times New Roman"/>
        <charset val="134"/>
      </rPr>
      <t>01/17/15</t>
    </r>
  </si>
  <si>
    <r>
      <rPr>
        <sz val="11"/>
        <color theme="1"/>
        <rFont val="Times New Roman"/>
        <charset val="134"/>
      </rPr>
      <t>01/14/15</t>
    </r>
  </si>
  <si>
    <r>
      <rPr>
        <sz val="11"/>
        <color theme="1"/>
        <rFont val="Times New Roman"/>
        <charset val="134"/>
      </rPr>
      <t>12/31/14</t>
    </r>
  </si>
  <si>
    <r>
      <rPr>
        <sz val="11"/>
        <color theme="1"/>
        <rFont val="Times New Roman"/>
        <charset val="134"/>
      </rPr>
      <t>12/27/14</t>
    </r>
  </si>
  <si>
    <r>
      <rPr>
        <sz val="11"/>
        <color theme="1"/>
        <rFont val="Times New Roman"/>
        <charset val="134"/>
      </rPr>
      <t>12/24/14</t>
    </r>
  </si>
  <si>
    <r>
      <rPr>
        <sz val="11"/>
        <color theme="1"/>
        <rFont val="Times New Roman"/>
        <charset val="134"/>
      </rPr>
      <t>12/20/14</t>
    </r>
  </si>
  <si>
    <r>
      <rPr>
        <sz val="11"/>
        <color theme="1"/>
        <rFont val="Times New Roman"/>
        <charset val="134"/>
      </rPr>
      <t>12/17/14</t>
    </r>
  </si>
  <si>
    <r>
      <rPr>
        <sz val="11"/>
        <color theme="1"/>
        <rFont val="Times New Roman"/>
        <charset val="134"/>
      </rPr>
      <t>12/13/14</t>
    </r>
  </si>
  <si>
    <r>
      <rPr>
        <sz val="11"/>
        <color theme="1"/>
        <rFont val="Times New Roman"/>
        <charset val="134"/>
      </rPr>
      <t>11/29/14</t>
    </r>
  </si>
  <si>
    <r>
      <rPr>
        <sz val="11"/>
        <color theme="1"/>
        <rFont val="Times New Roman"/>
        <charset val="134"/>
      </rPr>
      <t>11/26/14</t>
    </r>
  </si>
  <si>
    <r>
      <rPr>
        <sz val="11"/>
        <color theme="1"/>
        <rFont val="Times New Roman"/>
        <charset val="134"/>
      </rPr>
      <t>11/22/14</t>
    </r>
  </si>
  <si>
    <r>
      <rPr>
        <sz val="11"/>
        <color theme="1"/>
        <rFont val="Times New Roman"/>
        <charset val="134"/>
      </rPr>
      <t>11/19/14</t>
    </r>
  </si>
  <si>
    <r>
      <rPr>
        <sz val="11"/>
        <color theme="1"/>
        <rFont val="Times New Roman"/>
        <charset val="134"/>
      </rPr>
      <t>11/15/14</t>
    </r>
  </si>
  <si>
    <r>
      <rPr>
        <sz val="11"/>
        <color theme="1"/>
        <rFont val="Times New Roman"/>
        <charset val="134"/>
      </rPr>
      <t>10/29/14</t>
    </r>
  </si>
  <si>
    <r>
      <rPr>
        <sz val="11"/>
        <color theme="1"/>
        <rFont val="Times New Roman"/>
        <charset val="134"/>
      </rPr>
      <t>10/25/14</t>
    </r>
  </si>
  <si>
    <r>
      <rPr>
        <sz val="11"/>
        <color theme="1"/>
        <rFont val="Times New Roman"/>
        <charset val="134"/>
      </rPr>
      <t>10/22/14</t>
    </r>
  </si>
  <si>
    <r>
      <rPr>
        <sz val="11"/>
        <color theme="1"/>
        <rFont val="Times New Roman"/>
        <charset val="134"/>
      </rPr>
      <t>10/18/14</t>
    </r>
  </si>
  <si>
    <r>
      <rPr>
        <sz val="11"/>
        <color theme="1"/>
        <rFont val="Times New Roman"/>
        <charset val="134"/>
      </rPr>
      <t>10/15/14</t>
    </r>
  </si>
  <si>
    <r>
      <rPr>
        <sz val="11"/>
        <color theme="1"/>
        <rFont val="Times New Roman"/>
        <charset val="134"/>
      </rPr>
      <t>09/27/14</t>
    </r>
  </si>
  <si>
    <r>
      <rPr>
        <sz val="11"/>
        <color theme="1"/>
        <rFont val="Times New Roman"/>
        <charset val="134"/>
      </rPr>
      <t>09/24/14</t>
    </r>
  </si>
  <si>
    <r>
      <rPr>
        <sz val="11"/>
        <color theme="1"/>
        <rFont val="Times New Roman"/>
        <charset val="134"/>
      </rPr>
      <t>09/20/14</t>
    </r>
  </si>
  <si>
    <r>
      <rPr>
        <sz val="11"/>
        <color theme="1"/>
        <rFont val="Times New Roman"/>
        <charset val="134"/>
      </rPr>
      <t>09/17/14</t>
    </r>
  </si>
  <si>
    <r>
      <rPr>
        <sz val="11"/>
        <color theme="1"/>
        <rFont val="Times New Roman"/>
        <charset val="134"/>
      </rPr>
      <t>09/13/14</t>
    </r>
  </si>
  <si>
    <r>
      <rPr>
        <sz val="11"/>
        <color theme="1"/>
        <rFont val="Times New Roman"/>
        <charset val="134"/>
      </rPr>
      <t>08/30/14</t>
    </r>
  </si>
  <si>
    <r>
      <rPr>
        <sz val="11"/>
        <color theme="1"/>
        <rFont val="Times New Roman"/>
        <charset val="134"/>
      </rPr>
      <t>08/27/14</t>
    </r>
  </si>
  <si>
    <r>
      <rPr>
        <sz val="11"/>
        <color theme="1"/>
        <rFont val="Times New Roman"/>
        <charset val="134"/>
      </rPr>
      <t>08/23/14</t>
    </r>
  </si>
  <si>
    <r>
      <rPr>
        <sz val="11"/>
        <color theme="1"/>
        <rFont val="Times New Roman"/>
        <charset val="134"/>
      </rPr>
      <t>08/20/14</t>
    </r>
  </si>
  <si>
    <r>
      <rPr>
        <sz val="11"/>
        <color theme="1"/>
        <rFont val="Times New Roman"/>
        <charset val="134"/>
      </rPr>
      <t>08/16/14</t>
    </r>
  </si>
  <si>
    <r>
      <rPr>
        <sz val="11"/>
        <color theme="1"/>
        <rFont val="Times New Roman"/>
        <charset val="134"/>
      </rPr>
      <t>08/13/14</t>
    </r>
  </si>
  <si>
    <r>
      <rPr>
        <sz val="11"/>
        <color theme="1"/>
        <rFont val="Times New Roman"/>
        <charset val="134"/>
      </rPr>
      <t>07/30/14</t>
    </r>
  </si>
  <si>
    <r>
      <rPr>
        <sz val="11"/>
        <color theme="1"/>
        <rFont val="Times New Roman"/>
        <charset val="134"/>
      </rPr>
      <t>07/26/14</t>
    </r>
  </si>
  <si>
    <r>
      <rPr>
        <sz val="11"/>
        <color theme="1"/>
        <rFont val="Times New Roman"/>
        <charset val="134"/>
      </rPr>
      <t>07/23/14</t>
    </r>
  </si>
  <si>
    <r>
      <rPr>
        <sz val="11"/>
        <color theme="1"/>
        <rFont val="Times New Roman"/>
        <charset val="134"/>
      </rPr>
      <t>07/19/14</t>
    </r>
  </si>
  <si>
    <r>
      <rPr>
        <sz val="11"/>
        <color theme="1"/>
        <rFont val="Times New Roman"/>
        <charset val="134"/>
      </rPr>
      <t>07/16/14</t>
    </r>
  </si>
  <si>
    <r>
      <rPr>
        <sz val="11"/>
        <color theme="1"/>
        <rFont val="Times New Roman"/>
        <charset val="134"/>
      </rPr>
      <t>06/28/14</t>
    </r>
  </si>
  <si>
    <r>
      <rPr>
        <sz val="11"/>
        <color theme="1"/>
        <rFont val="Times New Roman"/>
        <charset val="134"/>
      </rPr>
      <t>06/25/14</t>
    </r>
  </si>
  <si>
    <r>
      <rPr>
        <sz val="11"/>
        <color theme="1"/>
        <rFont val="Times New Roman"/>
        <charset val="134"/>
      </rPr>
      <t>06/21/14</t>
    </r>
  </si>
  <si>
    <r>
      <rPr>
        <sz val="11"/>
        <color theme="1"/>
        <rFont val="Times New Roman"/>
        <charset val="134"/>
      </rPr>
      <t>06/18/14</t>
    </r>
  </si>
  <si>
    <r>
      <rPr>
        <sz val="11"/>
        <color theme="1"/>
        <rFont val="Times New Roman"/>
        <charset val="134"/>
      </rPr>
      <t>06/14/14</t>
    </r>
  </si>
  <si>
    <r>
      <rPr>
        <sz val="11"/>
        <color theme="1"/>
        <rFont val="Times New Roman"/>
        <charset val="134"/>
      </rPr>
      <t>05/31/14</t>
    </r>
  </si>
  <si>
    <r>
      <rPr>
        <sz val="11"/>
        <color theme="1"/>
        <rFont val="Times New Roman"/>
        <charset val="134"/>
      </rPr>
      <t>05/28/14</t>
    </r>
  </si>
  <si>
    <r>
      <rPr>
        <sz val="11"/>
        <color theme="1"/>
        <rFont val="Times New Roman"/>
        <charset val="134"/>
      </rPr>
      <t>05/24/14</t>
    </r>
  </si>
  <si>
    <r>
      <rPr>
        <sz val="11"/>
        <color theme="1"/>
        <rFont val="Times New Roman"/>
        <charset val="134"/>
      </rPr>
      <t>05/21/14</t>
    </r>
  </si>
  <si>
    <r>
      <rPr>
        <sz val="11"/>
        <color theme="1"/>
        <rFont val="Times New Roman"/>
        <charset val="134"/>
      </rPr>
      <t>05/17/14</t>
    </r>
  </si>
  <si>
    <r>
      <rPr>
        <sz val="11"/>
        <color theme="1"/>
        <rFont val="Times New Roman"/>
        <charset val="134"/>
      </rPr>
      <t>05/14/14</t>
    </r>
  </si>
  <si>
    <r>
      <rPr>
        <sz val="11"/>
        <color theme="1"/>
        <rFont val="Times New Roman"/>
        <charset val="134"/>
      </rPr>
      <t>04/30/14</t>
    </r>
  </si>
  <si>
    <r>
      <rPr>
        <sz val="11"/>
        <color theme="1"/>
        <rFont val="Times New Roman"/>
        <charset val="134"/>
      </rPr>
      <t>04/26/14</t>
    </r>
  </si>
  <si>
    <r>
      <rPr>
        <sz val="11"/>
        <color theme="1"/>
        <rFont val="Times New Roman"/>
        <charset val="134"/>
      </rPr>
      <t>04/23/14</t>
    </r>
  </si>
  <si>
    <r>
      <rPr>
        <sz val="11"/>
        <color theme="1"/>
        <rFont val="Times New Roman"/>
        <charset val="134"/>
      </rPr>
      <t>04/19/14</t>
    </r>
  </si>
  <si>
    <r>
      <rPr>
        <sz val="11"/>
        <color theme="1"/>
        <rFont val="Times New Roman"/>
        <charset val="134"/>
      </rPr>
      <t>04/16/14</t>
    </r>
  </si>
  <si>
    <r>
      <rPr>
        <sz val="11"/>
        <color theme="1"/>
        <rFont val="Times New Roman"/>
        <charset val="134"/>
      </rPr>
      <t>03/29/14</t>
    </r>
  </si>
  <si>
    <r>
      <rPr>
        <sz val="11"/>
        <color theme="1"/>
        <rFont val="Times New Roman"/>
        <charset val="134"/>
      </rPr>
      <t>03/26/14</t>
    </r>
  </si>
  <si>
    <r>
      <rPr>
        <sz val="11"/>
        <color theme="1"/>
        <rFont val="Times New Roman"/>
        <charset val="134"/>
      </rPr>
      <t>03/22/14</t>
    </r>
  </si>
  <si>
    <r>
      <rPr>
        <sz val="11"/>
        <color theme="1"/>
        <rFont val="Times New Roman"/>
        <charset val="134"/>
      </rPr>
      <t>03/19/14</t>
    </r>
  </si>
  <si>
    <r>
      <rPr>
        <sz val="11"/>
        <color theme="1"/>
        <rFont val="Times New Roman"/>
        <charset val="134"/>
      </rPr>
      <t>03/15/14</t>
    </r>
  </si>
  <si>
    <r>
      <rPr>
        <sz val="11"/>
        <color theme="1"/>
        <rFont val="Times New Roman"/>
        <charset val="134"/>
      </rPr>
      <t>02/26/14</t>
    </r>
  </si>
  <si>
    <r>
      <rPr>
        <sz val="11"/>
        <color theme="1"/>
        <rFont val="Times New Roman"/>
        <charset val="134"/>
      </rPr>
      <t>02/22/14</t>
    </r>
  </si>
  <si>
    <r>
      <rPr>
        <sz val="11"/>
        <color theme="1"/>
        <rFont val="Times New Roman"/>
        <charset val="134"/>
      </rPr>
      <t>02/19/14</t>
    </r>
  </si>
  <si>
    <r>
      <rPr>
        <sz val="11"/>
        <color theme="1"/>
        <rFont val="Times New Roman"/>
        <charset val="134"/>
      </rPr>
      <t>02/15/14</t>
    </r>
  </si>
  <si>
    <r>
      <rPr>
        <sz val="11"/>
        <color theme="1"/>
        <rFont val="Times New Roman"/>
        <charset val="134"/>
      </rPr>
      <t>01/29/14</t>
    </r>
  </si>
  <si>
    <r>
      <rPr>
        <sz val="11"/>
        <color theme="1"/>
        <rFont val="Times New Roman"/>
        <charset val="134"/>
      </rPr>
      <t>01/25/14</t>
    </r>
  </si>
  <si>
    <r>
      <rPr>
        <sz val="11"/>
        <color theme="1"/>
        <rFont val="Times New Roman"/>
        <charset val="134"/>
      </rPr>
      <t>01/22/14</t>
    </r>
  </si>
  <si>
    <r>
      <rPr>
        <sz val="11"/>
        <color theme="1"/>
        <rFont val="Times New Roman"/>
        <charset val="134"/>
      </rPr>
      <t>01/18/14</t>
    </r>
  </si>
  <si>
    <r>
      <rPr>
        <sz val="11"/>
        <color theme="1"/>
        <rFont val="Times New Roman"/>
        <charset val="134"/>
      </rPr>
      <t>01/15/14</t>
    </r>
  </si>
  <si>
    <r>
      <rPr>
        <sz val="11"/>
        <color theme="1"/>
        <rFont val="Times New Roman"/>
        <charset val="134"/>
      </rPr>
      <t>12/28/13</t>
    </r>
  </si>
  <si>
    <r>
      <rPr>
        <sz val="11"/>
        <color theme="1"/>
        <rFont val="Times New Roman"/>
        <charset val="134"/>
      </rPr>
      <t>12/25/13</t>
    </r>
  </si>
  <si>
    <r>
      <rPr>
        <sz val="11"/>
        <color theme="1"/>
        <rFont val="Times New Roman"/>
        <charset val="134"/>
      </rPr>
      <t>12/21/13</t>
    </r>
  </si>
  <si>
    <r>
      <rPr>
        <sz val="11"/>
        <color theme="1"/>
        <rFont val="Times New Roman"/>
        <charset val="134"/>
      </rPr>
      <t>12/18/13</t>
    </r>
  </si>
  <si>
    <r>
      <rPr>
        <sz val="11"/>
        <color theme="1"/>
        <rFont val="Times New Roman"/>
        <charset val="134"/>
      </rPr>
      <t>12/14/13</t>
    </r>
  </si>
  <si>
    <r>
      <rPr>
        <sz val="11"/>
        <color theme="1"/>
        <rFont val="Times New Roman"/>
        <charset val="134"/>
      </rPr>
      <t>11/30/13</t>
    </r>
  </si>
  <si>
    <r>
      <rPr>
        <sz val="11"/>
        <color theme="1"/>
        <rFont val="Times New Roman"/>
        <charset val="134"/>
      </rPr>
      <t>11/27/13</t>
    </r>
  </si>
  <si>
    <r>
      <rPr>
        <sz val="11"/>
        <color theme="1"/>
        <rFont val="Times New Roman"/>
        <charset val="134"/>
      </rPr>
      <t>11/23/13</t>
    </r>
  </si>
  <si>
    <r>
      <rPr>
        <sz val="11"/>
        <color theme="1"/>
        <rFont val="Times New Roman"/>
        <charset val="134"/>
      </rPr>
      <t>11/20/13</t>
    </r>
  </si>
  <si>
    <r>
      <rPr>
        <sz val="11"/>
        <color theme="1"/>
        <rFont val="Times New Roman"/>
        <charset val="134"/>
      </rPr>
      <t>11/16/13</t>
    </r>
  </si>
  <si>
    <r>
      <rPr>
        <sz val="11"/>
        <color theme="1"/>
        <rFont val="Times New Roman"/>
        <charset val="134"/>
      </rPr>
      <t>11/13/13</t>
    </r>
  </si>
  <si>
    <r>
      <rPr>
        <sz val="11"/>
        <color theme="1"/>
        <rFont val="Times New Roman"/>
        <charset val="134"/>
      </rPr>
      <t>10/30/13</t>
    </r>
  </si>
  <si>
    <r>
      <rPr>
        <sz val="11"/>
        <color theme="1"/>
        <rFont val="Times New Roman"/>
        <charset val="134"/>
      </rPr>
      <t>10/26/13</t>
    </r>
  </si>
  <si>
    <r>
      <rPr>
        <sz val="11"/>
        <color theme="1"/>
        <rFont val="Times New Roman"/>
        <charset val="134"/>
      </rPr>
      <t>10/23/13</t>
    </r>
  </si>
  <si>
    <r>
      <rPr>
        <sz val="11"/>
        <color theme="1"/>
        <rFont val="Times New Roman"/>
        <charset val="134"/>
      </rPr>
      <t>10/19/13</t>
    </r>
  </si>
  <si>
    <r>
      <rPr>
        <sz val="11"/>
        <color theme="1"/>
        <rFont val="Times New Roman"/>
        <charset val="134"/>
      </rPr>
      <t>10/16/13</t>
    </r>
  </si>
  <si>
    <r>
      <rPr>
        <sz val="11"/>
        <color theme="1"/>
        <rFont val="Times New Roman"/>
        <charset val="134"/>
      </rPr>
      <t>09/28/13</t>
    </r>
  </si>
  <si>
    <r>
      <rPr>
        <sz val="11"/>
        <color theme="1"/>
        <rFont val="Times New Roman"/>
        <charset val="134"/>
      </rPr>
      <t>09/25/13</t>
    </r>
  </si>
  <si>
    <r>
      <rPr>
        <sz val="11"/>
        <color theme="1"/>
        <rFont val="Times New Roman"/>
        <charset val="134"/>
      </rPr>
      <t>09/21/13</t>
    </r>
  </si>
  <si>
    <r>
      <rPr>
        <sz val="11"/>
        <color theme="1"/>
        <rFont val="Times New Roman"/>
        <charset val="134"/>
      </rPr>
      <t>09/18/13</t>
    </r>
  </si>
  <si>
    <r>
      <rPr>
        <sz val="11"/>
        <color theme="1"/>
        <rFont val="Times New Roman"/>
        <charset val="134"/>
      </rPr>
      <t>09/14/13</t>
    </r>
  </si>
  <si>
    <r>
      <rPr>
        <sz val="11"/>
        <color theme="1"/>
        <rFont val="Times New Roman"/>
        <charset val="134"/>
      </rPr>
      <t>08/31/13</t>
    </r>
  </si>
  <si>
    <r>
      <rPr>
        <sz val="11"/>
        <color theme="1"/>
        <rFont val="Times New Roman"/>
        <charset val="134"/>
      </rPr>
      <t>08/28/13</t>
    </r>
  </si>
  <si>
    <r>
      <rPr>
        <sz val="11"/>
        <color theme="1"/>
        <rFont val="Times New Roman"/>
        <charset val="134"/>
      </rPr>
      <t>08/24/13</t>
    </r>
  </si>
  <si>
    <r>
      <rPr>
        <sz val="11"/>
        <color theme="1"/>
        <rFont val="Times New Roman"/>
        <charset val="134"/>
      </rPr>
      <t>08/21/13</t>
    </r>
  </si>
  <si>
    <r>
      <rPr>
        <sz val="11"/>
        <color theme="1"/>
        <rFont val="Times New Roman"/>
        <charset val="134"/>
      </rPr>
      <t>08/17/13</t>
    </r>
  </si>
  <si>
    <r>
      <rPr>
        <sz val="11"/>
        <color theme="1"/>
        <rFont val="Times New Roman"/>
        <charset val="134"/>
      </rPr>
      <t>08/14/13</t>
    </r>
  </si>
  <si>
    <r>
      <rPr>
        <sz val="11"/>
        <color theme="1"/>
        <rFont val="Times New Roman"/>
        <charset val="134"/>
      </rPr>
      <t>07/31/13</t>
    </r>
  </si>
  <si>
    <r>
      <rPr>
        <sz val="11"/>
        <color theme="1"/>
        <rFont val="Times New Roman"/>
        <charset val="134"/>
      </rPr>
      <t>07/27/13</t>
    </r>
  </si>
  <si>
    <r>
      <rPr>
        <sz val="11"/>
        <color theme="1"/>
        <rFont val="Times New Roman"/>
        <charset val="134"/>
      </rPr>
      <t>07/24/13</t>
    </r>
  </si>
  <si>
    <r>
      <rPr>
        <sz val="11"/>
        <color theme="1"/>
        <rFont val="Times New Roman"/>
        <charset val="134"/>
      </rPr>
      <t>07/20/13</t>
    </r>
  </si>
  <si>
    <r>
      <rPr>
        <sz val="11"/>
        <color theme="1"/>
        <rFont val="Times New Roman"/>
        <charset val="134"/>
      </rPr>
      <t>07/17/13</t>
    </r>
  </si>
  <si>
    <r>
      <rPr>
        <sz val="11"/>
        <color theme="1"/>
        <rFont val="Times New Roman"/>
        <charset val="134"/>
      </rPr>
      <t>07/13/13</t>
    </r>
  </si>
  <si>
    <r>
      <rPr>
        <sz val="11"/>
        <color theme="1"/>
        <rFont val="Times New Roman"/>
        <charset val="134"/>
      </rPr>
      <t>06/29/13</t>
    </r>
  </si>
  <si>
    <r>
      <rPr>
        <sz val="11"/>
        <color theme="1"/>
        <rFont val="Times New Roman"/>
        <charset val="134"/>
      </rPr>
      <t>06/26/13</t>
    </r>
  </si>
  <si>
    <r>
      <rPr>
        <sz val="11"/>
        <color theme="1"/>
        <rFont val="Times New Roman"/>
        <charset val="134"/>
      </rPr>
      <t>06/22/13</t>
    </r>
  </si>
  <si>
    <r>
      <rPr>
        <sz val="11"/>
        <color theme="1"/>
        <rFont val="Times New Roman"/>
        <charset val="134"/>
      </rPr>
      <t>06/19/13</t>
    </r>
  </si>
  <si>
    <r>
      <rPr>
        <sz val="11"/>
        <color theme="1"/>
        <rFont val="Times New Roman"/>
        <charset val="134"/>
      </rPr>
      <t>06/15/13</t>
    </r>
  </si>
  <si>
    <r>
      <rPr>
        <sz val="11"/>
        <color theme="1"/>
        <rFont val="Times New Roman"/>
        <charset val="134"/>
      </rPr>
      <t>05/29/13</t>
    </r>
  </si>
  <si>
    <r>
      <rPr>
        <sz val="11"/>
        <color theme="1"/>
        <rFont val="Times New Roman"/>
        <charset val="134"/>
      </rPr>
      <t>05/25/13</t>
    </r>
  </si>
  <si>
    <r>
      <rPr>
        <sz val="11"/>
        <color theme="1"/>
        <rFont val="Times New Roman"/>
        <charset val="134"/>
      </rPr>
      <t>05/22/13</t>
    </r>
  </si>
  <si>
    <r>
      <rPr>
        <sz val="11"/>
        <color theme="1"/>
        <rFont val="Times New Roman"/>
        <charset val="134"/>
      </rPr>
      <t>05/18/13</t>
    </r>
  </si>
  <si>
    <r>
      <rPr>
        <sz val="11"/>
        <color theme="1"/>
        <rFont val="Times New Roman"/>
        <charset val="134"/>
      </rPr>
      <t>05/15/13</t>
    </r>
  </si>
  <si>
    <r>
      <rPr>
        <sz val="11"/>
        <color theme="1"/>
        <rFont val="Times New Roman"/>
        <charset val="134"/>
      </rPr>
      <t>04/27/13</t>
    </r>
  </si>
  <si>
    <r>
      <rPr>
        <sz val="11"/>
        <color theme="1"/>
        <rFont val="Times New Roman"/>
        <charset val="134"/>
      </rPr>
      <t>04/24/13</t>
    </r>
  </si>
  <si>
    <r>
      <rPr>
        <sz val="11"/>
        <color theme="1"/>
        <rFont val="Times New Roman"/>
        <charset val="134"/>
      </rPr>
      <t>04/20/13</t>
    </r>
  </si>
  <si>
    <r>
      <rPr>
        <sz val="11"/>
        <color theme="1"/>
        <rFont val="Times New Roman"/>
        <charset val="134"/>
      </rPr>
      <t>04/17/13</t>
    </r>
  </si>
  <si>
    <r>
      <rPr>
        <sz val="11"/>
        <color theme="1"/>
        <rFont val="Times New Roman"/>
        <charset val="134"/>
      </rPr>
      <t>04/13/13</t>
    </r>
  </si>
  <si>
    <r>
      <rPr>
        <sz val="11"/>
        <color theme="1"/>
        <rFont val="Times New Roman"/>
        <charset val="134"/>
      </rPr>
      <t>03/30/13</t>
    </r>
  </si>
  <si>
    <r>
      <rPr>
        <sz val="11"/>
        <color theme="1"/>
        <rFont val="Times New Roman"/>
        <charset val="134"/>
      </rPr>
      <t>03/27/13</t>
    </r>
  </si>
  <si>
    <r>
      <rPr>
        <sz val="11"/>
        <color theme="1"/>
        <rFont val="Times New Roman"/>
        <charset val="134"/>
      </rPr>
      <t>03/23/13</t>
    </r>
  </si>
  <si>
    <r>
      <rPr>
        <sz val="11"/>
        <color theme="1"/>
        <rFont val="Times New Roman"/>
        <charset val="134"/>
      </rPr>
      <t>03/20/13</t>
    </r>
  </si>
  <si>
    <r>
      <rPr>
        <sz val="11"/>
        <color theme="1"/>
        <rFont val="Times New Roman"/>
        <charset val="134"/>
      </rPr>
      <t>03/16/13</t>
    </r>
  </si>
  <si>
    <r>
      <rPr>
        <sz val="11"/>
        <color theme="1"/>
        <rFont val="Times New Roman"/>
        <charset val="134"/>
      </rPr>
      <t>03/13/13</t>
    </r>
  </si>
  <si>
    <r>
      <rPr>
        <sz val="11"/>
        <color theme="1"/>
        <rFont val="Times New Roman"/>
        <charset val="134"/>
      </rPr>
      <t>02/27/13</t>
    </r>
  </si>
  <si>
    <r>
      <rPr>
        <sz val="11"/>
        <color theme="1"/>
        <rFont val="Times New Roman"/>
        <charset val="134"/>
      </rPr>
      <t>02/23/13</t>
    </r>
  </si>
  <si>
    <r>
      <rPr>
        <sz val="11"/>
        <color theme="1"/>
        <rFont val="Times New Roman"/>
        <charset val="134"/>
      </rPr>
      <t>02/20/13</t>
    </r>
  </si>
  <si>
    <r>
      <rPr>
        <sz val="11"/>
        <color theme="1"/>
        <rFont val="Times New Roman"/>
        <charset val="134"/>
      </rPr>
      <t>02/16/13</t>
    </r>
  </si>
  <si>
    <r>
      <rPr>
        <sz val="11"/>
        <color theme="1"/>
        <rFont val="Times New Roman"/>
        <charset val="134"/>
      </rPr>
      <t>02/13/13</t>
    </r>
  </si>
  <si>
    <r>
      <rPr>
        <sz val="11"/>
        <color theme="1"/>
        <rFont val="Times New Roman"/>
        <charset val="134"/>
      </rPr>
      <t>01/30/13</t>
    </r>
  </si>
  <si>
    <r>
      <rPr>
        <sz val="11"/>
        <color theme="1"/>
        <rFont val="Times New Roman"/>
        <charset val="134"/>
      </rPr>
      <t>01/26/13</t>
    </r>
  </si>
  <si>
    <r>
      <rPr>
        <sz val="11"/>
        <color theme="1"/>
        <rFont val="Times New Roman"/>
        <charset val="134"/>
      </rPr>
      <t>01/23/13</t>
    </r>
  </si>
  <si>
    <r>
      <rPr>
        <sz val="11"/>
        <color theme="1"/>
        <rFont val="Times New Roman"/>
        <charset val="134"/>
      </rPr>
      <t>01/19/13</t>
    </r>
  </si>
  <si>
    <r>
      <rPr>
        <sz val="11"/>
        <color theme="1"/>
        <rFont val="Times New Roman"/>
        <charset val="134"/>
      </rPr>
      <t>01/16/13</t>
    </r>
  </si>
  <si>
    <r>
      <rPr>
        <sz val="11"/>
        <color theme="1"/>
        <rFont val="Times New Roman"/>
        <charset val="134"/>
      </rPr>
      <t>12/29/12</t>
    </r>
  </si>
  <si>
    <r>
      <rPr>
        <sz val="11"/>
        <color theme="1"/>
        <rFont val="Times New Roman"/>
        <charset val="134"/>
      </rPr>
      <t>12/26/12</t>
    </r>
  </si>
  <si>
    <r>
      <rPr>
        <sz val="11"/>
        <color theme="1"/>
        <rFont val="Times New Roman"/>
        <charset val="134"/>
      </rPr>
      <t>12/22/12</t>
    </r>
  </si>
  <si>
    <r>
      <rPr>
        <sz val="11"/>
        <color theme="1"/>
        <rFont val="Times New Roman"/>
        <charset val="134"/>
      </rPr>
      <t>12/19/12</t>
    </r>
  </si>
  <si>
    <r>
      <rPr>
        <sz val="11"/>
        <color theme="1"/>
        <rFont val="Times New Roman"/>
        <charset val="134"/>
      </rPr>
      <t>12/15/12</t>
    </r>
  </si>
  <si>
    <r>
      <rPr>
        <sz val="11"/>
        <color theme="1"/>
        <rFont val="Times New Roman"/>
        <charset val="134"/>
      </rPr>
      <t>11/28/12</t>
    </r>
  </si>
  <si>
    <r>
      <rPr>
        <sz val="11"/>
        <color theme="1"/>
        <rFont val="Times New Roman"/>
        <charset val="134"/>
      </rPr>
      <t>11/24/12</t>
    </r>
  </si>
  <si>
    <r>
      <rPr>
        <sz val="11"/>
        <color theme="1"/>
        <rFont val="Times New Roman"/>
        <charset val="134"/>
      </rPr>
      <t>11/21/12</t>
    </r>
  </si>
  <si>
    <r>
      <rPr>
        <sz val="11"/>
        <color theme="1"/>
        <rFont val="Times New Roman"/>
        <charset val="134"/>
      </rPr>
      <t>11/17/12</t>
    </r>
  </si>
  <si>
    <r>
      <rPr>
        <sz val="11"/>
        <color theme="1"/>
        <rFont val="Times New Roman"/>
        <charset val="134"/>
      </rPr>
      <t>11/14/12</t>
    </r>
  </si>
  <si>
    <r>
      <rPr>
        <sz val="11"/>
        <color theme="1"/>
        <rFont val="Times New Roman"/>
        <charset val="134"/>
      </rPr>
      <t>10/31/12</t>
    </r>
  </si>
  <si>
    <r>
      <rPr>
        <sz val="11"/>
        <color theme="1"/>
        <rFont val="Times New Roman"/>
        <charset val="134"/>
      </rPr>
      <t>10/27/12</t>
    </r>
  </si>
  <si>
    <r>
      <rPr>
        <sz val="11"/>
        <color theme="1"/>
        <rFont val="Times New Roman"/>
        <charset val="134"/>
      </rPr>
      <t>10/24/12</t>
    </r>
  </si>
  <si>
    <r>
      <rPr>
        <sz val="11"/>
        <color theme="1"/>
        <rFont val="Times New Roman"/>
        <charset val="134"/>
      </rPr>
      <t>10/20/12</t>
    </r>
  </si>
  <si>
    <r>
      <rPr>
        <sz val="11"/>
        <color theme="1"/>
        <rFont val="Times New Roman"/>
        <charset val="134"/>
      </rPr>
      <t>10/17/12</t>
    </r>
  </si>
  <si>
    <r>
      <rPr>
        <sz val="11"/>
        <color theme="1"/>
        <rFont val="Times New Roman"/>
        <charset val="134"/>
      </rPr>
      <t>10/13/12</t>
    </r>
  </si>
  <si>
    <r>
      <rPr>
        <sz val="11"/>
        <color theme="1"/>
        <rFont val="Times New Roman"/>
        <charset val="134"/>
      </rPr>
      <t>09/29/12</t>
    </r>
  </si>
  <si>
    <r>
      <rPr>
        <sz val="11"/>
        <color theme="1"/>
        <rFont val="Times New Roman"/>
        <charset val="134"/>
      </rPr>
      <t>09/26/12</t>
    </r>
  </si>
  <si>
    <r>
      <rPr>
        <sz val="11"/>
        <color theme="1"/>
        <rFont val="Times New Roman"/>
        <charset val="134"/>
      </rPr>
      <t>09/22/12</t>
    </r>
  </si>
  <si>
    <r>
      <rPr>
        <sz val="11"/>
        <color theme="1"/>
        <rFont val="Times New Roman"/>
        <charset val="134"/>
      </rPr>
      <t>09/19/12</t>
    </r>
  </si>
  <si>
    <r>
      <rPr>
        <sz val="11"/>
        <color theme="1"/>
        <rFont val="Times New Roman"/>
        <charset val="134"/>
      </rPr>
      <t>09/15/12</t>
    </r>
  </si>
  <si>
    <r>
      <rPr>
        <sz val="11"/>
        <color theme="1"/>
        <rFont val="Times New Roman"/>
        <charset val="134"/>
      </rPr>
      <t>08/29/12</t>
    </r>
  </si>
  <si>
    <r>
      <rPr>
        <sz val="11"/>
        <color theme="1"/>
        <rFont val="Times New Roman"/>
        <charset val="134"/>
      </rPr>
      <t>08/25/12</t>
    </r>
  </si>
  <si>
    <r>
      <rPr>
        <sz val="11"/>
        <color theme="1"/>
        <rFont val="Times New Roman"/>
        <charset val="134"/>
      </rPr>
      <t>08/22/12</t>
    </r>
  </si>
  <si>
    <r>
      <rPr>
        <sz val="11"/>
        <color theme="1"/>
        <rFont val="Times New Roman"/>
        <charset val="134"/>
      </rPr>
      <t>08/18/12</t>
    </r>
  </si>
  <si>
    <r>
      <rPr>
        <sz val="11"/>
        <color theme="1"/>
        <rFont val="Times New Roman"/>
        <charset val="134"/>
      </rPr>
      <t>08/15/12</t>
    </r>
  </si>
  <si>
    <r>
      <rPr>
        <sz val="11"/>
        <color theme="1"/>
        <rFont val="Times New Roman"/>
        <charset val="134"/>
      </rPr>
      <t>07/28/12</t>
    </r>
  </si>
  <si>
    <r>
      <rPr>
        <sz val="11"/>
        <color theme="1"/>
        <rFont val="Times New Roman"/>
        <charset val="134"/>
      </rPr>
      <t>07/25/12</t>
    </r>
  </si>
  <si>
    <r>
      <rPr>
        <sz val="11"/>
        <color theme="1"/>
        <rFont val="Times New Roman"/>
        <charset val="134"/>
      </rPr>
      <t>07/21/12</t>
    </r>
  </si>
  <si>
    <r>
      <rPr>
        <sz val="11"/>
        <color theme="1"/>
        <rFont val="Times New Roman"/>
        <charset val="134"/>
      </rPr>
      <t>07/18/12</t>
    </r>
  </si>
  <si>
    <r>
      <rPr>
        <sz val="11"/>
        <color theme="1"/>
        <rFont val="Times New Roman"/>
        <charset val="134"/>
      </rPr>
      <t>07/14/12</t>
    </r>
  </si>
  <si>
    <r>
      <rPr>
        <sz val="11"/>
        <color theme="1"/>
        <rFont val="Times New Roman"/>
        <charset val="134"/>
      </rPr>
      <t>06/30/12</t>
    </r>
  </si>
  <si>
    <r>
      <rPr>
        <sz val="11"/>
        <color theme="1"/>
        <rFont val="Times New Roman"/>
        <charset val="134"/>
      </rPr>
      <t>06/27/12</t>
    </r>
  </si>
  <si>
    <r>
      <rPr>
        <sz val="11"/>
        <color theme="1"/>
        <rFont val="Times New Roman"/>
        <charset val="134"/>
      </rPr>
      <t>06/23/12</t>
    </r>
  </si>
  <si>
    <r>
      <rPr>
        <sz val="11"/>
        <color theme="1"/>
        <rFont val="Times New Roman"/>
        <charset val="134"/>
      </rPr>
      <t>06/20/12</t>
    </r>
  </si>
  <si>
    <r>
      <rPr>
        <sz val="11"/>
        <color theme="1"/>
        <rFont val="Times New Roman"/>
        <charset val="134"/>
      </rPr>
      <t>06/16/12</t>
    </r>
  </si>
  <si>
    <r>
      <rPr>
        <sz val="11"/>
        <color theme="1"/>
        <rFont val="Times New Roman"/>
        <charset val="134"/>
      </rPr>
      <t>06/13/12</t>
    </r>
  </si>
  <si>
    <r>
      <rPr>
        <sz val="11"/>
        <color theme="1"/>
        <rFont val="Times New Roman"/>
        <charset val="134"/>
      </rPr>
      <t>05/30/12</t>
    </r>
  </si>
  <si>
    <r>
      <rPr>
        <sz val="11"/>
        <color theme="1"/>
        <rFont val="Times New Roman"/>
        <charset val="134"/>
      </rPr>
      <t>05/26/12</t>
    </r>
  </si>
  <si>
    <r>
      <rPr>
        <sz val="11"/>
        <color theme="1"/>
        <rFont val="Times New Roman"/>
        <charset val="134"/>
      </rPr>
      <t>05/23/12</t>
    </r>
  </si>
  <si>
    <r>
      <rPr>
        <sz val="11"/>
        <color theme="1"/>
        <rFont val="Times New Roman"/>
        <charset val="134"/>
      </rPr>
      <t>05/19/12</t>
    </r>
  </si>
  <si>
    <r>
      <rPr>
        <sz val="11"/>
        <color theme="1"/>
        <rFont val="Times New Roman"/>
        <charset val="134"/>
      </rPr>
      <t>05/16/12</t>
    </r>
  </si>
  <si>
    <r>
      <rPr>
        <sz val="11"/>
        <color theme="1"/>
        <rFont val="Times New Roman"/>
        <charset val="134"/>
      </rPr>
      <t>04/28/12</t>
    </r>
  </si>
  <si>
    <r>
      <rPr>
        <sz val="11"/>
        <color theme="1"/>
        <rFont val="Times New Roman"/>
        <charset val="134"/>
      </rPr>
      <t>04/25/12</t>
    </r>
  </si>
  <si>
    <r>
      <rPr>
        <sz val="11"/>
        <color theme="1"/>
        <rFont val="Times New Roman"/>
        <charset val="134"/>
      </rPr>
      <t>04/21/12</t>
    </r>
  </si>
  <si>
    <r>
      <rPr>
        <sz val="11"/>
        <color theme="1"/>
        <rFont val="Times New Roman"/>
        <charset val="134"/>
      </rPr>
      <t>04/18/12</t>
    </r>
  </si>
  <si>
    <r>
      <rPr>
        <sz val="11"/>
        <color theme="1"/>
        <rFont val="Times New Roman"/>
        <charset val="134"/>
      </rPr>
      <t>04/14/12</t>
    </r>
  </si>
  <si>
    <r>
      <rPr>
        <sz val="11"/>
        <color theme="1"/>
        <rFont val="Times New Roman"/>
        <charset val="134"/>
      </rPr>
      <t>03/31/12</t>
    </r>
  </si>
  <si>
    <r>
      <rPr>
        <sz val="11"/>
        <color theme="1"/>
        <rFont val="Times New Roman"/>
        <charset val="134"/>
      </rPr>
      <t>03/28/12</t>
    </r>
  </si>
  <si>
    <r>
      <rPr>
        <sz val="11"/>
        <color theme="1"/>
        <rFont val="Times New Roman"/>
        <charset val="134"/>
      </rPr>
      <t>03/24/12</t>
    </r>
  </si>
  <si>
    <r>
      <rPr>
        <sz val="11"/>
        <color theme="1"/>
        <rFont val="Times New Roman"/>
        <charset val="134"/>
      </rPr>
      <t>03/21/12</t>
    </r>
  </si>
  <si>
    <r>
      <rPr>
        <sz val="11"/>
        <color theme="1"/>
        <rFont val="Times New Roman"/>
        <charset val="134"/>
      </rPr>
      <t>03/17/12</t>
    </r>
  </si>
  <si>
    <r>
      <rPr>
        <sz val="11"/>
        <color theme="1"/>
        <rFont val="Times New Roman"/>
        <charset val="134"/>
      </rPr>
      <t>03/14/12</t>
    </r>
  </si>
  <si>
    <r>
      <rPr>
        <sz val="11"/>
        <color theme="1"/>
        <rFont val="Times New Roman"/>
        <charset val="134"/>
      </rPr>
      <t>02/29/12</t>
    </r>
  </si>
  <si>
    <r>
      <rPr>
        <sz val="11"/>
        <color theme="1"/>
        <rFont val="Times New Roman"/>
        <charset val="134"/>
      </rPr>
      <t>02/25/12</t>
    </r>
  </si>
  <si>
    <r>
      <rPr>
        <sz val="11"/>
        <color theme="1"/>
        <rFont val="Times New Roman"/>
        <charset val="134"/>
      </rPr>
      <t>02/22/12</t>
    </r>
  </si>
  <si>
    <r>
      <rPr>
        <sz val="11"/>
        <color theme="1"/>
        <rFont val="Times New Roman"/>
        <charset val="134"/>
      </rPr>
      <t>02/18/12</t>
    </r>
  </si>
  <si>
    <r>
      <rPr>
        <sz val="11"/>
        <color theme="1"/>
        <rFont val="Times New Roman"/>
        <charset val="134"/>
      </rPr>
      <t>02/15/12</t>
    </r>
  </si>
  <si>
    <r>
      <rPr>
        <sz val="11"/>
        <color theme="1"/>
        <rFont val="Times New Roman"/>
        <charset val="134"/>
      </rPr>
      <t>01/28/12</t>
    </r>
  </si>
  <si>
    <r>
      <rPr>
        <sz val="11"/>
        <color theme="1"/>
        <rFont val="Times New Roman"/>
        <charset val="134"/>
      </rPr>
      <t>01/25/12</t>
    </r>
  </si>
  <si>
    <r>
      <rPr>
        <sz val="11"/>
        <color theme="1"/>
        <rFont val="Times New Roman"/>
        <charset val="134"/>
      </rPr>
      <t>01/21/12</t>
    </r>
  </si>
  <si>
    <r>
      <rPr>
        <sz val="11"/>
        <color theme="1"/>
        <rFont val="Times New Roman"/>
        <charset val="134"/>
      </rPr>
      <t>01/18/12</t>
    </r>
  </si>
  <si>
    <r>
      <rPr>
        <sz val="11"/>
        <color theme="1"/>
        <rFont val="Times New Roman"/>
        <charset val="134"/>
      </rPr>
      <t>01/14/12</t>
    </r>
  </si>
  <si>
    <r>
      <rPr>
        <sz val="11"/>
        <color theme="1"/>
        <rFont val="Times New Roman"/>
        <charset val="134"/>
      </rPr>
      <t>12/31/11</t>
    </r>
  </si>
  <si>
    <r>
      <rPr>
        <sz val="11"/>
        <color theme="1"/>
        <rFont val="Times New Roman"/>
        <charset val="134"/>
      </rPr>
      <t>12/28/11</t>
    </r>
  </si>
  <si>
    <r>
      <rPr>
        <sz val="11"/>
        <color theme="1"/>
        <rFont val="Times New Roman"/>
        <charset val="134"/>
      </rPr>
      <t>12/24/11</t>
    </r>
  </si>
  <si>
    <r>
      <rPr>
        <sz val="11"/>
        <color theme="1"/>
        <rFont val="Times New Roman"/>
        <charset val="134"/>
      </rPr>
      <t>12/21/11</t>
    </r>
  </si>
  <si>
    <r>
      <rPr>
        <sz val="11"/>
        <color theme="1"/>
        <rFont val="Times New Roman"/>
        <charset val="134"/>
      </rPr>
      <t>12/17/11</t>
    </r>
  </si>
  <si>
    <r>
      <rPr>
        <sz val="11"/>
        <color theme="1"/>
        <rFont val="Times New Roman"/>
        <charset val="134"/>
      </rPr>
      <t>12/14/11</t>
    </r>
  </si>
  <si>
    <r>
      <rPr>
        <sz val="11"/>
        <color theme="1"/>
        <rFont val="Times New Roman"/>
        <charset val="134"/>
      </rPr>
      <t>11/30/11</t>
    </r>
  </si>
  <si>
    <r>
      <rPr>
        <sz val="11"/>
        <color theme="1"/>
        <rFont val="Times New Roman"/>
        <charset val="134"/>
      </rPr>
      <t>11/26/11</t>
    </r>
  </si>
  <si>
    <r>
      <rPr>
        <sz val="11"/>
        <color theme="1"/>
        <rFont val="Times New Roman"/>
        <charset val="134"/>
      </rPr>
      <t>11/23/11</t>
    </r>
  </si>
  <si>
    <r>
      <rPr>
        <sz val="11"/>
        <color theme="1"/>
        <rFont val="Times New Roman"/>
        <charset val="134"/>
      </rPr>
      <t>11/19/11</t>
    </r>
  </si>
  <si>
    <r>
      <rPr>
        <sz val="11"/>
        <color theme="1"/>
        <rFont val="Times New Roman"/>
        <charset val="134"/>
      </rPr>
      <t>11/16/11</t>
    </r>
  </si>
  <si>
    <r>
      <rPr>
        <sz val="11"/>
        <color theme="1"/>
        <rFont val="Times New Roman"/>
        <charset val="134"/>
      </rPr>
      <t>10/29/11</t>
    </r>
  </si>
  <si>
    <r>
      <rPr>
        <sz val="11"/>
        <color theme="1"/>
        <rFont val="Times New Roman"/>
        <charset val="134"/>
      </rPr>
      <t>10/26/11</t>
    </r>
  </si>
  <si>
    <r>
      <rPr>
        <sz val="11"/>
        <color theme="1"/>
        <rFont val="Times New Roman"/>
        <charset val="134"/>
      </rPr>
      <t>10/22/11</t>
    </r>
  </si>
  <si>
    <r>
      <rPr>
        <sz val="11"/>
        <color theme="1"/>
        <rFont val="Times New Roman"/>
        <charset val="134"/>
      </rPr>
      <t>10/19/11</t>
    </r>
  </si>
  <si>
    <r>
      <rPr>
        <sz val="11"/>
        <color theme="1"/>
        <rFont val="Times New Roman"/>
        <charset val="134"/>
      </rPr>
      <t>10/15/11</t>
    </r>
  </si>
  <si>
    <r>
      <rPr>
        <sz val="11"/>
        <color theme="1"/>
        <rFont val="Times New Roman"/>
        <charset val="134"/>
      </rPr>
      <t>09/28/11</t>
    </r>
  </si>
  <si>
    <r>
      <rPr>
        <sz val="11"/>
        <color theme="1"/>
        <rFont val="Times New Roman"/>
        <charset val="134"/>
      </rPr>
      <t>09/24/11</t>
    </r>
  </si>
  <si>
    <r>
      <rPr>
        <sz val="11"/>
        <color theme="1"/>
        <rFont val="Times New Roman"/>
        <charset val="134"/>
      </rPr>
      <t>09/21/11</t>
    </r>
  </si>
  <si>
    <r>
      <rPr>
        <sz val="11"/>
        <color theme="1"/>
        <rFont val="Times New Roman"/>
        <charset val="134"/>
      </rPr>
      <t>09/17/11</t>
    </r>
  </si>
  <si>
    <r>
      <rPr>
        <sz val="11"/>
        <color theme="1"/>
        <rFont val="Times New Roman"/>
        <charset val="134"/>
      </rPr>
      <t>09/14/11</t>
    </r>
  </si>
  <si>
    <r>
      <rPr>
        <sz val="11"/>
        <color theme="1"/>
        <rFont val="Times New Roman"/>
        <charset val="134"/>
      </rPr>
      <t>08/31/11</t>
    </r>
  </si>
  <si>
    <r>
      <rPr>
        <sz val="11"/>
        <color theme="1"/>
        <rFont val="Times New Roman"/>
        <charset val="134"/>
      </rPr>
      <t>08/27/11</t>
    </r>
  </si>
  <si>
    <r>
      <rPr>
        <sz val="11"/>
        <color theme="1"/>
        <rFont val="Times New Roman"/>
        <charset val="134"/>
      </rPr>
      <t>08/24/11</t>
    </r>
  </si>
  <si>
    <r>
      <rPr>
        <sz val="11"/>
        <color theme="1"/>
        <rFont val="Times New Roman"/>
        <charset val="134"/>
      </rPr>
      <t>08/20/11</t>
    </r>
  </si>
  <si>
    <r>
      <rPr>
        <sz val="11"/>
        <color theme="1"/>
        <rFont val="Times New Roman"/>
        <charset val="134"/>
      </rPr>
      <t>08/17/11</t>
    </r>
  </si>
  <si>
    <r>
      <rPr>
        <sz val="11"/>
        <color theme="1"/>
        <rFont val="Times New Roman"/>
        <charset val="134"/>
      </rPr>
      <t>08/13/11</t>
    </r>
  </si>
  <si>
    <r>
      <rPr>
        <sz val="11"/>
        <color theme="1"/>
        <rFont val="Times New Roman"/>
        <charset val="134"/>
      </rPr>
      <t>07/30/11</t>
    </r>
  </si>
  <si>
    <r>
      <rPr>
        <sz val="11"/>
        <color theme="1"/>
        <rFont val="Times New Roman"/>
        <charset val="134"/>
      </rPr>
      <t>07/27/11</t>
    </r>
  </si>
  <si>
    <r>
      <rPr>
        <sz val="11"/>
        <color theme="1"/>
        <rFont val="Times New Roman"/>
        <charset val="134"/>
      </rPr>
      <t>07/23/11</t>
    </r>
  </si>
  <si>
    <r>
      <rPr>
        <sz val="11"/>
        <color theme="1"/>
        <rFont val="Times New Roman"/>
        <charset val="134"/>
      </rPr>
      <t>07/20/11</t>
    </r>
  </si>
  <si>
    <r>
      <rPr>
        <sz val="11"/>
        <color theme="1"/>
        <rFont val="Times New Roman"/>
        <charset val="134"/>
      </rPr>
      <t>07/16/11</t>
    </r>
  </si>
  <si>
    <r>
      <rPr>
        <sz val="11"/>
        <color theme="1"/>
        <rFont val="Times New Roman"/>
        <charset val="134"/>
      </rPr>
      <t>07/13/11</t>
    </r>
  </si>
  <si>
    <r>
      <rPr>
        <sz val="11"/>
        <color theme="1"/>
        <rFont val="Times New Roman"/>
        <charset val="134"/>
      </rPr>
      <t>06/29/11</t>
    </r>
  </si>
  <si>
    <r>
      <rPr>
        <sz val="11"/>
        <color theme="1"/>
        <rFont val="Times New Roman"/>
        <charset val="134"/>
      </rPr>
      <t>06/25/11</t>
    </r>
  </si>
  <si>
    <r>
      <rPr>
        <sz val="11"/>
        <color theme="1"/>
        <rFont val="Times New Roman"/>
        <charset val="134"/>
      </rPr>
      <t>06/22/11</t>
    </r>
  </si>
  <si>
    <r>
      <rPr>
        <sz val="11"/>
        <color theme="1"/>
        <rFont val="Times New Roman"/>
        <charset val="134"/>
      </rPr>
      <t>06/18/11</t>
    </r>
  </si>
  <si>
    <r>
      <rPr>
        <sz val="11"/>
        <color theme="1"/>
        <rFont val="Times New Roman"/>
        <charset val="134"/>
      </rPr>
      <t>06/15/11</t>
    </r>
  </si>
  <si>
    <r>
      <rPr>
        <sz val="11"/>
        <color theme="1"/>
        <rFont val="Times New Roman"/>
        <charset val="134"/>
      </rPr>
      <t>05/28/11</t>
    </r>
  </si>
  <si>
    <r>
      <rPr>
        <sz val="11"/>
        <color theme="1"/>
        <rFont val="Times New Roman"/>
        <charset val="134"/>
      </rPr>
      <t>05/25/11</t>
    </r>
  </si>
  <si>
    <r>
      <rPr>
        <sz val="11"/>
        <color theme="1"/>
        <rFont val="Times New Roman"/>
        <charset val="134"/>
      </rPr>
      <t>05/21/11</t>
    </r>
  </si>
  <si>
    <r>
      <rPr>
        <sz val="11"/>
        <color theme="1"/>
        <rFont val="Times New Roman"/>
        <charset val="134"/>
      </rPr>
      <t>05/18/11</t>
    </r>
  </si>
  <si>
    <r>
      <rPr>
        <sz val="11"/>
        <color theme="1"/>
        <rFont val="Times New Roman"/>
        <charset val="134"/>
      </rPr>
      <t>05/14/11</t>
    </r>
  </si>
  <si>
    <r>
      <rPr>
        <sz val="11"/>
        <color theme="1"/>
        <rFont val="Times New Roman"/>
        <charset val="134"/>
      </rPr>
      <t>04/30/11</t>
    </r>
  </si>
  <si>
    <r>
      <rPr>
        <sz val="11"/>
        <color theme="1"/>
        <rFont val="Times New Roman"/>
        <charset val="134"/>
      </rPr>
      <t>04/27/11</t>
    </r>
  </si>
  <si>
    <r>
      <rPr>
        <sz val="11"/>
        <color theme="1"/>
        <rFont val="Times New Roman"/>
        <charset val="134"/>
      </rPr>
      <t>04/23/11</t>
    </r>
  </si>
  <si>
    <r>
      <rPr>
        <sz val="11"/>
        <color theme="1"/>
        <rFont val="Times New Roman"/>
        <charset val="134"/>
      </rPr>
      <t>04/20/11</t>
    </r>
  </si>
  <si>
    <r>
      <rPr>
        <sz val="11"/>
        <color theme="1"/>
        <rFont val="Times New Roman"/>
        <charset val="134"/>
      </rPr>
      <t>04/16/11</t>
    </r>
  </si>
  <si>
    <r>
      <rPr>
        <sz val="11"/>
        <color theme="1"/>
        <rFont val="Times New Roman"/>
        <charset val="134"/>
      </rPr>
      <t>04/13/11</t>
    </r>
  </si>
  <si>
    <r>
      <rPr>
        <sz val="11"/>
        <color theme="1"/>
        <rFont val="Times New Roman"/>
        <charset val="134"/>
      </rPr>
      <t>03/30/11</t>
    </r>
  </si>
  <si>
    <r>
      <rPr>
        <sz val="11"/>
        <color theme="1"/>
        <rFont val="Times New Roman"/>
        <charset val="134"/>
      </rPr>
      <t>03/26/11</t>
    </r>
  </si>
  <si>
    <r>
      <rPr>
        <sz val="11"/>
        <color theme="1"/>
        <rFont val="Times New Roman"/>
        <charset val="134"/>
      </rPr>
      <t>03/23/11</t>
    </r>
  </si>
  <si>
    <r>
      <rPr>
        <sz val="11"/>
        <color theme="1"/>
        <rFont val="Times New Roman"/>
        <charset val="134"/>
      </rPr>
      <t>03/19/11</t>
    </r>
  </si>
  <si>
    <r>
      <rPr>
        <sz val="11"/>
        <color theme="1"/>
        <rFont val="Times New Roman"/>
        <charset val="134"/>
      </rPr>
      <t>03/16/11</t>
    </r>
  </si>
  <si>
    <r>
      <rPr>
        <sz val="11"/>
        <color theme="1"/>
        <rFont val="Times New Roman"/>
        <charset val="134"/>
      </rPr>
      <t>02/26/11</t>
    </r>
  </si>
  <si>
    <r>
      <rPr>
        <sz val="11"/>
        <color theme="1"/>
        <rFont val="Times New Roman"/>
        <charset val="134"/>
      </rPr>
      <t>02/23/11</t>
    </r>
  </si>
  <si>
    <r>
      <rPr>
        <sz val="11"/>
        <color theme="1"/>
        <rFont val="Times New Roman"/>
        <charset val="134"/>
      </rPr>
      <t>02/19/11</t>
    </r>
  </si>
  <si>
    <r>
      <rPr>
        <sz val="11"/>
        <color theme="1"/>
        <rFont val="Times New Roman"/>
        <charset val="134"/>
      </rPr>
      <t>02/16/11</t>
    </r>
  </si>
  <si>
    <r>
      <rPr>
        <sz val="11"/>
        <color theme="1"/>
        <rFont val="Times New Roman"/>
        <charset val="134"/>
      </rPr>
      <t>01/29/11</t>
    </r>
  </si>
  <si>
    <r>
      <rPr>
        <sz val="11"/>
        <color theme="1"/>
        <rFont val="Times New Roman"/>
        <charset val="134"/>
      </rPr>
      <t>01/26/11</t>
    </r>
  </si>
  <si>
    <r>
      <rPr>
        <sz val="11"/>
        <color theme="1"/>
        <rFont val="Times New Roman"/>
        <charset val="134"/>
      </rPr>
      <t>01/22/11</t>
    </r>
  </si>
  <si>
    <r>
      <rPr>
        <sz val="11"/>
        <color theme="1"/>
        <rFont val="Times New Roman"/>
        <charset val="134"/>
      </rPr>
      <t>01/19/11</t>
    </r>
  </si>
  <si>
    <r>
      <rPr>
        <sz val="11"/>
        <color theme="1"/>
        <rFont val="Times New Roman"/>
        <charset val="134"/>
      </rPr>
      <t>01/15/11</t>
    </r>
  </si>
  <si>
    <r>
      <rPr>
        <sz val="11"/>
        <color theme="1"/>
        <rFont val="Times New Roman"/>
        <charset val="134"/>
      </rPr>
      <t>12/29/10</t>
    </r>
  </si>
  <si>
    <r>
      <rPr>
        <sz val="11"/>
        <color theme="1"/>
        <rFont val="Times New Roman"/>
        <charset val="134"/>
      </rPr>
      <t>12/25/10</t>
    </r>
  </si>
  <si>
    <r>
      <rPr>
        <sz val="11"/>
        <color theme="1"/>
        <rFont val="Times New Roman"/>
        <charset val="134"/>
      </rPr>
      <t>12/22/10</t>
    </r>
  </si>
  <si>
    <r>
      <rPr>
        <sz val="11"/>
        <color theme="1"/>
        <rFont val="Times New Roman"/>
        <charset val="134"/>
      </rPr>
      <t>12/18/10</t>
    </r>
  </si>
  <si>
    <r>
      <rPr>
        <sz val="11"/>
        <color theme="1"/>
        <rFont val="Times New Roman"/>
        <charset val="134"/>
      </rPr>
      <t>12/15/10</t>
    </r>
  </si>
  <si>
    <r>
      <rPr>
        <sz val="11"/>
        <color theme="1"/>
        <rFont val="Times New Roman"/>
        <charset val="134"/>
      </rPr>
      <t>11/27/10</t>
    </r>
  </si>
  <si>
    <r>
      <rPr>
        <sz val="11"/>
        <color theme="1"/>
        <rFont val="Times New Roman"/>
        <charset val="134"/>
      </rPr>
      <t>11/24/10</t>
    </r>
  </si>
  <si>
    <r>
      <rPr>
        <sz val="11"/>
        <color theme="1"/>
        <rFont val="Times New Roman"/>
        <charset val="134"/>
      </rPr>
      <t>11/20/10</t>
    </r>
  </si>
  <si>
    <r>
      <rPr>
        <sz val="11"/>
        <color theme="1"/>
        <rFont val="Times New Roman"/>
        <charset val="134"/>
      </rPr>
      <t>11/17/10</t>
    </r>
  </si>
  <si>
    <r>
      <rPr>
        <sz val="11"/>
        <color theme="1"/>
        <rFont val="Times New Roman"/>
        <charset val="134"/>
      </rPr>
      <t>11/13/10</t>
    </r>
  </si>
  <si>
    <r>
      <rPr>
        <sz val="11"/>
        <color theme="1"/>
        <rFont val="Times New Roman"/>
        <charset val="134"/>
      </rPr>
      <t>10/30/10</t>
    </r>
  </si>
  <si>
    <r>
      <rPr>
        <sz val="11"/>
        <color theme="1"/>
        <rFont val="Times New Roman"/>
        <charset val="134"/>
      </rPr>
      <t>10/27/10</t>
    </r>
  </si>
  <si>
    <r>
      <rPr>
        <sz val="11"/>
        <color theme="1"/>
        <rFont val="Times New Roman"/>
        <charset val="134"/>
      </rPr>
      <t>10/23/10</t>
    </r>
  </si>
  <si>
    <r>
      <rPr>
        <sz val="11"/>
        <color theme="1"/>
        <rFont val="Times New Roman"/>
        <charset val="134"/>
      </rPr>
      <t>10/20/10</t>
    </r>
  </si>
  <si>
    <r>
      <rPr>
        <sz val="11"/>
        <color theme="1"/>
        <rFont val="Times New Roman"/>
        <charset val="134"/>
      </rPr>
      <t>10/16/10</t>
    </r>
  </si>
  <si>
    <r>
      <rPr>
        <sz val="11"/>
        <color theme="1"/>
        <rFont val="Times New Roman"/>
        <charset val="134"/>
      </rPr>
      <t>10/13/10</t>
    </r>
  </si>
  <si>
    <r>
      <rPr>
        <sz val="11"/>
        <color theme="1"/>
        <rFont val="Times New Roman"/>
        <charset val="134"/>
      </rPr>
      <t>09/29/10</t>
    </r>
  </si>
  <si>
    <r>
      <rPr>
        <sz val="11"/>
        <color theme="1"/>
        <rFont val="Times New Roman"/>
        <charset val="134"/>
      </rPr>
      <t>09/25/10</t>
    </r>
  </si>
  <si>
    <r>
      <rPr>
        <sz val="11"/>
        <color theme="1"/>
        <rFont val="Times New Roman"/>
        <charset val="134"/>
      </rPr>
      <t>09/22/10</t>
    </r>
  </si>
  <si>
    <r>
      <rPr>
        <sz val="11"/>
        <color theme="1"/>
        <rFont val="Times New Roman"/>
        <charset val="134"/>
      </rPr>
      <t>09/18/10</t>
    </r>
  </si>
  <si>
    <r>
      <rPr>
        <sz val="11"/>
        <color theme="1"/>
        <rFont val="Times New Roman"/>
        <charset val="134"/>
      </rPr>
      <t>09/15/10</t>
    </r>
  </si>
  <si>
    <r>
      <rPr>
        <sz val="11"/>
        <color theme="1"/>
        <rFont val="Times New Roman"/>
        <charset val="134"/>
      </rPr>
      <t>08/28/10</t>
    </r>
  </si>
  <si>
    <r>
      <rPr>
        <sz val="11"/>
        <color theme="1"/>
        <rFont val="Times New Roman"/>
        <charset val="134"/>
      </rPr>
      <t>08/25/10</t>
    </r>
  </si>
  <si>
    <r>
      <rPr>
        <sz val="11"/>
        <color theme="1"/>
        <rFont val="Times New Roman"/>
        <charset val="134"/>
      </rPr>
      <t>08/21/10</t>
    </r>
  </si>
  <si>
    <r>
      <rPr>
        <sz val="11"/>
        <color theme="1"/>
        <rFont val="Times New Roman"/>
        <charset val="134"/>
      </rPr>
      <t>08/18/10</t>
    </r>
  </si>
  <si>
    <r>
      <rPr>
        <sz val="11"/>
        <color theme="1"/>
        <rFont val="Times New Roman"/>
        <charset val="134"/>
      </rPr>
      <t>08/14/10</t>
    </r>
  </si>
  <si>
    <r>
      <rPr>
        <sz val="11"/>
        <color theme="1"/>
        <rFont val="Times New Roman"/>
        <charset val="134"/>
      </rPr>
      <t>07/31/10</t>
    </r>
  </si>
  <si>
    <r>
      <rPr>
        <sz val="11"/>
        <color theme="1"/>
        <rFont val="Times New Roman"/>
        <charset val="134"/>
      </rPr>
      <t>07/28/10</t>
    </r>
  </si>
  <si>
    <r>
      <rPr>
        <sz val="11"/>
        <color theme="1"/>
        <rFont val="Times New Roman"/>
        <charset val="134"/>
      </rPr>
      <t>07/24/10</t>
    </r>
  </si>
  <si>
    <r>
      <rPr>
        <sz val="11"/>
        <color theme="1"/>
        <rFont val="Times New Roman"/>
        <charset val="134"/>
      </rPr>
      <t>07/21/10</t>
    </r>
  </si>
  <si>
    <r>
      <rPr>
        <sz val="11"/>
        <color theme="1"/>
        <rFont val="Times New Roman"/>
        <charset val="134"/>
      </rPr>
      <t>07/17/10</t>
    </r>
  </si>
  <si>
    <r>
      <rPr>
        <sz val="11"/>
        <color theme="1"/>
        <rFont val="Times New Roman"/>
        <charset val="134"/>
      </rPr>
      <t>07/14/10</t>
    </r>
  </si>
  <si>
    <r>
      <rPr>
        <sz val="11"/>
        <color theme="1"/>
        <rFont val="Times New Roman"/>
        <charset val="134"/>
      </rPr>
      <t>06/30/10</t>
    </r>
  </si>
  <si>
    <r>
      <rPr>
        <sz val="11"/>
        <color theme="1"/>
        <rFont val="Times New Roman"/>
        <charset val="134"/>
      </rPr>
      <t>06/26/10</t>
    </r>
  </si>
  <si>
    <r>
      <rPr>
        <sz val="11"/>
        <color theme="1"/>
        <rFont val="Times New Roman"/>
        <charset val="134"/>
      </rPr>
      <t>06/23/10</t>
    </r>
  </si>
  <si>
    <r>
      <rPr>
        <sz val="11"/>
        <color theme="1"/>
        <rFont val="Times New Roman"/>
        <charset val="134"/>
      </rPr>
      <t>06/19/10</t>
    </r>
  </si>
  <si>
    <r>
      <rPr>
        <sz val="11"/>
        <color theme="1"/>
        <rFont val="Times New Roman"/>
        <charset val="134"/>
      </rPr>
      <t>06/16/10</t>
    </r>
  </si>
  <si>
    <r>
      <rPr>
        <sz val="11"/>
        <color theme="1"/>
        <rFont val="Times New Roman"/>
        <charset val="134"/>
      </rPr>
      <t>05/29/10</t>
    </r>
  </si>
  <si>
    <r>
      <rPr>
        <sz val="11"/>
        <color theme="1"/>
        <rFont val="Times New Roman"/>
        <charset val="134"/>
      </rPr>
      <t>05/26/10</t>
    </r>
  </si>
  <si>
    <r>
      <rPr>
        <sz val="11"/>
        <color theme="1"/>
        <rFont val="Times New Roman"/>
        <charset val="134"/>
      </rPr>
      <t>05/22/10</t>
    </r>
  </si>
  <si>
    <r>
      <rPr>
        <sz val="11"/>
        <color theme="1"/>
        <rFont val="Times New Roman"/>
        <charset val="134"/>
      </rPr>
      <t>05/19/10</t>
    </r>
  </si>
  <si>
    <r>
      <rPr>
        <sz val="11"/>
        <color theme="1"/>
        <rFont val="Times New Roman"/>
        <charset val="134"/>
      </rPr>
      <t>05/15/10</t>
    </r>
  </si>
  <si>
    <r>
      <rPr>
        <sz val="11"/>
        <color theme="1"/>
        <rFont val="Times New Roman"/>
        <charset val="134"/>
      </rPr>
      <t>04/28/10</t>
    </r>
  </si>
  <si>
    <r>
      <rPr>
        <sz val="11"/>
        <color theme="1"/>
        <rFont val="Times New Roman"/>
        <charset val="134"/>
      </rPr>
      <t>04/24/10</t>
    </r>
  </si>
  <si>
    <r>
      <rPr>
        <sz val="11"/>
        <color theme="1"/>
        <rFont val="Times New Roman"/>
        <charset val="134"/>
      </rPr>
      <t>04/21/10</t>
    </r>
  </si>
  <si>
    <r>
      <rPr>
        <sz val="11"/>
        <color theme="1"/>
        <rFont val="Times New Roman"/>
        <charset val="134"/>
      </rPr>
      <t>04/17/10</t>
    </r>
  </si>
  <si>
    <r>
      <rPr>
        <sz val="11"/>
        <color theme="1"/>
        <rFont val="Times New Roman"/>
        <charset val="134"/>
      </rPr>
      <t>04/14/10</t>
    </r>
  </si>
  <si>
    <r>
      <rPr>
        <sz val="11"/>
        <color theme="1"/>
        <rFont val="Times New Roman"/>
        <charset val="134"/>
      </rPr>
      <t>03/31/10</t>
    </r>
  </si>
  <si>
    <r>
      <rPr>
        <sz val="11"/>
        <color theme="1"/>
        <rFont val="Times New Roman"/>
        <charset val="134"/>
      </rPr>
      <t>03/27/10</t>
    </r>
  </si>
  <si>
    <r>
      <rPr>
        <sz val="11"/>
        <color theme="1"/>
        <rFont val="Times New Roman"/>
        <charset val="134"/>
      </rPr>
      <t>03/24/10</t>
    </r>
  </si>
  <si>
    <r>
      <rPr>
        <sz val="11"/>
        <color theme="1"/>
        <rFont val="Times New Roman"/>
        <charset val="134"/>
      </rPr>
      <t>03/20/10</t>
    </r>
  </si>
  <si>
    <r>
      <rPr>
        <sz val="11"/>
        <color theme="1"/>
        <rFont val="Times New Roman"/>
        <charset val="134"/>
      </rPr>
      <t>03/17/10</t>
    </r>
  </si>
  <si>
    <r>
      <rPr>
        <sz val="11"/>
        <color theme="1"/>
        <rFont val="Times New Roman"/>
        <charset val="134"/>
      </rPr>
      <t>03/13/10</t>
    </r>
  </si>
  <si>
    <r>
      <rPr>
        <sz val="11"/>
        <color theme="1"/>
        <rFont val="Times New Roman"/>
        <charset val="134"/>
      </rPr>
      <t>02/27/10</t>
    </r>
  </si>
  <si>
    <r>
      <rPr>
        <sz val="11"/>
        <color theme="1"/>
        <rFont val="Times New Roman"/>
        <charset val="134"/>
      </rPr>
      <t>02/24/10</t>
    </r>
  </si>
  <si>
    <r>
      <rPr>
        <sz val="11"/>
        <color theme="1"/>
        <rFont val="Times New Roman"/>
        <charset val="134"/>
      </rPr>
      <t>02/20/10</t>
    </r>
  </si>
  <si>
    <r>
      <rPr>
        <sz val="11"/>
        <color theme="1"/>
        <rFont val="Times New Roman"/>
        <charset val="134"/>
      </rPr>
      <t>02/17/10</t>
    </r>
  </si>
  <si>
    <r>
      <rPr>
        <sz val="11"/>
        <color theme="1"/>
        <rFont val="Times New Roman"/>
        <charset val="134"/>
      </rPr>
      <t>02/13/10</t>
    </r>
  </si>
  <si>
    <r>
      <rPr>
        <sz val="11"/>
        <color theme="1"/>
        <rFont val="Times New Roman"/>
        <charset val="134"/>
      </rPr>
      <t>01/30/10</t>
    </r>
  </si>
  <si>
    <r>
      <rPr>
        <b/>
        <sz val="11"/>
        <color rgb="FFFF0000"/>
        <rFont val="Times New Roman"/>
        <charset val="134"/>
      </rPr>
      <t>43 States Participating</t>
    </r>
  </si>
  <si>
    <r>
      <rPr>
        <sz val="11"/>
        <color theme="1"/>
        <rFont val="Times New Roman"/>
        <charset val="134"/>
      </rPr>
      <t>01/27/10</t>
    </r>
  </si>
  <si>
    <r>
      <rPr>
        <sz val="11"/>
        <color theme="1"/>
        <rFont val="Times New Roman"/>
        <charset val="134"/>
      </rPr>
      <t>01/23/10</t>
    </r>
  </si>
  <si>
    <r>
      <rPr>
        <sz val="11"/>
        <color theme="1"/>
        <rFont val="Times New Roman"/>
        <charset val="134"/>
      </rPr>
      <t>01/20/10</t>
    </r>
  </si>
  <si>
    <r>
      <rPr>
        <sz val="11"/>
        <color theme="1"/>
        <rFont val="Times New Roman"/>
        <charset val="134"/>
      </rPr>
      <t>01/16/10</t>
    </r>
  </si>
  <si>
    <r>
      <rPr>
        <sz val="11"/>
        <color theme="1"/>
        <rFont val="Times New Roman"/>
        <charset val="134"/>
      </rPr>
      <t>01/13/10</t>
    </r>
  </si>
  <si>
    <r>
      <rPr>
        <sz val="11"/>
        <color theme="1"/>
        <rFont val="Times New Roman"/>
        <charset val="134"/>
      </rPr>
      <t>12/30/09</t>
    </r>
  </si>
  <si>
    <r>
      <rPr>
        <sz val="11"/>
        <color theme="1"/>
        <rFont val="Times New Roman"/>
        <charset val="134"/>
      </rPr>
      <t>12/26/09</t>
    </r>
  </si>
  <si>
    <r>
      <rPr>
        <sz val="11"/>
        <color theme="1"/>
        <rFont val="Times New Roman"/>
        <charset val="134"/>
      </rPr>
      <t>12/23/09</t>
    </r>
  </si>
  <si>
    <r>
      <rPr>
        <sz val="11"/>
        <color theme="1"/>
        <rFont val="Times New Roman"/>
        <charset val="134"/>
      </rPr>
      <t>12/19/09</t>
    </r>
  </si>
  <si>
    <r>
      <rPr>
        <sz val="11"/>
        <color theme="1"/>
        <rFont val="Times New Roman"/>
        <charset val="134"/>
      </rPr>
      <t>12/16/09</t>
    </r>
  </si>
  <si>
    <r>
      <rPr>
        <sz val="11"/>
        <color theme="1"/>
        <rFont val="Times New Roman"/>
        <charset val="134"/>
      </rPr>
      <t>11/28/09</t>
    </r>
  </si>
  <si>
    <r>
      <rPr>
        <sz val="11"/>
        <color theme="1"/>
        <rFont val="Times New Roman"/>
        <charset val="134"/>
      </rPr>
      <t>11/25/09</t>
    </r>
  </si>
  <si>
    <r>
      <rPr>
        <sz val="11"/>
        <color theme="1"/>
        <rFont val="Times New Roman"/>
        <charset val="134"/>
      </rPr>
      <t>11/21/09</t>
    </r>
  </si>
  <si>
    <r>
      <rPr>
        <sz val="11"/>
        <color theme="1"/>
        <rFont val="Times New Roman"/>
        <charset val="134"/>
      </rPr>
      <t>11/18/09</t>
    </r>
  </si>
  <si>
    <r>
      <rPr>
        <sz val="11"/>
        <color theme="1"/>
        <rFont val="Times New Roman"/>
        <charset val="134"/>
      </rPr>
      <t>11/14/09</t>
    </r>
  </si>
  <si>
    <r>
      <rPr>
        <sz val="11"/>
        <color theme="1"/>
        <rFont val="Times New Roman"/>
        <charset val="134"/>
      </rPr>
      <t>10/31/09</t>
    </r>
  </si>
  <si>
    <r>
      <rPr>
        <sz val="11"/>
        <color theme="1"/>
        <rFont val="Times New Roman"/>
        <charset val="134"/>
      </rPr>
      <t>10/28/09</t>
    </r>
  </si>
  <si>
    <r>
      <rPr>
        <sz val="11"/>
        <color theme="1"/>
        <rFont val="Times New Roman"/>
        <charset val="134"/>
      </rPr>
      <t>10/24/09</t>
    </r>
  </si>
  <si>
    <r>
      <rPr>
        <sz val="11"/>
        <color theme="1"/>
        <rFont val="Times New Roman"/>
        <charset val="134"/>
      </rPr>
      <t>10/21/09</t>
    </r>
  </si>
  <si>
    <r>
      <rPr>
        <sz val="11"/>
        <color theme="1"/>
        <rFont val="Times New Roman"/>
        <charset val="134"/>
      </rPr>
      <t>10/17/09</t>
    </r>
  </si>
  <si>
    <r>
      <rPr>
        <sz val="11"/>
        <color theme="1"/>
        <rFont val="Times New Roman"/>
        <charset val="134"/>
      </rPr>
      <t>10/14/09</t>
    </r>
  </si>
  <si>
    <r>
      <rPr>
        <sz val="11"/>
        <color theme="1"/>
        <rFont val="Times New Roman"/>
        <charset val="134"/>
      </rPr>
      <t>09/30/09</t>
    </r>
  </si>
  <si>
    <r>
      <rPr>
        <sz val="11"/>
        <color theme="1"/>
        <rFont val="Times New Roman"/>
        <charset val="134"/>
      </rPr>
      <t>09/26/09</t>
    </r>
  </si>
  <si>
    <r>
      <rPr>
        <sz val="11"/>
        <color theme="1"/>
        <rFont val="Times New Roman"/>
        <charset val="134"/>
      </rPr>
      <t>09/23/09</t>
    </r>
  </si>
  <si>
    <r>
      <rPr>
        <sz val="11"/>
        <color theme="1"/>
        <rFont val="Times New Roman"/>
        <charset val="134"/>
      </rPr>
      <t>09/19/09</t>
    </r>
  </si>
  <si>
    <r>
      <rPr>
        <sz val="11"/>
        <color theme="1"/>
        <rFont val="Times New Roman"/>
        <charset val="134"/>
      </rPr>
      <t>09/16/09</t>
    </r>
  </si>
  <si>
    <r>
      <rPr>
        <sz val="11"/>
        <color theme="1"/>
        <rFont val="Times New Roman"/>
        <charset val="134"/>
      </rPr>
      <t>08/29/09</t>
    </r>
  </si>
  <si>
    <r>
      <rPr>
        <sz val="11"/>
        <color theme="1"/>
        <rFont val="Times New Roman"/>
        <charset val="134"/>
      </rPr>
      <t>08/26/09</t>
    </r>
  </si>
  <si>
    <r>
      <rPr>
        <sz val="11"/>
        <color theme="1"/>
        <rFont val="Times New Roman"/>
        <charset val="134"/>
      </rPr>
      <t>08/22/09</t>
    </r>
  </si>
  <si>
    <r>
      <rPr>
        <sz val="11"/>
        <color theme="1"/>
        <rFont val="Times New Roman"/>
        <charset val="134"/>
      </rPr>
      <t>08/19/09</t>
    </r>
  </si>
  <si>
    <r>
      <rPr>
        <sz val="11"/>
        <color theme="1"/>
        <rFont val="Times New Roman"/>
        <charset val="134"/>
      </rPr>
      <t>08/15/09</t>
    </r>
  </si>
  <si>
    <r>
      <rPr>
        <sz val="11"/>
        <color theme="1"/>
        <rFont val="Times New Roman"/>
        <charset val="134"/>
      </rPr>
      <t>07/29/09</t>
    </r>
  </si>
  <si>
    <r>
      <rPr>
        <sz val="11"/>
        <color theme="1"/>
        <rFont val="Times New Roman"/>
        <charset val="134"/>
      </rPr>
      <t>07/25/09</t>
    </r>
  </si>
  <si>
    <r>
      <rPr>
        <sz val="11"/>
        <color theme="1"/>
        <rFont val="Times New Roman"/>
        <charset val="134"/>
      </rPr>
      <t>07/22/09</t>
    </r>
  </si>
  <si>
    <r>
      <rPr>
        <sz val="11"/>
        <color theme="1"/>
        <rFont val="Times New Roman"/>
        <charset val="134"/>
      </rPr>
      <t>07/18/09</t>
    </r>
  </si>
  <si>
    <r>
      <rPr>
        <sz val="11"/>
        <color theme="1"/>
        <rFont val="Times New Roman"/>
        <charset val="134"/>
      </rPr>
      <t>07/15/09</t>
    </r>
  </si>
  <si>
    <r>
      <rPr>
        <sz val="11"/>
        <color theme="1"/>
        <rFont val="Times New Roman"/>
        <charset val="134"/>
      </rPr>
      <t>06/27/09</t>
    </r>
  </si>
  <si>
    <r>
      <rPr>
        <sz val="11"/>
        <color theme="1"/>
        <rFont val="Times New Roman"/>
        <charset val="134"/>
      </rPr>
      <t>06/24/09</t>
    </r>
  </si>
  <si>
    <r>
      <rPr>
        <sz val="11"/>
        <color theme="1"/>
        <rFont val="Times New Roman"/>
        <charset val="134"/>
      </rPr>
      <t>06/20/09</t>
    </r>
  </si>
  <si>
    <r>
      <rPr>
        <sz val="11"/>
        <color theme="1"/>
        <rFont val="Times New Roman"/>
        <charset val="134"/>
      </rPr>
      <t>06/17/09</t>
    </r>
  </si>
  <si>
    <r>
      <rPr>
        <sz val="11"/>
        <color theme="1"/>
        <rFont val="Times New Roman"/>
        <charset val="134"/>
      </rPr>
      <t>06/13/09</t>
    </r>
  </si>
  <si>
    <r>
      <rPr>
        <sz val="11"/>
        <color theme="1"/>
        <rFont val="Times New Roman"/>
        <charset val="134"/>
      </rPr>
      <t>05/30/09</t>
    </r>
  </si>
  <si>
    <r>
      <rPr>
        <sz val="11"/>
        <color theme="1"/>
        <rFont val="Times New Roman"/>
        <charset val="134"/>
      </rPr>
      <t>05/27/09</t>
    </r>
  </si>
  <si>
    <r>
      <rPr>
        <sz val="11"/>
        <color theme="1"/>
        <rFont val="Times New Roman"/>
        <charset val="134"/>
      </rPr>
      <t>05/23/09</t>
    </r>
  </si>
  <si>
    <r>
      <rPr>
        <sz val="11"/>
        <color theme="1"/>
        <rFont val="Times New Roman"/>
        <charset val="134"/>
      </rPr>
      <t>05/20/09</t>
    </r>
  </si>
  <si>
    <r>
      <rPr>
        <sz val="11"/>
        <color theme="1"/>
        <rFont val="Times New Roman"/>
        <charset val="134"/>
      </rPr>
      <t>05/16/09</t>
    </r>
  </si>
  <si>
    <r>
      <rPr>
        <sz val="11"/>
        <color theme="1"/>
        <rFont val="Times New Roman"/>
        <charset val="134"/>
      </rPr>
      <t>05/13/09</t>
    </r>
  </si>
  <si>
    <r>
      <rPr>
        <sz val="11"/>
        <color theme="1"/>
        <rFont val="Times New Roman"/>
        <charset val="134"/>
      </rPr>
      <t>04/29/09</t>
    </r>
  </si>
  <si>
    <r>
      <rPr>
        <sz val="11"/>
        <color theme="1"/>
        <rFont val="Times New Roman"/>
        <charset val="134"/>
      </rPr>
      <t>04/25/09</t>
    </r>
  </si>
  <si>
    <r>
      <rPr>
        <sz val="11"/>
        <color theme="1"/>
        <rFont val="Times New Roman"/>
        <charset val="134"/>
      </rPr>
      <t>04/22/09</t>
    </r>
  </si>
  <si>
    <r>
      <rPr>
        <sz val="11"/>
        <color theme="1"/>
        <rFont val="Times New Roman"/>
        <charset val="134"/>
      </rPr>
      <t>04/18/09</t>
    </r>
  </si>
  <si>
    <r>
      <rPr>
        <sz val="11"/>
        <color theme="1"/>
        <rFont val="Times New Roman"/>
        <charset val="134"/>
      </rPr>
      <t>04/15/09</t>
    </r>
  </si>
  <si>
    <r>
      <rPr>
        <sz val="11"/>
        <color theme="1"/>
        <rFont val="Times New Roman"/>
        <charset val="134"/>
      </rPr>
      <t>03/28/09</t>
    </r>
  </si>
  <si>
    <r>
      <rPr>
        <sz val="11"/>
        <color theme="1"/>
        <rFont val="Times New Roman"/>
        <charset val="134"/>
      </rPr>
      <t>03/25/09</t>
    </r>
  </si>
  <si>
    <r>
      <rPr>
        <sz val="11"/>
        <color theme="1"/>
        <rFont val="Times New Roman"/>
        <charset val="134"/>
      </rPr>
      <t>03/21/09</t>
    </r>
  </si>
  <si>
    <r>
      <rPr>
        <sz val="11"/>
        <color theme="1"/>
        <rFont val="Times New Roman"/>
        <charset val="134"/>
      </rPr>
      <t>03/18/09</t>
    </r>
  </si>
  <si>
    <r>
      <rPr>
        <sz val="11"/>
        <color theme="1"/>
        <rFont val="Times New Roman"/>
        <charset val="134"/>
      </rPr>
      <t>03/14/09</t>
    </r>
  </si>
  <si>
    <r>
      <rPr>
        <sz val="11"/>
        <color theme="1"/>
        <rFont val="Times New Roman"/>
        <charset val="134"/>
      </rPr>
      <t>02/28/09</t>
    </r>
  </si>
  <si>
    <r>
      <rPr>
        <sz val="11"/>
        <color theme="1"/>
        <rFont val="Times New Roman"/>
        <charset val="134"/>
      </rPr>
      <t>02/25/09</t>
    </r>
  </si>
  <si>
    <r>
      <rPr>
        <sz val="11"/>
        <color theme="1"/>
        <rFont val="Times New Roman"/>
        <charset val="134"/>
      </rPr>
      <t>02/21/09</t>
    </r>
  </si>
  <si>
    <r>
      <rPr>
        <sz val="11"/>
        <color theme="1"/>
        <rFont val="Times New Roman"/>
        <charset val="134"/>
      </rPr>
      <t>02/18/09</t>
    </r>
  </si>
  <si>
    <r>
      <rPr>
        <sz val="11"/>
        <color theme="1"/>
        <rFont val="Times New Roman"/>
        <charset val="134"/>
      </rPr>
      <t>02/14/09</t>
    </r>
  </si>
  <si>
    <r>
      <rPr>
        <sz val="11"/>
        <color theme="1"/>
        <rFont val="Times New Roman"/>
        <charset val="134"/>
      </rPr>
      <t>01/31/09</t>
    </r>
  </si>
  <si>
    <r>
      <rPr>
        <sz val="11"/>
        <color theme="1"/>
        <rFont val="Times New Roman"/>
        <charset val="134"/>
      </rPr>
      <t>01/28/09</t>
    </r>
  </si>
  <si>
    <r>
      <rPr>
        <sz val="11"/>
        <color theme="1"/>
        <rFont val="Times New Roman"/>
        <charset val="134"/>
      </rPr>
      <t>01/24/09</t>
    </r>
  </si>
  <si>
    <r>
      <rPr>
        <sz val="11"/>
        <color theme="1"/>
        <rFont val="Times New Roman"/>
        <charset val="134"/>
      </rPr>
      <t>01/21/09</t>
    </r>
  </si>
  <si>
    <r>
      <rPr>
        <sz val="11"/>
        <color theme="1"/>
        <rFont val="Times New Roman"/>
        <charset val="134"/>
      </rPr>
      <t>01/17/09</t>
    </r>
  </si>
  <si>
    <r>
      <rPr>
        <sz val="11"/>
        <color theme="1"/>
        <rFont val="Times New Roman"/>
        <charset val="134"/>
      </rPr>
      <t>01/14/09</t>
    </r>
  </si>
  <si>
    <r>
      <rPr>
        <sz val="11"/>
        <color theme="1"/>
        <rFont val="Times New Roman"/>
        <charset val="134"/>
      </rPr>
      <t>12/31/08</t>
    </r>
  </si>
  <si>
    <r>
      <rPr>
        <sz val="11"/>
        <color theme="1"/>
        <rFont val="Times New Roman"/>
        <charset val="134"/>
      </rPr>
      <t>12/27/08</t>
    </r>
  </si>
  <si>
    <r>
      <rPr>
        <sz val="11"/>
        <color theme="1"/>
        <rFont val="Times New Roman"/>
        <charset val="134"/>
      </rPr>
      <t>12/24/08</t>
    </r>
  </si>
  <si>
    <r>
      <rPr>
        <sz val="11"/>
        <color theme="1"/>
        <rFont val="Times New Roman"/>
        <charset val="134"/>
      </rPr>
      <t>12/20/08</t>
    </r>
  </si>
  <si>
    <r>
      <rPr>
        <sz val="11"/>
        <color theme="1"/>
        <rFont val="Times New Roman"/>
        <charset val="134"/>
      </rPr>
      <t>12/17/08</t>
    </r>
  </si>
  <si>
    <r>
      <rPr>
        <sz val="11"/>
        <color theme="1"/>
        <rFont val="Times New Roman"/>
        <charset val="134"/>
      </rPr>
      <t>12/13/08</t>
    </r>
  </si>
  <si>
    <r>
      <rPr>
        <sz val="11"/>
        <color theme="1"/>
        <rFont val="Times New Roman"/>
        <charset val="134"/>
      </rPr>
      <t>11/29/08</t>
    </r>
  </si>
  <si>
    <t>11/26/08</t>
  </si>
  <si>
    <r>
      <rPr>
        <sz val="11"/>
        <color theme="1"/>
        <rFont val="Times New Roman"/>
        <charset val="134"/>
      </rPr>
      <t>11/22/08</t>
    </r>
  </si>
  <si>
    <r>
      <rPr>
        <sz val="11"/>
        <color theme="1"/>
        <rFont val="Times New Roman"/>
        <charset val="134"/>
      </rPr>
      <t>11/19/08</t>
    </r>
  </si>
  <si>
    <r>
      <rPr>
        <sz val="11"/>
        <color theme="1"/>
        <rFont val="Times New Roman"/>
        <charset val="134"/>
      </rPr>
      <t>11/15/08</t>
    </r>
  </si>
  <si>
    <r>
      <rPr>
        <sz val="11"/>
        <color theme="1"/>
        <rFont val="Times New Roman"/>
        <charset val="134"/>
      </rPr>
      <t>10/29/08</t>
    </r>
  </si>
  <si>
    <r>
      <rPr>
        <sz val="11"/>
        <color theme="1"/>
        <rFont val="Times New Roman"/>
        <charset val="134"/>
      </rPr>
      <t>10/25/08</t>
    </r>
  </si>
  <si>
    <r>
      <rPr>
        <sz val="11"/>
        <color theme="1"/>
        <rFont val="Times New Roman"/>
        <charset val="134"/>
      </rPr>
      <t>10/22/08</t>
    </r>
  </si>
  <si>
    <r>
      <rPr>
        <sz val="11"/>
        <color theme="1"/>
        <rFont val="Times New Roman"/>
        <charset val="134"/>
      </rPr>
      <t>10/18/08</t>
    </r>
  </si>
  <si>
    <r>
      <rPr>
        <sz val="11"/>
        <color theme="1"/>
        <rFont val="Times New Roman"/>
        <charset val="134"/>
      </rPr>
      <t>10/15/08</t>
    </r>
  </si>
  <si>
    <r>
      <rPr>
        <sz val="11"/>
        <color theme="1"/>
        <rFont val="Times New Roman"/>
        <charset val="134"/>
      </rPr>
      <t>09/27/08</t>
    </r>
  </si>
  <si>
    <r>
      <rPr>
        <sz val="11"/>
        <color theme="1"/>
        <rFont val="Times New Roman"/>
        <charset val="134"/>
      </rPr>
      <t>09/24/08</t>
    </r>
  </si>
  <si>
    <r>
      <rPr>
        <sz val="11"/>
        <color theme="1"/>
        <rFont val="Times New Roman"/>
        <charset val="134"/>
      </rPr>
      <t>09/20/08</t>
    </r>
  </si>
  <si>
    <r>
      <rPr>
        <sz val="11"/>
        <color theme="1"/>
        <rFont val="Times New Roman"/>
        <charset val="134"/>
      </rPr>
      <t>09/17/08</t>
    </r>
  </si>
  <si>
    <r>
      <rPr>
        <sz val="11"/>
        <color theme="1"/>
        <rFont val="Times New Roman"/>
        <charset val="134"/>
      </rPr>
      <t>09/13/08</t>
    </r>
  </si>
  <si>
    <r>
      <rPr>
        <sz val="11"/>
        <color theme="1"/>
        <rFont val="Times New Roman"/>
        <charset val="134"/>
      </rPr>
      <t>08/30/08</t>
    </r>
  </si>
  <si>
    <r>
      <rPr>
        <sz val="11"/>
        <color theme="1"/>
        <rFont val="Times New Roman"/>
        <charset val="134"/>
      </rPr>
      <t>08/27/08</t>
    </r>
  </si>
  <si>
    <r>
      <rPr>
        <sz val="11"/>
        <color theme="1"/>
        <rFont val="Times New Roman"/>
        <charset val="134"/>
      </rPr>
      <t>08/23/08</t>
    </r>
  </si>
  <si>
    <r>
      <rPr>
        <sz val="11"/>
        <color theme="1"/>
        <rFont val="Times New Roman"/>
        <charset val="134"/>
      </rPr>
      <t>08/20/08</t>
    </r>
  </si>
  <si>
    <r>
      <rPr>
        <sz val="11"/>
        <color theme="1"/>
        <rFont val="Times New Roman"/>
        <charset val="134"/>
      </rPr>
      <t>08/16/08</t>
    </r>
  </si>
  <si>
    <r>
      <rPr>
        <sz val="11"/>
        <color theme="1"/>
        <rFont val="Times New Roman"/>
        <charset val="134"/>
      </rPr>
      <t>08/13/08</t>
    </r>
  </si>
  <si>
    <r>
      <rPr>
        <sz val="11"/>
        <color theme="1"/>
        <rFont val="Times New Roman"/>
        <charset val="134"/>
      </rPr>
      <t>07/30/08</t>
    </r>
  </si>
  <si>
    <r>
      <rPr>
        <sz val="11"/>
        <color theme="1"/>
        <rFont val="Times New Roman"/>
        <charset val="134"/>
      </rPr>
      <t>07/26/08</t>
    </r>
  </si>
  <si>
    <r>
      <rPr>
        <sz val="11"/>
        <color theme="1"/>
        <rFont val="Times New Roman"/>
        <charset val="134"/>
      </rPr>
      <t>07/23/08</t>
    </r>
  </si>
  <si>
    <r>
      <rPr>
        <sz val="11"/>
        <color theme="1"/>
        <rFont val="Times New Roman"/>
        <charset val="134"/>
      </rPr>
      <t>07/19/08</t>
    </r>
  </si>
  <si>
    <r>
      <rPr>
        <sz val="11"/>
        <color theme="1"/>
        <rFont val="Times New Roman"/>
        <charset val="134"/>
      </rPr>
      <t>07/16/08</t>
    </r>
  </si>
  <si>
    <r>
      <rPr>
        <sz val="11"/>
        <color theme="1"/>
        <rFont val="Times New Roman"/>
        <charset val="134"/>
      </rPr>
      <t>06/28/08</t>
    </r>
  </si>
  <si>
    <r>
      <rPr>
        <sz val="11"/>
        <color theme="1"/>
        <rFont val="Times New Roman"/>
        <charset val="134"/>
      </rPr>
      <t>06/25/08</t>
    </r>
  </si>
  <si>
    <r>
      <rPr>
        <sz val="11"/>
        <color theme="1"/>
        <rFont val="Times New Roman"/>
        <charset val="134"/>
      </rPr>
      <t>06/21/08</t>
    </r>
  </si>
  <si>
    <r>
      <rPr>
        <sz val="11"/>
        <color theme="1"/>
        <rFont val="Times New Roman"/>
        <charset val="134"/>
      </rPr>
      <t>06/18/08</t>
    </r>
  </si>
  <si>
    <r>
      <rPr>
        <sz val="11"/>
        <color theme="1"/>
        <rFont val="Times New Roman"/>
        <charset val="134"/>
      </rPr>
      <t>06/14/08</t>
    </r>
  </si>
  <si>
    <r>
      <rPr>
        <sz val="11"/>
        <color theme="1"/>
        <rFont val="Times New Roman"/>
        <charset val="134"/>
      </rPr>
      <t>05/31/08</t>
    </r>
  </si>
  <si>
    <r>
      <rPr>
        <sz val="11"/>
        <color theme="1"/>
        <rFont val="Times New Roman"/>
        <charset val="134"/>
      </rPr>
      <t>05/28/08</t>
    </r>
  </si>
  <si>
    <r>
      <rPr>
        <sz val="11"/>
        <color theme="1"/>
        <rFont val="Times New Roman"/>
        <charset val="134"/>
      </rPr>
      <t>05/24/08</t>
    </r>
  </si>
  <si>
    <r>
      <rPr>
        <sz val="11"/>
        <color theme="1"/>
        <rFont val="Times New Roman"/>
        <charset val="134"/>
      </rPr>
      <t>05/21/08</t>
    </r>
  </si>
  <si>
    <r>
      <rPr>
        <sz val="11"/>
        <color theme="1"/>
        <rFont val="Times New Roman"/>
        <charset val="134"/>
      </rPr>
      <t>05/17/08</t>
    </r>
  </si>
  <si>
    <r>
      <rPr>
        <sz val="11"/>
        <color theme="1"/>
        <rFont val="Times New Roman"/>
        <charset val="134"/>
      </rPr>
      <t>05/14/08</t>
    </r>
  </si>
  <si>
    <r>
      <rPr>
        <sz val="11"/>
        <color theme="1"/>
        <rFont val="Times New Roman"/>
        <charset val="134"/>
      </rPr>
      <t>04/30/08</t>
    </r>
  </si>
  <si>
    <r>
      <rPr>
        <sz val="11"/>
        <color theme="1"/>
        <rFont val="Times New Roman"/>
        <charset val="134"/>
      </rPr>
      <t>04/26/08</t>
    </r>
  </si>
  <si>
    <r>
      <rPr>
        <sz val="11"/>
        <color theme="1"/>
        <rFont val="Times New Roman"/>
        <charset val="134"/>
      </rPr>
      <t>04/23/08</t>
    </r>
  </si>
  <si>
    <r>
      <rPr>
        <sz val="11"/>
        <color theme="1"/>
        <rFont val="Times New Roman"/>
        <charset val="134"/>
      </rPr>
      <t>04/19/08</t>
    </r>
  </si>
  <si>
    <r>
      <rPr>
        <sz val="11"/>
        <color theme="1"/>
        <rFont val="Times New Roman"/>
        <charset val="134"/>
      </rPr>
      <t>04/16/08</t>
    </r>
  </si>
  <si>
    <r>
      <rPr>
        <sz val="11"/>
        <color theme="1"/>
        <rFont val="Times New Roman"/>
        <charset val="134"/>
      </rPr>
      <t>03/29/08</t>
    </r>
  </si>
  <si>
    <r>
      <rPr>
        <sz val="11"/>
        <color theme="1"/>
        <rFont val="Times New Roman"/>
        <charset val="134"/>
      </rPr>
      <t>03/26/08</t>
    </r>
  </si>
  <si>
    <r>
      <rPr>
        <sz val="11"/>
        <color theme="1"/>
        <rFont val="Times New Roman"/>
        <charset val="134"/>
      </rPr>
      <t>03/22/08</t>
    </r>
  </si>
  <si>
    <r>
      <rPr>
        <sz val="11"/>
        <color theme="1"/>
        <rFont val="Times New Roman"/>
        <charset val="134"/>
      </rPr>
      <t>03/19/08</t>
    </r>
  </si>
  <si>
    <r>
      <rPr>
        <sz val="11"/>
        <color theme="1"/>
        <rFont val="Times New Roman"/>
        <charset val="134"/>
      </rPr>
      <t>03/15/08</t>
    </r>
  </si>
  <si>
    <r>
      <rPr>
        <sz val="11"/>
        <color theme="1"/>
        <rFont val="Times New Roman"/>
        <charset val="134"/>
      </rPr>
      <t>02/27/08</t>
    </r>
  </si>
  <si>
    <r>
      <rPr>
        <sz val="11"/>
        <color theme="1"/>
        <rFont val="Times New Roman"/>
        <charset val="134"/>
      </rPr>
      <t>02/23/08</t>
    </r>
  </si>
  <si>
    <r>
      <rPr>
        <sz val="11"/>
        <color theme="1"/>
        <rFont val="Times New Roman"/>
        <charset val="134"/>
      </rPr>
      <t>02/20/08</t>
    </r>
  </si>
  <si>
    <r>
      <rPr>
        <sz val="11"/>
        <color theme="1"/>
        <rFont val="Times New Roman"/>
        <charset val="134"/>
      </rPr>
      <t>02/16/08</t>
    </r>
  </si>
  <si>
    <r>
      <rPr>
        <sz val="11"/>
        <color theme="1"/>
        <rFont val="Times New Roman"/>
        <charset val="134"/>
      </rPr>
      <t>02/13/08</t>
    </r>
  </si>
  <si>
    <r>
      <rPr>
        <sz val="11"/>
        <color theme="1"/>
        <rFont val="Times New Roman"/>
        <charset val="134"/>
      </rPr>
      <t>01/30/08</t>
    </r>
  </si>
  <si>
    <r>
      <rPr>
        <sz val="11"/>
        <color theme="1"/>
        <rFont val="Times New Roman"/>
        <charset val="134"/>
      </rPr>
      <t>01/26/08</t>
    </r>
  </si>
  <si>
    <r>
      <rPr>
        <sz val="11"/>
        <color theme="1"/>
        <rFont val="Times New Roman"/>
        <charset val="134"/>
      </rPr>
      <t>01/23/08</t>
    </r>
  </si>
  <si>
    <r>
      <rPr>
        <sz val="11"/>
        <color theme="1"/>
        <rFont val="Times New Roman"/>
        <charset val="134"/>
      </rPr>
      <t>01/19/08</t>
    </r>
  </si>
  <si>
    <r>
      <rPr>
        <sz val="11"/>
        <color theme="1"/>
        <rFont val="Times New Roman"/>
        <charset val="134"/>
      </rPr>
      <t>01/16/08</t>
    </r>
  </si>
  <si>
    <r>
      <rPr>
        <sz val="11"/>
        <color theme="1"/>
        <rFont val="Times New Roman"/>
        <charset val="134"/>
      </rPr>
      <t>12/29/07</t>
    </r>
  </si>
  <si>
    <r>
      <rPr>
        <sz val="11"/>
        <color theme="1"/>
        <rFont val="Times New Roman"/>
        <charset val="134"/>
      </rPr>
      <t>12/26/07</t>
    </r>
  </si>
  <si>
    <r>
      <rPr>
        <sz val="11"/>
        <color theme="1"/>
        <rFont val="Times New Roman"/>
        <charset val="134"/>
      </rPr>
      <t>12/22/07</t>
    </r>
  </si>
  <si>
    <r>
      <rPr>
        <sz val="11"/>
        <color theme="1"/>
        <rFont val="Times New Roman"/>
        <charset val="134"/>
      </rPr>
      <t>12/19/07</t>
    </r>
  </si>
  <si>
    <r>
      <rPr>
        <sz val="11"/>
        <color theme="1"/>
        <rFont val="Times New Roman"/>
        <charset val="134"/>
      </rPr>
      <t>12/15/07</t>
    </r>
  </si>
  <si>
    <r>
      <rPr>
        <sz val="11"/>
        <color theme="1"/>
        <rFont val="Times New Roman"/>
        <charset val="134"/>
      </rPr>
      <t>11/28/07</t>
    </r>
  </si>
  <si>
    <r>
      <rPr>
        <sz val="11"/>
        <color theme="1"/>
        <rFont val="Times New Roman"/>
        <charset val="134"/>
      </rPr>
      <t>11/24/07</t>
    </r>
  </si>
  <si>
    <r>
      <rPr>
        <sz val="11"/>
        <color theme="1"/>
        <rFont val="Times New Roman"/>
        <charset val="134"/>
      </rPr>
      <t>11/21/07</t>
    </r>
  </si>
  <si>
    <r>
      <rPr>
        <sz val="11"/>
        <color theme="1"/>
        <rFont val="Times New Roman"/>
        <charset val="134"/>
      </rPr>
      <t>11/17/07</t>
    </r>
  </si>
  <si>
    <r>
      <rPr>
        <sz val="11"/>
        <color theme="1"/>
        <rFont val="Times New Roman"/>
        <charset val="134"/>
      </rPr>
      <t>11/14/07</t>
    </r>
  </si>
  <si>
    <r>
      <rPr>
        <sz val="11"/>
        <color theme="1"/>
        <rFont val="Times New Roman"/>
        <charset val="134"/>
      </rPr>
      <t>10/31/07</t>
    </r>
  </si>
  <si>
    <r>
      <rPr>
        <sz val="11"/>
        <color theme="1"/>
        <rFont val="Times New Roman"/>
        <charset val="134"/>
      </rPr>
      <t>10/27/07</t>
    </r>
  </si>
  <si>
    <r>
      <rPr>
        <sz val="11"/>
        <color theme="1"/>
        <rFont val="Times New Roman"/>
        <charset val="134"/>
      </rPr>
      <t>10/24/07</t>
    </r>
  </si>
  <si>
    <r>
      <rPr>
        <sz val="11"/>
        <color theme="1"/>
        <rFont val="Times New Roman"/>
        <charset val="134"/>
      </rPr>
      <t>10/20/07</t>
    </r>
  </si>
  <si>
    <r>
      <rPr>
        <sz val="11"/>
        <color theme="1"/>
        <rFont val="Times New Roman"/>
        <charset val="134"/>
      </rPr>
      <t>10/17/07</t>
    </r>
  </si>
  <si>
    <r>
      <rPr>
        <sz val="11"/>
        <color theme="1"/>
        <rFont val="Times New Roman"/>
        <charset val="134"/>
      </rPr>
      <t>10/13/07</t>
    </r>
  </si>
  <si>
    <r>
      <rPr>
        <sz val="11"/>
        <color theme="1"/>
        <rFont val="Times New Roman"/>
        <charset val="134"/>
      </rPr>
      <t>09/29/07</t>
    </r>
  </si>
  <si>
    <r>
      <rPr>
        <sz val="11"/>
        <color theme="1"/>
        <rFont val="Times New Roman"/>
        <charset val="134"/>
      </rPr>
      <t>09/26/07</t>
    </r>
  </si>
  <si>
    <r>
      <rPr>
        <sz val="11"/>
        <color theme="1"/>
        <rFont val="Times New Roman"/>
        <charset val="134"/>
      </rPr>
      <t>09/22/07</t>
    </r>
  </si>
  <si>
    <r>
      <rPr>
        <sz val="11"/>
        <color theme="1"/>
        <rFont val="Times New Roman"/>
        <charset val="134"/>
      </rPr>
      <t>09/19/07</t>
    </r>
  </si>
  <si>
    <r>
      <rPr>
        <sz val="11"/>
        <color theme="1"/>
        <rFont val="Times New Roman"/>
        <charset val="134"/>
      </rPr>
      <t>09/15/07</t>
    </r>
  </si>
  <si>
    <r>
      <rPr>
        <sz val="11"/>
        <color theme="1"/>
        <rFont val="Times New Roman"/>
        <charset val="134"/>
      </rPr>
      <t>08/29/07</t>
    </r>
  </si>
  <si>
    <r>
      <rPr>
        <sz val="11"/>
        <color theme="1"/>
        <rFont val="Times New Roman"/>
        <charset val="134"/>
      </rPr>
      <t>08/25/07</t>
    </r>
  </si>
  <si>
    <r>
      <rPr>
        <sz val="11"/>
        <color theme="1"/>
        <rFont val="Times New Roman"/>
        <charset val="134"/>
      </rPr>
      <t>08/22/07</t>
    </r>
  </si>
  <si>
    <r>
      <rPr>
        <sz val="11"/>
        <color theme="1"/>
        <rFont val="Times New Roman"/>
        <charset val="134"/>
      </rPr>
      <t>08/18/07</t>
    </r>
  </si>
  <si>
    <r>
      <rPr>
        <sz val="11"/>
        <color theme="1"/>
        <rFont val="Times New Roman"/>
        <charset val="134"/>
      </rPr>
      <t>08/15/07</t>
    </r>
  </si>
  <si>
    <r>
      <rPr>
        <sz val="11"/>
        <color theme="1"/>
        <rFont val="Times New Roman"/>
        <charset val="134"/>
      </rPr>
      <t>07/28/07</t>
    </r>
  </si>
  <si>
    <r>
      <rPr>
        <sz val="11"/>
        <color theme="1"/>
        <rFont val="Times New Roman"/>
        <charset val="134"/>
      </rPr>
      <t>07/25/07</t>
    </r>
  </si>
  <si>
    <r>
      <rPr>
        <sz val="11"/>
        <color theme="1"/>
        <rFont val="Times New Roman"/>
        <charset val="134"/>
      </rPr>
      <t>07/21/07</t>
    </r>
  </si>
  <si>
    <r>
      <rPr>
        <sz val="11"/>
        <color theme="1"/>
        <rFont val="Times New Roman"/>
        <charset val="134"/>
      </rPr>
      <t>07/18/07</t>
    </r>
  </si>
  <si>
    <r>
      <rPr>
        <sz val="11"/>
        <color theme="1"/>
        <rFont val="Times New Roman"/>
        <charset val="134"/>
      </rPr>
      <t>07/14/07</t>
    </r>
  </si>
  <si>
    <r>
      <rPr>
        <sz val="11"/>
        <color theme="1"/>
        <rFont val="Times New Roman"/>
        <charset val="134"/>
      </rPr>
      <t>06/30/07</t>
    </r>
  </si>
  <si>
    <r>
      <rPr>
        <sz val="11"/>
        <color theme="1"/>
        <rFont val="Times New Roman"/>
        <charset val="134"/>
      </rPr>
      <t>06/27/07</t>
    </r>
  </si>
  <si>
    <r>
      <rPr>
        <sz val="11"/>
        <color theme="1"/>
        <rFont val="Times New Roman"/>
        <charset val="134"/>
      </rPr>
      <t>06/23/07</t>
    </r>
  </si>
  <si>
    <r>
      <rPr>
        <sz val="11"/>
        <color theme="1"/>
        <rFont val="Times New Roman"/>
        <charset val="134"/>
      </rPr>
      <t>06/20/07</t>
    </r>
  </si>
  <si>
    <r>
      <rPr>
        <sz val="11"/>
        <color theme="1"/>
        <rFont val="Times New Roman"/>
        <charset val="134"/>
      </rPr>
      <t>06/16/07</t>
    </r>
  </si>
  <si>
    <r>
      <rPr>
        <sz val="11"/>
        <color theme="1"/>
        <rFont val="Times New Roman"/>
        <charset val="134"/>
      </rPr>
      <t>06/13/07</t>
    </r>
  </si>
  <si>
    <r>
      <rPr>
        <sz val="11"/>
        <color theme="1"/>
        <rFont val="Times New Roman"/>
        <charset val="134"/>
      </rPr>
      <t>05/30/07</t>
    </r>
  </si>
  <si>
    <r>
      <rPr>
        <sz val="11"/>
        <color theme="1"/>
        <rFont val="Times New Roman"/>
        <charset val="134"/>
      </rPr>
      <t>05/26/07</t>
    </r>
  </si>
  <si>
    <r>
      <rPr>
        <sz val="11"/>
        <color theme="1"/>
        <rFont val="Times New Roman"/>
        <charset val="134"/>
      </rPr>
      <t>05/23/07</t>
    </r>
  </si>
  <si>
    <r>
      <rPr>
        <sz val="11"/>
        <color theme="1"/>
        <rFont val="Times New Roman"/>
        <charset val="134"/>
      </rPr>
      <t>05/19/07</t>
    </r>
  </si>
  <si>
    <r>
      <rPr>
        <sz val="11"/>
        <color theme="1"/>
        <rFont val="Times New Roman"/>
        <charset val="134"/>
      </rPr>
      <t>05/16/07</t>
    </r>
  </si>
  <si>
    <r>
      <rPr>
        <sz val="11"/>
        <color theme="1"/>
        <rFont val="Times New Roman"/>
        <charset val="134"/>
      </rPr>
      <t>04/28/07</t>
    </r>
  </si>
  <si>
    <r>
      <rPr>
        <sz val="11"/>
        <color theme="1"/>
        <rFont val="Times New Roman"/>
        <charset val="134"/>
      </rPr>
      <t>04/25/07</t>
    </r>
  </si>
  <si>
    <r>
      <rPr>
        <sz val="11"/>
        <color theme="1"/>
        <rFont val="Times New Roman"/>
        <charset val="134"/>
      </rPr>
      <t>04/21/07</t>
    </r>
  </si>
  <si>
    <r>
      <rPr>
        <sz val="11"/>
        <color theme="1"/>
        <rFont val="Times New Roman"/>
        <charset val="134"/>
      </rPr>
      <t>04/18/07</t>
    </r>
  </si>
  <si>
    <r>
      <rPr>
        <sz val="11"/>
        <color theme="1"/>
        <rFont val="Times New Roman"/>
        <charset val="134"/>
      </rPr>
      <t>04/14/07</t>
    </r>
  </si>
  <si>
    <r>
      <rPr>
        <sz val="11"/>
        <color theme="1"/>
        <rFont val="Times New Roman"/>
        <charset val="134"/>
      </rPr>
      <t>03/31/07</t>
    </r>
  </si>
  <si>
    <r>
      <rPr>
        <sz val="11"/>
        <color theme="1"/>
        <rFont val="Times New Roman"/>
        <charset val="134"/>
      </rPr>
      <t>03/28/07</t>
    </r>
  </si>
  <si>
    <r>
      <rPr>
        <sz val="11"/>
        <color theme="1"/>
        <rFont val="Times New Roman"/>
        <charset val="134"/>
      </rPr>
      <t>03/24/07</t>
    </r>
  </si>
  <si>
    <r>
      <rPr>
        <sz val="11"/>
        <color theme="1"/>
        <rFont val="Times New Roman"/>
        <charset val="134"/>
      </rPr>
      <t>03/21/07</t>
    </r>
  </si>
  <si>
    <r>
      <rPr>
        <sz val="11"/>
        <color theme="1"/>
        <rFont val="Times New Roman"/>
        <charset val="134"/>
      </rPr>
      <t>03/17/07</t>
    </r>
  </si>
  <si>
    <r>
      <rPr>
        <sz val="11"/>
        <color theme="1"/>
        <rFont val="Times New Roman"/>
        <charset val="134"/>
      </rPr>
      <t>03/14/07</t>
    </r>
  </si>
  <si>
    <r>
      <rPr>
        <sz val="11"/>
        <color theme="1"/>
        <rFont val="Times New Roman"/>
        <charset val="134"/>
      </rPr>
      <t>02/28/07</t>
    </r>
  </si>
  <si>
    <r>
      <rPr>
        <sz val="11"/>
        <color theme="1"/>
        <rFont val="Times New Roman"/>
        <charset val="134"/>
      </rPr>
      <t>02/24/07</t>
    </r>
  </si>
  <si>
    <r>
      <rPr>
        <sz val="11"/>
        <color theme="1"/>
        <rFont val="Times New Roman"/>
        <charset val="134"/>
      </rPr>
      <t>02/21/07</t>
    </r>
  </si>
  <si>
    <r>
      <rPr>
        <sz val="11"/>
        <color theme="1"/>
        <rFont val="Times New Roman"/>
        <charset val="134"/>
      </rPr>
      <t>02/17/07</t>
    </r>
  </si>
  <si>
    <r>
      <rPr>
        <sz val="11"/>
        <color theme="1"/>
        <rFont val="Times New Roman"/>
        <charset val="134"/>
      </rPr>
      <t>02/14/07</t>
    </r>
  </si>
  <si>
    <r>
      <rPr>
        <sz val="11"/>
        <color theme="1"/>
        <rFont val="Times New Roman"/>
        <charset val="134"/>
      </rPr>
      <t>01/31/07</t>
    </r>
  </si>
  <si>
    <r>
      <rPr>
        <sz val="11"/>
        <color theme="1"/>
        <rFont val="Times New Roman"/>
        <charset val="134"/>
      </rPr>
      <t>01/27/07</t>
    </r>
  </si>
  <si>
    <r>
      <rPr>
        <sz val="11"/>
        <color theme="1"/>
        <rFont val="Times New Roman"/>
        <charset val="134"/>
      </rPr>
      <t>01/24/07</t>
    </r>
  </si>
  <si>
    <r>
      <rPr>
        <sz val="11"/>
        <color theme="1"/>
        <rFont val="Times New Roman"/>
        <charset val="134"/>
      </rPr>
      <t>01/20/07</t>
    </r>
  </si>
  <si>
    <r>
      <rPr>
        <sz val="11"/>
        <color theme="1"/>
        <rFont val="Times New Roman"/>
        <charset val="134"/>
      </rPr>
      <t>01/17/07</t>
    </r>
  </si>
  <si>
    <r>
      <rPr>
        <sz val="11"/>
        <color theme="1"/>
        <rFont val="Times New Roman"/>
        <charset val="134"/>
      </rPr>
      <t>01/13/07</t>
    </r>
  </si>
  <si>
    <r>
      <rPr>
        <sz val="11"/>
        <color theme="1"/>
        <rFont val="Times New Roman"/>
        <charset val="134"/>
      </rPr>
      <t>12/30/06</t>
    </r>
  </si>
  <si>
    <r>
      <rPr>
        <sz val="11"/>
        <color theme="1"/>
        <rFont val="Times New Roman"/>
        <charset val="134"/>
      </rPr>
      <t>12/27/06</t>
    </r>
  </si>
  <si>
    <r>
      <rPr>
        <sz val="11"/>
        <color theme="1"/>
        <rFont val="Times New Roman"/>
        <charset val="134"/>
      </rPr>
      <t>12/23/06</t>
    </r>
  </si>
  <si>
    <r>
      <rPr>
        <sz val="11"/>
        <color theme="1"/>
        <rFont val="Times New Roman"/>
        <charset val="134"/>
      </rPr>
      <t>12/20/06</t>
    </r>
  </si>
  <si>
    <r>
      <rPr>
        <sz val="11"/>
        <color theme="1"/>
        <rFont val="Times New Roman"/>
        <charset val="134"/>
      </rPr>
      <t>12/16/06</t>
    </r>
  </si>
  <si>
    <r>
      <rPr>
        <sz val="11"/>
        <color theme="1"/>
        <rFont val="Times New Roman"/>
        <charset val="134"/>
      </rPr>
      <t>12/13/06</t>
    </r>
  </si>
  <si>
    <r>
      <rPr>
        <sz val="11"/>
        <color theme="1"/>
        <rFont val="Times New Roman"/>
        <charset val="134"/>
      </rPr>
      <t>11/29/06</t>
    </r>
  </si>
  <si>
    <r>
      <rPr>
        <sz val="11"/>
        <color theme="1"/>
        <rFont val="Times New Roman"/>
        <charset val="134"/>
      </rPr>
      <t>11/25/06</t>
    </r>
  </si>
  <si>
    <r>
      <rPr>
        <sz val="11"/>
        <color theme="1"/>
        <rFont val="Times New Roman"/>
        <charset val="134"/>
      </rPr>
      <t>11/22/06</t>
    </r>
  </si>
  <si>
    <r>
      <rPr>
        <sz val="11"/>
        <color theme="1"/>
        <rFont val="Times New Roman"/>
        <charset val="134"/>
      </rPr>
      <t>11/18/06</t>
    </r>
  </si>
  <si>
    <r>
      <rPr>
        <sz val="11"/>
        <color theme="1"/>
        <rFont val="Times New Roman"/>
        <charset val="134"/>
      </rPr>
      <t>11/15/06</t>
    </r>
  </si>
  <si>
    <r>
      <rPr>
        <sz val="11"/>
        <color theme="1"/>
        <rFont val="Times New Roman"/>
        <charset val="134"/>
      </rPr>
      <t>10/28/06</t>
    </r>
  </si>
  <si>
    <r>
      <rPr>
        <sz val="11"/>
        <color theme="1"/>
        <rFont val="Times New Roman"/>
        <charset val="134"/>
      </rPr>
      <t>10/25/06</t>
    </r>
  </si>
  <si>
    <r>
      <rPr>
        <sz val="11"/>
        <color theme="1"/>
        <rFont val="Times New Roman"/>
        <charset val="134"/>
      </rPr>
      <t>10/21/06</t>
    </r>
  </si>
  <si>
    <r>
      <rPr>
        <sz val="11"/>
        <color theme="1"/>
        <rFont val="Times New Roman"/>
        <charset val="134"/>
      </rPr>
      <t>10/18/06</t>
    </r>
  </si>
  <si>
    <r>
      <rPr>
        <sz val="11"/>
        <color theme="1"/>
        <rFont val="Times New Roman"/>
        <charset val="134"/>
      </rPr>
      <t>10/14/06</t>
    </r>
  </si>
  <si>
    <r>
      <rPr>
        <sz val="11"/>
        <color theme="1"/>
        <rFont val="Times New Roman"/>
        <charset val="134"/>
      </rPr>
      <t>09/30/06</t>
    </r>
  </si>
  <si>
    <r>
      <rPr>
        <sz val="11"/>
        <color theme="1"/>
        <rFont val="Times New Roman"/>
        <charset val="134"/>
      </rPr>
      <t>09/27/06</t>
    </r>
  </si>
  <si>
    <r>
      <rPr>
        <sz val="11"/>
        <color theme="1"/>
        <rFont val="Times New Roman"/>
        <charset val="134"/>
      </rPr>
      <t>09/23/06</t>
    </r>
  </si>
  <si>
    <r>
      <rPr>
        <sz val="11"/>
        <color theme="1"/>
        <rFont val="Times New Roman"/>
        <charset val="134"/>
      </rPr>
      <t>09/20/06</t>
    </r>
  </si>
  <si>
    <r>
      <rPr>
        <sz val="11"/>
        <color theme="1"/>
        <rFont val="Times New Roman"/>
        <charset val="134"/>
      </rPr>
      <t>09/16/06</t>
    </r>
  </si>
  <si>
    <r>
      <rPr>
        <sz val="11"/>
        <color theme="1"/>
        <rFont val="Times New Roman"/>
        <charset val="134"/>
      </rPr>
      <t>09/13/06</t>
    </r>
  </si>
  <si>
    <r>
      <rPr>
        <sz val="11"/>
        <color theme="1"/>
        <rFont val="Times New Roman"/>
        <charset val="134"/>
      </rPr>
      <t>08/30/06</t>
    </r>
  </si>
  <si>
    <r>
      <rPr>
        <sz val="11"/>
        <color theme="1"/>
        <rFont val="Times New Roman"/>
        <charset val="134"/>
      </rPr>
      <t>08/26/06</t>
    </r>
  </si>
  <si>
    <r>
      <rPr>
        <sz val="11"/>
        <color theme="1"/>
        <rFont val="Times New Roman"/>
        <charset val="134"/>
      </rPr>
      <t>08/23/06</t>
    </r>
  </si>
  <si>
    <r>
      <rPr>
        <sz val="11"/>
        <color theme="1"/>
        <rFont val="Times New Roman"/>
        <charset val="134"/>
      </rPr>
      <t>08/19/06</t>
    </r>
  </si>
  <si>
    <r>
      <rPr>
        <sz val="11"/>
        <color theme="1"/>
        <rFont val="Times New Roman"/>
        <charset val="134"/>
      </rPr>
      <t>08/16/06</t>
    </r>
  </si>
  <si>
    <r>
      <rPr>
        <sz val="11"/>
        <color theme="1"/>
        <rFont val="Times New Roman"/>
        <charset val="134"/>
      </rPr>
      <t>07/29/06</t>
    </r>
  </si>
  <si>
    <r>
      <rPr>
        <sz val="11"/>
        <color theme="1"/>
        <rFont val="Times New Roman"/>
        <charset val="134"/>
      </rPr>
      <t>07/26/06</t>
    </r>
  </si>
  <si>
    <r>
      <rPr>
        <sz val="11"/>
        <color theme="1"/>
        <rFont val="Times New Roman"/>
        <charset val="134"/>
      </rPr>
      <t>07/22/06</t>
    </r>
  </si>
  <si>
    <r>
      <rPr>
        <sz val="11"/>
        <color theme="1"/>
        <rFont val="Times New Roman"/>
        <charset val="134"/>
      </rPr>
      <t>07/19/06</t>
    </r>
  </si>
  <si>
    <r>
      <rPr>
        <sz val="11"/>
        <color theme="1"/>
        <rFont val="Times New Roman"/>
        <charset val="134"/>
      </rPr>
      <t>07/15/06</t>
    </r>
  </si>
  <si>
    <r>
      <rPr>
        <sz val="11"/>
        <color theme="1"/>
        <rFont val="Times New Roman"/>
        <charset val="134"/>
      </rPr>
      <t>06/28/06</t>
    </r>
  </si>
  <si>
    <r>
      <rPr>
        <sz val="11"/>
        <color theme="1"/>
        <rFont val="Times New Roman"/>
        <charset val="134"/>
      </rPr>
      <t>06/24/06</t>
    </r>
  </si>
  <si>
    <r>
      <rPr>
        <sz val="11"/>
        <color theme="1"/>
        <rFont val="Times New Roman"/>
        <charset val="134"/>
      </rPr>
      <t>06/21/06</t>
    </r>
  </si>
  <si>
    <r>
      <rPr>
        <sz val="11"/>
        <color theme="1"/>
        <rFont val="Times New Roman"/>
        <charset val="134"/>
      </rPr>
      <t>06/17/06</t>
    </r>
  </si>
  <si>
    <r>
      <rPr>
        <sz val="11"/>
        <color theme="1"/>
        <rFont val="Times New Roman"/>
        <charset val="134"/>
      </rPr>
      <t>06/14/06</t>
    </r>
  </si>
  <si>
    <r>
      <rPr>
        <sz val="11"/>
        <color theme="1"/>
        <rFont val="Times New Roman"/>
        <charset val="134"/>
      </rPr>
      <t>05/31/06</t>
    </r>
  </si>
  <si>
    <r>
      <rPr>
        <sz val="11"/>
        <color theme="1"/>
        <rFont val="Times New Roman"/>
        <charset val="134"/>
      </rPr>
      <t>05/27/06</t>
    </r>
  </si>
  <si>
    <r>
      <rPr>
        <sz val="11"/>
        <color theme="1"/>
        <rFont val="Times New Roman"/>
        <charset val="134"/>
      </rPr>
      <t>05/24/06</t>
    </r>
  </si>
  <si>
    <r>
      <rPr>
        <sz val="11"/>
        <color theme="1"/>
        <rFont val="Times New Roman"/>
        <charset val="134"/>
      </rPr>
      <t>05/20/06</t>
    </r>
  </si>
  <si>
    <r>
      <rPr>
        <sz val="11"/>
        <color theme="1"/>
        <rFont val="Times New Roman"/>
        <charset val="134"/>
      </rPr>
      <t>05/17/06</t>
    </r>
  </si>
  <si>
    <r>
      <rPr>
        <sz val="11"/>
        <color theme="1"/>
        <rFont val="Times New Roman"/>
        <charset val="134"/>
      </rPr>
      <t>05/13/06</t>
    </r>
  </si>
  <si>
    <r>
      <rPr>
        <sz val="11"/>
        <color theme="1"/>
        <rFont val="Times New Roman"/>
        <charset val="134"/>
      </rPr>
      <t>04/29/06</t>
    </r>
  </si>
  <si>
    <r>
      <rPr>
        <sz val="11"/>
        <color theme="1"/>
        <rFont val="Times New Roman"/>
        <charset val="134"/>
      </rPr>
      <t>04/26/06</t>
    </r>
  </si>
  <si>
    <r>
      <rPr>
        <sz val="11"/>
        <color theme="1"/>
        <rFont val="Times New Roman"/>
        <charset val="134"/>
      </rPr>
      <t>04/22/06</t>
    </r>
  </si>
  <si>
    <r>
      <rPr>
        <sz val="11"/>
        <color theme="1"/>
        <rFont val="Times New Roman"/>
        <charset val="134"/>
      </rPr>
      <t>04/19/06</t>
    </r>
  </si>
  <si>
    <r>
      <rPr>
        <sz val="11"/>
        <color theme="1"/>
        <rFont val="Times New Roman"/>
        <charset val="134"/>
      </rPr>
      <t>04/15/06</t>
    </r>
  </si>
  <si>
    <r>
      <rPr>
        <sz val="11"/>
        <color theme="1"/>
        <rFont val="Times New Roman"/>
        <charset val="134"/>
      </rPr>
      <t>03/29/06</t>
    </r>
  </si>
  <si>
    <r>
      <rPr>
        <sz val="11"/>
        <color theme="1"/>
        <rFont val="Times New Roman"/>
        <charset val="134"/>
      </rPr>
      <t>03/25/06</t>
    </r>
  </si>
  <si>
    <r>
      <rPr>
        <sz val="11"/>
        <color theme="1"/>
        <rFont val="Times New Roman"/>
        <charset val="134"/>
      </rPr>
      <t>03/22/06</t>
    </r>
  </si>
  <si>
    <r>
      <rPr>
        <sz val="11"/>
        <color theme="1"/>
        <rFont val="Times New Roman"/>
        <charset val="134"/>
      </rPr>
      <t>03/18/06</t>
    </r>
  </si>
  <si>
    <r>
      <rPr>
        <sz val="11"/>
        <color theme="1"/>
        <rFont val="Times New Roman"/>
        <charset val="134"/>
      </rPr>
      <t>03/15/06</t>
    </r>
  </si>
  <si>
    <r>
      <rPr>
        <sz val="11"/>
        <color theme="1"/>
        <rFont val="Times New Roman"/>
        <charset val="134"/>
      </rPr>
      <t>02/25/06</t>
    </r>
  </si>
  <si>
    <r>
      <rPr>
        <sz val="11"/>
        <color theme="1"/>
        <rFont val="Times New Roman"/>
        <charset val="134"/>
      </rPr>
      <t>02/22/06</t>
    </r>
  </si>
  <si>
    <r>
      <rPr>
        <sz val="11"/>
        <color theme="1"/>
        <rFont val="Times New Roman"/>
        <charset val="134"/>
      </rPr>
      <t>02/18/06</t>
    </r>
  </si>
  <si>
    <r>
      <rPr>
        <sz val="11"/>
        <color theme="1"/>
        <rFont val="Times New Roman"/>
        <charset val="134"/>
      </rPr>
      <t>02/15/06</t>
    </r>
  </si>
  <si>
    <r>
      <rPr>
        <sz val="11"/>
        <color theme="1"/>
        <rFont val="Times New Roman"/>
        <charset val="134"/>
      </rPr>
      <t>01/28/06</t>
    </r>
  </si>
  <si>
    <r>
      <rPr>
        <sz val="11"/>
        <color theme="1"/>
        <rFont val="Times New Roman"/>
        <charset val="134"/>
      </rPr>
      <t>01/25/06</t>
    </r>
  </si>
  <si>
    <r>
      <rPr>
        <sz val="11"/>
        <color theme="1"/>
        <rFont val="Times New Roman"/>
        <charset val="134"/>
      </rPr>
      <t>01/21/06</t>
    </r>
  </si>
  <si>
    <r>
      <rPr>
        <sz val="11"/>
        <color theme="1"/>
        <rFont val="Times New Roman"/>
        <charset val="134"/>
      </rPr>
      <t>01/18/06</t>
    </r>
  </si>
  <si>
    <r>
      <rPr>
        <sz val="11"/>
        <color theme="1"/>
        <rFont val="Times New Roman"/>
        <charset val="134"/>
      </rPr>
      <t>01/14/06</t>
    </r>
  </si>
  <si>
    <r>
      <rPr>
        <sz val="11"/>
        <color theme="1"/>
        <rFont val="Times New Roman"/>
        <charset val="134"/>
      </rPr>
      <t>12/31/05</t>
    </r>
  </si>
  <si>
    <r>
      <rPr>
        <sz val="11"/>
        <color theme="1"/>
        <rFont val="Times New Roman"/>
        <charset val="134"/>
      </rPr>
      <t>12/28/05</t>
    </r>
  </si>
  <si>
    <r>
      <rPr>
        <sz val="11"/>
        <color theme="1"/>
        <rFont val="Times New Roman"/>
        <charset val="134"/>
      </rPr>
      <t>12/24/05</t>
    </r>
  </si>
  <si>
    <r>
      <rPr>
        <sz val="11"/>
        <color theme="1"/>
        <rFont val="Times New Roman"/>
        <charset val="134"/>
      </rPr>
      <t>12/21/05</t>
    </r>
  </si>
  <si>
    <r>
      <rPr>
        <sz val="11"/>
        <color theme="1"/>
        <rFont val="Times New Roman"/>
        <charset val="134"/>
      </rPr>
      <t>12/17/05</t>
    </r>
  </si>
  <si>
    <r>
      <rPr>
        <sz val="11"/>
        <color theme="1"/>
        <rFont val="Times New Roman"/>
        <charset val="134"/>
      </rPr>
      <t>12/14/05</t>
    </r>
  </si>
  <si>
    <r>
      <rPr>
        <sz val="11"/>
        <color theme="1"/>
        <rFont val="Times New Roman"/>
        <charset val="134"/>
      </rPr>
      <t>11/30/05</t>
    </r>
  </si>
  <si>
    <r>
      <rPr>
        <sz val="11"/>
        <color theme="1"/>
        <rFont val="Times New Roman"/>
        <charset val="134"/>
      </rPr>
      <t>11/26/05</t>
    </r>
  </si>
  <si>
    <r>
      <rPr>
        <sz val="11"/>
        <color theme="1"/>
        <rFont val="Times New Roman"/>
        <charset val="134"/>
      </rPr>
      <t>11/23/05</t>
    </r>
  </si>
  <si>
    <r>
      <rPr>
        <sz val="11"/>
        <color theme="1"/>
        <rFont val="Times New Roman"/>
        <charset val="134"/>
      </rPr>
      <t>11/19/05</t>
    </r>
  </si>
  <si>
    <r>
      <rPr>
        <sz val="11"/>
        <color theme="1"/>
        <rFont val="Times New Roman"/>
        <charset val="134"/>
      </rPr>
      <t>11/16/05</t>
    </r>
  </si>
  <si>
    <r>
      <rPr>
        <sz val="11"/>
        <color theme="1"/>
        <rFont val="Times New Roman"/>
        <charset val="134"/>
      </rPr>
      <t>10/29/05</t>
    </r>
  </si>
  <si>
    <r>
      <rPr>
        <sz val="11"/>
        <color theme="1"/>
        <rFont val="Times New Roman"/>
        <charset val="134"/>
      </rPr>
      <t>10/26/05</t>
    </r>
  </si>
  <si>
    <r>
      <rPr>
        <sz val="11"/>
        <color theme="1"/>
        <rFont val="Times New Roman"/>
        <charset val="134"/>
      </rPr>
      <t>10/22/05</t>
    </r>
  </si>
  <si>
    <r>
      <rPr>
        <sz val="11"/>
        <color theme="1"/>
        <rFont val="Times New Roman"/>
        <charset val="134"/>
      </rPr>
      <t>10/19/05</t>
    </r>
  </si>
  <si>
    <r>
      <rPr>
        <sz val="11"/>
        <color theme="1"/>
        <rFont val="Times New Roman"/>
        <charset val="134"/>
      </rPr>
      <t>10/15/05</t>
    </r>
  </si>
  <si>
    <r>
      <rPr>
        <sz val="11"/>
        <color theme="1"/>
        <rFont val="Times New Roman"/>
        <charset val="134"/>
      </rPr>
      <t>09/28/05</t>
    </r>
  </si>
  <si>
    <r>
      <rPr>
        <sz val="11"/>
        <color theme="1"/>
        <rFont val="Times New Roman"/>
        <charset val="134"/>
      </rPr>
      <t>09/24/05</t>
    </r>
  </si>
  <si>
    <r>
      <rPr>
        <sz val="11"/>
        <color theme="1"/>
        <rFont val="Times New Roman"/>
        <charset val="134"/>
      </rPr>
      <t>09/21/05</t>
    </r>
  </si>
  <si>
    <r>
      <rPr>
        <sz val="11"/>
        <color theme="1"/>
        <rFont val="Times New Roman"/>
        <charset val="134"/>
      </rPr>
      <t>09/17/05</t>
    </r>
  </si>
  <si>
    <r>
      <rPr>
        <sz val="11"/>
        <color theme="1"/>
        <rFont val="Times New Roman"/>
        <charset val="134"/>
      </rPr>
      <t>09/14/05:</t>
    </r>
  </si>
  <si>
    <r>
      <rPr>
        <sz val="11"/>
        <color theme="1"/>
        <rFont val="Times New Roman"/>
        <charset val="134"/>
      </rPr>
      <t>08/31/05</t>
    </r>
  </si>
  <si>
    <r>
      <rPr>
        <sz val="11"/>
        <color theme="1"/>
        <rFont val="Times New Roman"/>
        <charset val="134"/>
      </rPr>
      <t>08/27/05</t>
    </r>
  </si>
  <si>
    <r>
      <rPr>
        <sz val="11"/>
        <color theme="1"/>
        <rFont val="Times New Roman"/>
        <charset val="134"/>
      </rPr>
      <t>08/24/05</t>
    </r>
  </si>
  <si>
    <r>
      <rPr>
        <sz val="11"/>
        <color theme="1"/>
        <rFont val="Times New Roman"/>
        <charset val="134"/>
      </rPr>
      <t>08/20/05</t>
    </r>
  </si>
  <si>
    <r>
      <rPr>
        <sz val="11"/>
        <color theme="1"/>
        <rFont val="Times New Roman"/>
        <charset val="134"/>
      </rPr>
      <t>08/17/05</t>
    </r>
  </si>
  <si>
    <r>
      <rPr>
        <sz val="11"/>
        <color theme="1"/>
        <rFont val="Times New Roman"/>
        <charset val="134"/>
      </rPr>
      <t>08/13/05</t>
    </r>
  </si>
  <si>
    <r>
      <rPr>
        <sz val="11"/>
        <color theme="1"/>
        <rFont val="Times New Roman"/>
        <charset val="134"/>
      </rPr>
      <t>07/30/05</t>
    </r>
  </si>
  <si>
    <r>
      <rPr>
        <sz val="11"/>
        <color theme="1"/>
        <rFont val="Times New Roman"/>
        <charset val="134"/>
      </rPr>
      <t>07/27/05</t>
    </r>
  </si>
  <si>
    <r>
      <rPr>
        <sz val="11"/>
        <color theme="1"/>
        <rFont val="Times New Roman"/>
        <charset val="134"/>
      </rPr>
      <t>07/23/05</t>
    </r>
  </si>
  <si>
    <r>
      <rPr>
        <sz val="11"/>
        <color theme="1"/>
        <rFont val="Times New Roman"/>
        <charset val="134"/>
      </rPr>
      <t>07/20/05</t>
    </r>
  </si>
  <si>
    <r>
      <rPr>
        <sz val="11"/>
        <color theme="1"/>
        <rFont val="Times New Roman"/>
        <charset val="134"/>
      </rPr>
      <t>07/16/05</t>
    </r>
  </si>
  <si>
    <r>
      <rPr>
        <sz val="11"/>
        <color theme="1"/>
        <rFont val="Times New Roman"/>
        <charset val="134"/>
      </rPr>
      <t>07/13/05</t>
    </r>
  </si>
  <si>
    <r>
      <rPr>
        <sz val="11"/>
        <color theme="1"/>
        <rFont val="Times New Roman"/>
        <charset val="134"/>
      </rPr>
      <t>06/29/05</t>
    </r>
  </si>
  <si>
    <r>
      <rPr>
        <sz val="11"/>
        <color theme="1"/>
        <rFont val="Times New Roman"/>
        <charset val="134"/>
      </rPr>
      <t>06/25/05</t>
    </r>
  </si>
  <si>
    <r>
      <rPr>
        <sz val="11"/>
        <color theme="1"/>
        <rFont val="Times New Roman"/>
        <charset val="134"/>
      </rPr>
      <t>06/22/05</t>
    </r>
  </si>
  <si>
    <r>
      <rPr>
        <sz val="11"/>
        <color theme="1"/>
        <rFont val="Times New Roman"/>
        <charset val="134"/>
      </rPr>
      <t>06/18/05</t>
    </r>
  </si>
  <si>
    <r>
      <rPr>
        <sz val="11"/>
        <color theme="1"/>
        <rFont val="Times New Roman"/>
        <charset val="134"/>
      </rPr>
      <t>06/15/05</t>
    </r>
  </si>
  <si>
    <r>
      <rPr>
        <sz val="11"/>
        <color theme="1"/>
        <rFont val="Times New Roman"/>
        <charset val="134"/>
      </rPr>
      <t>05/28/05</t>
    </r>
  </si>
  <si>
    <r>
      <rPr>
        <sz val="11"/>
        <color theme="1"/>
        <rFont val="Times New Roman"/>
        <charset val="134"/>
      </rPr>
      <t>05/25/05</t>
    </r>
  </si>
  <si>
    <r>
      <rPr>
        <sz val="11"/>
        <color theme="1"/>
        <rFont val="Times New Roman"/>
        <charset val="134"/>
      </rPr>
      <t>05/21/05</t>
    </r>
  </si>
  <si>
    <r>
      <rPr>
        <sz val="11"/>
        <color theme="1"/>
        <rFont val="Times New Roman"/>
        <charset val="134"/>
      </rPr>
      <t>05/18/05</t>
    </r>
  </si>
  <si>
    <r>
      <rPr>
        <sz val="11"/>
        <color theme="1"/>
        <rFont val="Times New Roman"/>
        <charset val="134"/>
      </rPr>
      <t>05/14/05</t>
    </r>
  </si>
  <si>
    <r>
      <rPr>
        <sz val="11"/>
        <color theme="1"/>
        <rFont val="Times New Roman"/>
        <charset val="134"/>
      </rPr>
      <t>04/30/05</t>
    </r>
  </si>
  <si>
    <r>
      <rPr>
        <sz val="11"/>
        <color theme="1"/>
        <rFont val="Times New Roman"/>
        <charset val="134"/>
      </rPr>
      <t>04/27/05</t>
    </r>
  </si>
  <si>
    <r>
      <rPr>
        <sz val="11"/>
        <color theme="1"/>
        <rFont val="Times New Roman"/>
        <charset val="134"/>
      </rPr>
      <t>04/23/05</t>
    </r>
  </si>
  <si>
    <r>
      <rPr>
        <sz val="11"/>
        <color theme="1"/>
        <rFont val="Times New Roman"/>
        <charset val="134"/>
      </rPr>
      <t>04/20/05</t>
    </r>
  </si>
  <si>
    <r>
      <rPr>
        <sz val="11"/>
        <color theme="1"/>
        <rFont val="Times New Roman"/>
        <charset val="134"/>
      </rPr>
      <t>04/16/05</t>
    </r>
  </si>
  <si>
    <r>
      <rPr>
        <sz val="11"/>
        <color theme="1"/>
        <rFont val="Times New Roman"/>
        <charset val="134"/>
      </rPr>
      <t>04/13/05</t>
    </r>
  </si>
  <si>
    <r>
      <rPr>
        <sz val="11"/>
        <color theme="1"/>
        <rFont val="Times New Roman"/>
        <charset val="134"/>
      </rPr>
      <t>03/30/05</t>
    </r>
  </si>
  <si>
    <r>
      <rPr>
        <sz val="11"/>
        <color theme="1"/>
        <rFont val="Times New Roman"/>
        <charset val="134"/>
      </rPr>
      <t>03/26/05</t>
    </r>
  </si>
  <si>
    <r>
      <rPr>
        <sz val="11"/>
        <color theme="1"/>
        <rFont val="Times New Roman"/>
        <charset val="134"/>
      </rPr>
      <t>03/23/05</t>
    </r>
  </si>
  <si>
    <r>
      <rPr>
        <sz val="11"/>
        <color theme="1"/>
        <rFont val="Times New Roman"/>
        <charset val="134"/>
      </rPr>
      <t>03/19/05</t>
    </r>
  </si>
  <si>
    <r>
      <rPr>
        <sz val="11"/>
        <color theme="1"/>
        <rFont val="Times New Roman"/>
        <charset val="134"/>
      </rPr>
      <t>03/16/05</t>
    </r>
  </si>
  <si>
    <r>
      <rPr>
        <sz val="11"/>
        <color theme="1"/>
        <rFont val="Times New Roman"/>
        <charset val="134"/>
      </rPr>
      <t>02/26/05</t>
    </r>
  </si>
  <si>
    <r>
      <rPr>
        <sz val="11"/>
        <color theme="1"/>
        <rFont val="Times New Roman"/>
        <charset val="134"/>
      </rPr>
      <t>02/23/05</t>
    </r>
  </si>
  <si>
    <r>
      <rPr>
        <sz val="11"/>
        <color theme="1"/>
        <rFont val="Times New Roman"/>
        <charset val="134"/>
      </rPr>
      <t>02/19/05</t>
    </r>
  </si>
  <si>
    <r>
      <rPr>
        <sz val="11"/>
        <color theme="1"/>
        <rFont val="Times New Roman"/>
        <charset val="134"/>
      </rPr>
      <t>02/16/05</t>
    </r>
  </si>
  <si>
    <r>
      <rPr>
        <sz val="11"/>
        <color theme="1"/>
        <rFont val="Times New Roman"/>
        <charset val="134"/>
      </rPr>
      <t>01/29/05</t>
    </r>
  </si>
  <si>
    <r>
      <rPr>
        <sz val="11"/>
        <color theme="1"/>
        <rFont val="Times New Roman"/>
        <charset val="134"/>
      </rPr>
      <t>01/26/05</t>
    </r>
  </si>
  <si>
    <r>
      <rPr>
        <sz val="11"/>
        <color theme="1"/>
        <rFont val="Times New Roman"/>
        <charset val="134"/>
      </rPr>
      <t>01/22/05</t>
    </r>
  </si>
  <si>
    <r>
      <rPr>
        <sz val="11"/>
        <color theme="1"/>
        <rFont val="Times New Roman"/>
        <charset val="134"/>
      </rPr>
      <t>01/19/05</t>
    </r>
  </si>
  <si>
    <r>
      <rPr>
        <sz val="11"/>
        <color theme="1"/>
        <rFont val="Times New Roman"/>
        <charset val="134"/>
      </rPr>
      <t>01/15/05</t>
    </r>
  </si>
  <si>
    <r>
      <rPr>
        <sz val="11"/>
        <color theme="1"/>
        <rFont val="Times New Roman"/>
        <charset val="134"/>
      </rPr>
      <t>12/29/04</t>
    </r>
  </si>
  <si>
    <r>
      <rPr>
        <sz val="11"/>
        <color theme="1"/>
        <rFont val="Times New Roman"/>
        <charset val="134"/>
      </rPr>
      <t>12/25/04</t>
    </r>
  </si>
  <si>
    <r>
      <rPr>
        <sz val="11"/>
        <color theme="1"/>
        <rFont val="Times New Roman"/>
        <charset val="134"/>
      </rPr>
      <t>12/22/04</t>
    </r>
  </si>
  <si>
    <r>
      <rPr>
        <sz val="11"/>
        <color theme="1"/>
        <rFont val="Times New Roman"/>
        <charset val="134"/>
      </rPr>
      <t>12/18/04</t>
    </r>
  </si>
  <si>
    <r>
      <rPr>
        <sz val="11"/>
        <color theme="1"/>
        <rFont val="Times New Roman"/>
        <charset val="134"/>
      </rPr>
      <t>12/15/04</t>
    </r>
  </si>
  <si>
    <r>
      <rPr>
        <sz val="11"/>
        <color theme="1"/>
        <rFont val="Times New Roman"/>
        <charset val="134"/>
      </rPr>
      <t>11/27/04</t>
    </r>
  </si>
  <si>
    <r>
      <rPr>
        <sz val="11"/>
        <color theme="1"/>
        <rFont val="Times New Roman"/>
        <charset val="134"/>
      </rPr>
      <t>11/24/04</t>
    </r>
  </si>
  <si>
    <r>
      <rPr>
        <sz val="11"/>
        <color theme="1"/>
        <rFont val="Times New Roman"/>
        <charset val="134"/>
      </rPr>
      <t>11/20/04</t>
    </r>
  </si>
  <si>
    <r>
      <rPr>
        <sz val="11"/>
        <color theme="1"/>
        <rFont val="Times New Roman"/>
        <charset val="134"/>
      </rPr>
      <t>11/17/04</t>
    </r>
  </si>
  <si>
    <r>
      <rPr>
        <sz val="11"/>
        <color theme="1"/>
        <rFont val="Times New Roman"/>
        <charset val="134"/>
      </rPr>
      <t>11/13/04</t>
    </r>
  </si>
  <si>
    <r>
      <rPr>
        <sz val="11"/>
        <color theme="1"/>
        <rFont val="Times New Roman"/>
        <charset val="134"/>
      </rPr>
      <t>10/30/04</t>
    </r>
  </si>
  <si>
    <r>
      <rPr>
        <sz val="11"/>
        <color theme="1"/>
        <rFont val="Times New Roman"/>
        <charset val="134"/>
      </rPr>
      <t>10/27/04</t>
    </r>
  </si>
  <si>
    <r>
      <rPr>
        <sz val="11"/>
        <color theme="1"/>
        <rFont val="Times New Roman"/>
        <charset val="134"/>
      </rPr>
      <t>10/23/04</t>
    </r>
  </si>
  <si>
    <r>
      <rPr>
        <sz val="11"/>
        <color theme="1"/>
        <rFont val="Times New Roman"/>
        <charset val="134"/>
      </rPr>
      <t>10/20/04</t>
    </r>
  </si>
  <si>
    <r>
      <rPr>
        <sz val="11"/>
        <color theme="1"/>
        <rFont val="Times New Roman"/>
        <charset val="134"/>
      </rPr>
      <t>10/16/04</t>
    </r>
  </si>
  <si>
    <r>
      <rPr>
        <sz val="11"/>
        <color theme="1"/>
        <rFont val="Times New Roman"/>
        <charset val="134"/>
      </rPr>
      <t>10/13/04</t>
    </r>
  </si>
  <si>
    <r>
      <rPr>
        <sz val="11"/>
        <color theme="1"/>
        <rFont val="Times New Roman"/>
        <charset val="134"/>
      </rPr>
      <t>09/29/04</t>
    </r>
  </si>
  <si>
    <r>
      <rPr>
        <sz val="11"/>
        <color theme="1"/>
        <rFont val="Times New Roman"/>
        <charset val="134"/>
      </rPr>
      <t>09/25/04</t>
    </r>
  </si>
  <si>
    <r>
      <rPr>
        <sz val="11"/>
        <color theme="1"/>
        <rFont val="Times New Roman"/>
        <charset val="134"/>
      </rPr>
      <t>09/22/04</t>
    </r>
  </si>
  <si>
    <r>
      <rPr>
        <sz val="11"/>
        <color theme="1"/>
        <rFont val="Times New Roman"/>
        <charset val="134"/>
      </rPr>
      <t>09/18/04</t>
    </r>
  </si>
  <si>
    <r>
      <rPr>
        <sz val="11"/>
        <color theme="1"/>
        <rFont val="Times New Roman"/>
        <charset val="134"/>
      </rPr>
      <t>09/15/04</t>
    </r>
  </si>
  <si>
    <r>
      <rPr>
        <sz val="11"/>
        <color theme="1"/>
        <rFont val="Times New Roman"/>
        <charset val="134"/>
      </rPr>
      <t>08/28/04</t>
    </r>
  </si>
  <si>
    <r>
      <rPr>
        <sz val="11"/>
        <color theme="1"/>
        <rFont val="Times New Roman"/>
        <charset val="134"/>
      </rPr>
      <t>08/25/04</t>
    </r>
  </si>
  <si>
    <r>
      <rPr>
        <sz val="11"/>
        <color theme="1"/>
        <rFont val="Times New Roman"/>
        <charset val="134"/>
      </rPr>
      <t>08/21/04</t>
    </r>
  </si>
  <si>
    <r>
      <rPr>
        <sz val="11"/>
        <color theme="1"/>
        <rFont val="Times New Roman"/>
        <charset val="134"/>
      </rPr>
      <t>08/18/04</t>
    </r>
  </si>
  <si>
    <r>
      <rPr>
        <sz val="11"/>
        <color theme="1"/>
        <rFont val="Times New Roman"/>
        <charset val="134"/>
      </rPr>
      <t>08/14/04</t>
    </r>
  </si>
  <si>
    <r>
      <rPr>
        <sz val="11"/>
        <color theme="1"/>
        <rFont val="Times New Roman"/>
        <charset val="134"/>
      </rPr>
      <t>07/31/04</t>
    </r>
  </si>
  <si>
    <r>
      <rPr>
        <sz val="11"/>
        <color theme="1"/>
        <rFont val="Times New Roman"/>
        <charset val="134"/>
      </rPr>
      <t>07/28/04</t>
    </r>
  </si>
  <si>
    <r>
      <rPr>
        <sz val="11"/>
        <color theme="1"/>
        <rFont val="Times New Roman"/>
        <charset val="134"/>
      </rPr>
      <t>07/24/04</t>
    </r>
  </si>
  <si>
    <r>
      <rPr>
        <sz val="11"/>
        <color theme="1"/>
        <rFont val="Times New Roman"/>
        <charset val="134"/>
      </rPr>
      <t>07/21/04</t>
    </r>
  </si>
  <si>
    <r>
      <rPr>
        <sz val="11"/>
        <color theme="1"/>
        <rFont val="Times New Roman"/>
        <charset val="134"/>
      </rPr>
      <t>07/17/04</t>
    </r>
  </si>
  <si>
    <r>
      <rPr>
        <sz val="11"/>
        <color theme="1"/>
        <rFont val="Times New Roman"/>
        <charset val="134"/>
      </rPr>
      <t>07/14/04</t>
    </r>
  </si>
  <si>
    <r>
      <rPr>
        <sz val="11"/>
        <color theme="1"/>
        <rFont val="Times New Roman"/>
        <charset val="134"/>
      </rPr>
      <t>07/0704</t>
    </r>
  </si>
  <si>
    <r>
      <rPr>
        <sz val="11"/>
        <color theme="1"/>
        <rFont val="Times New Roman"/>
        <charset val="134"/>
      </rPr>
      <t>06/30/04</t>
    </r>
  </si>
  <si>
    <r>
      <rPr>
        <sz val="11"/>
        <color theme="1"/>
        <rFont val="Times New Roman"/>
        <charset val="134"/>
      </rPr>
      <t>06/26/04</t>
    </r>
  </si>
  <si>
    <r>
      <rPr>
        <sz val="11"/>
        <color theme="1"/>
        <rFont val="Times New Roman"/>
        <charset val="134"/>
      </rPr>
      <t>06/23/04</t>
    </r>
  </si>
  <si>
    <r>
      <rPr>
        <sz val="11"/>
        <color theme="1"/>
        <rFont val="Times New Roman"/>
        <charset val="134"/>
      </rPr>
      <t>06/19/04</t>
    </r>
  </si>
  <si>
    <r>
      <rPr>
        <sz val="11"/>
        <color theme="1"/>
        <rFont val="Times New Roman"/>
        <charset val="134"/>
      </rPr>
      <t>06/16/04</t>
    </r>
  </si>
  <si>
    <r>
      <rPr>
        <sz val="11"/>
        <color theme="1"/>
        <rFont val="Times New Roman"/>
        <charset val="134"/>
      </rPr>
      <t>05/29/04</t>
    </r>
  </si>
  <si>
    <r>
      <rPr>
        <sz val="11"/>
        <color theme="1"/>
        <rFont val="Times New Roman"/>
        <charset val="134"/>
      </rPr>
      <t>05/26/04</t>
    </r>
  </si>
  <si>
    <r>
      <rPr>
        <sz val="11"/>
        <color theme="1"/>
        <rFont val="Times New Roman"/>
        <charset val="134"/>
      </rPr>
      <t>05/22/04</t>
    </r>
  </si>
  <si>
    <r>
      <rPr>
        <sz val="11"/>
        <color theme="1"/>
        <rFont val="Times New Roman"/>
        <charset val="134"/>
      </rPr>
      <t>05/19/04</t>
    </r>
  </si>
  <si>
    <r>
      <rPr>
        <sz val="11"/>
        <color theme="1"/>
        <rFont val="Times New Roman"/>
        <charset val="134"/>
      </rPr>
      <t>05/15/04</t>
    </r>
  </si>
  <si>
    <r>
      <rPr>
        <sz val="11"/>
        <color theme="1"/>
        <rFont val="Times New Roman"/>
        <charset val="134"/>
      </rPr>
      <t>04/28/04</t>
    </r>
  </si>
  <si>
    <r>
      <rPr>
        <sz val="11"/>
        <color theme="1"/>
        <rFont val="Times New Roman"/>
        <charset val="134"/>
      </rPr>
      <t>04/24/04</t>
    </r>
  </si>
  <si>
    <r>
      <rPr>
        <sz val="11"/>
        <color theme="1"/>
        <rFont val="Times New Roman"/>
        <charset val="134"/>
      </rPr>
      <t>04/21/04</t>
    </r>
  </si>
  <si>
    <r>
      <rPr>
        <sz val="11"/>
        <color theme="1"/>
        <rFont val="Times New Roman"/>
        <charset val="134"/>
      </rPr>
      <t>04/17/04</t>
    </r>
  </si>
  <si>
    <r>
      <rPr>
        <sz val="11"/>
        <color theme="1"/>
        <rFont val="Times New Roman"/>
        <charset val="134"/>
      </rPr>
      <t>04/14/04</t>
    </r>
  </si>
  <si>
    <r>
      <rPr>
        <sz val="11"/>
        <color theme="1"/>
        <rFont val="Times New Roman"/>
        <charset val="134"/>
      </rPr>
      <t>03/31/04</t>
    </r>
  </si>
  <si>
    <r>
      <rPr>
        <sz val="11"/>
        <color theme="1"/>
        <rFont val="Times New Roman"/>
        <charset val="134"/>
      </rPr>
      <t>03/27/04</t>
    </r>
  </si>
  <si>
    <r>
      <rPr>
        <sz val="11"/>
        <color theme="1"/>
        <rFont val="Times New Roman"/>
        <charset val="134"/>
      </rPr>
      <t>03/24/04</t>
    </r>
  </si>
  <si>
    <r>
      <rPr>
        <sz val="11"/>
        <color theme="1"/>
        <rFont val="Times New Roman"/>
        <charset val="134"/>
      </rPr>
      <t>03/20/04</t>
    </r>
  </si>
  <si>
    <r>
      <rPr>
        <sz val="11"/>
        <color theme="1"/>
        <rFont val="Times New Roman"/>
        <charset val="134"/>
      </rPr>
      <t>03/17/04</t>
    </r>
  </si>
  <si>
    <r>
      <rPr>
        <sz val="11"/>
        <color theme="1"/>
        <rFont val="Times New Roman"/>
        <charset val="134"/>
      </rPr>
      <t>03/13/04</t>
    </r>
  </si>
  <si>
    <r>
      <rPr>
        <sz val="11"/>
        <color theme="1"/>
        <rFont val="Times New Roman"/>
        <charset val="134"/>
      </rPr>
      <t>02/28/04</t>
    </r>
  </si>
  <si>
    <r>
      <rPr>
        <sz val="11"/>
        <color theme="1"/>
        <rFont val="Times New Roman"/>
        <charset val="134"/>
      </rPr>
      <t>02/25/04</t>
    </r>
  </si>
  <si>
    <r>
      <rPr>
        <sz val="11"/>
        <color theme="1"/>
        <rFont val="Times New Roman"/>
        <charset val="134"/>
      </rPr>
      <t>02/21/04</t>
    </r>
  </si>
  <si>
    <r>
      <rPr>
        <sz val="11"/>
        <color theme="1"/>
        <rFont val="Times New Roman"/>
        <charset val="134"/>
      </rPr>
      <t>02/18/04</t>
    </r>
  </si>
  <si>
    <r>
      <rPr>
        <sz val="11"/>
        <color theme="1"/>
        <rFont val="Times New Roman"/>
        <charset val="134"/>
      </rPr>
      <t>02/14/04</t>
    </r>
  </si>
  <si>
    <r>
      <rPr>
        <sz val="11"/>
        <color theme="1"/>
        <rFont val="Times New Roman"/>
        <charset val="134"/>
      </rPr>
      <t>01/31/04</t>
    </r>
  </si>
  <si>
    <r>
      <rPr>
        <sz val="11"/>
        <color theme="1"/>
        <rFont val="Times New Roman"/>
        <charset val="134"/>
      </rPr>
      <t>01/28/04</t>
    </r>
  </si>
  <si>
    <r>
      <rPr>
        <sz val="11"/>
        <color theme="1"/>
        <rFont val="Times New Roman"/>
        <charset val="134"/>
      </rPr>
      <t>01/24/04</t>
    </r>
  </si>
  <si>
    <r>
      <rPr>
        <sz val="11"/>
        <color theme="1"/>
        <rFont val="Times New Roman"/>
        <charset val="134"/>
      </rPr>
      <t>01/21/04</t>
    </r>
  </si>
  <si>
    <r>
      <rPr>
        <sz val="11"/>
        <color theme="1"/>
        <rFont val="Times New Roman"/>
        <charset val="134"/>
      </rPr>
      <t>01/17/04</t>
    </r>
  </si>
  <si>
    <r>
      <rPr>
        <sz val="11"/>
        <color theme="1"/>
        <rFont val="Times New Roman"/>
        <charset val="134"/>
      </rPr>
      <t>01/14/04</t>
    </r>
  </si>
  <si>
    <r>
      <rPr>
        <sz val="11"/>
        <color theme="1"/>
        <rFont val="Times New Roman"/>
        <charset val="134"/>
      </rPr>
      <t>12/31/03</t>
    </r>
  </si>
  <si>
    <r>
      <rPr>
        <sz val="11"/>
        <color theme="1"/>
        <rFont val="Times New Roman"/>
        <charset val="134"/>
      </rPr>
      <t>12/27/03</t>
    </r>
  </si>
  <si>
    <r>
      <rPr>
        <sz val="11"/>
        <color theme="1"/>
        <rFont val="Times New Roman"/>
        <charset val="134"/>
      </rPr>
      <t>12/24/03</t>
    </r>
  </si>
  <si>
    <r>
      <rPr>
        <sz val="11"/>
        <color theme="1"/>
        <rFont val="Times New Roman"/>
        <charset val="134"/>
      </rPr>
      <t>12/20/03</t>
    </r>
  </si>
  <si>
    <r>
      <rPr>
        <sz val="11"/>
        <color theme="1"/>
        <rFont val="Times New Roman"/>
        <charset val="134"/>
      </rPr>
      <t>12/17/03</t>
    </r>
  </si>
  <si>
    <r>
      <rPr>
        <sz val="11"/>
        <color theme="1"/>
        <rFont val="Times New Roman"/>
        <charset val="134"/>
      </rPr>
      <t>12/13/03</t>
    </r>
  </si>
  <si>
    <r>
      <rPr>
        <sz val="11"/>
        <color theme="1"/>
        <rFont val="Times New Roman"/>
        <charset val="134"/>
      </rPr>
      <t>11/29/03</t>
    </r>
  </si>
  <si>
    <r>
      <rPr>
        <sz val="11"/>
        <color theme="1"/>
        <rFont val="Times New Roman"/>
        <charset val="134"/>
      </rPr>
      <t>11/26/03</t>
    </r>
  </si>
  <si>
    <r>
      <rPr>
        <sz val="11"/>
        <color theme="1"/>
        <rFont val="Times New Roman"/>
        <charset val="134"/>
      </rPr>
      <t>11/22/03</t>
    </r>
  </si>
  <si>
    <r>
      <rPr>
        <sz val="11"/>
        <color theme="1"/>
        <rFont val="Times New Roman"/>
        <charset val="134"/>
      </rPr>
      <t>11/19/03</t>
    </r>
  </si>
  <si>
    <r>
      <rPr>
        <sz val="11"/>
        <color theme="1"/>
        <rFont val="Times New Roman"/>
        <charset val="134"/>
      </rPr>
      <t>11/15/03</t>
    </r>
  </si>
  <si>
    <r>
      <rPr>
        <sz val="11"/>
        <color theme="1"/>
        <rFont val="Times New Roman"/>
        <charset val="134"/>
      </rPr>
      <t>10/29/03</t>
    </r>
  </si>
  <si>
    <r>
      <rPr>
        <sz val="11"/>
        <color theme="1"/>
        <rFont val="Times New Roman"/>
        <charset val="134"/>
      </rPr>
      <t>10/25/03</t>
    </r>
  </si>
  <si>
    <r>
      <rPr>
        <sz val="11"/>
        <color theme="1"/>
        <rFont val="Times New Roman"/>
        <charset val="134"/>
      </rPr>
      <t>10/22/03</t>
    </r>
  </si>
  <si>
    <r>
      <rPr>
        <sz val="11"/>
        <color theme="1"/>
        <rFont val="Times New Roman"/>
        <charset val="134"/>
      </rPr>
      <t>10/18/03</t>
    </r>
  </si>
  <si>
    <r>
      <rPr>
        <sz val="11"/>
        <color theme="1"/>
        <rFont val="Times New Roman"/>
        <charset val="134"/>
      </rPr>
      <t>10/15/03</t>
    </r>
  </si>
  <si>
    <r>
      <rPr>
        <sz val="11"/>
        <color theme="1"/>
        <rFont val="Times New Roman"/>
        <charset val="134"/>
      </rPr>
      <t>9/27/03</t>
    </r>
  </si>
  <si>
    <r>
      <rPr>
        <sz val="11"/>
        <color theme="1"/>
        <rFont val="Times New Roman"/>
        <charset val="134"/>
      </rPr>
      <t>9/24/03</t>
    </r>
  </si>
  <si>
    <r>
      <rPr>
        <sz val="11"/>
        <color theme="1"/>
        <rFont val="Times New Roman"/>
        <charset val="134"/>
      </rPr>
      <t>9/20/03</t>
    </r>
  </si>
  <si>
    <r>
      <rPr>
        <sz val="11"/>
        <color theme="1"/>
        <rFont val="Times New Roman"/>
        <charset val="134"/>
      </rPr>
      <t>9/17/03</t>
    </r>
  </si>
  <si>
    <r>
      <rPr>
        <sz val="11"/>
        <color theme="1"/>
        <rFont val="Times New Roman"/>
        <charset val="134"/>
      </rPr>
      <t>9/13/03</t>
    </r>
  </si>
  <si>
    <r>
      <rPr>
        <sz val="11"/>
        <color theme="1"/>
        <rFont val="Times New Roman"/>
        <charset val="134"/>
      </rPr>
      <t>8/30/03</t>
    </r>
  </si>
  <si>
    <r>
      <rPr>
        <sz val="11"/>
        <color theme="1"/>
        <rFont val="Times New Roman"/>
        <charset val="134"/>
      </rPr>
      <t>8/27/03</t>
    </r>
  </si>
  <si>
    <r>
      <rPr>
        <sz val="11"/>
        <color theme="1"/>
        <rFont val="Times New Roman"/>
        <charset val="134"/>
      </rPr>
      <t>8/23/03</t>
    </r>
  </si>
  <si>
    <r>
      <rPr>
        <sz val="11"/>
        <color theme="1"/>
        <rFont val="Times New Roman"/>
        <charset val="134"/>
      </rPr>
      <t>8/20/03</t>
    </r>
  </si>
  <si>
    <r>
      <rPr>
        <sz val="11"/>
        <color theme="1"/>
        <rFont val="Times New Roman"/>
        <charset val="134"/>
      </rPr>
      <t>8/16/03</t>
    </r>
  </si>
  <si>
    <r>
      <rPr>
        <sz val="11"/>
        <color theme="1"/>
        <rFont val="Times New Roman"/>
        <charset val="134"/>
      </rPr>
      <t>8/13/03</t>
    </r>
  </si>
  <si>
    <r>
      <rPr>
        <sz val="11"/>
        <color theme="1"/>
        <rFont val="Times New Roman"/>
        <charset val="134"/>
      </rPr>
      <t>7/30/03</t>
    </r>
  </si>
  <si>
    <r>
      <rPr>
        <sz val="11"/>
        <color theme="1"/>
        <rFont val="Times New Roman"/>
        <charset val="134"/>
      </rPr>
      <t>7/26/03</t>
    </r>
  </si>
  <si>
    <r>
      <rPr>
        <sz val="11"/>
        <color theme="1"/>
        <rFont val="Times New Roman"/>
        <charset val="134"/>
      </rPr>
      <t>7/23/03</t>
    </r>
  </si>
  <si>
    <r>
      <rPr>
        <sz val="11"/>
        <color theme="1"/>
        <rFont val="Times New Roman"/>
        <charset val="134"/>
      </rPr>
      <t>7/19/03</t>
    </r>
  </si>
  <si>
    <r>
      <rPr>
        <sz val="11"/>
        <color theme="1"/>
        <rFont val="Times New Roman"/>
        <charset val="134"/>
      </rPr>
      <t>7/16/03</t>
    </r>
  </si>
  <si>
    <r>
      <rPr>
        <sz val="11"/>
        <color theme="1"/>
        <rFont val="Times New Roman"/>
        <charset val="134"/>
      </rPr>
      <t>6/28/03</t>
    </r>
  </si>
  <si>
    <r>
      <rPr>
        <sz val="11"/>
        <color theme="1"/>
        <rFont val="Times New Roman"/>
        <charset val="134"/>
      </rPr>
      <t>6/25/03</t>
    </r>
  </si>
  <si>
    <r>
      <rPr>
        <sz val="11"/>
        <color theme="1"/>
        <rFont val="Times New Roman"/>
        <charset val="134"/>
      </rPr>
      <t>6/21/03</t>
    </r>
  </si>
  <si>
    <r>
      <rPr>
        <sz val="11"/>
        <color theme="1"/>
        <rFont val="Times New Roman"/>
        <charset val="134"/>
      </rPr>
      <t>6/18/03</t>
    </r>
  </si>
  <si>
    <r>
      <rPr>
        <sz val="11"/>
        <color theme="1"/>
        <rFont val="Times New Roman"/>
        <charset val="134"/>
      </rPr>
      <t>6/14/03</t>
    </r>
  </si>
  <si>
    <r>
      <rPr>
        <sz val="11"/>
        <color theme="1"/>
        <rFont val="Times New Roman"/>
        <charset val="134"/>
      </rPr>
      <t>5/31/03</t>
    </r>
  </si>
  <si>
    <r>
      <rPr>
        <sz val="11"/>
        <color theme="1"/>
        <rFont val="Times New Roman"/>
        <charset val="134"/>
      </rPr>
      <t>5/28/03</t>
    </r>
  </si>
  <si>
    <r>
      <rPr>
        <sz val="11"/>
        <color theme="1"/>
        <rFont val="Times New Roman"/>
        <charset val="134"/>
      </rPr>
      <t>5/24/03</t>
    </r>
  </si>
  <si>
    <r>
      <rPr>
        <sz val="11"/>
        <color theme="1"/>
        <rFont val="Times New Roman"/>
        <charset val="134"/>
      </rPr>
      <t>5/21/03</t>
    </r>
  </si>
  <si>
    <r>
      <rPr>
        <sz val="11"/>
        <color theme="1"/>
        <rFont val="Times New Roman"/>
        <charset val="134"/>
      </rPr>
      <t>5/17/03</t>
    </r>
  </si>
  <si>
    <r>
      <rPr>
        <sz val="11"/>
        <color theme="1"/>
        <rFont val="Times New Roman"/>
        <charset val="134"/>
      </rPr>
      <t>5/14/03</t>
    </r>
  </si>
  <si>
    <r>
      <rPr>
        <sz val="11"/>
        <color theme="1"/>
        <rFont val="Times New Roman"/>
        <charset val="134"/>
      </rPr>
      <t>4/30/03</t>
    </r>
  </si>
  <si>
    <r>
      <rPr>
        <sz val="11"/>
        <color theme="1"/>
        <rFont val="Times New Roman"/>
        <charset val="134"/>
      </rPr>
      <t>4/26/03</t>
    </r>
  </si>
  <si>
    <r>
      <rPr>
        <sz val="11"/>
        <color theme="1"/>
        <rFont val="Times New Roman"/>
        <charset val="134"/>
      </rPr>
      <t>4/23/03</t>
    </r>
  </si>
  <si>
    <r>
      <rPr>
        <sz val="11"/>
        <color theme="1"/>
        <rFont val="Times New Roman"/>
        <charset val="134"/>
      </rPr>
      <t>4/19/03</t>
    </r>
  </si>
  <si>
    <r>
      <rPr>
        <sz val="11"/>
        <color theme="1"/>
        <rFont val="Times New Roman"/>
        <charset val="134"/>
      </rPr>
      <t>4/16/03</t>
    </r>
  </si>
  <si>
    <r>
      <rPr>
        <sz val="11"/>
        <color theme="1"/>
        <rFont val="Times New Roman"/>
        <charset val="134"/>
      </rPr>
      <t>3/29/03</t>
    </r>
  </si>
  <si>
    <r>
      <rPr>
        <sz val="11"/>
        <color theme="1"/>
        <rFont val="Times New Roman"/>
        <charset val="134"/>
      </rPr>
      <t>3/26/03</t>
    </r>
  </si>
  <si>
    <r>
      <rPr>
        <sz val="11"/>
        <color theme="1"/>
        <rFont val="Times New Roman"/>
        <charset val="134"/>
      </rPr>
      <t>3/22/03</t>
    </r>
  </si>
  <si>
    <r>
      <rPr>
        <sz val="11"/>
        <color theme="1"/>
        <rFont val="Times New Roman"/>
        <charset val="134"/>
      </rPr>
      <t>3/19/03</t>
    </r>
  </si>
  <si>
    <r>
      <rPr>
        <sz val="11"/>
        <color theme="1"/>
        <rFont val="Times New Roman"/>
        <charset val="134"/>
      </rPr>
      <t>3/15/03</t>
    </r>
  </si>
  <si>
    <r>
      <rPr>
        <sz val="11"/>
        <color theme="1"/>
        <rFont val="Times New Roman"/>
        <charset val="134"/>
      </rPr>
      <t>2/26/03</t>
    </r>
  </si>
  <si>
    <r>
      <rPr>
        <sz val="11"/>
        <color theme="1"/>
        <rFont val="Times New Roman"/>
        <charset val="134"/>
      </rPr>
      <t>2/22/03</t>
    </r>
  </si>
  <si>
    <r>
      <rPr>
        <sz val="11"/>
        <color theme="1"/>
        <rFont val="Times New Roman"/>
        <charset val="134"/>
      </rPr>
      <t>2/19/03</t>
    </r>
  </si>
  <si>
    <r>
      <rPr>
        <sz val="11"/>
        <color theme="1"/>
        <rFont val="Times New Roman"/>
        <charset val="134"/>
      </rPr>
      <t>2/15/03</t>
    </r>
  </si>
  <si>
    <r>
      <rPr>
        <sz val="11"/>
        <color theme="1"/>
        <rFont val="Times New Roman"/>
        <charset val="134"/>
      </rPr>
      <t>1/29/03</t>
    </r>
  </si>
  <si>
    <r>
      <rPr>
        <sz val="11"/>
        <color theme="1"/>
        <rFont val="Times New Roman"/>
        <charset val="134"/>
      </rPr>
      <t>1/25/03</t>
    </r>
  </si>
  <si>
    <r>
      <rPr>
        <sz val="11"/>
        <color theme="1"/>
        <rFont val="Times New Roman"/>
        <charset val="134"/>
      </rPr>
      <t>1/22/03</t>
    </r>
  </si>
  <si>
    <r>
      <rPr>
        <sz val="11"/>
        <color theme="1"/>
        <rFont val="Times New Roman"/>
        <charset val="134"/>
      </rPr>
      <t>1/18/03</t>
    </r>
  </si>
  <si>
    <r>
      <rPr>
        <sz val="11"/>
        <color theme="1"/>
        <rFont val="Times New Roman"/>
        <charset val="134"/>
      </rPr>
      <t>1/15/03</t>
    </r>
  </si>
  <si>
    <r>
      <rPr>
        <sz val="11"/>
        <color theme="1"/>
        <rFont val="Times New Roman"/>
        <charset val="134"/>
      </rPr>
      <t>12/28/02</t>
    </r>
  </si>
  <si>
    <r>
      <rPr>
        <sz val="11"/>
        <color theme="1"/>
        <rFont val="Times New Roman"/>
        <charset val="134"/>
      </rPr>
      <t>12/25/02</t>
    </r>
  </si>
  <si>
    <r>
      <rPr>
        <sz val="11"/>
        <color theme="1"/>
        <rFont val="Times New Roman"/>
        <charset val="134"/>
      </rPr>
      <t>12/21/02</t>
    </r>
  </si>
  <si>
    <r>
      <rPr>
        <sz val="11"/>
        <color theme="1"/>
        <rFont val="Times New Roman"/>
        <charset val="134"/>
      </rPr>
      <t>12/18/02</t>
    </r>
  </si>
  <si>
    <r>
      <rPr>
        <sz val="11"/>
        <color theme="1"/>
        <rFont val="Times New Roman"/>
        <charset val="134"/>
      </rPr>
      <t>12/14/02</t>
    </r>
  </si>
  <si>
    <r>
      <rPr>
        <sz val="11"/>
        <color theme="1"/>
        <rFont val="Times New Roman"/>
        <charset val="134"/>
      </rPr>
      <t>11/30/02</t>
    </r>
  </si>
  <si>
    <r>
      <rPr>
        <sz val="11"/>
        <color theme="1"/>
        <rFont val="Times New Roman"/>
        <charset val="134"/>
      </rPr>
      <t>11/27/02</t>
    </r>
  </si>
  <si>
    <r>
      <rPr>
        <sz val="11"/>
        <color theme="1"/>
        <rFont val="Times New Roman"/>
        <charset val="134"/>
      </rPr>
      <t>11/23/02</t>
    </r>
  </si>
  <si>
    <r>
      <rPr>
        <sz val="11"/>
        <color theme="1"/>
        <rFont val="Times New Roman"/>
        <charset val="134"/>
      </rPr>
      <t>11/20/02</t>
    </r>
  </si>
  <si>
    <r>
      <rPr>
        <sz val="11"/>
        <color theme="1"/>
        <rFont val="Times New Roman"/>
        <charset val="134"/>
      </rPr>
      <t>11/16/02</t>
    </r>
  </si>
  <si>
    <r>
      <rPr>
        <sz val="11"/>
        <color theme="1"/>
        <rFont val="Times New Roman"/>
        <charset val="134"/>
      </rPr>
      <t>11/13/02</t>
    </r>
  </si>
  <si>
    <r>
      <rPr>
        <sz val="11"/>
        <color theme="1"/>
        <rFont val="Times New Roman"/>
        <charset val="134"/>
      </rPr>
      <t>10/30/02</t>
    </r>
  </si>
  <si>
    <r>
      <rPr>
        <sz val="11"/>
        <color theme="1"/>
        <rFont val="Times New Roman"/>
        <charset val="134"/>
      </rPr>
      <t>10/26/02</t>
    </r>
  </si>
  <si>
    <r>
      <rPr>
        <sz val="11"/>
        <color theme="1"/>
        <rFont val="Times New Roman"/>
        <charset val="134"/>
      </rPr>
      <t>10/23/02</t>
    </r>
  </si>
  <si>
    <r>
      <rPr>
        <sz val="11"/>
        <color theme="1"/>
        <rFont val="Times New Roman"/>
        <charset val="134"/>
      </rPr>
      <t>10/19/02</t>
    </r>
  </si>
  <si>
    <r>
      <rPr>
        <sz val="11"/>
        <color theme="1"/>
        <rFont val="Times New Roman"/>
        <charset val="134"/>
      </rPr>
      <t>10/16/02</t>
    </r>
  </si>
  <si>
    <r>
      <rPr>
        <sz val="11"/>
        <color theme="1"/>
        <rFont val="Times New Roman"/>
        <charset val="134"/>
      </rPr>
      <t>9/28/02</t>
    </r>
  </si>
  <si>
    <r>
      <rPr>
        <sz val="11"/>
        <color theme="1"/>
        <rFont val="Times New Roman"/>
        <charset val="134"/>
      </rPr>
      <t>9/25/02</t>
    </r>
  </si>
  <si>
    <r>
      <rPr>
        <sz val="11"/>
        <color theme="1"/>
        <rFont val="Times New Roman"/>
        <charset val="134"/>
      </rPr>
      <t>9/21/02</t>
    </r>
  </si>
  <si>
    <r>
      <rPr>
        <sz val="11"/>
        <color theme="1"/>
        <rFont val="Times New Roman"/>
        <charset val="134"/>
      </rPr>
      <t>9/18/02</t>
    </r>
  </si>
  <si>
    <r>
      <rPr>
        <sz val="11"/>
        <color theme="1"/>
        <rFont val="Times New Roman"/>
        <charset val="134"/>
      </rPr>
      <t>9/14/02</t>
    </r>
  </si>
  <si>
    <r>
      <rPr>
        <sz val="11"/>
        <color theme="1"/>
        <rFont val="Times New Roman"/>
        <charset val="134"/>
      </rPr>
      <t>8/31/02</t>
    </r>
  </si>
  <si>
    <r>
      <rPr>
        <sz val="11"/>
        <color theme="1"/>
        <rFont val="Times New Roman"/>
        <charset val="134"/>
      </rPr>
      <t>8/28/02</t>
    </r>
  </si>
  <si>
    <r>
      <rPr>
        <sz val="11"/>
        <color theme="1"/>
        <rFont val="Times New Roman"/>
        <charset val="134"/>
      </rPr>
      <t>8/24/02</t>
    </r>
  </si>
  <si>
    <r>
      <rPr>
        <sz val="11"/>
        <color theme="1"/>
        <rFont val="Times New Roman"/>
        <charset val="134"/>
      </rPr>
      <t>8/21/02</t>
    </r>
  </si>
  <si>
    <r>
      <rPr>
        <sz val="11"/>
        <color theme="1"/>
        <rFont val="Times New Roman"/>
        <charset val="134"/>
      </rPr>
      <t>8/17/02</t>
    </r>
  </si>
  <si>
    <r>
      <rPr>
        <sz val="11"/>
        <color theme="1"/>
        <rFont val="Times New Roman"/>
        <charset val="134"/>
      </rPr>
      <t>8/14/02</t>
    </r>
  </si>
  <si>
    <r>
      <rPr>
        <sz val="11"/>
        <color theme="1"/>
        <rFont val="Times New Roman"/>
        <charset val="134"/>
      </rPr>
      <t>7/31/02</t>
    </r>
  </si>
  <si>
    <r>
      <rPr>
        <sz val="11"/>
        <color theme="1"/>
        <rFont val="Times New Roman"/>
        <charset val="134"/>
      </rPr>
      <t>7/27/02</t>
    </r>
  </si>
  <si>
    <r>
      <rPr>
        <sz val="11"/>
        <color theme="1"/>
        <rFont val="Times New Roman"/>
        <charset val="134"/>
      </rPr>
      <t>7/24/02</t>
    </r>
  </si>
  <si>
    <r>
      <rPr>
        <sz val="11"/>
        <color theme="1"/>
        <rFont val="Times New Roman"/>
        <charset val="134"/>
      </rPr>
      <t>7/20/02</t>
    </r>
  </si>
  <si>
    <r>
      <rPr>
        <sz val="11"/>
        <color theme="1"/>
        <rFont val="Times New Roman"/>
        <charset val="134"/>
      </rPr>
      <t>7/17/02</t>
    </r>
  </si>
  <si>
    <r>
      <rPr>
        <sz val="11"/>
        <color theme="1"/>
        <rFont val="Times New Roman"/>
        <charset val="134"/>
      </rPr>
      <t>7/13/02</t>
    </r>
  </si>
  <si>
    <r>
      <rPr>
        <sz val="11"/>
        <color theme="1"/>
        <rFont val="Times New Roman"/>
        <charset val="134"/>
      </rPr>
      <t>6/29/02</t>
    </r>
  </si>
  <si>
    <r>
      <rPr>
        <sz val="11"/>
        <color theme="1"/>
        <rFont val="Times New Roman"/>
        <charset val="134"/>
      </rPr>
      <t>6/26/02</t>
    </r>
  </si>
  <si>
    <r>
      <rPr>
        <sz val="11"/>
        <color theme="1"/>
        <rFont val="Times New Roman"/>
        <charset val="134"/>
      </rPr>
      <t>6/22/02</t>
    </r>
  </si>
  <si>
    <r>
      <rPr>
        <sz val="11"/>
        <color theme="1"/>
        <rFont val="Times New Roman"/>
        <charset val="134"/>
      </rPr>
      <t>6/19/02</t>
    </r>
  </si>
  <si>
    <r>
      <rPr>
        <sz val="11"/>
        <color theme="1"/>
        <rFont val="Times New Roman"/>
        <charset val="134"/>
      </rPr>
      <t>6/15/02</t>
    </r>
  </si>
  <si>
    <r>
      <rPr>
        <sz val="11"/>
        <color theme="1"/>
        <rFont val="Times New Roman"/>
        <charset val="134"/>
      </rPr>
      <t>5/29/02</t>
    </r>
  </si>
  <si>
    <r>
      <rPr>
        <sz val="11"/>
        <color theme="1"/>
        <rFont val="Times New Roman"/>
        <charset val="134"/>
      </rPr>
      <t>5/25/02</t>
    </r>
  </si>
  <si>
    <r>
      <rPr>
        <sz val="11"/>
        <color theme="1"/>
        <rFont val="Times New Roman"/>
        <charset val="134"/>
      </rPr>
      <t>5/22/02</t>
    </r>
  </si>
  <si>
    <r>
      <rPr>
        <sz val="11"/>
        <color theme="1"/>
        <rFont val="Times New Roman"/>
        <charset val="134"/>
      </rPr>
      <t>5/18/02</t>
    </r>
  </si>
  <si>
    <r>
      <rPr>
        <sz val="11"/>
        <color theme="1"/>
        <rFont val="Times New Roman"/>
        <charset val="134"/>
      </rPr>
      <t>5/15/02</t>
    </r>
  </si>
  <si>
    <r>
      <rPr>
        <sz val="11"/>
        <color theme="1"/>
        <rFont val="Times New Roman"/>
        <charset val="134"/>
      </rPr>
      <t>4/27/02</t>
    </r>
  </si>
  <si>
    <r>
      <rPr>
        <sz val="11"/>
        <color theme="1"/>
        <rFont val="Times New Roman"/>
        <charset val="134"/>
      </rPr>
      <t>4/24/02</t>
    </r>
  </si>
  <si>
    <r>
      <rPr>
        <sz val="11"/>
        <color theme="1"/>
        <rFont val="Times New Roman"/>
        <charset val="134"/>
      </rPr>
      <t>4/20/02</t>
    </r>
  </si>
  <si>
    <r>
      <rPr>
        <sz val="11"/>
        <color theme="1"/>
        <rFont val="Times New Roman"/>
        <charset val="134"/>
      </rPr>
      <t>4/17/02</t>
    </r>
  </si>
  <si>
    <r>
      <rPr>
        <sz val="11"/>
        <color theme="1"/>
        <rFont val="Times New Roman"/>
        <charset val="134"/>
      </rPr>
      <t>4/13/02</t>
    </r>
  </si>
  <si>
    <r>
      <rPr>
        <sz val="11"/>
        <color theme="1"/>
        <rFont val="Times New Roman"/>
        <charset val="134"/>
      </rPr>
      <t>3/30/02</t>
    </r>
  </si>
  <si>
    <r>
      <rPr>
        <sz val="11"/>
        <color theme="1"/>
        <rFont val="Times New Roman"/>
        <charset val="134"/>
      </rPr>
      <t>3/27/02</t>
    </r>
  </si>
  <si>
    <r>
      <rPr>
        <sz val="11"/>
        <color theme="1"/>
        <rFont val="Times New Roman"/>
        <charset val="134"/>
      </rPr>
      <t>3/23/02</t>
    </r>
  </si>
  <si>
    <r>
      <rPr>
        <sz val="11"/>
        <color theme="1"/>
        <rFont val="Times New Roman"/>
        <charset val="134"/>
      </rPr>
      <t>3/20/02</t>
    </r>
  </si>
  <si>
    <r>
      <rPr>
        <sz val="11"/>
        <color theme="1"/>
        <rFont val="Times New Roman"/>
        <charset val="134"/>
      </rPr>
      <t>3/16/02</t>
    </r>
  </si>
  <si>
    <r>
      <rPr>
        <sz val="11"/>
        <color theme="1"/>
        <rFont val="Times New Roman"/>
        <charset val="134"/>
      </rPr>
      <t>3/13/02</t>
    </r>
  </si>
  <si>
    <r>
      <rPr>
        <sz val="11"/>
        <color theme="1"/>
        <rFont val="Times New Roman"/>
        <charset val="134"/>
      </rPr>
      <t>2/27/02</t>
    </r>
  </si>
  <si>
    <r>
      <rPr>
        <sz val="11"/>
        <color theme="1"/>
        <rFont val="Times New Roman"/>
        <charset val="134"/>
      </rPr>
      <t>2/23/02</t>
    </r>
  </si>
  <si>
    <r>
      <rPr>
        <sz val="11"/>
        <color theme="1"/>
        <rFont val="Times New Roman"/>
        <charset val="134"/>
      </rPr>
      <t>2/20/02</t>
    </r>
  </si>
  <si>
    <r>
      <rPr>
        <sz val="11"/>
        <color theme="1"/>
        <rFont val="Times New Roman"/>
        <charset val="134"/>
      </rPr>
      <t>2/16/02</t>
    </r>
  </si>
  <si>
    <r>
      <rPr>
        <sz val="11"/>
        <color theme="1"/>
        <rFont val="Times New Roman"/>
        <charset val="134"/>
      </rPr>
      <t>2/13/02</t>
    </r>
  </si>
  <si>
    <r>
      <rPr>
        <sz val="11"/>
        <color theme="1"/>
        <rFont val="Times New Roman"/>
        <charset val="134"/>
      </rPr>
      <t>1/30/02</t>
    </r>
  </si>
  <si>
    <r>
      <rPr>
        <sz val="11"/>
        <color theme="1"/>
        <rFont val="Times New Roman"/>
        <charset val="134"/>
      </rPr>
      <t>1/26/02</t>
    </r>
  </si>
  <si>
    <r>
      <rPr>
        <sz val="11"/>
        <color theme="1"/>
        <rFont val="Times New Roman"/>
        <charset val="134"/>
      </rPr>
      <t>1/23/02</t>
    </r>
  </si>
  <si>
    <r>
      <rPr>
        <sz val="11"/>
        <color theme="1"/>
        <rFont val="Times New Roman"/>
        <charset val="134"/>
      </rPr>
      <t>1/19/02</t>
    </r>
  </si>
  <si>
    <r>
      <rPr>
        <sz val="11"/>
        <color theme="1"/>
        <rFont val="Times New Roman"/>
        <charset val="134"/>
      </rPr>
      <t>1/16/02</t>
    </r>
  </si>
  <si>
    <r>
      <rPr>
        <sz val="11"/>
        <color theme="1"/>
        <rFont val="Times New Roman"/>
        <charset val="134"/>
      </rPr>
      <t>12/29/01</t>
    </r>
  </si>
  <si>
    <r>
      <rPr>
        <sz val="11"/>
        <color theme="1"/>
        <rFont val="Times New Roman"/>
        <charset val="134"/>
      </rPr>
      <t>12/26/01</t>
    </r>
  </si>
  <si>
    <r>
      <rPr>
        <sz val="11"/>
        <color theme="1"/>
        <rFont val="Times New Roman"/>
        <charset val="134"/>
      </rPr>
      <t>12/22/01</t>
    </r>
  </si>
  <si>
    <r>
      <rPr>
        <sz val="11"/>
        <color theme="1"/>
        <rFont val="Times New Roman"/>
        <charset val="134"/>
      </rPr>
      <t>12/19/01</t>
    </r>
  </si>
  <si>
    <r>
      <rPr>
        <sz val="11"/>
        <color theme="1"/>
        <rFont val="Times New Roman"/>
        <charset val="134"/>
      </rPr>
      <t>12/15/01</t>
    </r>
  </si>
  <si>
    <r>
      <rPr>
        <sz val="11"/>
        <color theme="1"/>
        <rFont val="Times New Roman"/>
        <charset val="134"/>
      </rPr>
      <t>11/28/01</t>
    </r>
  </si>
  <si>
    <r>
      <rPr>
        <sz val="11"/>
        <color theme="1"/>
        <rFont val="Times New Roman"/>
        <charset val="134"/>
      </rPr>
      <t>11/24/01</t>
    </r>
  </si>
  <si>
    <r>
      <rPr>
        <sz val="11"/>
        <color theme="1"/>
        <rFont val="Times New Roman"/>
        <charset val="134"/>
      </rPr>
      <t>11/21/01</t>
    </r>
  </si>
  <si>
    <r>
      <rPr>
        <sz val="11"/>
        <color theme="1"/>
        <rFont val="Times New Roman"/>
        <charset val="134"/>
      </rPr>
      <t>11/17/01</t>
    </r>
  </si>
  <si>
    <r>
      <rPr>
        <sz val="11"/>
        <color theme="1"/>
        <rFont val="Times New Roman"/>
        <charset val="134"/>
      </rPr>
      <t>11/14/01</t>
    </r>
  </si>
  <si>
    <r>
      <rPr>
        <sz val="11"/>
        <color theme="1"/>
        <rFont val="Times New Roman"/>
        <charset val="134"/>
      </rPr>
      <t>10/31/01</t>
    </r>
  </si>
  <si>
    <r>
      <rPr>
        <sz val="11"/>
        <color theme="1"/>
        <rFont val="Times New Roman"/>
        <charset val="134"/>
      </rPr>
      <t>10/27/01</t>
    </r>
  </si>
  <si>
    <r>
      <rPr>
        <sz val="11"/>
        <color theme="1"/>
        <rFont val="Times New Roman"/>
        <charset val="134"/>
      </rPr>
      <t>10/24/01</t>
    </r>
  </si>
  <si>
    <r>
      <rPr>
        <sz val="11"/>
        <color theme="1"/>
        <rFont val="Times New Roman"/>
        <charset val="134"/>
      </rPr>
      <t>10/20/01</t>
    </r>
  </si>
  <si>
    <r>
      <rPr>
        <sz val="11"/>
        <color theme="1"/>
        <rFont val="Times New Roman"/>
        <charset val="134"/>
      </rPr>
      <t>10/17/01</t>
    </r>
  </si>
  <si>
    <r>
      <rPr>
        <sz val="11"/>
        <color theme="1"/>
        <rFont val="Times New Roman"/>
        <charset val="134"/>
      </rPr>
      <t>10/13/01</t>
    </r>
  </si>
  <si>
    <r>
      <rPr>
        <sz val="11"/>
        <color theme="1"/>
        <rFont val="Times New Roman"/>
        <charset val="134"/>
      </rPr>
      <t>9/29/01</t>
    </r>
  </si>
  <si>
    <r>
      <rPr>
        <sz val="11"/>
        <color theme="1"/>
        <rFont val="Times New Roman"/>
        <charset val="134"/>
      </rPr>
      <t>9/26/01</t>
    </r>
  </si>
  <si>
    <r>
      <rPr>
        <sz val="11"/>
        <color theme="1"/>
        <rFont val="Times New Roman"/>
        <charset val="134"/>
      </rPr>
      <t>9/22/01</t>
    </r>
  </si>
  <si>
    <r>
      <rPr>
        <sz val="11"/>
        <color theme="1"/>
        <rFont val="Times New Roman"/>
        <charset val="134"/>
      </rPr>
      <t>9/19/01</t>
    </r>
  </si>
  <si>
    <r>
      <rPr>
        <sz val="11"/>
        <color theme="1"/>
        <rFont val="Times New Roman"/>
        <charset val="134"/>
      </rPr>
      <t>9/15/01</t>
    </r>
  </si>
  <si>
    <r>
      <rPr>
        <sz val="11"/>
        <color theme="1"/>
        <rFont val="Times New Roman"/>
        <charset val="134"/>
      </rPr>
      <t>8/29/01</t>
    </r>
  </si>
  <si>
    <r>
      <rPr>
        <sz val="11"/>
        <color theme="1"/>
        <rFont val="Times New Roman"/>
        <charset val="134"/>
      </rPr>
      <t>8/25/01</t>
    </r>
  </si>
  <si>
    <r>
      <rPr>
        <sz val="11"/>
        <color theme="1"/>
        <rFont val="Times New Roman"/>
        <charset val="134"/>
      </rPr>
      <t>8/22/01</t>
    </r>
  </si>
  <si>
    <r>
      <rPr>
        <sz val="11"/>
        <color theme="1"/>
        <rFont val="Times New Roman"/>
        <charset val="134"/>
      </rPr>
      <t>8/18/01</t>
    </r>
  </si>
  <si>
    <r>
      <rPr>
        <sz val="11"/>
        <color theme="1"/>
        <rFont val="Times New Roman"/>
        <charset val="134"/>
      </rPr>
      <t>8/15/01</t>
    </r>
  </si>
  <si>
    <r>
      <rPr>
        <sz val="11"/>
        <color theme="1"/>
        <rFont val="Times New Roman"/>
        <charset val="134"/>
      </rPr>
      <t>7/28/01</t>
    </r>
  </si>
  <si>
    <r>
      <rPr>
        <sz val="11"/>
        <color theme="1"/>
        <rFont val="Times New Roman"/>
        <charset val="134"/>
      </rPr>
      <t>7/25/01</t>
    </r>
  </si>
  <si>
    <r>
      <rPr>
        <sz val="11"/>
        <color theme="1"/>
        <rFont val="Times New Roman"/>
        <charset val="134"/>
      </rPr>
      <t>7/21/01</t>
    </r>
  </si>
  <si>
    <r>
      <rPr>
        <sz val="11"/>
        <color theme="1"/>
        <rFont val="Times New Roman"/>
        <charset val="134"/>
      </rPr>
      <t>7/18/01</t>
    </r>
  </si>
  <si>
    <r>
      <rPr>
        <sz val="11"/>
        <color theme="1"/>
        <rFont val="Times New Roman"/>
        <charset val="134"/>
      </rPr>
      <t>7/14/01</t>
    </r>
  </si>
  <si>
    <r>
      <rPr>
        <sz val="11"/>
        <color theme="1"/>
        <rFont val="Times New Roman"/>
        <charset val="134"/>
      </rPr>
      <t>6/30/01</t>
    </r>
  </si>
  <si>
    <r>
      <rPr>
        <sz val="11"/>
        <color theme="1"/>
        <rFont val="Times New Roman"/>
        <charset val="134"/>
      </rPr>
      <t>6/27/01</t>
    </r>
  </si>
  <si>
    <r>
      <rPr>
        <sz val="11"/>
        <color theme="1"/>
        <rFont val="Times New Roman"/>
        <charset val="134"/>
      </rPr>
      <t>6/23/01</t>
    </r>
  </si>
  <si>
    <r>
      <rPr>
        <sz val="11"/>
        <color theme="1"/>
        <rFont val="Times New Roman"/>
        <charset val="134"/>
      </rPr>
      <t>6/20/01</t>
    </r>
  </si>
  <si>
    <r>
      <rPr>
        <sz val="11"/>
        <color theme="1"/>
        <rFont val="Times New Roman"/>
        <charset val="134"/>
      </rPr>
      <t>6/16/01</t>
    </r>
  </si>
  <si>
    <r>
      <rPr>
        <sz val="11"/>
        <color theme="1"/>
        <rFont val="Times New Roman"/>
        <charset val="134"/>
      </rPr>
      <t>6/13/01</t>
    </r>
  </si>
  <si>
    <r>
      <rPr>
        <sz val="11"/>
        <color theme="1"/>
        <rFont val="Times New Roman"/>
        <charset val="134"/>
      </rPr>
      <t>5/30/01</t>
    </r>
  </si>
  <si>
    <r>
      <rPr>
        <sz val="11"/>
        <color theme="1"/>
        <rFont val="Times New Roman"/>
        <charset val="134"/>
      </rPr>
      <t>5/26/01</t>
    </r>
  </si>
  <si>
    <r>
      <rPr>
        <sz val="11"/>
        <color theme="1"/>
        <rFont val="Times New Roman"/>
        <charset val="134"/>
      </rPr>
      <t>5/23/01</t>
    </r>
  </si>
  <si>
    <r>
      <rPr>
        <sz val="11"/>
        <color theme="1"/>
        <rFont val="Times New Roman"/>
        <charset val="134"/>
      </rPr>
      <t>5/19/01</t>
    </r>
  </si>
  <si>
    <r>
      <rPr>
        <sz val="11"/>
        <color theme="1"/>
        <rFont val="Times New Roman"/>
        <charset val="134"/>
      </rPr>
      <t>5/16/01</t>
    </r>
  </si>
  <si>
    <r>
      <rPr>
        <sz val="11"/>
        <color theme="1"/>
        <rFont val="Times New Roman"/>
        <charset val="134"/>
      </rPr>
      <t>4/28/01</t>
    </r>
  </si>
  <si>
    <r>
      <rPr>
        <sz val="11"/>
        <color theme="1"/>
        <rFont val="Times New Roman"/>
        <charset val="134"/>
      </rPr>
      <t>4/25/01</t>
    </r>
  </si>
  <si>
    <r>
      <rPr>
        <sz val="11"/>
        <color theme="1"/>
        <rFont val="Times New Roman"/>
        <charset val="134"/>
      </rPr>
      <t>4/21/01</t>
    </r>
  </si>
  <si>
    <r>
      <rPr>
        <sz val="11"/>
        <color theme="1"/>
        <rFont val="Times New Roman"/>
        <charset val="134"/>
      </rPr>
      <t>4/18/01</t>
    </r>
  </si>
  <si>
    <r>
      <rPr>
        <sz val="11"/>
        <color theme="1"/>
        <rFont val="Times New Roman"/>
        <charset val="134"/>
      </rPr>
      <t>4/14/01</t>
    </r>
  </si>
  <si>
    <r>
      <rPr>
        <sz val="11"/>
        <color theme="1"/>
        <rFont val="Times New Roman"/>
        <charset val="134"/>
      </rPr>
      <t>3/31/01</t>
    </r>
  </si>
  <si>
    <r>
      <rPr>
        <sz val="11"/>
        <color theme="1"/>
        <rFont val="Times New Roman"/>
        <charset val="134"/>
      </rPr>
      <t>3/28/01</t>
    </r>
  </si>
  <si>
    <r>
      <rPr>
        <sz val="11"/>
        <color theme="1"/>
        <rFont val="Times New Roman"/>
        <charset val="134"/>
      </rPr>
      <t>3/24/01</t>
    </r>
  </si>
  <si>
    <r>
      <rPr>
        <sz val="11"/>
        <color theme="1"/>
        <rFont val="Times New Roman"/>
        <charset val="134"/>
      </rPr>
      <t>3/21/01</t>
    </r>
  </si>
  <si>
    <r>
      <rPr>
        <sz val="11"/>
        <color theme="1"/>
        <rFont val="Times New Roman"/>
        <charset val="134"/>
      </rPr>
      <t>3/17/01</t>
    </r>
  </si>
  <si>
    <r>
      <rPr>
        <sz val="11"/>
        <color theme="1"/>
        <rFont val="Times New Roman"/>
        <charset val="134"/>
      </rPr>
      <t>3/14/01</t>
    </r>
  </si>
  <si>
    <r>
      <rPr>
        <sz val="11"/>
        <color theme="1"/>
        <rFont val="Times New Roman"/>
        <charset val="134"/>
      </rPr>
      <t>2/28/01</t>
    </r>
  </si>
  <si>
    <r>
      <rPr>
        <sz val="11"/>
        <color theme="1"/>
        <rFont val="Times New Roman"/>
        <charset val="134"/>
      </rPr>
      <t>2/24/01</t>
    </r>
  </si>
  <si>
    <r>
      <rPr>
        <sz val="11"/>
        <color theme="1"/>
        <rFont val="Times New Roman"/>
        <charset val="134"/>
      </rPr>
      <t>2/21/01</t>
    </r>
  </si>
  <si>
    <r>
      <rPr>
        <sz val="11"/>
        <color theme="1"/>
        <rFont val="Times New Roman"/>
        <charset val="134"/>
      </rPr>
      <t>2/17/01</t>
    </r>
  </si>
  <si>
    <r>
      <rPr>
        <sz val="11"/>
        <color theme="1"/>
        <rFont val="Times New Roman"/>
        <charset val="134"/>
      </rPr>
      <t>2/14/01</t>
    </r>
  </si>
  <si>
    <r>
      <rPr>
        <sz val="11"/>
        <color theme="1"/>
        <rFont val="Times New Roman"/>
        <charset val="134"/>
      </rPr>
      <t>1/31/01</t>
    </r>
  </si>
  <si>
    <r>
      <rPr>
        <sz val="11"/>
        <color theme="1"/>
        <rFont val="Times New Roman"/>
        <charset val="134"/>
      </rPr>
      <t>1/27/01</t>
    </r>
  </si>
  <si>
    <r>
      <rPr>
        <sz val="11"/>
        <color theme="1"/>
        <rFont val="Times New Roman"/>
        <charset val="134"/>
      </rPr>
      <t>1/24/01</t>
    </r>
  </si>
  <si>
    <r>
      <rPr>
        <sz val="11"/>
        <color theme="1"/>
        <rFont val="Times New Roman"/>
        <charset val="134"/>
      </rPr>
      <t>1/20/01</t>
    </r>
  </si>
  <si>
    <r>
      <rPr>
        <sz val="11"/>
        <color theme="1"/>
        <rFont val="Times New Roman"/>
        <charset val="134"/>
      </rPr>
      <t>1/17/01</t>
    </r>
  </si>
  <si>
    <r>
      <rPr>
        <sz val="11"/>
        <color theme="1"/>
        <rFont val="Times New Roman"/>
        <charset val="134"/>
      </rPr>
      <t>1/13/01</t>
    </r>
  </si>
  <si>
    <r>
      <rPr>
        <sz val="11"/>
        <color theme="1"/>
        <rFont val="Times New Roman"/>
        <charset val="134"/>
      </rPr>
      <t>12/30/00</t>
    </r>
  </si>
  <si>
    <r>
      <rPr>
        <sz val="11"/>
        <color theme="1"/>
        <rFont val="Times New Roman"/>
        <charset val="134"/>
      </rPr>
      <t>12/27/00</t>
    </r>
  </si>
  <si>
    <r>
      <rPr>
        <sz val="11"/>
        <color theme="1"/>
        <rFont val="Times New Roman"/>
        <charset val="134"/>
      </rPr>
      <t>12/23/00</t>
    </r>
  </si>
  <si>
    <r>
      <rPr>
        <sz val="11"/>
        <color theme="1"/>
        <rFont val="Times New Roman"/>
        <charset val="134"/>
      </rPr>
      <t>12/20/00</t>
    </r>
  </si>
  <si>
    <r>
      <rPr>
        <sz val="11"/>
        <color theme="1"/>
        <rFont val="Times New Roman"/>
        <charset val="134"/>
      </rPr>
      <t>12/16/00</t>
    </r>
  </si>
  <si>
    <r>
      <rPr>
        <sz val="11"/>
        <color theme="1"/>
        <rFont val="Times New Roman"/>
        <charset val="134"/>
      </rPr>
      <t>12/13/00</t>
    </r>
  </si>
  <si>
    <r>
      <rPr>
        <sz val="11"/>
        <color theme="1"/>
        <rFont val="Times New Roman"/>
        <charset val="134"/>
      </rPr>
      <t>12/9/00</t>
    </r>
  </si>
  <si>
    <r>
      <rPr>
        <sz val="11"/>
        <color theme="1"/>
        <rFont val="Times New Roman"/>
        <charset val="134"/>
      </rPr>
      <t>12/6/00</t>
    </r>
  </si>
  <si>
    <r>
      <rPr>
        <sz val="11"/>
        <color theme="1"/>
        <rFont val="Times New Roman"/>
        <charset val="134"/>
      </rPr>
      <t>12/2/00</t>
    </r>
  </si>
  <si>
    <r>
      <rPr>
        <sz val="11"/>
        <color theme="1"/>
        <rFont val="Times New Roman"/>
        <charset val="134"/>
      </rPr>
      <t>11/29/00</t>
    </r>
  </si>
  <si>
    <r>
      <rPr>
        <sz val="11"/>
        <color theme="1"/>
        <rFont val="Times New Roman"/>
        <charset val="134"/>
      </rPr>
      <t>11/25/00</t>
    </r>
  </si>
  <si>
    <r>
      <rPr>
        <sz val="11"/>
        <color theme="1"/>
        <rFont val="Times New Roman"/>
        <charset val="134"/>
      </rPr>
      <t>11/22/00</t>
    </r>
  </si>
  <si>
    <r>
      <rPr>
        <sz val="11"/>
        <color theme="1"/>
        <rFont val="Times New Roman"/>
        <charset val="134"/>
      </rPr>
      <t>11/18/00</t>
    </r>
  </si>
  <si>
    <r>
      <rPr>
        <sz val="11"/>
        <color theme="1"/>
        <rFont val="Times New Roman"/>
        <charset val="134"/>
      </rPr>
      <t>11/15/00</t>
    </r>
  </si>
  <si>
    <r>
      <rPr>
        <sz val="11"/>
        <color theme="1"/>
        <rFont val="Times New Roman"/>
        <charset val="134"/>
      </rPr>
      <t>11/11/00</t>
    </r>
  </si>
  <si>
    <r>
      <rPr>
        <sz val="11"/>
        <color theme="1"/>
        <rFont val="Times New Roman"/>
        <charset val="134"/>
      </rPr>
      <t>11/8/00</t>
    </r>
  </si>
  <si>
    <r>
      <rPr>
        <sz val="11"/>
        <color theme="1"/>
        <rFont val="Times New Roman"/>
        <charset val="134"/>
      </rPr>
      <t>11/4/00</t>
    </r>
  </si>
  <si>
    <r>
      <rPr>
        <sz val="11"/>
        <color theme="1"/>
        <rFont val="Times New Roman"/>
        <charset val="134"/>
      </rPr>
      <t>11/1/00</t>
    </r>
  </si>
  <si>
    <r>
      <rPr>
        <sz val="11"/>
        <color theme="1"/>
        <rFont val="Times New Roman"/>
        <charset val="134"/>
      </rPr>
      <t>10/28/00</t>
    </r>
  </si>
  <si>
    <r>
      <rPr>
        <sz val="11"/>
        <color theme="1"/>
        <rFont val="Times New Roman"/>
        <charset val="134"/>
      </rPr>
      <t>10/25/00</t>
    </r>
  </si>
  <si>
    <r>
      <rPr>
        <sz val="11"/>
        <color theme="1"/>
        <rFont val="Times New Roman"/>
        <charset val="134"/>
      </rPr>
      <t>10/21/00</t>
    </r>
  </si>
  <si>
    <r>
      <rPr>
        <sz val="11"/>
        <color theme="1"/>
        <rFont val="Times New Roman"/>
        <charset val="134"/>
      </rPr>
      <t>10/18/00</t>
    </r>
  </si>
  <si>
    <r>
      <rPr>
        <sz val="11"/>
        <color theme="1"/>
        <rFont val="Times New Roman"/>
        <charset val="134"/>
      </rPr>
      <t>10/14/00</t>
    </r>
  </si>
  <si>
    <r>
      <rPr>
        <sz val="11"/>
        <color theme="1"/>
        <rFont val="Times New Roman"/>
        <charset val="134"/>
      </rPr>
      <t>10/11/00</t>
    </r>
  </si>
  <si>
    <r>
      <rPr>
        <sz val="11"/>
        <color theme="1"/>
        <rFont val="Times New Roman"/>
        <charset val="134"/>
      </rPr>
      <t>10/7/00</t>
    </r>
  </si>
  <si>
    <r>
      <rPr>
        <sz val="11"/>
        <color theme="1"/>
        <rFont val="Times New Roman"/>
        <charset val="134"/>
      </rPr>
      <t>10/4/00</t>
    </r>
  </si>
  <si>
    <r>
      <rPr>
        <sz val="11"/>
        <color theme="1"/>
        <rFont val="Times New Roman"/>
        <charset val="134"/>
      </rPr>
      <t>9/30/00</t>
    </r>
  </si>
  <si>
    <r>
      <rPr>
        <sz val="11"/>
        <color theme="1"/>
        <rFont val="Times New Roman"/>
        <charset val="134"/>
      </rPr>
      <t>9/27/00</t>
    </r>
  </si>
  <si>
    <r>
      <rPr>
        <sz val="11"/>
        <color theme="1"/>
        <rFont val="Times New Roman"/>
        <charset val="134"/>
      </rPr>
      <t>9/23/00</t>
    </r>
  </si>
  <si>
    <r>
      <rPr>
        <sz val="11"/>
        <color theme="1"/>
        <rFont val="Times New Roman"/>
        <charset val="134"/>
      </rPr>
      <t>9/20/00</t>
    </r>
  </si>
  <si>
    <r>
      <rPr>
        <sz val="11"/>
        <color theme="1"/>
        <rFont val="Times New Roman"/>
        <charset val="134"/>
      </rPr>
      <t>9/16/00</t>
    </r>
  </si>
  <si>
    <r>
      <rPr>
        <sz val="11"/>
        <color theme="1"/>
        <rFont val="Times New Roman"/>
        <charset val="134"/>
      </rPr>
      <t>9/13/00</t>
    </r>
  </si>
  <si>
    <r>
      <rPr>
        <sz val="11"/>
        <color theme="1"/>
        <rFont val="Times New Roman"/>
        <charset val="134"/>
      </rPr>
      <t>9/9/00</t>
    </r>
  </si>
  <si>
    <r>
      <rPr>
        <sz val="11"/>
        <color theme="1"/>
        <rFont val="Times New Roman"/>
        <charset val="134"/>
      </rPr>
      <t>9/6/00</t>
    </r>
  </si>
  <si>
    <r>
      <rPr>
        <sz val="11"/>
        <color theme="1"/>
        <rFont val="Times New Roman"/>
        <charset val="134"/>
      </rPr>
      <t>9/2/00</t>
    </r>
  </si>
  <si>
    <r>
      <rPr>
        <sz val="11"/>
        <color theme="1"/>
        <rFont val="Times New Roman"/>
        <charset val="134"/>
      </rPr>
      <t>8/30/00</t>
    </r>
  </si>
  <si>
    <r>
      <rPr>
        <sz val="11"/>
        <color theme="1"/>
        <rFont val="Times New Roman"/>
        <charset val="134"/>
      </rPr>
      <t>8/26/00</t>
    </r>
  </si>
  <si>
    <r>
      <rPr>
        <sz val="11"/>
        <color theme="1"/>
        <rFont val="Times New Roman"/>
        <charset val="134"/>
      </rPr>
      <t>8/23/00</t>
    </r>
  </si>
  <si>
    <r>
      <rPr>
        <sz val="11"/>
        <color theme="1"/>
        <rFont val="Times New Roman"/>
        <charset val="134"/>
      </rPr>
      <t>8/19/00</t>
    </r>
  </si>
  <si>
    <r>
      <rPr>
        <sz val="11"/>
        <color theme="1"/>
        <rFont val="Times New Roman"/>
        <charset val="134"/>
      </rPr>
      <t>8/16/00</t>
    </r>
  </si>
  <si>
    <r>
      <rPr>
        <sz val="11"/>
        <color theme="1"/>
        <rFont val="Times New Roman"/>
        <charset val="134"/>
      </rPr>
      <t>8/12/00</t>
    </r>
  </si>
  <si>
    <r>
      <rPr>
        <sz val="11"/>
        <color theme="1"/>
        <rFont val="Times New Roman"/>
        <charset val="134"/>
      </rPr>
      <t>8/9/00</t>
    </r>
  </si>
  <si>
    <r>
      <rPr>
        <sz val="11"/>
        <color theme="1"/>
        <rFont val="Times New Roman"/>
        <charset val="134"/>
      </rPr>
      <t>8/5/00</t>
    </r>
  </si>
  <si>
    <r>
      <rPr>
        <sz val="11"/>
        <color theme="1"/>
        <rFont val="Times New Roman"/>
        <charset val="134"/>
      </rPr>
      <t>8/2/00</t>
    </r>
  </si>
  <si>
    <r>
      <rPr>
        <sz val="11"/>
        <color theme="1"/>
        <rFont val="Times New Roman"/>
        <charset val="134"/>
      </rPr>
      <t>7/29/00</t>
    </r>
  </si>
  <si>
    <r>
      <rPr>
        <sz val="11"/>
        <color theme="1"/>
        <rFont val="Times New Roman"/>
        <charset val="134"/>
      </rPr>
      <t>7/26/00</t>
    </r>
  </si>
  <si>
    <r>
      <rPr>
        <sz val="11"/>
        <color theme="1"/>
        <rFont val="Times New Roman"/>
        <charset val="134"/>
      </rPr>
      <t>7/22/00</t>
    </r>
  </si>
  <si>
    <r>
      <rPr>
        <sz val="11"/>
        <color theme="1"/>
        <rFont val="Times New Roman"/>
        <charset val="134"/>
      </rPr>
      <t>7/19/00</t>
    </r>
  </si>
  <si>
    <r>
      <rPr>
        <sz val="11"/>
        <color theme="1"/>
        <rFont val="Times New Roman"/>
        <charset val="134"/>
      </rPr>
      <t>7/15/00</t>
    </r>
  </si>
  <si>
    <r>
      <rPr>
        <sz val="11"/>
        <color theme="1"/>
        <rFont val="Times New Roman"/>
        <charset val="134"/>
      </rPr>
      <t>7/12/00</t>
    </r>
  </si>
  <si>
    <r>
      <rPr>
        <sz val="11"/>
        <color theme="1"/>
        <rFont val="Times New Roman"/>
        <charset val="134"/>
      </rPr>
      <t>7/8/00</t>
    </r>
  </si>
  <si>
    <r>
      <rPr>
        <sz val="11"/>
        <color theme="1"/>
        <rFont val="Times New Roman"/>
        <charset val="134"/>
      </rPr>
      <t>7/5/00</t>
    </r>
  </si>
  <si>
    <r>
      <rPr>
        <sz val="11"/>
        <color theme="1"/>
        <rFont val="Times New Roman"/>
        <charset val="134"/>
      </rPr>
      <t>7/1/00</t>
    </r>
  </si>
  <si>
    <r>
      <rPr>
        <sz val="11"/>
        <color theme="1"/>
        <rFont val="Times New Roman"/>
        <charset val="134"/>
      </rPr>
      <t>6/28/00</t>
    </r>
  </si>
  <si>
    <r>
      <rPr>
        <sz val="11"/>
        <color theme="1"/>
        <rFont val="Times New Roman"/>
        <charset val="134"/>
      </rPr>
      <t>6/24/00</t>
    </r>
  </si>
  <si>
    <r>
      <rPr>
        <sz val="11"/>
        <color theme="1"/>
        <rFont val="Times New Roman"/>
        <charset val="134"/>
      </rPr>
      <t>6/21/00</t>
    </r>
  </si>
  <si>
    <r>
      <rPr>
        <sz val="11"/>
        <color theme="1"/>
        <rFont val="Times New Roman"/>
        <charset val="134"/>
      </rPr>
      <t>6/17/00</t>
    </r>
  </si>
  <si>
    <r>
      <rPr>
        <sz val="11"/>
        <color theme="1"/>
        <rFont val="Times New Roman"/>
        <charset val="134"/>
      </rPr>
      <t>6/14/00</t>
    </r>
  </si>
  <si>
    <r>
      <rPr>
        <sz val="11"/>
        <color theme="1"/>
        <rFont val="Times New Roman"/>
        <charset val="134"/>
      </rPr>
      <t>6/10/00</t>
    </r>
  </si>
  <si>
    <r>
      <rPr>
        <sz val="11"/>
        <color theme="1"/>
        <rFont val="Times New Roman"/>
        <charset val="134"/>
      </rPr>
      <t>6/7/00</t>
    </r>
  </si>
  <si>
    <r>
      <rPr>
        <sz val="11"/>
        <color theme="1"/>
        <rFont val="Times New Roman"/>
        <charset val="134"/>
      </rPr>
      <t>6/3/00</t>
    </r>
  </si>
  <si>
    <r>
      <rPr>
        <sz val="11"/>
        <color theme="1"/>
        <rFont val="Times New Roman"/>
        <charset val="134"/>
      </rPr>
      <t>5/31/00</t>
    </r>
  </si>
  <si>
    <r>
      <rPr>
        <sz val="11"/>
        <color theme="1"/>
        <rFont val="Times New Roman"/>
        <charset val="134"/>
      </rPr>
      <t>5/27/00</t>
    </r>
  </si>
  <si>
    <r>
      <rPr>
        <sz val="11"/>
        <color theme="1"/>
        <rFont val="Times New Roman"/>
        <charset val="134"/>
      </rPr>
      <t>5/24/00</t>
    </r>
  </si>
  <si>
    <r>
      <rPr>
        <sz val="11"/>
        <color theme="1"/>
        <rFont val="Times New Roman"/>
        <charset val="134"/>
      </rPr>
      <t>5/20/00</t>
    </r>
  </si>
  <si>
    <r>
      <rPr>
        <sz val="11"/>
        <color theme="1"/>
        <rFont val="Times New Roman"/>
        <charset val="134"/>
      </rPr>
      <t>5/17/00</t>
    </r>
  </si>
  <si>
    <r>
      <rPr>
        <sz val="11"/>
        <color theme="1"/>
        <rFont val="Times New Roman"/>
        <charset val="134"/>
      </rPr>
      <t>5/13/00</t>
    </r>
  </si>
  <si>
    <r>
      <rPr>
        <sz val="11"/>
        <color theme="1"/>
        <rFont val="Times New Roman"/>
        <charset val="134"/>
      </rPr>
      <t>5/10/00</t>
    </r>
  </si>
  <si>
    <r>
      <rPr>
        <sz val="11"/>
        <color theme="1"/>
        <rFont val="Times New Roman"/>
        <charset val="134"/>
      </rPr>
      <t>5/6/00</t>
    </r>
  </si>
  <si>
    <r>
      <rPr>
        <sz val="11"/>
        <color theme="1"/>
        <rFont val="Times New Roman"/>
        <charset val="134"/>
      </rPr>
      <t>5/3/00</t>
    </r>
  </si>
  <si>
    <r>
      <rPr>
        <sz val="11"/>
        <color theme="1"/>
        <rFont val="Times New Roman"/>
        <charset val="134"/>
      </rPr>
      <t>4/29/00</t>
    </r>
  </si>
  <si>
    <r>
      <rPr>
        <sz val="11"/>
        <color theme="1"/>
        <rFont val="Times New Roman"/>
        <charset val="134"/>
      </rPr>
      <t>4/26/00</t>
    </r>
  </si>
  <si>
    <r>
      <rPr>
        <sz val="11"/>
        <color theme="1"/>
        <rFont val="Times New Roman"/>
        <charset val="134"/>
      </rPr>
      <t>4/22/00</t>
    </r>
  </si>
  <si>
    <r>
      <rPr>
        <sz val="11"/>
        <color theme="1"/>
        <rFont val="Times New Roman"/>
        <charset val="134"/>
      </rPr>
      <t>4/19/00</t>
    </r>
  </si>
  <si>
    <r>
      <rPr>
        <sz val="11"/>
        <color theme="1"/>
        <rFont val="Times New Roman"/>
        <charset val="134"/>
      </rPr>
      <t>4/15/00</t>
    </r>
  </si>
  <si>
    <r>
      <rPr>
        <sz val="11"/>
        <color theme="1"/>
        <rFont val="Times New Roman"/>
        <charset val="134"/>
      </rPr>
      <t>4/12/00</t>
    </r>
  </si>
  <si>
    <r>
      <rPr>
        <sz val="11"/>
        <color theme="1"/>
        <rFont val="Times New Roman"/>
        <charset val="134"/>
      </rPr>
      <t>4/8/00</t>
    </r>
  </si>
  <si>
    <r>
      <rPr>
        <sz val="11"/>
        <color theme="1"/>
        <rFont val="Times New Roman"/>
        <charset val="134"/>
      </rPr>
      <t>4/5/00</t>
    </r>
  </si>
  <si>
    <r>
      <rPr>
        <sz val="11"/>
        <color theme="1"/>
        <rFont val="Times New Roman"/>
        <charset val="134"/>
      </rPr>
      <t>4/1/00</t>
    </r>
  </si>
  <si>
    <r>
      <rPr>
        <sz val="11"/>
        <color theme="1"/>
        <rFont val="Times New Roman"/>
        <charset val="134"/>
      </rPr>
      <t>3/29/00</t>
    </r>
  </si>
  <si>
    <r>
      <rPr>
        <sz val="11"/>
        <color theme="1"/>
        <rFont val="Times New Roman"/>
        <charset val="134"/>
      </rPr>
      <t>3/25/00</t>
    </r>
  </si>
  <si>
    <r>
      <rPr>
        <sz val="11"/>
        <color theme="1"/>
        <rFont val="Times New Roman"/>
        <charset val="134"/>
      </rPr>
      <t>3/22/00</t>
    </r>
  </si>
  <si>
    <r>
      <rPr>
        <sz val="11"/>
        <color theme="1"/>
        <rFont val="Times New Roman"/>
        <charset val="134"/>
      </rPr>
      <t>3/18/00</t>
    </r>
  </si>
  <si>
    <r>
      <rPr>
        <sz val="11"/>
        <color theme="1"/>
        <rFont val="Times New Roman"/>
        <charset val="134"/>
      </rPr>
      <t>3/15/00</t>
    </r>
  </si>
  <si>
    <r>
      <rPr>
        <sz val="11"/>
        <color theme="1"/>
        <rFont val="Times New Roman"/>
        <charset val="134"/>
      </rPr>
      <t>3/11/00</t>
    </r>
  </si>
  <si>
    <r>
      <rPr>
        <sz val="11"/>
        <color theme="1"/>
        <rFont val="Times New Roman"/>
        <charset val="134"/>
      </rPr>
      <t>3/8/00</t>
    </r>
  </si>
  <si>
    <r>
      <rPr>
        <sz val="11"/>
        <color theme="1"/>
        <rFont val="Times New Roman"/>
        <charset val="134"/>
      </rPr>
      <t>3/4/00</t>
    </r>
  </si>
  <si>
    <r>
      <rPr>
        <sz val="11"/>
        <color theme="1"/>
        <rFont val="Times New Roman"/>
        <charset val="134"/>
      </rPr>
      <t>3/1/00</t>
    </r>
  </si>
  <si>
    <r>
      <rPr>
        <sz val="11"/>
        <color theme="1"/>
        <rFont val="Times New Roman"/>
        <charset val="134"/>
      </rPr>
      <t>2/26/00</t>
    </r>
  </si>
  <si>
    <r>
      <rPr>
        <sz val="11"/>
        <color theme="1"/>
        <rFont val="Times New Roman"/>
        <charset val="134"/>
      </rPr>
      <t>2/23/00</t>
    </r>
  </si>
  <si>
    <r>
      <rPr>
        <sz val="11"/>
        <color theme="1"/>
        <rFont val="Times New Roman"/>
        <charset val="134"/>
      </rPr>
      <t>2/19/00</t>
    </r>
  </si>
  <si>
    <r>
      <rPr>
        <sz val="11"/>
        <color theme="1"/>
        <rFont val="Times New Roman"/>
        <charset val="134"/>
      </rPr>
      <t>2/16/00</t>
    </r>
  </si>
  <si>
    <r>
      <rPr>
        <sz val="11"/>
        <color theme="1"/>
        <rFont val="Times New Roman"/>
        <charset val="134"/>
      </rPr>
      <t>2/12/00</t>
    </r>
  </si>
  <si>
    <r>
      <rPr>
        <sz val="11"/>
        <color theme="1"/>
        <rFont val="Times New Roman"/>
        <charset val="134"/>
      </rPr>
      <t>2/9/00</t>
    </r>
  </si>
  <si>
    <r>
      <rPr>
        <sz val="11"/>
        <color theme="1"/>
        <rFont val="Times New Roman"/>
        <charset val="134"/>
      </rPr>
      <t>2/5/00</t>
    </r>
  </si>
  <si>
    <r>
      <rPr>
        <sz val="11"/>
        <color theme="1"/>
        <rFont val="Times New Roman"/>
        <charset val="134"/>
      </rPr>
      <t>2/2/00</t>
    </r>
  </si>
  <si>
    <r>
      <rPr>
        <sz val="11"/>
        <color theme="1"/>
        <rFont val="Times New Roman"/>
        <charset val="134"/>
      </rPr>
      <t>1/29/00</t>
    </r>
  </si>
  <si>
    <r>
      <rPr>
        <sz val="11"/>
        <color theme="1"/>
        <rFont val="Times New Roman"/>
        <charset val="134"/>
      </rPr>
      <t>1/26/00</t>
    </r>
  </si>
  <si>
    <r>
      <rPr>
        <sz val="11"/>
        <color theme="1"/>
        <rFont val="Times New Roman"/>
        <charset val="134"/>
      </rPr>
      <t>1/22/00</t>
    </r>
  </si>
  <si>
    <r>
      <rPr>
        <sz val="11"/>
        <color theme="1"/>
        <rFont val="Times New Roman"/>
        <charset val="134"/>
      </rPr>
      <t>1/19/00</t>
    </r>
  </si>
  <si>
    <r>
      <rPr>
        <sz val="11"/>
        <color theme="1"/>
        <rFont val="Times New Roman"/>
        <charset val="134"/>
      </rPr>
      <t>1/15/00</t>
    </r>
  </si>
  <si>
    <r>
      <rPr>
        <sz val="11"/>
        <color theme="1"/>
        <rFont val="Times New Roman"/>
        <charset val="134"/>
      </rPr>
      <t>1/12/00</t>
    </r>
  </si>
  <si>
    <r>
      <rPr>
        <sz val="11"/>
        <color theme="1"/>
        <rFont val="Times New Roman"/>
        <charset val="134"/>
      </rPr>
      <t>1/8/00</t>
    </r>
  </si>
  <si>
    <r>
      <rPr>
        <sz val="11"/>
        <color theme="1"/>
        <rFont val="Times New Roman"/>
        <charset val="134"/>
      </rPr>
      <t>1/5/00</t>
    </r>
  </si>
  <si>
    <r>
      <rPr>
        <sz val="11"/>
        <color theme="1"/>
        <rFont val="Times New Roman"/>
        <charset val="134"/>
      </rPr>
      <t>1/1/00</t>
    </r>
  </si>
  <si>
    <r>
      <rPr>
        <sz val="11"/>
        <color theme="1"/>
        <rFont val="Times New Roman"/>
        <charset val="134"/>
      </rPr>
      <t>12/29/99</t>
    </r>
  </si>
  <si>
    <r>
      <rPr>
        <sz val="11"/>
        <color theme="1"/>
        <rFont val="Times New Roman"/>
        <charset val="134"/>
      </rPr>
      <t>12/25/99</t>
    </r>
  </si>
  <si>
    <r>
      <rPr>
        <sz val="11"/>
        <color theme="1"/>
        <rFont val="Times New Roman"/>
        <charset val="134"/>
      </rPr>
      <t>12/22/99</t>
    </r>
  </si>
  <si>
    <r>
      <rPr>
        <sz val="11"/>
        <color theme="1"/>
        <rFont val="Times New Roman"/>
        <charset val="134"/>
      </rPr>
      <t>12/18/99</t>
    </r>
  </si>
  <si>
    <r>
      <rPr>
        <sz val="11"/>
        <color theme="1"/>
        <rFont val="Times New Roman"/>
        <charset val="134"/>
      </rPr>
      <t>12/15/99</t>
    </r>
  </si>
  <si>
    <r>
      <rPr>
        <sz val="11"/>
        <color theme="1"/>
        <rFont val="Times New Roman"/>
        <charset val="134"/>
      </rPr>
      <t>12/11/99</t>
    </r>
  </si>
  <si>
    <r>
      <rPr>
        <sz val="11"/>
        <color theme="1"/>
        <rFont val="Times New Roman"/>
        <charset val="134"/>
      </rPr>
      <t>12/8/99</t>
    </r>
  </si>
  <si>
    <r>
      <rPr>
        <sz val="11"/>
        <color theme="1"/>
        <rFont val="Times New Roman"/>
        <charset val="134"/>
      </rPr>
      <t>12/4/99</t>
    </r>
  </si>
  <si>
    <r>
      <rPr>
        <sz val="11"/>
        <color theme="1"/>
        <rFont val="Times New Roman"/>
        <charset val="134"/>
      </rPr>
      <t>12/1/99</t>
    </r>
  </si>
  <si>
    <r>
      <rPr>
        <sz val="11"/>
        <color theme="1"/>
        <rFont val="Times New Roman"/>
        <charset val="134"/>
      </rPr>
      <t>11/27/99</t>
    </r>
  </si>
  <si>
    <r>
      <rPr>
        <sz val="11"/>
        <color theme="1"/>
        <rFont val="Times New Roman"/>
        <charset val="134"/>
      </rPr>
      <t>11/24/99</t>
    </r>
  </si>
  <si>
    <r>
      <rPr>
        <sz val="11"/>
        <color theme="1"/>
        <rFont val="Times New Roman"/>
        <charset val="134"/>
      </rPr>
      <t>11/20/99</t>
    </r>
  </si>
  <si>
    <r>
      <rPr>
        <sz val="11"/>
        <color theme="1"/>
        <rFont val="Times New Roman"/>
        <charset val="134"/>
      </rPr>
      <t>11/17/99</t>
    </r>
  </si>
  <si>
    <r>
      <rPr>
        <sz val="11"/>
        <color theme="1"/>
        <rFont val="Times New Roman"/>
        <charset val="134"/>
      </rPr>
      <t>11/13/99</t>
    </r>
  </si>
  <si>
    <r>
      <rPr>
        <sz val="11"/>
        <color theme="1"/>
        <rFont val="Times New Roman"/>
        <charset val="134"/>
      </rPr>
      <t>11/10/99</t>
    </r>
  </si>
  <si>
    <r>
      <rPr>
        <sz val="11"/>
        <color theme="1"/>
        <rFont val="Times New Roman"/>
        <charset val="134"/>
      </rPr>
      <t>11/6/99</t>
    </r>
  </si>
  <si>
    <r>
      <rPr>
        <sz val="11"/>
        <color theme="1"/>
        <rFont val="Times New Roman"/>
        <charset val="134"/>
      </rPr>
      <t>11/3/99</t>
    </r>
  </si>
  <si>
    <r>
      <rPr>
        <sz val="11"/>
        <color theme="1"/>
        <rFont val="Times New Roman"/>
        <charset val="134"/>
      </rPr>
      <t>10/30/99</t>
    </r>
  </si>
  <si>
    <r>
      <rPr>
        <sz val="11"/>
        <color theme="1"/>
        <rFont val="Times New Roman"/>
        <charset val="134"/>
      </rPr>
      <t>10/27/99</t>
    </r>
  </si>
  <si>
    <r>
      <rPr>
        <sz val="11"/>
        <color theme="1"/>
        <rFont val="Times New Roman"/>
        <charset val="134"/>
      </rPr>
      <t>10/23/99</t>
    </r>
  </si>
  <si>
    <r>
      <rPr>
        <sz val="11"/>
        <color theme="1"/>
        <rFont val="Times New Roman"/>
        <charset val="134"/>
      </rPr>
      <t>10/20/99</t>
    </r>
  </si>
  <si>
    <r>
      <rPr>
        <sz val="11"/>
        <color theme="1"/>
        <rFont val="Times New Roman"/>
        <charset val="134"/>
      </rPr>
      <t>10/16/99</t>
    </r>
  </si>
  <si>
    <r>
      <rPr>
        <sz val="11"/>
        <color theme="1"/>
        <rFont val="Times New Roman"/>
        <charset val="134"/>
      </rPr>
      <t>10/13/99</t>
    </r>
  </si>
  <si>
    <r>
      <rPr>
        <sz val="11"/>
        <color theme="1"/>
        <rFont val="Times New Roman"/>
        <charset val="134"/>
      </rPr>
      <t>10/9/99</t>
    </r>
  </si>
  <si>
    <r>
      <rPr>
        <sz val="11"/>
        <color theme="1"/>
        <rFont val="Times New Roman"/>
        <charset val="134"/>
      </rPr>
      <t>10/6/99</t>
    </r>
  </si>
  <si>
    <r>
      <rPr>
        <sz val="11"/>
        <color theme="1"/>
        <rFont val="Times New Roman"/>
        <charset val="134"/>
      </rPr>
      <t>10/2/99</t>
    </r>
  </si>
  <si>
    <r>
      <rPr>
        <sz val="11"/>
        <color theme="1"/>
        <rFont val="Times New Roman"/>
        <charset val="134"/>
      </rPr>
      <t>9/29/99</t>
    </r>
  </si>
  <si>
    <r>
      <rPr>
        <sz val="11"/>
        <color theme="1"/>
        <rFont val="Times New Roman"/>
        <charset val="134"/>
      </rPr>
      <t>9/25/99</t>
    </r>
  </si>
  <si>
    <r>
      <rPr>
        <sz val="11"/>
        <color theme="1"/>
        <rFont val="Times New Roman"/>
        <charset val="134"/>
      </rPr>
      <t>9/22/99</t>
    </r>
  </si>
  <si>
    <r>
      <rPr>
        <sz val="11"/>
        <color theme="1"/>
        <rFont val="Times New Roman"/>
        <charset val="134"/>
      </rPr>
      <t>9/18/99</t>
    </r>
  </si>
  <si>
    <r>
      <rPr>
        <sz val="11"/>
        <color theme="1"/>
        <rFont val="Times New Roman"/>
        <charset val="134"/>
      </rPr>
      <t>9/15/99</t>
    </r>
  </si>
  <si>
    <r>
      <rPr>
        <sz val="11"/>
        <color theme="1"/>
        <rFont val="Times New Roman"/>
        <charset val="134"/>
      </rPr>
      <t>9/11/99</t>
    </r>
  </si>
  <si>
    <r>
      <rPr>
        <sz val="11"/>
        <color theme="1"/>
        <rFont val="Times New Roman"/>
        <charset val="134"/>
      </rPr>
      <t>9/8/99</t>
    </r>
  </si>
  <si>
    <r>
      <rPr>
        <sz val="11"/>
        <color theme="1"/>
        <rFont val="Times New Roman"/>
        <charset val="134"/>
      </rPr>
      <t>9/4/99</t>
    </r>
  </si>
  <si>
    <r>
      <rPr>
        <sz val="11"/>
        <color theme="1"/>
        <rFont val="Times New Roman"/>
        <charset val="134"/>
      </rPr>
      <t>9/1/99</t>
    </r>
  </si>
  <si>
    <r>
      <rPr>
        <sz val="11"/>
        <color theme="1"/>
        <rFont val="Times New Roman"/>
        <charset val="134"/>
      </rPr>
      <t>8/28/99</t>
    </r>
  </si>
  <si>
    <r>
      <rPr>
        <sz val="11"/>
        <color theme="1"/>
        <rFont val="Times New Roman"/>
        <charset val="134"/>
      </rPr>
      <t>8/25/99</t>
    </r>
  </si>
  <si>
    <r>
      <rPr>
        <sz val="11"/>
        <color theme="1"/>
        <rFont val="Times New Roman"/>
        <charset val="134"/>
      </rPr>
      <t>8/21/99</t>
    </r>
  </si>
  <si>
    <r>
      <rPr>
        <sz val="11"/>
        <color theme="1"/>
        <rFont val="Times New Roman"/>
        <charset val="134"/>
      </rPr>
      <t>8/18/99</t>
    </r>
  </si>
  <si>
    <r>
      <rPr>
        <sz val="11"/>
        <color theme="1"/>
        <rFont val="Times New Roman"/>
        <charset val="134"/>
      </rPr>
      <t>8/14/99</t>
    </r>
  </si>
  <si>
    <r>
      <rPr>
        <sz val="11"/>
        <color theme="1"/>
        <rFont val="Times New Roman"/>
        <charset val="134"/>
      </rPr>
      <t>8/11/99</t>
    </r>
  </si>
  <si>
    <r>
      <rPr>
        <sz val="11"/>
        <color theme="1"/>
        <rFont val="Times New Roman"/>
        <charset val="134"/>
      </rPr>
      <t>8/7/99</t>
    </r>
  </si>
  <si>
    <r>
      <rPr>
        <sz val="11"/>
        <color theme="1"/>
        <rFont val="Times New Roman"/>
        <charset val="134"/>
      </rPr>
      <t>8/4/99</t>
    </r>
  </si>
  <si>
    <r>
      <rPr>
        <sz val="11"/>
        <color theme="1"/>
        <rFont val="Times New Roman"/>
        <charset val="134"/>
      </rPr>
      <t>7/31/99</t>
    </r>
  </si>
  <si>
    <r>
      <rPr>
        <sz val="11"/>
        <color theme="1"/>
        <rFont val="Times New Roman"/>
        <charset val="134"/>
      </rPr>
      <t>7/28/99</t>
    </r>
  </si>
  <si>
    <r>
      <rPr>
        <sz val="11"/>
        <color theme="1"/>
        <rFont val="Times New Roman"/>
        <charset val="134"/>
      </rPr>
      <t>7/24/99</t>
    </r>
  </si>
  <si>
    <r>
      <rPr>
        <sz val="11"/>
        <color theme="1"/>
        <rFont val="Times New Roman"/>
        <charset val="134"/>
      </rPr>
      <t>7/21/99</t>
    </r>
  </si>
  <si>
    <r>
      <rPr>
        <sz val="11"/>
        <color theme="1"/>
        <rFont val="Times New Roman"/>
        <charset val="134"/>
      </rPr>
      <t>7/17/99</t>
    </r>
  </si>
  <si>
    <r>
      <rPr>
        <sz val="11"/>
        <color theme="1"/>
        <rFont val="Times New Roman"/>
        <charset val="134"/>
      </rPr>
      <t>7/14/99</t>
    </r>
  </si>
  <si>
    <r>
      <rPr>
        <sz val="11"/>
        <color theme="1"/>
        <rFont val="Times New Roman"/>
        <charset val="134"/>
      </rPr>
      <t>7/10/99</t>
    </r>
  </si>
  <si>
    <r>
      <rPr>
        <sz val="11"/>
        <color theme="1"/>
        <rFont val="Times New Roman"/>
        <charset val="134"/>
      </rPr>
      <t>7/7/99</t>
    </r>
  </si>
  <si>
    <r>
      <rPr>
        <sz val="11"/>
        <color theme="1"/>
        <rFont val="Times New Roman"/>
        <charset val="134"/>
      </rPr>
      <t>7/3/99</t>
    </r>
  </si>
  <si>
    <r>
      <rPr>
        <sz val="11"/>
        <color theme="1"/>
        <rFont val="Times New Roman"/>
        <charset val="134"/>
      </rPr>
      <t>6/30/99</t>
    </r>
  </si>
  <si>
    <r>
      <rPr>
        <sz val="11"/>
        <color theme="1"/>
        <rFont val="Times New Roman"/>
        <charset val="134"/>
      </rPr>
      <t>6/26/99</t>
    </r>
  </si>
  <si>
    <r>
      <rPr>
        <sz val="11"/>
        <color theme="1"/>
        <rFont val="Times New Roman"/>
        <charset val="134"/>
      </rPr>
      <t>6/23/99</t>
    </r>
  </si>
  <si>
    <r>
      <rPr>
        <sz val="11"/>
        <color theme="1"/>
        <rFont val="Times New Roman"/>
        <charset val="134"/>
      </rPr>
      <t>6/19/99</t>
    </r>
  </si>
  <si>
    <r>
      <rPr>
        <sz val="11"/>
        <color theme="1"/>
        <rFont val="Times New Roman"/>
        <charset val="134"/>
      </rPr>
      <t>6/16/99</t>
    </r>
  </si>
  <si>
    <r>
      <rPr>
        <sz val="11"/>
        <color theme="1"/>
        <rFont val="Times New Roman"/>
        <charset val="134"/>
      </rPr>
      <t>6/12/99</t>
    </r>
  </si>
  <si>
    <r>
      <rPr>
        <sz val="11"/>
        <color theme="1"/>
        <rFont val="Times New Roman"/>
        <charset val="134"/>
      </rPr>
      <t>6/9/99</t>
    </r>
  </si>
  <si>
    <r>
      <rPr>
        <sz val="11"/>
        <color theme="1"/>
        <rFont val="Times New Roman"/>
        <charset val="134"/>
      </rPr>
      <t>6/5/99</t>
    </r>
  </si>
  <si>
    <r>
      <rPr>
        <sz val="11"/>
        <color theme="1"/>
        <rFont val="Times New Roman"/>
        <charset val="134"/>
      </rPr>
      <t>6/2/99</t>
    </r>
  </si>
  <si>
    <r>
      <rPr>
        <sz val="11"/>
        <color theme="1"/>
        <rFont val="Times New Roman"/>
        <charset val="134"/>
      </rPr>
      <t>5/29/99</t>
    </r>
  </si>
  <si>
    <r>
      <rPr>
        <sz val="11"/>
        <color theme="1"/>
        <rFont val="Times New Roman"/>
        <charset val="134"/>
      </rPr>
      <t>5/26/99</t>
    </r>
  </si>
  <si>
    <r>
      <rPr>
        <sz val="11"/>
        <color theme="1"/>
        <rFont val="Times New Roman"/>
        <charset val="134"/>
      </rPr>
      <t>5/22/99</t>
    </r>
  </si>
  <si>
    <r>
      <rPr>
        <sz val="11"/>
        <color theme="1"/>
        <rFont val="Times New Roman"/>
        <charset val="134"/>
      </rPr>
      <t>5/19/99</t>
    </r>
  </si>
  <si>
    <r>
      <rPr>
        <sz val="11"/>
        <color theme="1"/>
        <rFont val="Times New Roman"/>
        <charset val="134"/>
      </rPr>
      <t>5/15/99</t>
    </r>
  </si>
  <si>
    <r>
      <rPr>
        <sz val="11"/>
        <color theme="1"/>
        <rFont val="Times New Roman"/>
        <charset val="134"/>
      </rPr>
      <t>5/12/99</t>
    </r>
  </si>
  <si>
    <r>
      <rPr>
        <sz val="11"/>
        <color theme="1"/>
        <rFont val="Times New Roman"/>
        <charset val="134"/>
      </rPr>
      <t>5/8/99</t>
    </r>
  </si>
  <si>
    <r>
      <rPr>
        <sz val="11"/>
        <color theme="1"/>
        <rFont val="Times New Roman"/>
        <charset val="134"/>
      </rPr>
      <t>5/5/99</t>
    </r>
  </si>
  <si>
    <r>
      <rPr>
        <sz val="11"/>
        <color theme="1"/>
        <rFont val="Times New Roman"/>
        <charset val="134"/>
      </rPr>
      <t>5/1/99</t>
    </r>
  </si>
  <si>
    <r>
      <rPr>
        <sz val="11"/>
        <color theme="1"/>
        <rFont val="Times New Roman"/>
        <charset val="134"/>
      </rPr>
      <t>4/28/99</t>
    </r>
  </si>
  <si>
    <r>
      <rPr>
        <sz val="11"/>
        <color theme="1"/>
        <rFont val="Times New Roman"/>
        <charset val="134"/>
      </rPr>
      <t>4/24/99</t>
    </r>
  </si>
  <si>
    <r>
      <rPr>
        <sz val="11"/>
        <color theme="1"/>
        <rFont val="Times New Roman"/>
        <charset val="134"/>
      </rPr>
      <t>4/21/99</t>
    </r>
  </si>
  <si>
    <r>
      <rPr>
        <sz val="11"/>
        <color theme="1"/>
        <rFont val="Times New Roman"/>
        <charset val="134"/>
      </rPr>
      <t>4/17/99</t>
    </r>
  </si>
  <si>
    <r>
      <rPr>
        <sz val="11"/>
        <color theme="1"/>
        <rFont val="Times New Roman"/>
        <charset val="134"/>
      </rPr>
      <t>4/14/99</t>
    </r>
  </si>
  <si>
    <r>
      <rPr>
        <sz val="11"/>
        <color theme="1"/>
        <rFont val="Times New Roman"/>
        <charset val="134"/>
      </rPr>
      <t>4/10/99</t>
    </r>
  </si>
  <si>
    <r>
      <rPr>
        <sz val="11"/>
        <color theme="1"/>
        <rFont val="Times New Roman"/>
        <charset val="134"/>
      </rPr>
      <t>4/7/99</t>
    </r>
  </si>
  <si>
    <r>
      <rPr>
        <sz val="11"/>
        <color theme="1"/>
        <rFont val="Times New Roman"/>
        <charset val="134"/>
      </rPr>
      <t>4/3/99</t>
    </r>
  </si>
  <si>
    <r>
      <rPr>
        <sz val="11"/>
        <color theme="1"/>
        <rFont val="Times New Roman"/>
        <charset val="134"/>
      </rPr>
      <t>3/31/99</t>
    </r>
  </si>
  <si>
    <r>
      <rPr>
        <sz val="11"/>
        <color theme="1"/>
        <rFont val="Times New Roman"/>
        <charset val="134"/>
      </rPr>
      <t>3/27/99</t>
    </r>
  </si>
  <si>
    <r>
      <rPr>
        <sz val="11"/>
        <color theme="1"/>
        <rFont val="Times New Roman"/>
        <charset val="134"/>
      </rPr>
      <t>3/24/99</t>
    </r>
  </si>
  <si>
    <r>
      <rPr>
        <sz val="11"/>
        <color theme="1"/>
        <rFont val="Times New Roman"/>
        <charset val="134"/>
      </rPr>
      <t>3/20/99</t>
    </r>
  </si>
  <si>
    <r>
      <rPr>
        <sz val="11"/>
        <color theme="1"/>
        <rFont val="Times New Roman"/>
        <charset val="134"/>
      </rPr>
      <t>3/17/99</t>
    </r>
  </si>
  <si>
    <r>
      <rPr>
        <sz val="11"/>
        <color theme="1"/>
        <rFont val="Times New Roman"/>
        <charset val="134"/>
      </rPr>
      <t>3/13/99</t>
    </r>
  </si>
  <si>
    <r>
      <rPr>
        <sz val="11"/>
        <color theme="1"/>
        <rFont val="Times New Roman"/>
        <charset val="134"/>
      </rPr>
      <t>3/10/99</t>
    </r>
  </si>
  <si>
    <r>
      <rPr>
        <sz val="11"/>
        <color theme="1"/>
        <rFont val="Times New Roman"/>
        <charset val="134"/>
      </rPr>
      <t>3/6/99</t>
    </r>
  </si>
  <si>
    <r>
      <rPr>
        <sz val="11"/>
        <color theme="1"/>
        <rFont val="Times New Roman"/>
        <charset val="134"/>
      </rPr>
      <t>3/3/99</t>
    </r>
  </si>
  <si>
    <r>
      <rPr>
        <sz val="11"/>
        <color theme="1"/>
        <rFont val="Times New Roman"/>
        <charset val="134"/>
      </rPr>
      <t>2/27/99</t>
    </r>
  </si>
  <si>
    <r>
      <rPr>
        <sz val="11"/>
        <color theme="1"/>
        <rFont val="Times New Roman"/>
        <charset val="134"/>
      </rPr>
      <t>2/24/99</t>
    </r>
  </si>
  <si>
    <r>
      <rPr>
        <sz val="11"/>
        <color theme="1"/>
        <rFont val="Times New Roman"/>
        <charset val="134"/>
      </rPr>
      <t>2/20/99</t>
    </r>
  </si>
  <si>
    <r>
      <rPr>
        <sz val="11"/>
        <color theme="1"/>
        <rFont val="Times New Roman"/>
        <charset val="134"/>
      </rPr>
      <t>2/17/99</t>
    </r>
  </si>
  <si>
    <r>
      <rPr>
        <sz val="11"/>
        <color theme="1"/>
        <rFont val="Times New Roman"/>
        <charset val="134"/>
      </rPr>
      <t>2/13/99</t>
    </r>
  </si>
  <si>
    <r>
      <rPr>
        <sz val="11"/>
        <color theme="1"/>
        <rFont val="Times New Roman"/>
        <charset val="134"/>
      </rPr>
      <t>2/10/99</t>
    </r>
  </si>
  <si>
    <r>
      <rPr>
        <sz val="11"/>
        <color theme="1"/>
        <rFont val="Times New Roman"/>
        <charset val="134"/>
      </rPr>
      <t>2/6/99</t>
    </r>
  </si>
  <si>
    <r>
      <rPr>
        <sz val="11"/>
        <color theme="1"/>
        <rFont val="Times New Roman"/>
        <charset val="134"/>
      </rPr>
      <t>2/3/99</t>
    </r>
  </si>
  <si>
    <r>
      <rPr>
        <sz val="11"/>
        <color theme="1"/>
        <rFont val="Times New Roman"/>
        <charset val="134"/>
      </rPr>
      <t>1/30/99</t>
    </r>
  </si>
  <si>
    <r>
      <rPr>
        <sz val="11"/>
        <color theme="1"/>
        <rFont val="Times New Roman"/>
        <charset val="134"/>
      </rPr>
      <t>1/27/99</t>
    </r>
  </si>
  <si>
    <r>
      <rPr>
        <sz val="11"/>
        <color theme="1"/>
        <rFont val="Times New Roman"/>
        <charset val="134"/>
      </rPr>
      <t>1/23/99</t>
    </r>
  </si>
  <si>
    <r>
      <rPr>
        <sz val="11"/>
        <color theme="1"/>
        <rFont val="Times New Roman"/>
        <charset val="134"/>
      </rPr>
      <t>1/20/99</t>
    </r>
  </si>
  <si>
    <r>
      <rPr>
        <sz val="11"/>
        <color theme="1"/>
        <rFont val="Times New Roman"/>
        <charset val="134"/>
      </rPr>
      <t>1/16/99</t>
    </r>
  </si>
  <si>
    <r>
      <rPr>
        <sz val="11"/>
        <color theme="1"/>
        <rFont val="Times New Roman"/>
        <charset val="134"/>
      </rPr>
      <t>1/13/99</t>
    </r>
  </si>
  <si>
    <r>
      <rPr>
        <sz val="11"/>
        <color theme="1"/>
        <rFont val="Times New Roman"/>
        <charset val="134"/>
      </rPr>
      <t>1/9/99</t>
    </r>
  </si>
  <si>
    <r>
      <rPr>
        <sz val="11"/>
        <color theme="1"/>
        <rFont val="Times New Roman"/>
        <charset val="134"/>
      </rPr>
      <t>1/6/99</t>
    </r>
  </si>
  <si>
    <r>
      <rPr>
        <sz val="11"/>
        <color theme="1"/>
        <rFont val="Times New Roman"/>
        <charset val="134"/>
      </rPr>
      <t>1/2/99</t>
    </r>
  </si>
  <si>
    <r>
      <rPr>
        <sz val="11"/>
        <color theme="1"/>
        <rFont val="Times New Roman"/>
        <charset val="134"/>
      </rPr>
      <t>12/30/98</t>
    </r>
  </si>
  <si>
    <r>
      <rPr>
        <sz val="11"/>
        <color theme="1"/>
        <rFont val="Times New Roman"/>
        <charset val="134"/>
      </rPr>
      <t>12/26/98</t>
    </r>
  </si>
  <si>
    <r>
      <rPr>
        <sz val="11"/>
        <color theme="1"/>
        <rFont val="Times New Roman"/>
        <charset val="134"/>
      </rPr>
      <t>12/23/98</t>
    </r>
  </si>
  <si>
    <r>
      <rPr>
        <sz val="11"/>
        <color theme="1"/>
        <rFont val="Times New Roman"/>
        <charset val="134"/>
      </rPr>
      <t>12/19/98</t>
    </r>
  </si>
  <si>
    <r>
      <rPr>
        <sz val="11"/>
        <color theme="1"/>
        <rFont val="Times New Roman"/>
        <charset val="134"/>
      </rPr>
      <t>12/16/98</t>
    </r>
  </si>
  <si>
    <r>
      <rPr>
        <sz val="11"/>
        <color theme="1"/>
        <rFont val="Times New Roman"/>
        <charset val="134"/>
      </rPr>
      <t>12/12/98</t>
    </r>
  </si>
  <si>
    <r>
      <rPr>
        <sz val="11"/>
        <color theme="1"/>
        <rFont val="Times New Roman"/>
        <charset val="134"/>
      </rPr>
      <t>12/9/98</t>
    </r>
  </si>
  <si>
    <r>
      <rPr>
        <sz val="11"/>
        <color theme="1"/>
        <rFont val="Times New Roman"/>
        <charset val="134"/>
      </rPr>
      <t>12/5/98</t>
    </r>
  </si>
  <si>
    <r>
      <rPr>
        <sz val="11"/>
        <color theme="1"/>
        <rFont val="Times New Roman"/>
        <charset val="134"/>
      </rPr>
      <t>12/2/98</t>
    </r>
  </si>
  <si>
    <r>
      <rPr>
        <sz val="11"/>
        <color theme="1"/>
        <rFont val="Times New Roman"/>
        <charset val="134"/>
      </rPr>
      <t>11/28/98</t>
    </r>
  </si>
  <si>
    <r>
      <rPr>
        <sz val="11"/>
        <color theme="1"/>
        <rFont val="Times New Roman"/>
        <charset val="134"/>
      </rPr>
      <t>11/25/98</t>
    </r>
  </si>
  <si>
    <r>
      <rPr>
        <sz val="11"/>
        <color theme="1"/>
        <rFont val="Times New Roman"/>
        <charset val="134"/>
      </rPr>
      <t>11/21/98</t>
    </r>
  </si>
  <si>
    <r>
      <rPr>
        <sz val="11"/>
        <color theme="1"/>
        <rFont val="Times New Roman"/>
        <charset val="134"/>
      </rPr>
      <t>11/18/98</t>
    </r>
  </si>
  <si>
    <r>
      <rPr>
        <sz val="11"/>
        <color theme="1"/>
        <rFont val="Times New Roman"/>
        <charset val="134"/>
      </rPr>
      <t>11/14/98</t>
    </r>
  </si>
  <si>
    <r>
      <rPr>
        <sz val="11"/>
        <color theme="1"/>
        <rFont val="Times New Roman"/>
        <charset val="134"/>
      </rPr>
      <t>11/11/98</t>
    </r>
  </si>
  <si>
    <r>
      <rPr>
        <sz val="11"/>
        <color theme="1"/>
        <rFont val="Times New Roman"/>
        <charset val="134"/>
      </rPr>
      <t>11/7/98</t>
    </r>
  </si>
  <si>
    <r>
      <rPr>
        <sz val="11"/>
        <color theme="1"/>
        <rFont val="Times New Roman"/>
        <charset val="134"/>
      </rPr>
      <t>11/4/98</t>
    </r>
  </si>
  <si>
    <r>
      <rPr>
        <sz val="11"/>
        <color theme="1"/>
        <rFont val="Times New Roman"/>
        <charset val="134"/>
      </rPr>
      <t>10/31/98</t>
    </r>
  </si>
  <si>
    <r>
      <rPr>
        <sz val="11"/>
        <color theme="1"/>
        <rFont val="Times New Roman"/>
        <charset val="134"/>
      </rPr>
      <t>10/28/98</t>
    </r>
  </si>
  <si>
    <r>
      <rPr>
        <sz val="11"/>
        <color theme="1"/>
        <rFont val="Times New Roman"/>
        <charset val="134"/>
      </rPr>
      <t>10/24/98</t>
    </r>
  </si>
  <si>
    <r>
      <rPr>
        <sz val="11"/>
        <color theme="1"/>
        <rFont val="Times New Roman"/>
        <charset val="134"/>
      </rPr>
      <t>10/21/98</t>
    </r>
  </si>
  <si>
    <r>
      <rPr>
        <sz val="11"/>
        <color theme="1"/>
        <rFont val="Times New Roman"/>
        <charset val="134"/>
      </rPr>
      <t>10/17/98</t>
    </r>
  </si>
  <si>
    <r>
      <rPr>
        <sz val="11"/>
        <color theme="1"/>
        <rFont val="Times New Roman"/>
        <charset val="134"/>
      </rPr>
      <t>10/14/98</t>
    </r>
  </si>
  <si>
    <r>
      <rPr>
        <sz val="11"/>
        <color theme="1"/>
        <rFont val="Times New Roman"/>
        <charset val="134"/>
      </rPr>
      <t>10/10/98</t>
    </r>
  </si>
  <si>
    <r>
      <rPr>
        <sz val="11"/>
        <color theme="1"/>
        <rFont val="Times New Roman"/>
        <charset val="134"/>
      </rPr>
      <t>10/7/98</t>
    </r>
  </si>
  <si>
    <r>
      <rPr>
        <sz val="11"/>
        <color theme="1"/>
        <rFont val="Times New Roman"/>
        <charset val="134"/>
      </rPr>
      <t>10/3/98</t>
    </r>
  </si>
  <si>
    <r>
      <rPr>
        <sz val="11"/>
        <color theme="1"/>
        <rFont val="Times New Roman"/>
        <charset val="134"/>
      </rPr>
      <t>9/30/98</t>
    </r>
  </si>
  <si>
    <r>
      <rPr>
        <sz val="11"/>
        <color theme="1"/>
        <rFont val="Times New Roman"/>
        <charset val="134"/>
      </rPr>
      <t>9/26/98</t>
    </r>
  </si>
  <si>
    <r>
      <rPr>
        <sz val="11"/>
        <color theme="1"/>
        <rFont val="Times New Roman"/>
        <charset val="134"/>
      </rPr>
      <t>9/23/98</t>
    </r>
  </si>
  <si>
    <r>
      <rPr>
        <sz val="11"/>
        <color theme="1"/>
        <rFont val="Times New Roman"/>
        <charset val="134"/>
      </rPr>
      <t>9/19/98</t>
    </r>
  </si>
  <si>
    <r>
      <rPr>
        <sz val="11"/>
        <color theme="1"/>
        <rFont val="Times New Roman"/>
        <charset val="134"/>
      </rPr>
      <t>9/16/98</t>
    </r>
  </si>
  <si>
    <r>
      <rPr>
        <sz val="11"/>
        <color theme="1"/>
        <rFont val="Times New Roman"/>
        <charset val="134"/>
      </rPr>
      <t>9/12/98</t>
    </r>
  </si>
  <si>
    <r>
      <rPr>
        <sz val="11"/>
        <color theme="1"/>
        <rFont val="Times New Roman"/>
        <charset val="134"/>
      </rPr>
      <t>9/9/98</t>
    </r>
  </si>
  <si>
    <r>
      <rPr>
        <sz val="11"/>
        <color theme="1"/>
        <rFont val="Times New Roman"/>
        <charset val="134"/>
      </rPr>
      <t>9/5/98</t>
    </r>
  </si>
  <si>
    <r>
      <rPr>
        <sz val="11"/>
        <color theme="1"/>
        <rFont val="Times New Roman"/>
        <charset val="134"/>
      </rPr>
      <t>9/2/98</t>
    </r>
  </si>
  <si>
    <r>
      <rPr>
        <sz val="11"/>
        <color theme="1"/>
        <rFont val="Times New Roman"/>
        <charset val="134"/>
      </rPr>
      <t>8/29/98</t>
    </r>
  </si>
  <si>
    <r>
      <rPr>
        <sz val="11"/>
        <color theme="1"/>
        <rFont val="Times New Roman"/>
        <charset val="134"/>
      </rPr>
      <t>8/26/98</t>
    </r>
  </si>
  <si>
    <r>
      <rPr>
        <sz val="11"/>
        <color theme="1"/>
        <rFont val="Times New Roman"/>
        <charset val="134"/>
      </rPr>
      <t>8/22/98</t>
    </r>
  </si>
  <si>
    <r>
      <rPr>
        <sz val="11"/>
        <color theme="1"/>
        <rFont val="Times New Roman"/>
        <charset val="134"/>
      </rPr>
      <t>8/19/98</t>
    </r>
  </si>
  <si>
    <r>
      <rPr>
        <sz val="11"/>
        <color theme="1"/>
        <rFont val="Times New Roman"/>
        <charset val="134"/>
      </rPr>
      <t>8/15/98</t>
    </r>
  </si>
  <si>
    <r>
      <rPr>
        <sz val="11"/>
        <color theme="1"/>
        <rFont val="Times New Roman"/>
        <charset val="134"/>
      </rPr>
      <t>8/12/98</t>
    </r>
  </si>
  <si>
    <r>
      <rPr>
        <sz val="11"/>
        <color theme="1"/>
        <rFont val="Times New Roman"/>
        <charset val="134"/>
      </rPr>
      <t>8/8/98</t>
    </r>
  </si>
  <si>
    <r>
      <rPr>
        <sz val="11"/>
        <color theme="1"/>
        <rFont val="Times New Roman"/>
        <charset val="134"/>
      </rPr>
      <t>8/5/98</t>
    </r>
  </si>
  <si>
    <r>
      <rPr>
        <sz val="11"/>
        <color theme="1"/>
        <rFont val="Times New Roman"/>
        <charset val="134"/>
      </rPr>
      <t>8/1/98</t>
    </r>
  </si>
  <si>
    <r>
      <rPr>
        <sz val="11"/>
        <color theme="1"/>
        <rFont val="Times New Roman"/>
        <charset val="134"/>
      </rPr>
      <t>7/29/98</t>
    </r>
  </si>
  <si>
    <r>
      <rPr>
        <sz val="11"/>
        <color theme="1"/>
        <rFont val="Times New Roman"/>
        <charset val="134"/>
      </rPr>
      <t>7/25/98</t>
    </r>
  </si>
  <si>
    <r>
      <rPr>
        <sz val="11"/>
        <color theme="1"/>
        <rFont val="Times New Roman"/>
        <charset val="134"/>
      </rPr>
      <t>7/22/98</t>
    </r>
  </si>
  <si>
    <r>
      <rPr>
        <sz val="11"/>
        <color theme="1"/>
        <rFont val="Times New Roman"/>
        <charset val="134"/>
      </rPr>
      <t>7/18/98</t>
    </r>
  </si>
  <si>
    <r>
      <rPr>
        <sz val="11"/>
        <color theme="1"/>
        <rFont val="Times New Roman"/>
        <charset val="134"/>
      </rPr>
      <t>7/15/98</t>
    </r>
  </si>
  <si>
    <r>
      <rPr>
        <sz val="11"/>
        <color theme="1"/>
        <rFont val="Times New Roman"/>
        <charset val="134"/>
      </rPr>
      <t>7/11/98</t>
    </r>
  </si>
  <si>
    <r>
      <rPr>
        <sz val="11"/>
        <color theme="1"/>
        <rFont val="Times New Roman"/>
        <charset val="134"/>
      </rPr>
      <t>7/8/98</t>
    </r>
  </si>
  <si>
    <r>
      <rPr>
        <sz val="11"/>
        <color theme="1"/>
        <rFont val="Times New Roman"/>
        <charset val="134"/>
      </rPr>
      <t>7/4/98</t>
    </r>
  </si>
  <si>
    <r>
      <rPr>
        <sz val="11"/>
        <color theme="1"/>
        <rFont val="Times New Roman"/>
        <charset val="134"/>
      </rPr>
      <t>7/1/98</t>
    </r>
  </si>
  <si>
    <r>
      <rPr>
        <sz val="11"/>
        <color theme="1"/>
        <rFont val="Times New Roman"/>
        <charset val="134"/>
      </rPr>
      <t>6/27/98</t>
    </r>
  </si>
  <si>
    <r>
      <rPr>
        <sz val="11"/>
        <color theme="1"/>
        <rFont val="Times New Roman"/>
        <charset val="134"/>
      </rPr>
      <t>6/24/98</t>
    </r>
  </si>
  <si>
    <r>
      <rPr>
        <sz val="11"/>
        <color theme="1"/>
        <rFont val="Times New Roman"/>
        <charset val="134"/>
      </rPr>
      <t>6/20/98</t>
    </r>
  </si>
  <si>
    <r>
      <rPr>
        <sz val="11"/>
        <color theme="1"/>
        <rFont val="Times New Roman"/>
        <charset val="134"/>
      </rPr>
      <t>6/17/98</t>
    </r>
  </si>
  <si>
    <r>
      <rPr>
        <sz val="11"/>
        <color theme="1"/>
        <rFont val="Times New Roman"/>
        <charset val="134"/>
      </rPr>
      <t>6/13/98</t>
    </r>
  </si>
  <si>
    <r>
      <rPr>
        <sz val="11"/>
        <color theme="1"/>
        <rFont val="Times New Roman"/>
        <charset val="134"/>
      </rPr>
      <t>6/10/98</t>
    </r>
  </si>
  <si>
    <r>
      <rPr>
        <sz val="11"/>
        <color theme="1"/>
        <rFont val="Times New Roman"/>
        <charset val="134"/>
      </rPr>
      <t>6/6/98</t>
    </r>
  </si>
  <si>
    <r>
      <rPr>
        <sz val="11"/>
        <color theme="1"/>
        <rFont val="Times New Roman"/>
        <charset val="134"/>
      </rPr>
      <t>6/3/98</t>
    </r>
  </si>
  <si>
    <r>
      <rPr>
        <sz val="11"/>
        <color theme="1"/>
        <rFont val="Times New Roman"/>
        <charset val="134"/>
      </rPr>
      <t>5/30/98</t>
    </r>
  </si>
  <si>
    <r>
      <rPr>
        <sz val="11"/>
        <color theme="1"/>
        <rFont val="Times New Roman"/>
        <charset val="134"/>
      </rPr>
      <t>5/27/98</t>
    </r>
  </si>
  <si>
    <r>
      <rPr>
        <sz val="11"/>
        <color theme="1"/>
        <rFont val="Times New Roman"/>
        <charset val="134"/>
      </rPr>
      <t>5/23/98</t>
    </r>
  </si>
  <si>
    <r>
      <rPr>
        <sz val="11"/>
        <color theme="1"/>
        <rFont val="Times New Roman"/>
        <charset val="134"/>
      </rPr>
      <t>5/20/98</t>
    </r>
  </si>
  <si>
    <r>
      <rPr>
        <sz val="11"/>
        <color theme="1"/>
        <rFont val="Times New Roman"/>
        <charset val="134"/>
      </rPr>
      <t>5/16/98</t>
    </r>
  </si>
  <si>
    <r>
      <rPr>
        <sz val="11"/>
        <color theme="1"/>
        <rFont val="Times New Roman"/>
        <charset val="134"/>
      </rPr>
      <t>5/13/98</t>
    </r>
  </si>
  <si>
    <r>
      <rPr>
        <sz val="11"/>
        <color theme="1"/>
        <rFont val="Times New Roman"/>
        <charset val="134"/>
      </rPr>
      <t>5/9/98</t>
    </r>
  </si>
  <si>
    <r>
      <rPr>
        <sz val="11"/>
        <color theme="1"/>
        <rFont val="Times New Roman"/>
        <charset val="134"/>
      </rPr>
      <t>5/6/98</t>
    </r>
  </si>
  <si>
    <r>
      <rPr>
        <sz val="11"/>
        <color theme="1"/>
        <rFont val="Times New Roman"/>
        <charset val="134"/>
      </rPr>
      <t>5/2/98</t>
    </r>
  </si>
  <si>
    <r>
      <rPr>
        <sz val="11"/>
        <color theme="1"/>
        <rFont val="Times New Roman"/>
        <charset val="134"/>
      </rPr>
      <t>4/29/98</t>
    </r>
  </si>
  <si>
    <r>
      <rPr>
        <sz val="11"/>
        <color theme="1"/>
        <rFont val="Times New Roman"/>
        <charset val="134"/>
      </rPr>
      <t>4/25/98</t>
    </r>
  </si>
  <si>
    <r>
      <rPr>
        <sz val="11"/>
        <color theme="1"/>
        <rFont val="Times New Roman"/>
        <charset val="134"/>
      </rPr>
      <t>4/22/98</t>
    </r>
  </si>
  <si>
    <r>
      <rPr>
        <sz val="11"/>
        <color theme="1"/>
        <rFont val="Times New Roman"/>
        <charset val="134"/>
      </rPr>
      <t>4/18/98</t>
    </r>
  </si>
  <si>
    <r>
      <rPr>
        <sz val="11"/>
        <color theme="1"/>
        <rFont val="Times New Roman"/>
        <charset val="134"/>
      </rPr>
      <t>4/15/98</t>
    </r>
  </si>
  <si>
    <r>
      <rPr>
        <sz val="11"/>
        <color theme="1"/>
        <rFont val="Times New Roman"/>
        <charset val="134"/>
      </rPr>
      <t>4/11/98</t>
    </r>
  </si>
  <si>
    <r>
      <rPr>
        <sz val="11"/>
        <color theme="1"/>
        <rFont val="Times New Roman"/>
        <charset val="134"/>
      </rPr>
      <t>4/8/98</t>
    </r>
  </si>
  <si>
    <r>
      <rPr>
        <sz val="11"/>
        <color theme="1"/>
        <rFont val="Times New Roman"/>
        <charset val="134"/>
      </rPr>
      <t>4/4/98</t>
    </r>
  </si>
  <si>
    <r>
      <rPr>
        <sz val="11"/>
        <color theme="1"/>
        <rFont val="Times New Roman"/>
        <charset val="134"/>
      </rPr>
      <t>4/1/98</t>
    </r>
  </si>
  <si>
    <r>
      <rPr>
        <sz val="11"/>
        <color theme="1"/>
        <rFont val="Times New Roman"/>
        <charset val="134"/>
      </rPr>
      <t>3/28/98</t>
    </r>
  </si>
  <si>
    <r>
      <rPr>
        <sz val="11"/>
        <color theme="1"/>
        <rFont val="Times New Roman"/>
        <charset val="134"/>
      </rPr>
      <t>3/25/98</t>
    </r>
  </si>
  <si>
    <r>
      <rPr>
        <sz val="11"/>
        <color theme="1"/>
        <rFont val="Times New Roman"/>
        <charset val="134"/>
      </rPr>
      <t>3/21/98</t>
    </r>
  </si>
  <si>
    <r>
      <rPr>
        <sz val="11"/>
        <color theme="1"/>
        <rFont val="Times New Roman"/>
        <charset val="134"/>
      </rPr>
      <t>3/18/98</t>
    </r>
  </si>
  <si>
    <r>
      <rPr>
        <sz val="11"/>
        <color theme="1"/>
        <rFont val="Times New Roman"/>
        <charset val="134"/>
      </rPr>
      <t>3/14/98</t>
    </r>
  </si>
  <si>
    <r>
      <rPr>
        <sz val="11"/>
        <color theme="1"/>
        <rFont val="Times New Roman"/>
        <charset val="134"/>
      </rPr>
      <t>3/11/98</t>
    </r>
  </si>
  <si>
    <r>
      <rPr>
        <sz val="11"/>
        <color theme="1"/>
        <rFont val="Times New Roman"/>
        <charset val="134"/>
      </rPr>
      <t>3/7/98</t>
    </r>
  </si>
  <si>
    <r>
      <rPr>
        <sz val="11"/>
        <color theme="1"/>
        <rFont val="Times New Roman"/>
        <charset val="134"/>
      </rPr>
      <t>3/4/98</t>
    </r>
  </si>
  <si>
    <r>
      <rPr>
        <sz val="11"/>
        <color theme="1"/>
        <rFont val="Times New Roman"/>
        <charset val="134"/>
      </rPr>
      <t>2/28/98</t>
    </r>
  </si>
  <si>
    <r>
      <rPr>
        <sz val="11"/>
        <color theme="1"/>
        <rFont val="Times New Roman"/>
        <charset val="134"/>
      </rPr>
      <t>2/25/98</t>
    </r>
  </si>
  <si>
    <r>
      <rPr>
        <sz val="11"/>
        <color theme="1"/>
        <rFont val="Times New Roman"/>
        <charset val="134"/>
      </rPr>
      <t>2/21/98</t>
    </r>
  </si>
  <si>
    <r>
      <rPr>
        <sz val="11"/>
        <color theme="1"/>
        <rFont val="Times New Roman"/>
        <charset val="134"/>
      </rPr>
      <t>2/18/98</t>
    </r>
  </si>
  <si>
    <r>
      <rPr>
        <sz val="11"/>
        <color theme="1"/>
        <rFont val="Times New Roman"/>
        <charset val="134"/>
      </rPr>
      <t>2/14/98</t>
    </r>
  </si>
  <si>
    <r>
      <rPr>
        <sz val="11"/>
        <color theme="1"/>
        <rFont val="Times New Roman"/>
        <charset val="134"/>
      </rPr>
      <t>2/11/98</t>
    </r>
  </si>
  <si>
    <r>
      <rPr>
        <sz val="11"/>
        <color theme="1"/>
        <rFont val="Times New Roman"/>
        <charset val="134"/>
      </rPr>
      <t>2/7/98</t>
    </r>
  </si>
  <si>
    <r>
      <rPr>
        <sz val="11"/>
        <color theme="1"/>
        <rFont val="Times New Roman"/>
        <charset val="134"/>
      </rPr>
      <t>2/4/98</t>
    </r>
  </si>
  <si>
    <r>
      <rPr>
        <sz val="11"/>
        <color theme="1"/>
        <rFont val="Times New Roman"/>
        <charset val="134"/>
      </rPr>
      <t>1/31/98</t>
    </r>
  </si>
  <si>
    <r>
      <rPr>
        <sz val="11"/>
        <color theme="1"/>
        <rFont val="Times New Roman"/>
        <charset val="134"/>
      </rPr>
      <t>1/28/98</t>
    </r>
  </si>
  <si>
    <r>
      <rPr>
        <sz val="11"/>
        <color theme="1"/>
        <rFont val="Times New Roman"/>
        <charset val="134"/>
      </rPr>
      <t>1/24/98</t>
    </r>
  </si>
  <si>
    <r>
      <rPr>
        <sz val="11"/>
        <color theme="1"/>
        <rFont val="Times New Roman"/>
        <charset val="134"/>
      </rPr>
      <t>1/21/98</t>
    </r>
  </si>
  <si>
    <r>
      <rPr>
        <sz val="11"/>
        <color theme="1"/>
        <rFont val="Times New Roman"/>
        <charset val="134"/>
      </rPr>
      <t>1/17/98</t>
    </r>
  </si>
  <si>
    <r>
      <rPr>
        <sz val="11"/>
        <color theme="1"/>
        <rFont val="Times New Roman"/>
        <charset val="134"/>
      </rPr>
      <t>1/14/98</t>
    </r>
  </si>
  <si>
    <r>
      <rPr>
        <sz val="11"/>
        <color theme="1"/>
        <rFont val="Times New Roman"/>
        <charset val="134"/>
      </rPr>
      <t>1/10/98</t>
    </r>
  </si>
  <si>
    <r>
      <rPr>
        <sz val="11"/>
        <color theme="1"/>
        <rFont val="Times New Roman"/>
        <charset val="134"/>
      </rPr>
      <t>1/7/98</t>
    </r>
  </si>
  <si>
    <r>
      <rPr>
        <sz val="11"/>
        <color theme="1"/>
        <rFont val="Times New Roman"/>
        <charset val="134"/>
      </rPr>
      <t>1/3/98</t>
    </r>
  </si>
  <si>
    <r>
      <rPr>
        <sz val="11"/>
        <color theme="1"/>
        <rFont val="Times New Roman"/>
        <charset val="134"/>
      </rPr>
      <t>12/31/97</t>
    </r>
  </si>
  <si>
    <r>
      <rPr>
        <sz val="11"/>
        <color theme="1"/>
        <rFont val="Times New Roman"/>
        <charset val="134"/>
      </rPr>
      <t>12/27/97</t>
    </r>
  </si>
  <si>
    <r>
      <rPr>
        <sz val="11"/>
        <color theme="1"/>
        <rFont val="Times New Roman"/>
        <charset val="134"/>
      </rPr>
      <t>12/24/97</t>
    </r>
  </si>
  <si>
    <r>
      <rPr>
        <sz val="11"/>
        <color theme="1"/>
        <rFont val="Times New Roman"/>
        <charset val="134"/>
      </rPr>
      <t>12/20/97</t>
    </r>
  </si>
  <si>
    <t>12/17/97</t>
  </si>
  <si>
    <t>step</t>
  </si>
  <si>
    <t>powerballsales</t>
  </si>
  <si>
    <t>poolamount</t>
  </si>
  <si>
    <t>row</t>
  </si>
  <si>
    <t>parameters</t>
  </si>
  <si>
    <t>repetitions</t>
  </si>
  <si>
    <t>powerballs~s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</si>
</sst>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/m/d;@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11" fontId="0" fillId="0" borderId="1" xfId="0" applyNumberFormat="1" applyFill="1" applyBorder="1" applyAlignmen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176" fontId="0" fillId="2" borderId="2" xfId="0" applyNumberFormat="1" applyFill="1" applyBorder="1">
      <alignment vertical="center"/>
    </xf>
    <xf numFmtId="176" fontId="1" fillId="2" borderId="2" xfId="0" applyNumberFormat="1" applyFont="1" applyFill="1" applyBorder="1" applyAlignment="1">
      <alignment horizontal="center" vertical="top" wrapText="1"/>
    </xf>
    <xf numFmtId="0" fontId="0" fillId="2" borderId="0" xfId="0" applyFill="1">
      <alignment vertical="center"/>
    </xf>
    <xf numFmtId="176" fontId="0" fillId="0" borderId="3" xfId="0" applyNumberFormat="1" applyBorder="1">
      <alignment vertical="center"/>
    </xf>
    <xf numFmtId="176" fontId="1" fillId="3" borderId="3" xfId="0" applyNumberFormat="1" applyFont="1" applyFill="1" applyBorder="1" applyAlignment="1">
      <alignment horizontal="center" vertical="top" wrapText="1"/>
    </xf>
    <xf numFmtId="176" fontId="0" fillId="0" borderId="2" xfId="0" applyNumberFormat="1" applyBorder="1">
      <alignment vertical="center"/>
    </xf>
    <xf numFmtId="176" fontId="1" fillId="3" borderId="2" xfId="0" applyNumberFormat="1" applyFont="1" applyFill="1" applyBorder="1" applyAlignment="1">
      <alignment horizontal="center" vertical="top" wrapText="1"/>
    </xf>
    <xf numFmtId="176" fontId="0" fillId="0" borderId="4" xfId="0" applyNumberFormat="1" applyBorder="1">
      <alignment vertical="center"/>
    </xf>
    <xf numFmtId="176" fontId="1" fillId="3" borderId="4" xfId="0" applyNumberFormat="1" applyFont="1" applyFill="1" applyBorder="1" applyAlignment="1">
      <alignment horizontal="center" vertical="top" wrapText="1"/>
    </xf>
    <xf numFmtId="176" fontId="0" fillId="4" borderId="3" xfId="0" applyNumberFormat="1" applyFill="1" applyBorder="1">
      <alignment vertical="center"/>
    </xf>
    <xf numFmtId="176" fontId="1" fillId="4" borderId="3" xfId="0" applyNumberFormat="1" applyFont="1" applyFill="1" applyBorder="1" applyAlignment="1">
      <alignment horizontal="center" vertical="top" wrapText="1"/>
    </xf>
    <xf numFmtId="0" fontId="0" fillId="4" borderId="0" xfId="0" applyFill="1">
      <alignment vertical="center"/>
    </xf>
    <xf numFmtId="176" fontId="0" fillId="2" borderId="3" xfId="0" applyNumberFormat="1" applyFill="1" applyBorder="1">
      <alignment vertical="center"/>
    </xf>
    <xf numFmtId="176" fontId="1" fillId="2" borderId="3" xfId="0" applyNumberFormat="1" applyFont="1" applyFill="1" applyBorder="1" applyAlignment="1">
      <alignment horizontal="center" vertical="top" wrapText="1"/>
    </xf>
    <xf numFmtId="176" fontId="2" fillId="4" borderId="3" xfId="0" applyNumberFormat="1" applyFont="1" applyFill="1" applyBorder="1">
      <alignment vertical="center"/>
    </xf>
    <xf numFmtId="176" fontId="3" fillId="4" borderId="3" xfId="0" applyNumberFormat="1" applyFont="1" applyFill="1" applyBorder="1" applyAlignment="1">
      <alignment horizontal="center" vertical="top" wrapText="1"/>
    </xf>
    <xf numFmtId="0" fontId="2" fillId="4" borderId="0" xfId="0" applyFont="1" applyFill="1">
      <alignment vertical="center"/>
    </xf>
    <xf numFmtId="176" fontId="1" fillId="3" borderId="0" xfId="0" applyNumberFormat="1" applyFont="1" applyFill="1" applyBorder="1" applyAlignment="1">
      <alignment horizontal="center" vertical="top" wrapText="1"/>
    </xf>
    <xf numFmtId="24" fontId="1" fillId="3" borderId="3" xfId="0" applyNumberFormat="1" applyFont="1" applyFill="1" applyBorder="1" applyAlignment="1">
      <alignment horizontal="center" vertical="top" wrapText="1"/>
    </xf>
    <xf numFmtId="26" fontId="1" fillId="3" borderId="3" xfId="0" applyNumberFormat="1" applyFont="1" applyFill="1" applyBorder="1" applyAlignment="1">
      <alignment horizontal="center" vertical="top" wrapText="1"/>
    </xf>
    <xf numFmtId="0" fontId="1" fillId="3" borderId="3" xfId="0" applyNumberFormat="1" applyFont="1" applyFill="1" applyBorder="1" applyAlignment="1">
      <alignment horizontal="center" vertical="top" wrapText="1"/>
    </xf>
    <xf numFmtId="176" fontId="1" fillId="4" borderId="0" xfId="0" applyNumberFormat="1" applyFont="1" applyFill="1" applyBorder="1" applyAlignment="1">
      <alignment horizontal="center" vertical="top" wrapText="1"/>
    </xf>
    <xf numFmtId="176" fontId="1" fillId="2" borderId="0" xfId="0" applyNumberFormat="1" applyFont="1" applyFill="1" applyBorder="1" applyAlignment="1">
      <alignment horizontal="center" vertical="top" wrapText="1"/>
    </xf>
    <xf numFmtId="0" fontId="1" fillId="3" borderId="2" xfId="0" applyNumberFormat="1" applyFont="1" applyFill="1" applyBorder="1" applyAlignment="1">
      <alignment horizontal="center" vertical="top" wrapText="1"/>
    </xf>
    <xf numFmtId="176" fontId="0" fillId="0" borderId="0" xfId="0" applyNumberFormat="1" applyFont="1" applyAlignment="1">
      <alignment vertical="center" wrapText="1"/>
    </xf>
    <xf numFmtId="0" fontId="1" fillId="3" borderId="4" xfId="0" applyNumberFormat="1" applyFont="1" applyFill="1" applyBorder="1" applyAlignment="1">
      <alignment horizontal="center" vertical="top" wrapText="1"/>
    </xf>
    <xf numFmtId="0" fontId="0" fillId="5" borderId="0" xfId="0" applyFill="1">
      <alignment vertical="center"/>
    </xf>
    <xf numFmtId="0" fontId="4" fillId="0" borderId="0" xfId="0" applyFon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177" fontId="1" fillId="3" borderId="2" xfId="0" applyNumberFormat="1" applyFont="1" applyFill="1" applyBorder="1" applyAlignment="1">
      <alignment horizontal="center" vertical="top" wrapText="1"/>
    </xf>
    <xf numFmtId="177" fontId="1" fillId="3" borderId="3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14" fontId="1" fillId="3" borderId="3" xfId="0" applyNumberFormat="1" applyFont="1" applyFill="1" applyBorder="1" applyAlignment="1">
      <alignment horizontal="center" vertical="top" wrapText="1"/>
    </xf>
    <xf numFmtId="14" fontId="1" fillId="3" borderId="4" xfId="0" applyNumberFormat="1" applyFont="1" applyFill="1" applyBorder="1" applyAlignment="1">
      <alignment horizontal="center" vertical="top" wrapText="1"/>
    </xf>
    <xf numFmtId="14" fontId="1" fillId="2" borderId="3" xfId="0" applyNumberFormat="1" applyFont="1" applyFill="1" applyBorder="1" applyAlignment="1">
      <alignment horizontal="center" vertical="top" wrapText="1"/>
    </xf>
    <xf numFmtId="14" fontId="1" fillId="4" borderId="3" xfId="0" applyNumberFormat="1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176" fontId="5" fillId="3" borderId="3" xfId="0" applyNumberFormat="1" applyFont="1" applyFill="1" applyBorder="1" applyAlignment="1">
      <alignment horizontal="center" vertical="top" wrapText="1"/>
    </xf>
    <xf numFmtId="176" fontId="5" fillId="3" borderId="0" xfId="0" applyNumberFormat="1" applyFont="1" applyFill="1" applyAlignment="1">
      <alignment horizontal="center" vertical="top" wrapText="1"/>
    </xf>
    <xf numFmtId="176" fontId="0" fillId="2" borderId="0" xfId="0" applyNumberFormat="1" applyFill="1">
      <alignment vertical="center"/>
    </xf>
    <xf numFmtId="0" fontId="3" fillId="4" borderId="3" xfId="0" applyFont="1" applyFill="1" applyBorder="1" applyAlignment="1">
      <alignment horizontal="center" vertical="top" wrapText="1"/>
    </xf>
    <xf numFmtId="176" fontId="2" fillId="4" borderId="0" xfId="0" applyNumberFormat="1" applyFont="1" applyFill="1">
      <alignment vertical="center"/>
    </xf>
    <xf numFmtId="176" fontId="0" fillId="4" borderId="0" xfId="0" applyNumberFormat="1" applyFill="1">
      <alignment vertical="center"/>
    </xf>
    <xf numFmtId="0" fontId="1" fillId="3" borderId="4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176" fontId="6" fillId="3" borderId="3" xfId="0" applyNumberFormat="1" applyFont="1" applyFill="1" applyBorder="1" applyAlignment="1">
      <alignment horizontal="center" vertical="top" wrapText="1"/>
    </xf>
    <xf numFmtId="176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current-sales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Sheet1!$G$3:$G$579</c:f>
              <c:numCache>
                <c:formatCode>General</c:formatCode>
                <c:ptCount val="577"/>
                <c:pt idx="0">
                  <c:v>951.7455</c:v>
                </c:pt>
                <c:pt idx="1">
                  <c:v>754.5722</c:v>
                </c:pt>
                <c:pt idx="2">
                  <c:v>1316.6741</c:v>
                </c:pt>
                <c:pt idx="3">
                  <c:v>912.97</c:v>
                </c:pt>
                <c:pt idx="4">
                  <c:v>763.0305</c:v>
                </c:pt>
                <c:pt idx="5">
                  <c:v>1219.8708</c:v>
                </c:pt>
                <c:pt idx="6">
                  <c:v>842.1088</c:v>
                </c:pt>
                <c:pt idx="7">
                  <c:v>731.5951</c:v>
                </c:pt>
                <c:pt idx="8">
                  <c:v>1189.0752</c:v>
                </c:pt>
                <c:pt idx="9">
                  <c:v>827.1787</c:v>
                </c:pt>
                <c:pt idx="10">
                  <c:v>1005.0025</c:v>
                </c:pt>
                <c:pt idx="11">
                  <c:v>1609.9185</c:v>
                </c:pt>
                <c:pt idx="12">
                  <c:v>1086.9178</c:v>
                </c:pt>
                <c:pt idx="13">
                  <c:v>934.8674</c:v>
                </c:pt>
                <c:pt idx="14">
                  <c:v>1486.6758</c:v>
                </c:pt>
                <c:pt idx="15">
                  <c:v>1050.9689</c:v>
                </c:pt>
                <c:pt idx="16">
                  <c:v>920.7418</c:v>
                </c:pt>
                <c:pt idx="17">
                  <c:v>1408.3254</c:v>
                </c:pt>
                <c:pt idx="18">
                  <c:v>972.6134</c:v>
                </c:pt>
                <c:pt idx="19">
                  <c:v>849.6617</c:v>
                </c:pt>
                <c:pt idx="20">
                  <c:v>1366.7476</c:v>
                </c:pt>
                <c:pt idx="21">
                  <c:v>980.7938</c:v>
                </c:pt>
                <c:pt idx="22">
                  <c:v>1051.6589</c:v>
                </c:pt>
                <c:pt idx="23">
                  <c:v>10896.5245</c:v>
                </c:pt>
                <c:pt idx="24">
                  <c:v>7516.4863</c:v>
                </c:pt>
                <c:pt idx="25">
                  <c:v>5420.5347</c:v>
                </c:pt>
                <c:pt idx="26">
                  <c:v>5932.7929</c:v>
                </c:pt>
                <c:pt idx="27">
                  <c:v>4259.8103</c:v>
                </c:pt>
                <c:pt idx="28">
                  <c:v>3903.7159</c:v>
                </c:pt>
                <c:pt idx="29">
                  <c:v>4695.6337</c:v>
                </c:pt>
                <c:pt idx="30">
                  <c:v>3017.3206</c:v>
                </c:pt>
                <c:pt idx="31">
                  <c:v>2275.235</c:v>
                </c:pt>
                <c:pt idx="32">
                  <c:v>3191.2278</c:v>
                </c:pt>
                <c:pt idx="33">
                  <c:v>2082.2744</c:v>
                </c:pt>
                <c:pt idx="34">
                  <c:v>1659.5359</c:v>
                </c:pt>
                <c:pt idx="35">
                  <c:v>2520.9579</c:v>
                </c:pt>
                <c:pt idx="36">
                  <c:v>1661.1106</c:v>
                </c:pt>
                <c:pt idx="37">
                  <c:v>1457.9205</c:v>
                </c:pt>
                <c:pt idx="38">
                  <c:v>2245.5047</c:v>
                </c:pt>
                <c:pt idx="39">
                  <c:v>1471.9036</c:v>
                </c:pt>
                <c:pt idx="40">
                  <c:v>1221.5521</c:v>
                </c:pt>
                <c:pt idx="41">
                  <c:v>1903.7864</c:v>
                </c:pt>
                <c:pt idx="42">
                  <c:v>1299.1419</c:v>
                </c:pt>
                <c:pt idx="43">
                  <c:v>1099.0772</c:v>
                </c:pt>
                <c:pt idx="44">
                  <c:v>1733.3499</c:v>
                </c:pt>
                <c:pt idx="45">
                  <c:v>1163.111</c:v>
                </c:pt>
                <c:pt idx="46">
                  <c:v>1001.0432</c:v>
                </c:pt>
                <c:pt idx="47">
                  <c:v>1691.0318</c:v>
                </c:pt>
                <c:pt idx="48">
                  <c:v>1121.6853</c:v>
                </c:pt>
                <c:pt idx="49">
                  <c:v>968.8143</c:v>
                </c:pt>
                <c:pt idx="50">
                  <c:v>1590.61</c:v>
                </c:pt>
                <c:pt idx="51">
                  <c:v>1047.3502</c:v>
                </c:pt>
                <c:pt idx="52">
                  <c:v>893.8322</c:v>
                </c:pt>
                <c:pt idx="53">
                  <c:v>1443.249</c:v>
                </c:pt>
                <c:pt idx="54">
                  <c:v>990.2924</c:v>
                </c:pt>
                <c:pt idx="55">
                  <c:v>861.8889</c:v>
                </c:pt>
                <c:pt idx="56">
                  <c:v>1351.2395</c:v>
                </c:pt>
                <c:pt idx="57">
                  <c:v>919.8243</c:v>
                </c:pt>
                <c:pt idx="58">
                  <c:v>762.3861</c:v>
                </c:pt>
                <c:pt idx="59">
                  <c:v>1291.7857</c:v>
                </c:pt>
                <c:pt idx="60">
                  <c:v>877.6667</c:v>
                </c:pt>
                <c:pt idx="61">
                  <c:v>786.5501</c:v>
                </c:pt>
                <c:pt idx="62">
                  <c:v>1263.0964</c:v>
                </c:pt>
                <c:pt idx="63">
                  <c:v>1022.6264</c:v>
                </c:pt>
                <c:pt idx="64">
                  <c:v>4729.1911</c:v>
                </c:pt>
                <c:pt idx="65">
                  <c:v>6290.1136</c:v>
                </c:pt>
                <c:pt idx="66">
                  <c:v>3926.0827</c:v>
                </c:pt>
                <c:pt idx="67">
                  <c:v>2521.3419</c:v>
                </c:pt>
                <c:pt idx="68">
                  <c:v>3934.2437</c:v>
                </c:pt>
                <c:pt idx="69">
                  <c:v>2324.7764</c:v>
                </c:pt>
                <c:pt idx="70">
                  <c:v>1805.4169</c:v>
                </c:pt>
                <c:pt idx="71">
                  <c:v>2655.3802</c:v>
                </c:pt>
                <c:pt idx="72">
                  <c:v>1870.8069</c:v>
                </c:pt>
                <c:pt idx="73">
                  <c:v>1419.5984</c:v>
                </c:pt>
                <c:pt idx="74">
                  <c:v>2141.9405</c:v>
                </c:pt>
                <c:pt idx="75">
                  <c:v>1478.3595</c:v>
                </c:pt>
                <c:pt idx="76">
                  <c:v>1291.1329</c:v>
                </c:pt>
                <c:pt idx="77">
                  <c:v>2017.3578</c:v>
                </c:pt>
                <c:pt idx="78">
                  <c:v>1313.8447</c:v>
                </c:pt>
                <c:pt idx="79">
                  <c:v>1157.3692</c:v>
                </c:pt>
                <c:pt idx="80">
                  <c:v>1646.2615</c:v>
                </c:pt>
                <c:pt idx="81">
                  <c:v>1422.843</c:v>
                </c:pt>
                <c:pt idx="82">
                  <c:v>1086.674</c:v>
                </c:pt>
                <c:pt idx="83">
                  <c:v>1687.1769</c:v>
                </c:pt>
                <c:pt idx="84">
                  <c:v>1179.6017</c:v>
                </c:pt>
                <c:pt idx="85">
                  <c:v>1030.6723</c:v>
                </c:pt>
                <c:pt idx="86">
                  <c:v>1654.7739</c:v>
                </c:pt>
                <c:pt idx="87">
                  <c:v>1147.4032</c:v>
                </c:pt>
                <c:pt idx="88">
                  <c:v>967.6297</c:v>
                </c:pt>
                <c:pt idx="89">
                  <c:v>1546.7348</c:v>
                </c:pt>
                <c:pt idx="90">
                  <c:v>1080.4371</c:v>
                </c:pt>
                <c:pt idx="91">
                  <c:v>923.3484</c:v>
                </c:pt>
                <c:pt idx="92">
                  <c:v>1469.7696</c:v>
                </c:pt>
                <c:pt idx="93">
                  <c:v>1059.5361</c:v>
                </c:pt>
                <c:pt idx="94">
                  <c:v>861.7993</c:v>
                </c:pt>
                <c:pt idx="95">
                  <c:v>1357.4473</c:v>
                </c:pt>
                <c:pt idx="96">
                  <c:v>973.9707</c:v>
                </c:pt>
                <c:pt idx="97">
                  <c:v>833.698</c:v>
                </c:pt>
                <c:pt idx="98">
                  <c:v>1519.1989</c:v>
                </c:pt>
                <c:pt idx="99">
                  <c:v>12924.8044</c:v>
                </c:pt>
                <c:pt idx="100">
                  <c:v>9317.7357</c:v>
                </c:pt>
                <c:pt idx="101">
                  <c:v>11542.009</c:v>
                </c:pt>
                <c:pt idx="102">
                  <c:v>8536.8182</c:v>
                </c:pt>
                <c:pt idx="103">
                  <c:v>6633.9998</c:v>
                </c:pt>
                <c:pt idx="104">
                  <c:v>6639.461</c:v>
                </c:pt>
                <c:pt idx="105">
                  <c:v>4306.6557</c:v>
                </c:pt>
                <c:pt idx="106">
                  <c:v>3121.5804</c:v>
                </c:pt>
                <c:pt idx="107">
                  <c:v>3985.877</c:v>
                </c:pt>
                <c:pt idx="108">
                  <c:v>2690.0315</c:v>
                </c:pt>
                <c:pt idx="109">
                  <c:v>2173.7536</c:v>
                </c:pt>
                <c:pt idx="110">
                  <c:v>3022.7777</c:v>
                </c:pt>
                <c:pt idx="111">
                  <c:v>2158.9157</c:v>
                </c:pt>
                <c:pt idx="112">
                  <c:v>1802.7033</c:v>
                </c:pt>
                <c:pt idx="113">
                  <c:v>2684.2087</c:v>
                </c:pt>
                <c:pt idx="114">
                  <c:v>1796.9733</c:v>
                </c:pt>
                <c:pt idx="115">
                  <c:v>1399.2791</c:v>
                </c:pt>
                <c:pt idx="116">
                  <c:v>2445.6956</c:v>
                </c:pt>
                <c:pt idx="117">
                  <c:v>1625.4155</c:v>
                </c:pt>
                <c:pt idx="118">
                  <c:v>1403.0702</c:v>
                </c:pt>
                <c:pt idx="119">
                  <c:v>2171.0179</c:v>
                </c:pt>
                <c:pt idx="120">
                  <c:v>1563.4772</c:v>
                </c:pt>
                <c:pt idx="121">
                  <c:v>1283.2502</c:v>
                </c:pt>
                <c:pt idx="122">
                  <c:v>2044.9922</c:v>
                </c:pt>
                <c:pt idx="123">
                  <c:v>1443.0748</c:v>
                </c:pt>
                <c:pt idx="124">
                  <c:v>1202.0829</c:v>
                </c:pt>
                <c:pt idx="125">
                  <c:v>1885.932</c:v>
                </c:pt>
                <c:pt idx="126">
                  <c:v>1648.9519</c:v>
                </c:pt>
                <c:pt idx="127">
                  <c:v>1364.9235</c:v>
                </c:pt>
                <c:pt idx="128">
                  <c:v>2216.2693</c:v>
                </c:pt>
                <c:pt idx="129">
                  <c:v>1446.3934</c:v>
                </c:pt>
                <c:pt idx="130">
                  <c:v>1053.0163</c:v>
                </c:pt>
                <c:pt idx="131">
                  <c:v>1598.8134</c:v>
                </c:pt>
                <c:pt idx="132">
                  <c:v>1061.056</c:v>
                </c:pt>
                <c:pt idx="133">
                  <c:v>851.1952</c:v>
                </c:pt>
                <c:pt idx="134">
                  <c:v>1591.2289</c:v>
                </c:pt>
                <c:pt idx="135">
                  <c:v>12035.8635</c:v>
                </c:pt>
                <c:pt idx="136">
                  <c:v>7067.6371</c:v>
                </c:pt>
                <c:pt idx="137">
                  <c:v>7637.4861</c:v>
                </c:pt>
                <c:pt idx="138">
                  <c:v>4883.6987</c:v>
                </c:pt>
                <c:pt idx="139">
                  <c:v>3751.9286</c:v>
                </c:pt>
                <c:pt idx="140">
                  <c:v>4529.7361</c:v>
                </c:pt>
                <c:pt idx="141">
                  <c:v>2198.5601</c:v>
                </c:pt>
                <c:pt idx="142">
                  <c:v>1954.1378</c:v>
                </c:pt>
                <c:pt idx="143">
                  <c:v>2458.1421</c:v>
                </c:pt>
                <c:pt idx="144">
                  <c:v>1643.9163</c:v>
                </c:pt>
                <c:pt idx="145">
                  <c:v>1370.8957</c:v>
                </c:pt>
                <c:pt idx="146">
                  <c:v>2184.2037</c:v>
                </c:pt>
                <c:pt idx="147">
                  <c:v>1510.1337</c:v>
                </c:pt>
                <c:pt idx="148">
                  <c:v>1169.5362</c:v>
                </c:pt>
                <c:pt idx="149">
                  <c:v>1891.6373</c:v>
                </c:pt>
                <c:pt idx="150">
                  <c:v>1296.8422</c:v>
                </c:pt>
                <c:pt idx="151">
                  <c:v>1092.1845</c:v>
                </c:pt>
                <c:pt idx="152">
                  <c:v>1750.862</c:v>
                </c:pt>
                <c:pt idx="153">
                  <c:v>1155.0945</c:v>
                </c:pt>
                <c:pt idx="154">
                  <c:v>992.9967</c:v>
                </c:pt>
                <c:pt idx="155">
                  <c:v>1633.4973</c:v>
                </c:pt>
                <c:pt idx="156">
                  <c:v>1117.0348</c:v>
                </c:pt>
                <c:pt idx="157">
                  <c:v>854.2844</c:v>
                </c:pt>
                <c:pt idx="158">
                  <c:v>1516.7125</c:v>
                </c:pt>
                <c:pt idx="159">
                  <c:v>1012.9167</c:v>
                </c:pt>
                <c:pt idx="160">
                  <c:v>851.4647</c:v>
                </c:pt>
                <c:pt idx="161">
                  <c:v>1387.1915</c:v>
                </c:pt>
                <c:pt idx="162">
                  <c:v>969.4383</c:v>
                </c:pt>
                <c:pt idx="163">
                  <c:v>822.0301</c:v>
                </c:pt>
                <c:pt idx="164">
                  <c:v>1355.7389</c:v>
                </c:pt>
                <c:pt idx="165">
                  <c:v>932.8867</c:v>
                </c:pt>
                <c:pt idx="166">
                  <c:v>765.4542</c:v>
                </c:pt>
                <c:pt idx="167">
                  <c:v>1233.4403</c:v>
                </c:pt>
                <c:pt idx="168">
                  <c:v>865.9759</c:v>
                </c:pt>
                <c:pt idx="169">
                  <c:v>720.735</c:v>
                </c:pt>
                <c:pt idx="170">
                  <c:v>1154.1788</c:v>
                </c:pt>
                <c:pt idx="171">
                  <c:v>771.1763</c:v>
                </c:pt>
                <c:pt idx="172">
                  <c:v>636.5926</c:v>
                </c:pt>
                <c:pt idx="173">
                  <c:v>1058.5741</c:v>
                </c:pt>
                <c:pt idx="174">
                  <c:v>1206.8585</c:v>
                </c:pt>
                <c:pt idx="175">
                  <c:v>997.9406</c:v>
                </c:pt>
                <c:pt idx="176">
                  <c:v>1529.2454</c:v>
                </c:pt>
                <c:pt idx="177">
                  <c:v>1057.5405</c:v>
                </c:pt>
                <c:pt idx="178">
                  <c:v>836.2423</c:v>
                </c:pt>
                <c:pt idx="179">
                  <c:v>1422.5001</c:v>
                </c:pt>
                <c:pt idx="180">
                  <c:v>961.3277</c:v>
                </c:pt>
                <c:pt idx="181">
                  <c:v>833.8917</c:v>
                </c:pt>
                <c:pt idx="182">
                  <c:v>1363.3165</c:v>
                </c:pt>
                <c:pt idx="183">
                  <c:v>924.3315</c:v>
                </c:pt>
                <c:pt idx="184">
                  <c:v>785.4631</c:v>
                </c:pt>
                <c:pt idx="185">
                  <c:v>1280.1168</c:v>
                </c:pt>
                <c:pt idx="186">
                  <c:v>857.008</c:v>
                </c:pt>
                <c:pt idx="187">
                  <c:v>713.0284</c:v>
                </c:pt>
                <c:pt idx="188">
                  <c:v>1185.7087</c:v>
                </c:pt>
                <c:pt idx="189">
                  <c:v>813.6832</c:v>
                </c:pt>
                <c:pt idx="190">
                  <c:v>679.4321</c:v>
                </c:pt>
                <c:pt idx="191">
                  <c:v>1148.7116</c:v>
                </c:pt>
                <c:pt idx="192">
                  <c:v>786.4471</c:v>
                </c:pt>
                <c:pt idx="193">
                  <c:v>656.8219</c:v>
                </c:pt>
                <c:pt idx="194">
                  <c:v>1521.5219</c:v>
                </c:pt>
                <c:pt idx="195">
                  <c:v>1060.8527</c:v>
                </c:pt>
                <c:pt idx="196">
                  <c:v>899.9154</c:v>
                </c:pt>
                <c:pt idx="197">
                  <c:v>1429.2651</c:v>
                </c:pt>
                <c:pt idx="198">
                  <c:v>1012.4224</c:v>
                </c:pt>
                <c:pt idx="199">
                  <c:v>803.9402</c:v>
                </c:pt>
                <c:pt idx="200">
                  <c:v>1310.6839</c:v>
                </c:pt>
                <c:pt idx="201">
                  <c:v>904.8747</c:v>
                </c:pt>
                <c:pt idx="202">
                  <c:v>760.0793</c:v>
                </c:pt>
                <c:pt idx="203">
                  <c:v>1280.7104</c:v>
                </c:pt>
                <c:pt idx="204">
                  <c:v>988.4987</c:v>
                </c:pt>
                <c:pt idx="205">
                  <c:v>3979.2807</c:v>
                </c:pt>
                <c:pt idx="206">
                  <c:v>4898.1314</c:v>
                </c:pt>
                <c:pt idx="207">
                  <c:v>3121.581</c:v>
                </c:pt>
                <c:pt idx="208">
                  <c:v>2376.6867</c:v>
                </c:pt>
                <c:pt idx="209">
                  <c:v>3414.7749</c:v>
                </c:pt>
                <c:pt idx="210">
                  <c:v>2337.2994</c:v>
                </c:pt>
                <c:pt idx="211">
                  <c:v>1900.7746</c:v>
                </c:pt>
                <c:pt idx="212">
                  <c:v>2779.6119</c:v>
                </c:pt>
                <c:pt idx="213">
                  <c:v>1929.9391</c:v>
                </c:pt>
                <c:pt idx="214">
                  <c:v>1548.2519</c:v>
                </c:pt>
                <c:pt idx="215">
                  <c:v>3255.044</c:v>
                </c:pt>
                <c:pt idx="216">
                  <c:v>2025.7699</c:v>
                </c:pt>
                <c:pt idx="217">
                  <c:v>1605.1379</c:v>
                </c:pt>
                <c:pt idx="218">
                  <c:v>2578.3712</c:v>
                </c:pt>
                <c:pt idx="219">
                  <c:v>1606.8608</c:v>
                </c:pt>
                <c:pt idx="220">
                  <c:v>1181.3345</c:v>
                </c:pt>
                <c:pt idx="221">
                  <c:v>2300.8317</c:v>
                </c:pt>
                <c:pt idx="222">
                  <c:v>1351.0388</c:v>
                </c:pt>
                <c:pt idx="223">
                  <c:v>863.7848</c:v>
                </c:pt>
                <c:pt idx="224">
                  <c:v>1621.0379</c:v>
                </c:pt>
                <c:pt idx="225">
                  <c:v>1036.383</c:v>
                </c:pt>
                <c:pt idx="226">
                  <c:v>814.6613</c:v>
                </c:pt>
                <c:pt idx="227">
                  <c:v>1328.4</c:v>
                </c:pt>
                <c:pt idx="228">
                  <c:v>938.1429</c:v>
                </c:pt>
                <c:pt idx="229">
                  <c:v>783.304</c:v>
                </c:pt>
                <c:pt idx="230">
                  <c:v>1280.671</c:v>
                </c:pt>
                <c:pt idx="231">
                  <c:v>909.8269</c:v>
                </c:pt>
                <c:pt idx="232">
                  <c:v>717.3215</c:v>
                </c:pt>
                <c:pt idx="233">
                  <c:v>1206.0758</c:v>
                </c:pt>
                <c:pt idx="234">
                  <c:v>823.5338</c:v>
                </c:pt>
                <c:pt idx="235">
                  <c:v>701.5266</c:v>
                </c:pt>
                <c:pt idx="236">
                  <c:v>1072.4363</c:v>
                </c:pt>
                <c:pt idx="237">
                  <c:v>915.2928</c:v>
                </c:pt>
                <c:pt idx="238">
                  <c:v>695.5775</c:v>
                </c:pt>
                <c:pt idx="239">
                  <c:v>1346.7413</c:v>
                </c:pt>
                <c:pt idx="240">
                  <c:v>966.1027</c:v>
                </c:pt>
                <c:pt idx="241">
                  <c:v>850.7588</c:v>
                </c:pt>
                <c:pt idx="242">
                  <c:v>1486.8728</c:v>
                </c:pt>
                <c:pt idx="243">
                  <c:v>2305.4752</c:v>
                </c:pt>
                <c:pt idx="244">
                  <c:v>27592.3428</c:v>
                </c:pt>
                <c:pt idx="245">
                  <c:v>27926.9971</c:v>
                </c:pt>
                <c:pt idx="246">
                  <c:v>18309.029</c:v>
                </c:pt>
                <c:pt idx="247">
                  <c:v>13166.0996</c:v>
                </c:pt>
                <c:pt idx="248">
                  <c:v>9853.8851</c:v>
                </c:pt>
                <c:pt idx="249">
                  <c:v>5569.433</c:v>
                </c:pt>
                <c:pt idx="250">
                  <c:v>3338.8286</c:v>
                </c:pt>
                <c:pt idx="251">
                  <c:v>3523.1283</c:v>
                </c:pt>
                <c:pt idx="252">
                  <c:v>2301.7267</c:v>
                </c:pt>
                <c:pt idx="253">
                  <c:v>1523.0432</c:v>
                </c:pt>
                <c:pt idx="254">
                  <c:v>2491.3693</c:v>
                </c:pt>
                <c:pt idx="255">
                  <c:v>1633.7094</c:v>
                </c:pt>
                <c:pt idx="256">
                  <c:v>1179.2818</c:v>
                </c:pt>
                <c:pt idx="257">
                  <c:v>1912.1852</c:v>
                </c:pt>
                <c:pt idx="258">
                  <c:v>1297.1449</c:v>
                </c:pt>
                <c:pt idx="259">
                  <c:v>1001.6289</c:v>
                </c:pt>
                <c:pt idx="260">
                  <c:v>1735.0953</c:v>
                </c:pt>
                <c:pt idx="261">
                  <c:v>1166.7348</c:v>
                </c:pt>
                <c:pt idx="262">
                  <c:v>888.7575</c:v>
                </c:pt>
                <c:pt idx="263">
                  <c:v>1528.0653</c:v>
                </c:pt>
                <c:pt idx="264">
                  <c:v>1062.3724</c:v>
                </c:pt>
                <c:pt idx="265">
                  <c:v>826.2015</c:v>
                </c:pt>
                <c:pt idx="266">
                  <c:v>1462.6812</c:v>
                </c:pt>
                <c:pt idx="267">
                  <c:v>1004.9553</c:v>
                </c:pt>
                <c:pt idx="268">
                  <c:v>772.6918</c:v>
                </c:pt>
                <c:pt idx="269">
                  <c:v>1338.9608</c:v>
                </c:pt>
                <c:pt idx="270">
                  <c:v>931.1583</c:v>
                </c:pt>
                <c:pt idx="271">
                  <c:v>688.2259</c:v>
                </c:pt>
                <c:pt idx="272">
                  <c:v>1318.3749</c:v>
                </c:pt>
                <c:pt idx="273">
                  <c:v>905.4101</c:v>
                </c:pt>
                <c:pt idx="274">
                  <c:v>714.0362</c:v>
                </c:pt>
                <c:pt idx="275">
                  <c:v>1239.0505</c:v>
                </c:pt>
                <c:pt idx="276">
                  <c:v>881.5468</c:v>
                </c:pt>
                <c:pt idx="277">
                  <c:v>668.1976</c:v>
                </c:pt>
                <c:pt idx="278">
                  <c:v>1158.5034</c:v>
                </c:pt>
                <c:pt idx="279">
                  <c:v>806.1379</c:v>
                </c:pt>
                <c:pt idx="280">
                  <c:v>639.5221</c:v>
                </c:pt>
                <c:pt idx="281">
                  <c:v>1107.4473</c:v>
                </c:pt>
                <c:pt idx="282">
                  <c:v>773.3242</c:v>
                </c:pt>
                <c:pt idx="283">
                  <c:v>618.6289</c:v>
                </c:pt>
                <c:pt idx="284">
                  <c:v>1120.2441</c:v>
                </c:pt>
                <c:pt idx="285">
                  <c:v>1384.1731</c:v>
                </c:pt>
                <c:pt idx="286">
                  <c:v>1080.0233</c:v>
                </c:pt>
                <c:pt idx="287">
                  <c:v>2650.7515</c:v>
                </c:pt>
                <c:pt idx="288">
                  <c:v>1710.9145</c:v>
                </c:pt>
                <c:pt idx="289">
                  <c:v>1081.274</c:v>
                </c:pt>
                <c:pt idx="290">
                  <c:v>1814.8645</c:v>
                </c:pt>
                <c:pt idx="291">
                  <c:v>1175.7926</c:v>
                </c:pt>
                <c:pt idx="292">
                  <c:v>765.0583</c:v>
                </c:pt>
                <c:pt idx="293">
                  <c:v>1299.155</c:v>
                </c:pt>
                <c:pt idx="294">
                  <c:v>854.8295</c:v>
                </c:pt>
                <c:pt idx="295">
                  <c:v>650.3547</c:v>
                </c:pt>
                <c:pt idx="296">
                  <c:v>1134.0465</c:v>
                </c:pt>
                <c:pt idx="297">
                  <c:v>766.906</c:v>
                </c:pt>
                <c:pt idx="298">
                  <c:v>545.2414</c:v>
                </c:pt>
                <c:pt idx="299">
                  <c:v>1166.744</c:v>
                </c:pt>
                <c:pt idx="300">
                  <c:v>1571.8915</c:v>
                </c:pt>
                <c:pt idx="301">
                  <c:v>1234.568</c:v>
                </c:pt>
                <c:pt idx="302">
                  <c:v>2042.1584</c:v>
                </c:pt>
                <c:pt idx="303">
                  <c:v>1420.4256</c:v>
                </c:pt>
                <c:pt idx="304">
                  <c:v>1043.5971</c:v>
                </c:pt>
                <c:pt idx="305">
                  <c:v>1755.555</c:v>
                </c:pt>
                <c:pt idx="306">
                  <c:v>1223.0066</c:v>
                </c:pt>
                <c:pt idx="307">
                  <c:v>977.0251</c:v>
                </c:pt>
                <c:pt idx="308">
                  <c:v>1667.1543</c:v>
                </c:pt>
                <c:pt idx="309">
                  <c:v>1139.6337</c:v>
                </c:pt>
                <c:pt idx="310">
                  <c:v>879.4074</c:v>
                </c:pt>
                <c:pt idx="311">
                  <c:v>1491.0261</c:v>
                </c:pt>
                <c:pt idx="312">
                  <c:v>1029.0432</c:v>
                </c:pt>
                <c:pt idx="313">
                  <c:v>733.1316</c:v>
                </c:pt>
                <c:pt idx="314">
                  <c:v>1403.2318</c:v>
                </c:pt>
                <c:pt idx="315">
                  <c:v>970.6234</c:v>
                </c:pt>
                <c:pt idx="316">
                  <c:v>772.3344</c:v>
                </c:pt>
                <c:pt idx="317">
                  <c:v>1332.8738</c:v>
                </c:pt>
                <c:pt idx="318">
                  <c:v>951.4754</c:v>
                </c:pt>
                <c:pt idx="319">
                  <c:v>710.3852</c:v>
                </c:pt>
                <c:pt idx="320">
                  <c:v>1251.0828</c:v>
                </c:pt>
                <c:pt idx="321">
                  <c:v>847.4051</c:v>
                </c:pt>
                <c:pt idx="322">
                  <c:v>660.0043</c:v>
                </c:pt>
                <c:pt idx="323">
                  <c:v>1164.3119</c:v>
                </c:pt>
                <c:pt idx="324">
                  <c:v>816.5944</c:v>
                </c:pt>
                <c:pt idx="325">
                  <c:v>627.9895</c:v>
                </c:pt>
                <c:pt idx="326">
                  <c:v>1204.2124</c:v>
                </c:pt>
                <c:pt idx="327">
                  <c:v>3430.2497</c:v>
                </c:pt>
                <c:pt idx="328">
                  <c:v>2290.556</c:v>
                </c:pt>
                <c:pt idx="329">
                  <c:v>3080.8593</c:v>
                </c:pt>
                <c:pt idx="330">
                  <c:v>1827.0889</c:v>
                </c:pt>
                <c:pt idx="331">
                  <c:v>1339.5921</c:v>
                </c:pt>
                <c:pt idx="332">
                  <c:v>2283.9193</c:v>
                </c:pt>
                <c:pt idx="333">
                  <c:v>1535.6719</c:v>
                </c:pt>
                <c:pt idx="334">
                  <c:v>1095.1111</c:v>
                </c:pt>
                <c:pt idx="335">
                  <c:v>1896.6935</c:v>
                </c:pt>
                <c:pt idx="336">
                  <c:v>1339.4893</c:v>
                </c:pt>
                <c:pt idx="337">
                  <c:v>1060.1881</c:v>
                </c:pt>
                <c:pt idx="338">
                  <c:v>1892.1319</c:v>
                </c:pt>
                <c:pt idx="339">
                  <c:v>1216.691</c:v>
                </c:pt>
                <c:pt idx="340">
                  <c:v>898.3956</c:v>
                </c:pt>
                <c:pt idx="341">
                  <c:v>1553.5798</c:v>
                </c:pt>
                <c:pt idx="342">
                  <c:v>1078.932</c:v>
                </c:pt>
                <c:pt idx="343">
                  <c:v>853.6512</c:v>
                </c:pt>
                <c:pt idx="344">
                  <c:v>1481.1198</c:v>
                </c:pt>
                <c:pt idx="345">
                  <c:v>1032.0984</c:v>
                </c:pt>
                <c:pt idx="346">
                  <c:v>789.1775</c:v>
                </c:pt>
                <c:pt idx="347">
                  <c:v>1365.8424</c:v>
                </c:pt>
                <c:pt idx="348">
                  <c:v>893.8236</c:v>
                </c:pt>
                <c:pt idx="349">
                  <c:v>680.9153</c:v>
                </c:pt>
                <c:pt idx="350">
                  <c:v>1226.2116</c:v>
                </c:pt>
                <c:pt idx="351">
                  <c:v>855.6292</c:v>
                </c:pt>
                <c:pt idx="352">
                  <c:v>654.5605</c:v>
                </c:pt>
                <c:pt idx="353">
                  <c:v>1148.9151</c:v>
                </c:pt>
                <c:pt idx="354">
                  <c:v>849.7112</c:v>
                </c:pt>
                <c:pt idx="355">
                  <c:v>621.8095</c:v>
                </c:pt>
                <c:pt idx="356">
                  <c:v>1115.4426</c:v>
                </c:pt>
                <c:pt idx="357">
                  <c:v>805.2222</c:v>
                </c:pt>
                <c:pt idx="358">
                  <c:v>929.9167</c:v>
                </c:pt>
                <c:pt idx="359">
                  <c:v>1675.7001</c:v>
                </c:pt>
                <c:pt idx="360">
                  <c:v>1166.3177</c:v>
                </c:pt>
                <c:pt idx="361">
                  <c:v>894.2761</c:v>
                </c:pt>
                <c:pt idx="362">
                  <c:v>1509.0641</c:v>
                </c:pt>
                <c:pt idx="363">
                  <c:v>1149.5998</c:v>
                </c:pt>
                <c:pt idx="364">
                  <c:v>833.3365</c:v>
                </c:pt>
                <c:pt idx="365">
                  <c:v>1409.2354</c:v>
                </c:pt>
                <c:pt idx="366">
                  <c:v>946.3568</c:v>
                </c:pt>
                <c:pt idx="367">
                  <c:v>699.9336</c:v>
                </c:pt>
                <c:pt idx="368">
                  <c:v>1264.5855</c:v>
                </c:pt>
                <c:pt idx="369">
                  <c:v>911.2742</c:v>
                </c:pt>
                <c:pt idx="370">
                  <c:v>650.0732</c:v>
                </c:pt>
                <c:pt idx="371">
                  <c:v>1279.4097</c:v>
                </c:pt>
                <c:pt idx="372">
                  <c:v>891.5822</c:v>
                </c:pt>
                <c:pt idx="373">
                  <c:v>688.8</c:v>
                </c:pt>
                <c:pt idx="374">
                  <c:v>1402.181</c:v>
                </c:pt>
                <c:pt idx="375">
                  <c:v>7580.7504</c:v>
                </c:pt>
                <c:pt idx="376">
                  <c:v>4759.4818</c:v>
                </c:pt>
                <c:pt idx="377">
                  <c:v>6381.853</c:v>
                </c:pt>
                <c:pt idx="378">
                  <c:v>3668.3439</c:v>
                </c:pt>
                <c:pt idx="379">
                  <c:v>2278.3522</c:v>
                </c:pt>
                <c:pt idx="380">
                  <c:v>3138.2048</c:v>
                </c:pt>
                <c:pt idx="381">
                  <c:v>1866.1485</c:v>
                </c:pt>
                <c:pt idx="382">
                  <c:v>1349.9611</c:v>
                </c:pt>
                <c:pt idx="383">
                  <c:v>2350.9905</c:v>
                </c:pt>
                <c:pt idx="384">
                  <c:v>1685.6151</c:v>
                </c:pt>
                <c:pt idx="385">
                  <c:v>1222.6976</c:v>
                </c:pt>
                <c:pt idx="386">
                  <c:v>2137.3324</c:v>
                </c:pt>
                <c:pt idx="387">
                  <c:v>1406.2105</c:v>
                </c:pt>
                <c:pt idx="388">
                  <c:v>1059.1529</c:v>
                </c:pt>
                <c:pt idx="389">
                  <c:v>1911.5927</c:v>
                </c:pt>
                <c:pt idx="390">
                  <c:v>1366.7388</c:v>
                </c:pt>
                <c:pt idx="391">
                  <c:v>1016.3585</c:v>
                </c:pt>
                <c:pt idx="392">
                  <c:v>1650.5116</c:v>
                </c:pt>
                <c:pt idx="393">
                  <c:v>1401.5246</c:v>
                </c:pt>
                <c:pt idx="394">
                  <c:v>959.3474</c:v>
                </c:pt>
                <c:pt idx="395">
                  <c:v>1737.4955</c:v>
                </c:pt>
                <c:pt idx="396">
                  <c:v>1177.042</c:v>
                </c:pt>
                <c:pt idx="397">
                  <c:v>872.6273</c:v>
                </c:pt>
                <c:pt idx="398">
                  <c:v>1609.8227</c:v>
                </c:pt>
                <c:pt idx="399">
                  <c:v>1129.1978</c:v>
                </c:pt>
                <c:pt idx="400">
                  <c:v>840.9206</c:v>
                </c:pt>
                <c:pt idx="401">
                  <c:v>1544.4127</c:v>
                </c:pt>
                <c:pt idx="402">
                  <c:v>1086.7066</c:v>
                </c:pt>
                <c:pt idx="403">
                  <c:v>803.4689</c:v>
                </c:pt>
                <c:pt idx="404">
                  <c:v>1492.1167</c:v>
                </c:pt>
                <c:pt idx="405">
                  <c:v>1022.05</c:v>
                </c:pt>
                <c:pt idx="406">
                  <c:v>713.5784</c:v>
                </c:pt>
                <c:pt idx="407">
                  <c:v>1296.0485</c:v>
                </c:pt>
                <c:pt idx="408">
                  <c:v>899.659</c:v>
                </c:pt>
                <c:pt idx="409">
                  <c:v>661.1693</c:v>
                </c:pt>
                <c:pt idx="410">
                  <c:v>1250.9027</c:v>
                </c:pt>
                <c:pt idx="411">
                  <c:v>873.1985</c:v>
                </c:pt>
                <c:pt idx="412">
                  <c:v>642.6899</c:v>
                </c:pt>
                <c:pt idx="413">
                  <c:v>1250.7339</c:v>
                </c:pt>
                <c:pt idx="414">
                  <c:v>1115.5665</c:v>
                </c:pt>
                <c:pt idx="415">
                  <c:v>5727.709</c:v>
                </c:pt>
                <c:pt idx="416">
                  <c:v>7296.163</c:v>
                </c:pt>
                <c:pt idx="417">
                  <c:v>3781.3532</c:v>
                </c:pt>
                <c:pt idx="418">
                  <c:v>2442.7368</c:v>
                </c:pt>
                <c:pt idx="419">
                  <c:v>3846.7301</c:v>
                </c:pt>
                <c:pt idx="420">
                  <c:v>2413.0434</c:v>
                </c:pt>
                <c:pt idx="421">
                  <c:v>1519.7855</c:v>
                </c:pt>
                <c:pt idx="422">
                  <c:v>2936.0761</c:v>
                </c:pt>
                <c:pt idx="423">
                  <c:v>2005.264</c:v>
                </c:pt>
                <c:pt idx="424">
                  <c:v>1325.8987</c:v>
                </c:pt>
                <c:pt idx="425">
                  <c:v>2574.8884</c:v>
                </c:pt>
                <c:pt idx="426">
                  <c:v>1675.0653</c:v>
                </c:pt>
                <c:pt idx="427">
                  <c:v>1009.0875</c:v>
                </c:pt>
                <c:pt idx="428">
                  <c:v>2273.7644</c:v>
                </c:pt>
                <c:pt idx="429">
                  <c:v>1585.1543</c:v>
                </c:pt>
                <c:pt idx="430">
                  <c:v>999.4704</c:v>
                </c:pt>
                <c:pt idx="431">
                  <c:v>2127.0297</c:v>
                </c:pt>
                <c:pt idx="432">
                  <c:v>1375.9335</c:v>
                </c:pt>
                <c:pt idx="433">
                  <c:v>788.5394</c:v>
                </c:pt>
                <c:pt idx="434">
                  <c:v>1981.5708</c:v>
                </c:pt>
                <c:pt idx="435">
                  <c:v>1788.5385</c:v>
                </c:pt>
                <c:pt idx="436">
                  <c:v>1904.6717</c:v>
                </c:pt>
                <c:pt idx="437">
                  <c:v>1720.415</c:v>
                </c:pt>
                <c:pt idx="438">
                  <c:v>1811.3823</c:v>
                </c:pt>
                <c:pt idx="439">
                  <c:v>1646.2728</c:v>
                </c:pt>
                <c:pt idx="440">
                  <c:v>1694.9881</c:v>
                </c:pt>
                <c:pt idx="441">
                  <c:v>1479.1943</c:v>
                </c:pt>
                <c:pt idx="442">
                  <c:v>1572.0727</c:v>
                </c:pt>
                <c:pt idx="443">
                  <c:v>1425.1903</c:v>
                </c:pt>
                <c:pt idx="444">
                  <c:v>1517.8593</c:v>
                </c:pt>
                <c:pt idx="445">
                  <c:v>1377.8041</c:v>
                </c:pt>
                <c:pt idx="446">
                  <c:v>1458.0257</c:v>
                </c:pt>
                <c:pt idx="447">
                  <c:v>1305.4038</c:v>
                </c:pt>
                <c:pt idx="448">
                  <c:v>1463.6068</c:v>
                </c:pt>
                <c:pt idx="449">
                  <c:v>1192.7524</c:v>
                </c:pt>
                <c:pt idx="450">
                  <c:v>1273.9728</c:v>
                </c:pt>
                <c:pt idx="451">
                  <c:v>1146.2633</c:v>
                </c:pt>
                <c:pt idx="452">
                  <c:v>1235.2415</c:v>
                </c:pt>
                <c:pt idx="453">
                  <c:v>1086.2726</c:v>
                </c:pt>
                <c:pt idx="454">
                  <c:v>1147.6542</c:v>
                </c:pt>
                <c:pt idx="455">
                  <c:v>1044.3714</c:v>
                </c:pt>
                <c:pt idx="456">
                  <c:v>2044.0582</c:v>
                </c:pt>
                <c:pt idx="457">
                  <c:v>1852.4733</c:v>
                </c:pt>
                <c:pt idx="458">
                  <c:v>1996.3485</c:v>
                </c:pt>
                <c:pt idx="459">
                  <c:v>1793.1137</c:v>
                </c:pt>
                <c:pt idx="460">
                  <c:v>1972.5976</c:v>
                </c:pt>
                <c:pt idx="461">
                  <c:v>1741.0053</c:v>
                </c:pt>
                <c:pt idx="462">
                  <c:v>1712.2152</c:v>
                </c:pt>
                <c:pt idx="463">
                  <c:v>1501.7852</c:v>
                </c:pt>
                <c:pt idx="464">
                  <c:v>1592.863</c:v>
                </c:pt>
                <c:pt idx="465">
                  <c:v>1416.1761</c:v>
                </c:pt>
                <c:pt idx="466">
                  <c:v>1515.9937</c:v>
                </c:pt>
                <c:pt idx="467">
                  <c:v>1319.3986</c:v>
                </c:pt>
                <c:pt idx="468">
                  <c:v>1418.6021</c:v>
                </c:pt>
                <c:pt idx="469">
                  <c:v>1188.4069</c:v>
                </c:pt>
                <c:pt idx="470">
                  <c:v>1287.9774</c:v>
                </c:pt>
                <c:pt idx="471">
                  <c:v>1144.5992</c:v>
                </c:pt>
                <c:pt idx="472">
                  <c:v>1254.5878</c:v>
                </c:pt>
                <c:pt idx="473">
                  <c:v>1096.4296</c:v>
                </c:pt>
                <c:pt idx="474">
                  <c:v>1232.1072</c:v>
                </c:pt>
                <c:pt idx="475">
                  <c:v>1082.3597</c:v>
                </c:pt>
                <c:pt idx="476">
                  <c:v>1930.7495</c:v>
                </c:pt>
                <c:pt idx="477">
                  <c:v>1765.1325</c:v>
                </c:pt>
                <c:pt idx="478">
                  <c:v>1887.7276</c:v>
                </c:pt>
                <c:pt idx="479">
                  <c:v>1644.3564</c:v>
                </c:pt>
                <c:pt idx="480">
                  <c:v>1707.9793</c:v>
                </c:pt>
                <c:pt idx="481">
                  <c:v>1520.4045</c:v>
                </c:pt>
                <c:pt idx="482">
                  <c:v>1627.627</c:v>
                </c:pt>
                <c:pt idx="483">
                  <c:v>1494.4628</c:v>
                </c:pt>
                <c:pt idx="484">
                  <c:v>1577.5024</c:v>
                </c:pt>
                <c:pt idx="485">
                  <c:v>1336.0356</c:v>
                </c:pt>
                <c:pt idx="486">
                  <c:v>1348.484</c:v>
                </c:pt>
                <c:pt idx="487">
                  <c:v>1112.0042</c:v>
                </c:pt>
                <c:pt idx="488">
                  <c:v>1339.2352</c:v>
                </c:pt>
                <c:pt idx="489">
                  <c:v>1174.1514</c:v>
                </c:pt>
                <c:pt idx="490">
                  <c:v>1354.9375</c:v>
                </c:pt>
                <c:pt idx="491">
                  <c:v>1172.5118</c:v>
                </c:pt>
                <c:pt idx="492">
                  <c:v>1449.8623</c:v>
                </c:pt>
                <c:pt idx="493">
                  <c:v>1297.4062</c:v>
                </c:pt>
                <c:pt idx="494">
                  <c:v>2552.0983</c:v>
                </c:pt>
                <c:pt idx="495">
                  <c:v>11428.0399</c:v>
                </c:pt>
                <c:pt idx="496">
                  <c:v>10307.3845</c:v>
                </c:pt>
                <c:pt idx="497">
                  <c:v>8364.6195</c:v>
                </c:pt>
                <c:pt idx="498">
                  <c:v>6104.4018</c:v>
                </c:pt>
                <c:pt idx="499">
                  <c:v>4744.0387</c:v>
                </c:pt>
                <c:pt idx="500">
                  <c:v>3345.1364</c:v>
                </c:pt>
                <c:pt idx="501">
                  <c:v>2881.8545</c:v>
                </c:pt>
                <c:pt idx="502">
                  <c:v>2321.8838</c:v>
                </c:pt>
                <c:pt idx="503">
                  <c:v>2400.7374</c:v>
                </c:pt>
                <c:pt idx="504">
                  <c:v>2170.3758</c:v>
                </c:pt>
                <c:pt idx="505">
                  <c:v>1839.6727</c:v>
                </c:pt>
                <c:pt idx="506">
                  <c:v>1937.6473</c:v>
                </c:pt>
                <c:pt idx="507">
                  <c:v>1736.8211</c:v>
                </c:pt>
                <c:pt idx="508">
                  <c:v>1835.861</c:v>
                </c:pt>
                <c:pt idx="509">
                  <c:v>1628.2058</c:v>
                </c:pt>
                <c:pt idx="510">
                  <c:v>1571.1213</c:v>
                </c:pt>
                <c:pt idx="511">
                  <c:v>1674.2641</c:v>
                </c:pt>
                <c:pt idx="512">
                  <c:v>1576.6969</c:v>
                </c:pt>
                <c:pt idx="513">
                  <c:v>1356.7191</c:v>
                </c:pt>
                <c:pt idx="514">
                  <c:v>1488.761</c:v>
                </c:pt>
                <c:pt idx="515">
                  <c:v>1295.443</c:v>
                </c:pt>
                <c:pt idx="516">
                  <c:v>1408.4051</c:v>
                </c:pt>
                <c:pt idx="517">
                  <c:v>1262.0993</c:v>
                </c:pt>
                <c:pt idx="518">
                  <c:v>1403.5449</c:v>
                </c:pt>
                <c:pt idx="519">
                  <c:v>1214.767</c:v>
                </c:pt>
                <c:pt idx="520">
                  <c:v>1333.6384</c:v>
                </c:pt>
                <c:pt idx="521">
                  <c:v>1123.0099</c:v>
                </c:pt>
                <c:pt idx="522">
                  <c:v>1214.6332</c:v>
                </c:pt>
                <c:pt idx="523">
                  <c:v>1051.4351</c:v>
                </c:pt>
                <c:pt idx="524">
                  <c:v>1149.0723</c:v>
                </c:pt>
                <c:pt idx="525">
                  <c:v>1015.1864</c:v>
                </c:pt>
                <c:pt idx="526">
                  <c:v>1124.5802</c:v>
                </c:pt>
                <c:pt idx="527">
                  <c:v>957.8376</c:v>
                </c:pt>
                <c:pt idx="528">
                  <c:v>1047.9682</c:v>
                </c:pt>
                <c:pt idx="529">
                  <c:v>933.2774</c:v>
                </c:pt>
                <c:pt idx="530">
                  <c:v>1037.9974</c:v>
                </c:pt>
                <c:pt idx="531">
                  <c:v>1131.6779</c:v>
                </c:pt>
                <c:pt idx="532">
                  <c:v>1206.8312</c:v>
                </c:pt>
                <c:pt idx="533">
                  <c:v>1039.6695</c:v>
                </c:pt>
                <c:pt idx="534">
                  <c:v>1174.4911</c:v>
                </c:pt>
                <c:pt idx="535">
                  <c:v>1025.5806</c:v>
                </c:pt>
                <c:pt idx="536">
                  <c:v>1106.644</c:v>
                </c:pt>
                <c:pt idx="537">
                  <c:v>969.2972</c:v>
                </c:pt>
                <c:pt idx="538">
                  <c:v>1069.6887</c:v>
                </c:pt>
                <c:pt idx="539">
                  <c:v>937.6135</c:v>
                </c:pt>
                <c:pt idx="540">
                  <c:v>1085.913</c:v>
                </c:pt>
                <c:pt idx="541">
                  <c:v>1507.1958</c:v>
                </c:pt>
                <c:pt idx="542">
                  <c:v>1608.1338</c:v>
                </c:pt>
                <c:pt idx="543">
                  <c:v>1426.8358</c:v>
                </c:pt>
                <c:pt idx="544">
                  <c:v>1510.8079</c:v>
                </c:pt>
                <c:pt idx="545">
                  <c:v>1313.1869</c:v>
                </c:pt>
                <c:pt idx="546">
                  <c:v>1330.2407</c:v>
                </c:pt>
                <c:pt idx="547">
                  <c:v>1143.7889</c:v>
                </c:pt>
                <c:pt idx="548">
                  <c:v>1222.6879</c:v>
                </c:pt>
                <c:pt idx="549">
                  <c:v>1067.9588</c:v>
                </c:pt>
                <c:pt idx="550">
                  <c:v>1159.7331</c:v>
                </c:pt>
                <c:pt idx="551">
                  <c:v>1025.1453</c:v>
                </c:pt>
                <c:pt idx="552">
                  <c:v>1112.6361</c:v>
                </c:pt>
                <c:pt idx="553">
                  <c:v>997.4706</c:v>
                </c:pt>
                <c:pt idx="554">
                  <c:v>1080.2289</c:v>
                </c:pt>
                <c:pt idx="555">
                  <c:v>949.616</c:v>
                </c:pt>
                <c:pt idx="556">
                  <c:v>1037.4959</c:v>
                </c:pt>
                <c:pt idx="557">
                  <c:v>924.3787</c:v>
                </c:pt>
                <c:pt idx="558">
                  <c:v>1000.6606</c:v>
                </c:pt>
                <c:pt idx="559">
                  <c:v>958.8292</c:v>
                </c:pt>
                <c:pt idx="560">
                  <c:v>1067.5612</c:v>
                </c:pt>
                <c:pt idx="561">
                  <c:v>1200.3071</c:v>
                </c:pt>
                <c:pt idx="562">
                  <c:v>1296.6773</c:v>
                </c:pt>
                <c:pt idx="563">
                  <c:v>1111.708</c:v>
                </c:pt>
                <c:pt idx="564">
                  <c:v>1209.567</c:v>
                </c:pt>
                <c:pt idx="565">
                  <c:v>1006.4069</c:v>
                </c:pt>
                <c:pt idx="566">
                  <c:v>1084.138</c:v>
                </c:pt>
                <c:pt idx="567">
                  <c:v>950.2702</c:v>
                </c:pt>
                <c:pt idx="568">
                  <c:v>1037.4882</c:v>
                </c:pt>
                <c:pt idx="569">
                  <c:v>898.6652</c:v>
                </c:pt>
                <c:pt idx="570">
                  <c:v>994.6987</c:v>
                </c:pt>
                <c:pt idx="571">
                  <c:v>835.3661</c:v>
                </c:pt>
                <c:pt idx="572">
                  <c:v>897.6518</c:v>
                </c:pt>
                <c:pt idx="573">
                  <c:v>788.5946</c:v>
                </c:pt>
                <c:pt idx="574">
                  <c:v>873.9665</c:v>
                </c:pt>
                <c:pt idx="575">
                  <c:v>756.9646</c:v>
                </c:pt>
                <c:pt idx="576">
                  <c:v>855.4534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4302780"/>
        <c:axId val="35774496"/>
      </c:lineChart>
      <c:catAx>
        <c:axId val="74430278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74496"/>
        <c:crosses val="autoZero"/>
        <c:auto val="1"/>
        <c:lblAlgn val="ctr"/>
        <c:lblOffset val="100"/>
        <c:noMultiLvlLbl val="0"/>
      </c:catAx>
      <c:valAx>
        <c:axId val="357744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3027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current-sales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Sheet1!$G$2:$G$2908</c:f>
              <c:numCache>
                <c:formatCode>General</c:formatCode>
                <c:ptCount val="2907"/>
                <c:pt idx="0">
                  <c:v>0</c:v>
                </c:pt>
                <c:pt idx="1">
                  <c:v>951.7455</c:v>
                </c:pt>
                <c:pt idx="2">
                  <c:v>754.5722</c:v>
                </c:pt>
                <c:pt idx="3">
                  <c:v>1316.6741</c:v>
                </c:pt>
                <c:pt idx="4">
                  <c:v>912.97</c:v>
                </c:pt>
                <c:pt idx="5">
                  <c:v>763.0305</c:v>
                </c:pt>
                <c:pt idx="6">
                  <c:v>1219.8708</c:v>
                </c:pt>
                <c:pt idx="7">
                  <c:v>842.1088</c:v>
                </c:pt>
                <c:pt idx="8">
                  <c:v>731.5951</c:v>
                </c:pt>
                <c:pt idx="9">
                  <c:v>1189.0752</c:v>
                </c:pt>
                <c:pt idx="10">
                  <c:v>827.1787</c:v>
                </c:pt>
                <c:pt idx="11">
                  <c:v>1005.0025</c:v>
                </c:pt>
                <c:pt idx="12">
                  <c:v>1609.9185</c:v>
                </c:pt>
                <c:pt idx="13">
                  <c:v>1086.9178</c:v>
                </c:pt>
                <c:pt idx="14">
                  <c:v>934.8674</c:v>
                </c:pt>
                <c:pt idx="15">
                  <c:v>1486.6758</c:v>
                </c:pt>
                <c:pt idx="16">
                  <c:v>1050.9689</c:v>
                </c:pt>
                <c:pt idx="17">
                  <c:v>920.7418</c:v>
                </c:pt>
                <c:pt idx="18">
                  <c:v>1408.3254</c:v>
                </c:pt>
                <c:pt idx="19">
                  <c:v>972.6134</c:v>
                </c:pt>
                <c:pt idx="20">
                  <c:v>849.6617</c:v>
                </c:pt>
                <c:pt idx="21">
                  <c:v>1366.7476</c:v>
                </c:pt>
                <c:pt idx="22">
                  <c:v>980.7938</c:v>
                </c:pt>
                <c:pt idx="23">
                  <c:v>1051.6589</c:v>
                </c:pt>
                <c:pt idx="24">
                  <c:v>10896.5245</c:v>
                </c:pt>
                <c:pt idx="25">
                  <c:v>7516.4863</c:v>
                </c:pt>
                <c:pt idx="26">
                  <c:v>5420.5347</c:v>
                </c:pt>
                <c:pt idx="27">
                  <c:v>5932.7929</c:v>
                </c:pt>
                <c:pt idx="28">
                  <c:v>4259.8103</c:v>
                </c:pt>
                <c:pt idx="29">
                  <c:v>3903.7159</c:v>
                </c:pt>
                <c:pt idx="30">
                  <c:v>4695.6337</c:v>
                </c:pt>
                <c:pt idx="31">
                  <c:v>3017.3206</c:v>
                </c:pt>
                <c:pt idx="32">
                  <c:v>2275.235</c:v>
                </c:pt>
                <c:pt idx="33">
                  <c:v>3191.2278</c:v>
                </c:pt>
                <c:pt idx="34">
                  <c:v>2082.2744</c:v>
                </c:pt>
                <c:pt idx="35">
                  <c:v>1659.5359</c:v>
                </c:pt>
                <c:pt idx="36">
                  <c:v>2520.9579</c:v>
                </c:pt>
                <c:pt idx="37">
                  <c:v>1661.1106</c:v>
                </c:pt>
                <c:pt idx="38">
                  <c:v>1457.9205</c:v>
                </c:pt>
                <c:pt idx="39">
                  <c:v>2245.5047</c:v>
                </c:pt>
                <c:pt idx="40">
                  <c:v>1471.9036</c:v>
                </c:pt>
                <c:pt idx="41">
                  <c:v>1221.5521</c:v>
                </c:pt>
                <c:pt idx="42">
                  <c:v>1903.7864</c:v>
                </c:pt>
                <c:pt idx="43">
                  <c:v>1299.1419</c:v>
                </c:pt>
                <c:pt idx="44">
                  <c:v>1099.0772</c:v>
                </c:pt>
                <c:pt idx="45">
                  <c:v>1733.3499</c:v>
                </c:pt>
                <c:pt idx="46">
                  <c:v>1163.111</c:v>
                </c:pt>
                <c:pt idx="47">
                  <c:v>1001.0432</c:v>
                </c:pt>
                <c:pt idx="48">
                  <c:v>1691.0318</c:v>
                </c:pt>
                <c:pt idx="49">
                  <c:v>1121.6853</c:v>
                </c:pt>
                <c:pt idx="50">
                  <c:v>968.8143</c:v>
                </c:pt>
                <c:pt idx="51">
                  <c:v>1590.61</c:v>
                </c:pt>
                <c:pt idx="52">
                  <c:v>1047.3502</c:v>
                </c:pt>
                <c:pt idx="53">
                  <c:v>893.8322</c:v>
                </c:pt>
                <c:pt idx="54">
                  <c:v>1443.249</c:v>
                </c:pt>
                <c:pt idx="55">
                  <c:v>990.2924</c:v>
                </c:pt>
                <c:pt idx="56">
                  <c:v>861.8889</c:v>
                </c:pt>
                <c:pt idx="57">
                  <c:v>1351.2395</c:v>
                </c:pt>
                <c:pt idx="58">
                  <c:v>919.8243</c:v>
                </c:pt>
                <c:pt idx="59">
                  <c:v>762.3861</c:v>
                </c:pt>
                <c:pt idx="60">
                  <c:v>1291.7857</c:v>
                </c:pt>
                <c:pt idx="61">
                  <c:v>877.6667</c:v>
                </c:pt>
                <c:pt idx="62">
                  <c:v>786.5501</c:v>
                </c:pt>
                <c:pt idx="63">
                  <c:v>1263.0964</c:v>
                </c:pt>
                <c:pt idx="64">
                  <c:v>1022.6264</c:v>
                </c:pt>
                <c:pt idx="65">
                  <c:v>4729.1911</c:v>
                </c:pt>
                <c:pt idx="66">
                  <c:v>6290.1136</c:v>
                </c:pt>
                <c:pt idx="67">
                  <c:v>3926.0827</c:v>
                </c:pt>
                <c:pt idx="68">
                  <c:v>2521.3419</c:v>
                </c:pt>
                <c:pt idx="69">
                  <c:v>3934.2437</c:v>
                </c:pt>
                <c:pt idx="70">
                  <c:v>2324.7764</c:v>
                </c:pt>
                <c:pt idx="71">
                  <c:v>1805.4169</c:v>
                </c:pt>
                <c:pt idx="72">
                  <c:v>2655.3802</c:v>
                </c:pt>
                <c:pt idx="73">
                  <c:v>1870.8069</c:v>
                </c:pt>
                <c:pt idx="74">
                  <c:v>1419.5984</c:v>
                </c:pt>
                <c:pt idx="75">
                  <c:v>2141.9405</c:v>
                </c:pt>
                <c:pt idx="76">
                  <c:v>1478.3595</c:v>
                </c:pt>
                <c:pt idx="77">
                  <c:v>1291.1329</c:v>
                </c:pt>
                <c:pt idx="78">
                  <c:v>2017.3578</c:v>
                </c:pt>
                <c:pt idx="79">
                  <c:v>1313.8447</c:v>
                </c:pt>
                <c:pt idx="80">
                  <c:v>1157.3692</c:v>
                </c:pt>
                <c:pt idx="81">
                  <c:v>1646.2615</c:v>
                </c:pt>
                <c:pt idx="82">
                  <c:v>1422.843</c:v>
                </c:pt>
                <c:pt idx="83">
                  <c:v>1086.674</c:v>
                </c:pt>
                <c:pt idx="84">
                  <c:v>1687.1769</c:v>
                </c:pt>
                <c:pt idx="85">
                  <c:v>1179.6017</c:v>
                </c:pt>
                <c:pt idx="86">
                  <c:v>1030.6723</c:v>
                </c:pt>
                <c:pt idx="87">
                  <c:v>1654.7739</c:v>
                </c:pt>
                <c:pt idx="88">
                  <c:v>1147.4032</c:v>
                </c:pt>
                <c:pt idx="89">
                  <c:v>967.6297</c:v>
                </c:pt>
                <c:pt idx="90">
                  <c:v>1546.7348</c:v>
                </c:pt>
                <c:pt idx="91">
                  <c:v>1080.4371</c:v>
                </c:pt>
                <c:pt idx="92">
                  <c:v>923.3484</c:v>
                </c:pt>
                <c:pt idx="93">
                  <c:v>1469.7696</c:v>
                </c:pt>
                <c:pt idx="94">
                  <c:v>1059.5361</c:v>
                </c:pt>
                <c:pt idx="95">
                  <c:v>861.7993</c:v>
                </c:pt>
                <c:pt idx="96">
                  <c:v>1357.4473</c:v>
                </c:pt>
                <c:pt idx="97">
                  <c:v>973.9707</c:v>
                </c:pt>
                <c:pt idx="98">
                  <c:v>833.698</c:v>
                </c:pt>
                <c:pt idx="99">
                  <c:v>1519.1989</c:v>
                </c:pt>
                <c:pt idx="100">
                  <c:v>12924.8044</c:v>
                </c:pt>
                <c:pt idx="101">
                  <c:v>9317.7357</c:v>
                </c:pt>
                <c:pt idx="102">
                  <c:v>11542.009</c:v>
                </c:pt>
                <c:pt idx="103">
                  <c:v>8536.8182</c:v>
                </c:pt>
                <c:pt idx="104">
                  <c:v>6633.9998</c:v>
                </c:pt>
                <c:pt idx="105">
                  <c:v>6639.461</c:v>
                </c:pt>
                <c:pt idx="106">
                  <c:v>4306.6557</c:v>
                </c:pt>
                <c:pt idx="107">
                  <c:v>3121.5804</c:v>
                </c:pt>
                <c:pt idx="108">
                  <c:v>3985.877</c:v>
                </c:pt>
                <c:pt idx="109">
                  <c:v>2690.0315</c:v>
                </c:pt>
                <c:pt idx="110">
                  <c:v>2173.7536</c:v>
                </c:pt>
                <c:pt idx="111">
                  <c:v>3022.7777</c:v>
                </c:pt>
                <c:pt idx="112">
                  <c:v>2158.9157</c:v>
                </c:pt>
                <c:pt idx="113">
                  <c:v>1802.7033</c:v>
                </c:pt>
                <c:pt idx="114">
                  <c:v>2684.2087</c:v>
                </c:pt>
                <c:pt idx="115">
                  <c:v>1796.9733</c:v>
                </c:pt>
                <c:pt idx="116">
                  <c:v>1399.2791</c:v>
                </c:pt>
                <c:pt idx="117">
                  <c:v>2445.6956</c:v>
                </c:pt>
                <c:pt idx="118">
                  <c:v>1625.4155</c:v>
                </c:pt>
                <c:pt idx="119">
                  <c:v>1403.0702</c:v>
                </c:pt>
                <c:pt idx="120">
                  <c:v>2171.0179</c:v>
                </c:pt>
                <c:pt idx="121">
                  <c:v>1563.4772</c:v>
                </c:pt>
                <c:pt idx="122">
                  <c:v>1283.2502</c:v>
                </c:pt>
                <c:pt idx="123">
                  <c:v>2044.9922</c:v>
                </c:pt>
                <c:pt idx="124">
                  <c:v>1443.0748</c:v>
                </c:pt>
                <c:pt idx="125">
                  <c:v>1202.0829</c:v>
                </c:pt>
                <c:pt idx="126">
                  <c:v>1885.932</c:v>
                </c:pt>
                <c:pt idx="127">
                  <c:v>1648.9519</c:v>
                </c:pt>
                <c:pt idx="128">
                  <c:v>1364.9235</c:v>
                </c:pt>
                <c:pt idx="129">
                  <c:v>2216.2693</c:v>
                </c:pt>
                <c:pt idx="130">
                  <c:v>1446.3934</c:v>
                </c:pt>
                <c:pt idx="131">
                  <c:v>1053.0163</c:v>
                </c:pt>
                <c:pt idx="132">
                  <c:v>1598.8134</c:v>
                </c:pt>
                <c:pt idx="133">
                  <c:v>1061.056</c:v>
                </c:pt>
                <c:pt idx="134">
                  <c:v>851.1952</c:v>
                </c:pt>
                <c:pt idx="135">
                  <c:v>1591.2289</c:v>
                </c:pt>
                <c:pt idx="136">
                  <c:v>12035.8635</c:v>
                </c:pt>
                <c:pt idx="137">
                  <c:v>7067.6371</c:v>
                </c:pt>
                <c:pt idx="138">
                  <c:v>7637.4861</c:v>
                </c:pt>
                <c:pt idx="139">
                  <c:v>4883.6987</c:v>
                </c:pt>
                <c:pt idx="140">
                  <c:v>3751.9286</c:v>
                </c:pt>
                <c:pt idx="141">
                  <c:v>4529.7361</c:v>
                </c:pt>
                <c:pt idx="142">
                  <c:v>2198.5601</c:v>
                </c:pt>
                <c:pt idx="143">
                  <c:v>1954.1378</c:v>
                </c:pt>
                <c:pt idx="144">
                  <c:v>2458.1421</c:v>
                </c:pt>
                <c:pt idx="145">
                  <c:v>1643.9163</c:v>
                </c:pt>
                <c:pt idx="146">
                  <c:v>1370.8957</c:v>
                </c:pt>
                <c:pt idx="147">
                  <c:v>2184.2037</c:v>
                </c:pt>
                <c:pt idx="148">
                  <c:v>1510.1337</c:v>
                </c:pt>
                <c:pt idx="149">
                  <c:v>1169.5362</c:v>
                </c:pt>
                <c:pt idx="150">
                  <c:v>1891.6373</c:v>
                </c:pt>
                <c:pt idx="151">
                  <c:v>1296.8422</c:v>
                </c:pt>
                <c:pt idx="152">
                  <c:v>1092.1845</c:v>
                </c:pt>
                <c:pt idx="153">
                  <c:v>1750.862</c:v>
                </c:pt>
                <c:pt idx="154">
                  <c:v>1155.0945</c:v>
                </c:pt>
                <c:pt idx="155">
                  <c:v>992.9967</c:v>
                </c:pt>
                <c:pt idx="156">
                  <c:v>1633.4973</c:v>
                </c:pt>
                <c:pt idx="157">
                  <c:v>1117.0348</c:v>
                </c:pt>
                <c:pt idx="158">
                  <c:v>854.2844</c:v>
                </c:pt>
                <c:pt idx="159">
                  <c:v>1516.7125</c:v>
                </c:pt>
                <c:pt idx="160">
                  <c:v>1012.9167</c:v>
                </c:pt>
                <c:pt idx="161">
                  <c:v>851.4647</c:v>
                </c:pt>
                <c:pt idx="162">
                  <c:v>1387.1915</c:v>
                </c:pt>
                <c:pt idx="163">
                  <c:v>969.4383</c:v>
                </c:pt>
                <c:pt idx="164">
                  <c:v>822.0301</c:v>
                </c:pt>
                <c:pt idx="165">
                  <c:v>1355.7389</c:v>
                </c:pt>
                <c:pt idx="166">
                  <c:v>932.8867</c:v>
                </c:pt>
                <c:pt idx="167">
                  <c:v>765.4542</c:v>
                </c:pt>
                <c:pt idx="168">
                  <c:v>1233.4403</c:v>
                </c:pt>
                <c:pt idx="169">
                  <c:v>865.9759</c:v>
                </c:pt>
                <c:pt idx="170">
                  <c:v>720.735</c:v>
                </c:pt>
                <c:pt idx="171">
                  <c:v>1154.1788</c:v>
                </c:pt>
                <c:pt idx="172">
                  <c:v>771.1763</c:v>
                </c:pt>
                <c:pt idx="173">
                  <c:v>636.5926</c:v>
                </c:pt>
                <c:pt idx="174">
                  <c:v>1058.5741</c:v>
                </c:pt>
                <c:pt idx="175">
                  <c:v>1206.8585</c:v>
                </c:pt>
                <c:pt idx="176">
                  <c:v>997.9406</c:v>
                </c:pt>
                <c:pt idx="177">
                  <c:v>1529.2454</c:v>
                </c:pt>
                <c:pt idx="178">
                  <c:v>1057.5405</c:v>
                </c:pt>
                <c:pt idx="179">
                  <c:v>836.2423</c:v>
                </c:pt>
                <c:pt idx="180">
                  <c:v>1422.5001</c:v>
                </c:pt>
                <c:pt idx="181">
                  <c:v>961.3277</c:v>
                </c:pt>
                <c:pt idx="182">
                  <c:v>833.8917</c:v>
                </c:pt>
                <c:pt idx="183">
                  <c:v>1363.3165</c:v>
                </c:pt>
                <c:pt idx="184">
                  <c:v>924.3315</c:v>
                </c:pt>
                <c:pt idx="185">
                  <c:v>785.4631</c:v>
                </c:pt>
                <c:pt idx="186">
                  <c:v>1280.1168</c:v>
                </c:pt>
                <c:pt idx="187">
                  <c:v>857.008</c:v>
                </c:pt>
                <c:pt idx="188">
                  <c:v>713.0284</c:v>
                </c:pt>
                <c:pt idx="189">
                  <c:v>1185.7087</c:v>
                </c:pt>
                <c:pt idx="190">
                  <c:v>813.6832</c:v>
                </c:pt>
                <c:pt idx="191">
                  <c:v>679.4321</c:v>
                </c:pt>
                <c:pt idx="192">
                  <c:v>1148.7116</c:v>
                </c:pt>
                <c:pt idx="193">
                  <c:v>786.4471</c:v>
                </c:pt>
                <c:pt idx="194">
                  <c:v>656.8219</c:v>
                </c:pt>
                <c:pt idx="195">
                  <c:v>1521.5219</c:v>
                </c:pt>
                <c:pt idx="196">
                  <c:v>1060.8527</c:v>
                </c:pt>
                <c:pt idx="197">
                  <c:v>899.9154</c:v>
                </c:pt>
                <c:pt idx="198">
                  <c:v>1429.2651</c:v>
                </c:pt>
                <c:pt idx="199">
                  <c:v>1012.4224</c:v>
                </c:pt>
                <c:pt idx="200">
                  <c:v>803.9402</c:v>
                </c:pt>
                <c:pt idx="201">
                  <c:v>1310.6839</c:v>
                </c:pt>
                <c:pt idx="202">
                  <c:v>904.8747</c:v>
                </c:pt>
                <c:pt idx="203">
                  <c:v>760.0793</c:v>
                </c:pt>
                <c:pt idx="204">
                  <c:v>1280.7104</c:v>
                </c:pt>
                <c:pt idx="205">
                  <c:v>988.4987</c:v>
                </c:pt>
                <c:pt idx="206">
                  <c:v>3979.2807</c:v>
                </c:pt>
                <c:pt idx="207">
                  <c:v>4898.1314</c:v>
                </c:pt>
                <c:pt idx="208">
                  <c:v>3121.581</c:v>
                </c:pt>
                <c:pt idx="209">
                  <c:v>2376.6867</c:v>
                </c:pt>
                <c:pt idx="210">
                  <c:v>3414.7749</c:v>
                </c:pt>
                <c:pt idx="211">
                  <c:v>2337.2994</c:v>
                </c:pt>
                <c:pt idx="212">
                  <c:v>1900.7746</c:v>
                </c:pt>
                <c:pt idx="213">
                  <c:v>2779.6119</c:v>
                </c:pt>
                <c:pt idx="214">
                  <c:v>1929.9391</c:v>
                </c:pt>
                <c:pt idx="215">
                  <c:v>1548.2519</c:v>
                </c:pt>
                <c:pt idx="216">
                  <c:v>3255.044</c:v>
                </c:pt>
                <c:pt idx="217">
                  <c:v>2025.7699</c:v>
                </c:pt>
                <c:pt idx="218">
                  <c:v>1605.1379</c:v>
                </c:pt>
                <c:pt idx="219">
                  <c:v>2578.3712</c:v>
                </c:pt>
                <c:pt idx="220">
                  <c:v>1606.8608</c:v>
                </c:pt>
                <c:pt idx="221">
                  <c:v>1181.3345</c:v>
                </c:pt>
                <c:pt idx="222">
                  <c:v>2300.8317</c:v>
                </c:pt>
                <c:pt idx="223">
                  <c:v>1351.0388</c:v>
                </c:pt>
                <c:pt idx="224">
                  <c:v>863.7848</c:v>
                </c:pt>
                <c:pt idx="225">
                  <c:v>1621.0379</c:v>
                </c:pt>
                <c:pt idx="226">
                  <c:v>1036.383</c:v>
                </c:pt>
                <c:pt idx="227">
                  <c:v>814.6613</c:v>
                </c:pt>
                <c:pt idx="228">
                  <c:v>1328.4</c:v>
                </c:pt>
                <c:pt idx="229">
                  <c:v>938.1429</c:v>
                </c:pt>
                <c:pt idx="230">
                  <c:v>783.304</c:v>
                </c:pt>
                <c:pt idx="231">
                  <c:v>1280.671</c:v>
                </c:pt>
                <c:pt idx="232">
                  <c:v>909.8269</c:v>
                </c:pt>
                <c:pt idx="233">
                  <c:v>717.3215</c:v>
                </c:pt>
                <c:pt idx="234">
                  <c:v>1206.0758</c:v>
                </c:pt>
                <c:pt idx="235">
                  <c:v>823.5338</c:v>
                </c:pt>
                <c:pt idx="236">
                  <c:v>701.5266</c:v>
                </c:pt>
                <c:pt idx="237">
                  <c:v>1072.4363</c:v>
                </c:pt>
                <c:pt idx="238">
                  <c:v>915.2928</c:v>
                </c:pt>
                <c:pt idx="239">
                  <c:v>695.5775</c:v>
                </c:pt>
                <c:pt idx="240">
                  <c:v>1346.7413</c:v>
                </c:pt>
                <c:pt idx="241">
                  <c:v>966.1027</c:v>
                </c:pt>
                <c:pt idx="242">
                  <c:v>850.7588</c:v>
                </c:pt>
                <c:pt idx="243">
                  <c:v>1486.8728</c:v>
                </c:pt>
                <c:pt idx="244">
                  <c:v>2305.4752</c:v>
                </c:pt>
                <c:pt idx="245">
                  <c:v>27592.3428</c:v>
                </c:pt>
                <c:pt idx="246">
                  <c:v>27926.9971</c:v>
                </c:pt>
                <c:pt idx="247">
                  <c:v>18309.029</c:v>
                </c:pt>
                <c:pt idx="248">
                  <c:v>13166.0996</c:v>
                </c:pt>
                <c:pt idx="249">
                  <c:v>9853.8851</c:v>
                </c:pt>
                <c:pt idx="250">
                  <c:v>5569.433</c:v>
                </c:pt>
                <c:pt idx="251">
                  <c:v>3338.8286</c:v>
                </c:pt>
                <c:pt idx="252">
                  <c:v>3523.1283</c:v>
                </c:pt>
                <c:pt idx="253">
                  <c:v>2301.7267</c:v>
                </c:pt>
                <c:pt idx="254">
                  <c:v>1523.0432</c:v>
                </c:pt>
                <c:pt idx="255">
                  <c:v>2491.3693</c:v>
                </c:pt>
                <c:pt idx="256">
                  <c:v>1633.7094</c:v>
                </c:pt>
                <c:pt idx="257">
                  <c:v>1179.2818</c:v>
                </c:pt>
                <c:pt idx="258">
                  <c:v>1912.1852</c:v>
                </c:pt>
                <c:pt idx="259">
                  <c:v>1297.1449</c:v>
                </c:pt>
                <c:pt idx="260">
                  <c:v>1001.6289</c:v>
                </c:pt>
                <c:pt idx="261">
                  <c:v>1735.0953</c:v>
                </c:pt>
                <c:pt idx="262">
                  <c:v>1166.7348</c:v>
                </c:pt>
                <c:pt idx="263">
                  <c:v>888.7575</c:v>
                </c:pt>
                <c:pt idx="264">
                  <c:v>1528.0653</c:v>
                </c:pt>
                <c:pt idx="265">
                  <c:v>1062.3724</c:v>
                </c:pt>
                <c:pt idx="266">
                  <c:v>826.2015</c:v>
                </c:pt>
                <c:pt idx="267">
                  <c:v>1462.6812</c:v>
                </c:pt>
                <c:pt idx="268">
                  <c:v>1004.9553</c:v>
                </c:pt>
                <c:pt idx="269">
                  <c:v>772.6918</c:v>
                </c:pt>
                <c:pt idx="270">
                  <c:v>1338.9608</c:v>
                </c:pt>
                <c:pt idx="271">
                  <c:v>931.1583</c:v>
                </c:pt>
                <c:pt idx="272">
                  <c:v>688.2259</c:v>
                </c:pt>
                <c:pt idx="273">
                  <c:v>1318.3749</c:v>
                </c:pt>
                <c:pt idx="274">
                  <c:v>905.4101</c:v>
                </c:pt>
                <c:pt idx="275">
                  <c:v>714.0362</c:v>
                </c:pt>
                <c:pt idx="276">
                  <c:v>1239.0505</c:v>
                </c:pt>
                <c:pt idx="277">
                  <c:v>881.5468</c:v>
                </c:pt>
                <c:pt idx="278">
                  <c:v>668.1976</c:v>
                </c:pt>
                <c:pt idx="279">
                  <c:v>1158.5034</c:v>
                </c:pt>
                <c:pt idx="280">
                  <c:v>806.1379</c:v>
                </c:pt>
                <c:pt idx="281">
                  <c:v>639.5221</c:v>
                </c:pt>
                <c:pt idx="282">
                  <c:v>1107.4473</c:v>
                </c:pt>
                <c:pt idx="283">
                  <c:v>773.3242</c:v>
                </c:pt>
                <c:pt idx="284">
                  <c:v>618.6289</c:v>
                </c:pt>
                <c:pt idx="285">
                  <c:v>1120.2441</c:v>
                </c:pt>
                <c:pt idx="286">
                  <c:v>1384.1731</c:v>
                </c:pt>
                <c:pt idx="287">
                  <c:v>1080.0233</c:v>
                </c:pt>
                <c:pt idx="288">
                  <c:v>2650.7515</c:v>
                </c:pt>
                <c:pt idx="289">
                  <c:v>1710.9145</c:v>
                </c:pt>
                <c:pt idx="290">
                  <c:v>1081.274</c:v>
                </c:pt>
                <c:pt idx="291">
                  <c:v>1814.8645</c:v>
                </c:pt>
                <c:pt idx="292">
                  <c:v>1175.7926</c:v>
                </c:pt>
                <c:pt idx="293">
                  <c:v>765.0583</c:v>
                </c:pt>
                <c:pt idx="294">
                  <c:v>1299.155</c:v>
                </c:pt>
                <c:pt idx="295">
                  <c:v>854.8295</c:v>
                </c:pt>
                <c:pt idx="296">
                  <c:v>650.3547</c:v>
                </c:pt>
                <c:pt idx="297">
                  <c:v>1134.0465</c:v>
                </c:pt>
                <c:pt idx="298">
                  <c:v>766.906</c:v>
                </c:pt>
                <c:pt idx="299">
                  <c:v>545.2414</c:v>
                </c:pt>
                <c:pt idx="300">
                  <c:v>1166.744</c:v>
                </c:pt>
                <c:pt idx="301">
                  <c:v>1571.8915</c:v>
                </c:pt>
                <c:pt idx="302">
                  <c:v>1234.568</c:v>
                </c:pt>
                <c:pt idx="303">
                  <c:v>2042.1584</c:v>
                </c:pt>
                <c:pt idx="304">
                  <c:v>1420.4256</c:v>
                </c:pt>
                <c:pt idx="305">
                  <c:v>1043.5971</c:v>
                </c:pt>
                <c:pt idx="306">
                  <c:v>1755.555</c:v>
                </c:pt>
                <c:pt idx="307">
                  <c:v>1223.0066</c:v>
                </c:pt>
                <c:pt idx="308">
                  <c:v>977.0251</c:v>
                </c:pt>
                <c:pt idx="309">
                  <c:v>1667.1543</c:v>
                </c:pt>
                <c:pt idx="310">
                  <c:v>1139.6337</c:v>
                </c:pt>
                <c:pt idx="311">
                  <c:v>879.4074</c:v>
                </c:pt>
                <c:pt idx="312">
                  <c:v>1491.0261</c:v>
                </c:pt>
                <c:pt idx="313">
                  <c:v>1029.0432</c:v>
                </c:pt>
                <c:pt idx="314">
                  <c:v>733.1316</c:v>
                </c:pt>
                <c:pt idx="315">
                  <c:v>1403.2318</c:v>
                </c:pt>
                <c:pt idx="316">
                  <c:v>970.6234</c:v>
                </c:pt>
                <c:pt idx="317">
                  <c:v>772.3344</c:v>
                </c:pt>
                <c:pt idx="318">
                  <c:v>1332.8738</c:v>
                </c:pt>
                <c:pt idx="319">
                  <c:v>951.4754</c:v>
                </c:pt>
                <c:pt idx="320">
                  <c:v>710.3852</c:v>
                </c:pt>
                <c:pt idx="321">
                  <c:v>1251.0828</c:v>
                </c:pt>
                <c:pt idx="322">
                  <c:v>847.4051</c:v>
                </c:pt>
                <c:pt idx="323">
                  <c:v>660.0043</c:v>
                </c:pt>
                <c:pt idx="324">
                  <c:v>1164.3119</c:v>
                </c:pt>
                <c:pt idx="325">
                  <c:v>816.5944</c:v>
                </c:pt>
                <c:pt idx="326">
                  <c:v>627.9895</c:v>
                </c:pt>
                <c:pt idx="327">
                  <c:v>1204.2124</c:v>
                </c:pt>
                <c:pt idx="328">
                  <c:v>3430.2497</c:v>
                </c:pt>
                <c:pt idx="329">
                  <c:v>2290.556</c:v>
                </c:pt>
                <c:pt idx="330">
                  <c:v>3080.8593</c:v>
                </c:pt>
                <c:pt idx="331">
                  <c:v>1827.0889</c:v>
                </c:pt>
                <c:pt idx="332">
                  <c:v>1339.5921</c:v>
                </c:pt>
                <c:pt idx="333">
                  <c:v>2283.9193</c:v>
                </c:pt>
                <c:pt idx="334">
                  <c:v>1535.6719</c:v>
                </c:pt>
                <c:pt idx="335">
                  <c:v>1095.1111</c:v>
                </c:pt>
                <c:pt idx="336">
                  <c:v>1896.6935</c:v>
                </c:pt>
                <c:pt idx="337">
                  <c:v>1339.4893</c:v>
                </c:pt>
                <c:pt idx="338">
                  <c:v>1060.1881</c:v>
                </c:pt>
                <c:pt idx="339">
                  <c:v>1892.1319</c:v>
                </c:pt>
                <c:pt idx="340">
                  <c:v>1216.691</c:v>
                </c:pt>
                <c:pt idx="341">
                  <c:v>898.3956</c:v>
                </c:pt>
                <c:pt idx="342">
                  <c:v>1553.5798</c:v>
                </c:pt>
                <c:pt idx="343">
                  <c:v>1078.932</c:v>
                </c:pt>
                <c:pt idx="344">
                  <c:v>853.6512</c:v>
                </c:pt>
                <c:pt idx="345">
                  <c:v>1481.1198</c:v>
                </c:pt>
                <c:pt idx="346">
                  <c:v>1032.0984</c:v>
                </c:pt>
                <c:pt idx="347">
                  <c:v>789.1775</c:v>
                </c:pt>
                <c:pt idx="348">
                  <c:v>1365.8424</c:v>
                </c:pt>
                <c:pt idx="349">
                  <c:v>893.8236</c:v>
                </c:pt>
                <c:pt idx="350">
                  <c:v>680.9153</c:v>
                </c:pt>
                <c:pt idx="351">
                  <c:v>1226.2116</c:v>
                </c:pt>
                <c:pt idx="352">
                  <c:v>855.6292</c:v>
                </c:pt>
                <c:pt idx="353">
                  <c:v>654.5605</c:v>
                </c:pt>
                <c:pt idx="354">
                  <c:v>1148.9151</c:v>
                </c:pt>
                <c:pt idx="355">
                  <c:v>849.7112</c:v>
                </c:pt>
                <c:pt idx="356">
                  <c:v>621.8095</c:v>
                </c:pt>
                <c:pt idx="357">
                  <c:v>1115.4426</c:v>
                </c:pt>
                <c:pt idx="358">
                  <c:v>805.2222</c:v>
                </c:pt>
                <c:pt idx="359">
                  <c:v>929.9167</c:v>
                </c:pt>
                <c:pt idx="360">
                  <c:v>1675.7001</c:v>
                </c:pt>
                <c:pt idx="361">
                  <c:v>1166.3177</c:v>
                </c:pt>
                <c:pt idx="362">
                  <c:v>894.2761</c:v>
                </c:pt>
                <c:pt idx="363">
                  <c:v>1509.0641</c:v>
                </c:pt>
                <c:pt idx="364">
                  <c:v>1149.5998</c:v>
                </c:pt>
                <c:pt idx="365">
                  <c:v>833.3365</c:v>
                </c:pt>
                <c:pt idx="366">
                  <c:v>1409.2354</c:v>
                </c:pt>
                <c:pt idx="367">
                  <c:v>946.3568</c:v>
                </c:pt>
                <c:pt idx="368">
                  <c:v>699.9336</c:v>
                </c:pt>
                <c:pt idx="369">
                  <c:v>1264.5855</c:v>
                </c:pt>
                <c:pt idx="370">
                  <c:v>911.2742</c:v>
                </c:pt>
                <c:pt idx="371">
                  <c:v>650.0732</c:v>
                </c:pt>
                <c:pt idx="372">
                  <c:v>1279.4097</c:v>
                </c:pt>
                <c:pt idx="373">
                  <c:v>891.5822</c:v>
                </c:pt>
                <c:pt idx="374">
                  <c:v>688.8</c:v>
                </c:pt>
                <c:pt idx="375">
                  <c:v>1402.181</c:v>
                </c:pt>
                <c:pt idx="376">
                  <c:v>7580.7504</c:v>
                </c:pt>
                <c:pt idx="377">
                  <c:v>4759.4818</c:v>
                </c:pt>
                <c:pt idx="378">
                  <c:v>6381.853</c:v>
                </c:pt>
                <c:pt idx="379">
                  <c:v>3668.3439</c:v>
                </c:pt>
                <c:pt idx="380">
                  <c:v>2278.3522</c:v>
                </c:pt>
                <c:pt idx="381">
                  <c:v>3138.2048</c:v>
                </c:pt>
                <c:pt idx="382">
                  <c:v>1866.1485</c:v>
                </c:pt>
                <c:pt idx="383">
                  <c:v>1349.9611</c:v>
                </c:pt>
                <c:pt idx="384">
                  <c:v>2350.9905</c:v>
                </c:pt>
                <c:pt idx="385">
                  <c:v>1685.6151</c:v>
                </c:pt>
                <c:pt idx="386">
                  <c:v>1222.6976</c:v>
                </c:pt>
                <c:pt idx="387">
                  <c:v>2137.3324</c:v>
                </c:pt>
                <c:pt idx="388">
                  <c:v>1406.2105</c:v>
                </c:pt>
                <c:pt idx="389">
                  <c:v>1059.1529</c:v>
                </c:pt>
                <c:pt idx="390">
                  <c:v>1911.5927</c:v>
                </c:pt>
                <c:pt idx="391">
                  <c:v>1366.7388</c:v>
                </c:pt>
                <c:pt idx="392">
                  <c:v>1016.3585</c:v>
                </c:pt>
                <c:pt idx="393">
                  <c:v>1650.5116</c:v>
                </c:pt>
                <c:pt idx="394">
                  <c:v>1401.5246</c:v>
                </c:pt>
                <c:pt idx="395">
                  <c:v>959.3474</c:v>
                </c:pt>
                <c:pt idx="396">
                  <c:v>1737.4955</c:v>
                </c:pt>
                <c:pt idx="397">
                  <c:v>1177.042</c:v>
                </c:pt>
                <c:pt idx="398">
                  <c:v>872.6273</c:v>
                </c:pt>
                <c:pt idx="399">
                  <c:v>1609.8227</c:v>
                </c:pt>
                <c:pt idx="400">
                  <c:v>1129.1978</c:v>
                </c:pt>
                <c:pt idx="401">
                  <c:v>840.9206</c:v>
                </c:pt>
                <c:pt idx="402">
                  <c:v>1544.4127</c:v>
                </c:pt>
                <c:pt idx="403">
                  <c:v>1086.7066</c:v>
                </c:pt>
                <c:pt idx="404">
                  <c:v>803.4689</c:v>
                </c:pt>
                <c:pt idx="405">
                  <c:v>1492.1167</c:v>
                </c:pt>
                <c:pt idx="406">
                  <c:v>1022.05</c:v>
                </c:pt>
                <c:pt idx="407">
                  <c:v>713.5784</c:v>
                </c:pt>
                <c:pt idx="408">
                  <c:v>1296.0485</c:v>
                </c:pt>
                <c:pt idx="409">
                  <c:v>899.659</c:v>
                </c:pt>
                <c:pt idx="410">
                  <c:v>661.1693</c:v>
                </c:pt>
                <c:pt idx="411">
                  <c:v>1250.9027</c:v>
                </c:pt>
                <c:pt idx="412">
                  <c:v>873.1985</c:v>
                </c:pt>
                <c:pt idx="413">
                  <c:v>642.6899</c:v>
                </c:pt>
                <c:pt idx="414">
                  <c:v>1250.7339</c:v>
                </c:pt>
                <c:pt idx="415">
                  <c:v>1115.5665</c:v>
                </c:pt>
                <c:pt idx="416">
                  <c:v>5727.709</c:v>
                </c:pt>
                <c:pt idx="417">
                  <c:v>7296.163</c:v>
                </c:pt>
                <c:pt idx="418">
                  <c:v>3781.3532</c:v>
                </c:pt>
                <c:pt idx="419">
                  <c:v>2442.7368</c:v>
                </c:pt>
                <c:pt idx="420">
                  <c:v>3846.7301</c:v>
                </c:pt>
                <c:pt idx="421">
                  <c:v>2413.0434</c:v>
                </c:pt>
                <c:pt idx="422">
                  <c:v>1519.7855</c:v>
                </c:pt>
                <c:pt idx="423">
                  <c:v>2936.0761</c:v>
                </c:pt>
                <c:pt idx="424">
                  <c:v>2005.264</c:v>
                </c:pt>
                <c:pt idx="425">
                  <c:v>1325.8987</c:v>
                </c:pt>
                <c:pt idx="426">
                  <c:v>2574.8884</c:v>
                </c:pt>
                <c:pt idx="427">
                  <c:v>1675.0653</c:v>
                </c:pt>
                <c:pt idx="428">
                  <c:v>1009.0875</c:v>
                </c:pt>
                <c:pt idx="429">
                  <c:v>2273.7644</c:v>
                </c:pt>
                <c:pt idx="430">
                  <c:v>1585.1543</c:v>
                </c:pt>
                <c:pt idx="431">
                  <c:v>999.4704</c:v>
                </c:pt>
                <c:pt idx="432">
                  <c:v>2127.0297</c:v>
                </c:pt>
                <c:pt idx="433">
                  <c:v>1375.9335</c:v>
                </c:pt>
                <c:pt idx="434">
                  <c:v>788.5394</c:v>
                </c:pt>
                <c:pt idx="435">
                  <c:v>1981.5708</c:v>
                </c:pt>
                <c:pt idx="436">
                  <c:v>1788.5385</c:v>
                </c:pt>
                <c:pt idx="437">
                  <c:v>1904.6717</c:v>
                </c:pt>
                <c:pt idx="438">
                  <c:v>1720.415</c:v>
                </c:pt>
                <c:pt idx="439">
                  <c:v>1811.3823</c:v>
                </c:pt>
                <c:pt idx="440">
                  <c:v>1646.2728</c:v>
                </c:pt>
                <c:pt idx="441">
                  <c:v>1694.9881</c:v>
                </c:pt>
                <c:pt idx="442">
                  <c:v>1479.1943</c:v>
                </c:pt>
                <c:pt idx="443">
                  <c:v>1572.0727</c:v>
                </c:pt>
                <c:pt idx="444">
                  <c:v>1425.1903</c:v>
                </c:pt>
                <c:pt idx="445">
                  <c:v>1517.8593</c:v>
                </c:pt>
                <c:pt idx="446">
                  <c:v>1377.8041</c:v>
                </c:pt>
                <c:pt idx="447">
                  <c:v>1458.0257</c:v>
                </c:pt>
                <c:pt idx="448">
                  <c:v>1305.4038</c:v>
                </c:pt>
                <c:pt idx="449">
                  <c:v>1463.6068</c:v>
                </c:pt>
                <c:pt idx="450">
                  <c:v>1192.7524</c:v>
                </c:pt>
                <c:pt idx="451">
                  <c:v>1273.9728</c:v>
                </c:pt>
                <c:pt idx="452">
                  <c:v>1146.2633</c:v>
                </c:pt>
                <c:pt idx="453">
                  <c:v>1235.2415</c:v>
                </c:pt>
                <c:pt idx="454">
                  <c:v>1086.2726</c:v>
                </c:pt>
                <c:pt idx="455">
                  <c:v>1147.6542</c:v>
                </c:pt>
                <c:pt idx="456">
                  <c:v>1044.3714</c:v>
                </c:pt>
                <c:pt idx="457">
                  <c:v>2044.0582</c:v>
                </c:pt>
                <c:pt idx="458">
                  <c:v>1852.4733</c:v>
                </c:pt>
                <c:pt idx="459">
                  <c:v>1996.3485</c:v>
                </c:pt>
                <c:pt idx="460">
                  <c:v>1793.1137</c:v>
                </c:pt>
                <c:pt idx="461">
                  <c:v>1972.5976</c:v>
                </c:pt>
                <c:pt idx="462">
                  <c:v>1741.0053</c:v>
                </c:pt>
                <c:pt idx="463">
                  <c:v>1712.2152</c:v>
                </c:pt>
                <c:pt idx="464">
                  <c:v>1501.7852</c:v>
                </c:pt>
                <c:pt idx="465">
                  <c:v>1592.863</c:v>
                </c:pt>
                <c:pt idx="466">
                  <c:v>1416.1761</c:v>
                </c:pt>
                <c:pt idx="467">
                  <c:v>1515.9937</c:v>
                </c:pt>
                <c:pt idx="468">
                  <c:v>1319.3986</c:v>
                </c:pt>
                <c:pt idx="469">
                  <c:v>1418.6021</c:v>
                </c:pt>
                <c:pt idx="470">
                  <c:v>1188.4069</c:v>
                </c:pt>
                <c:pt idx="471">
                  <c:v>1287.9774</c:v>
                </c:pt>
                <c:pt idx="472">
                  <c:v>1144.5992</c:v>
                </c:pt>
                <c:pt idx="473">
                  <c:v>1254.5878</c:v>
                </c:pt>
                <c:pt idx="474">
                  <c:v>1096.4296</c:v>
                </c:pt>
                <c:pt idx="475">
                  <c:v>1232.1072</c:v>
                </c:pt>
                <c:pt idx="476">
                  <c:v>1082.3597</c:v>
                </c:pt>
                <c:pt idx="477">
                  <c:v>1930.7495</c:v>
                </c:pt>
                <c:pt idx="478">
                  <c:v>1765.1325</c:v>
                </c:pt>
                <c:pt idx="479">
                  <c:v>1887.7276</c:v>
                </c:pt>
                <c:pt idx="480">
                  <c:v>1644.3564</c:v>
                </c:pt>
                <c:pt idx="481">
                  <c:v>1707.9793</c:v>
                </c:pt>
                <c:pt idx="482">
                  <c:v>1520.4045</c:v>
                </c:pt>
                <c:pt idx="483">
                  <c:v>1627.627</c:v>
                </c:pt>
                <c:pt idx="484">
                  <c:v>1494.4628</c:v>
                </c:pt>
                <c:pt idx="485">
                  <c:v>1577.5024</c:v>
                </c:pt>
                <c:pt idx="486">
                  <c:v>1336.0356</c:v>
                </c:pt>
                <c:pt idx="487">
                  <c:v>1348.484</c:v>
                </c:pt>
                <c:pt idx="488">
                  <c:v>1112.0042</c:v>
                </c:pt>
                <c:pt idx="489">
                  <c:v>1339.2352</c:v>
                </c:pt>
                <c:pt idx="490">
                  <c:v>1174.1514</c:v>
                </c:pt>
                <c:pt idx="491">
                  <c:v>1354.9375</c:v>
                </c:pt>
                <c:pt idx="492">
                  <c:v>1172.5118</c:v>
                </c:pt>
                <c:pt idx="493">
                  <c:v>1449.8623</c:v>
                </c:pt>
                <c:pt idx="494">
                  <c:v>1297.4062</c:v>
                </c:pt>
                <c:pt idx="495">
                  <c:v>2552.0983</c:v>
                </c:pt>
                <c:pt idx="496">
                  <c:v>11428.0399</c:v>
                </c:pt>
                <c:pt idx="497">
                  <c:v>10307.3845</c:v>
                </c:pt>
                <c:pt idx="498">
                  <c:v>8364.6195</c:v>
                </c:pt>
                <c:pt idx="499">
                  <c:v>6104.4018</c:v>
                </c:pt>
                <c:pt idx="500">
                  <c:v>4744.0387</c:v>
                </c:pt>
                <c:pt idx="501">
                  <c:v>3345.1364</c:v>
                </c:pt>
                <c:pt idx="502">
                  <c:v>2881.8545</c:v>
                </c:pt>
                <c:pt idx="503">
                  <c:v>2321.8838</c:v>
                </c:pt>
                <c:pt idx="504">
                  <c:v>2400.7374</c:v>
                </c:pt>
                <c:pt idx="505">
                  <c:v>2170.3758</c:v>
                </c:pt>
                <c:pt idx="506">
                  <c:v>1839.6727</c:v>
                </c:pt>
                <c:pt idx="507">
                  <c:v>1937.6473</c:v>
                </c:pt>
                <c:pt idx="508">
                  <c:v>1736.8211</c:v>
                </c:pt>
                <c:pt idx="509">
                  <c:v>1835.861</c:v>
                </c:pt>
                <c:pt idx="510">
                  <c:v>1628.2058</c:v>
                </c:pt>
                <c:pt idx="511">
                  <c:v>1571.1213</c:v>
                </c:pt>
                <c:pt idx="512">
                  <c:v>1674.2641</c:v>
                </c:pt>
                <c:pt idx="513">
                  <c:v>1576.6969</c:v>
                </c:pt>
                <c:pt idx="514">
                  <c:v>1356.7191</c:v>
                </c:pt>
                <c:pt idx="515">
                  <c:v>1488.761</c:v>
                </c:pt>
                <c:pt idx="516">
                  <c:v>1295.443</c:v>
                </c:pt>
                <c:pt idx="517">
                  <c:v>1408.4051</c:v>
                </c:pt>
                <c:pt idx="518">
                  <c:v>1262.0993</c:v>
                </c:pt>
                <c:pt idx="519">
                  <c:v>1403.5449</c:v>
                </c:pt>
                <c:pt idx="520">
                  <c:v>1214.767</c:v>
                </c:pt>
                <c:pt idx="521">
                  <c:v>1333.6384</c:v>
                </c:pt>
                <c:pt idx="522">
                  <c:v>1123.0099</c:v>
                </c:pt>
                <c:pt idx="523">
                  <c:v>1214.6332</c:v>
                </c:pt>
                <c:pt idx="524">
                  <c:v>1051.4351</c:v>
                </c:pt>
                <c:pt idx="525">
                  <c:v>1149.0723</c:v>
                </c:pt>
                <c:pt idx="526">
                  <c:v>1015.1864</c:v>
                </c:pt>
                <c:pt idx="527">
                  <c:v>1124.5802</c:v>
                </c:pt>
                <c:pt idx="528">
                  <c:v>957.8376</c:v>
                </c:pt>
                <c:pt idx="529">
                  <c:v>1047.9682</c:v>
                </c:pt>
                <c:pt idx="530">
                  <c:v>933.2774</c:v>
                </c:pt>
                <c:pt idx="531">
                  <c:v>1037.9974</c:v>
                </c:pt>
                <c:pt idx="532">
                  <c:v>1131.6779</c:v>
                </c:pt>
                <c:pt idx="533">
                  <c:v>1206.8312</c:v>
                </c:pt>
                <c:pt idx="534">
                  <c:v>1039.6695</c:v>
                </c:pt>
                <c:pt idx="535">
                  <c:v>1174.4911</c:v>
                </c:pt>
                <c:pt idx="536">
                  <c:v>1025.5806</c:v>
                </c:pt>
                <c:pt idx="537">
                  <c:v>1106.644</c:v>
                </c:pt>
                <c:pt idx="538">
                  <c:v>969.2972</c:v>
                </c:pt>
                <c:pt idx="539">
                  <c:v>1069.6887</c:v>
                </c:pt>
                <c:pt idx="540">
                  <c:v>937.6135</c:v>
                </c:pt>
                <c:pt idx="541">
                  <c:v>1085.913</c:v>
                </c:pt>
                <c:pt idx="542">
                  <c:v>1507.1958</c:v>
                </c:pt>
                <c:pt idx="543">
                  <c:v>1608.1338</c:v>
                </c:pt>
                <c:pt idx="544">
                  <c:v>1426.8358</c:v>
                </c:pt>
                <c:pt idx="545">
                  <c:v>1510.8079</c:v>
                </c:pt>
                <c:pt idx="546">
                  <c:v>1313.1869</c:v>
                </c:pt>
                <c:pt idx="547">
                  <c:v>1330.2407</c:v>
                </c:pt>
                <c:pt idx="548">
                  <c:v>1143.7889</c:v>
                </c:pt>
                <c:pt idx="549">
                  <c:v>1222.6879</c:v>
                </c:pt>
                <c:pt idx="550">
                  <c:v>1067.9588</c:v>
                </c:pt>
                <c:pt idx="551">
                  <c:v>1159.7331</c:v>
                </c:pt>
                <c:pt idx="552">
                  <c:v>1025.1453</c:v>
                </c:pt>
                <c:pt idx="553">
                  <c:v>1112.6361</c:v>
                </c:pt>
                <c:pt idx="554">
                  <c:v>997.4706</c:v>
                </c:pt>
                <c:pt idx="555">
                  <c:v>1080.2289</c:v>
                </c:pt>
                <c:pt idx="556">
                  <c:v>949.616</c:v>
                </c:pt>
                <c:pt idx="557">
                  <c:v>1037.4959</c:v>
                </c:pt>
                <c:pt idx="558">
                  <c:v>924.3787</c:v>
                </c:pt>
                <c:pt idx="559">
                  <c:v>1000.6606</c:v>
                </c:pt>
                <c:pt idx="560">
                  <c:v>958.8292</c:v>
                </c:pt>
                <c:pt idx="561">
                  <c:v>1067.5612</c:v>
                </c:pt>
                <c:pt idx="562">
                  <c:v>1200.3071</c:v>
                </c:pt>
                <c:pt idx="563">
                  <c:v>1296.6773</c:v>
                </c:pt>
                <c:pt idx="564">
                  <c:v>1111.708</c:v>
                </c:pt>
                <c:pt idx="565">
                  <c:v>1209.567</c:v>
                </c:pt>
                <c:pt idx="566">
                  <c:v>1006.4069</c:v>
                </c:pt>
                <c:pt idx="567">
                  <c:v>1084.138</c:v>
                </c:pt>
                <c:pt idx="568">
                  <c:v>950.2702</c:v>
                </c:pt>
                <c:pt idx="569">
                  <c:v>1037.4882</c:v>
                </c:pt>
                <c:pt idx="570">
                  <c:v>898.6652</c:v>
                </c:pt>
                <c:pt idx="571">
                  <c:v>994.6987</c:v>
                </c:pt>
                <c:pt idx="572">
                  <c:v>835.3661</c:v>
                </c:pt>
                <c:pt idx="573">
                  <c:v>897.6518</c:v>
                </c:pt>
                <c:pt idx="574">
                  <c:v>788.5946</c:v>
                </c:pt>
                <c:pt idx="575">
                  <c:v>873.9665</c:v>
                </c:pt>
                <c:pt idx="576">
                  <c:v>756.9646</c:v>
                </c:pt>
                <c:pt idx="577">
                  <c:v>855.4534</c:v>
                </c:pt>
                <c:pt idx="578">
                  <c:v>1090.6522</c:v>
                </c:pt>
                <c:pt idx="579">
                  <c:v>1179.0833</c:v>
                </c:pt>
                <c:pt idx="580">
                  <c:v>1087.5742</c:v>
                </c:pt>
                <c:pt idx="581">
                  <c:v>1182.0223</c:v>
                </c:pt>
                <c:pt idx="582">
                  <c:v>1084.7664</c:v>
                </c:pt>
                <c:pt idx="583">
                  <c:v>1244.3051</c:v>
                </c:pt>
                <c:pt idx="584">
                  <c:v>1213.7341</c:v>
                </c:pt>
                <c:pt idx="585">
                  <c:v>1454.9382</c:v>
                </c:pt>
                <c:pt idx="586">
                  <c:v>1333.4186</c:v>
                </c:pt>
                <c:pt idx="587">
                  <c:v>1483.0583</c:v>
                </c:pt>
                <c:pt idx="588">
                  <c:v>1252.326</c:v>
                </c:pt>
                <c:pt idx="589">
                  <c:v>1341.9449</c:v>
                </c:pt>
                <c:pt idx="590">
                  <c:v>1151.1704</c:v>
                </c:pt>
                <c:pt idx="591">
                  <c:v>1248.221</c:v>
                </c:pt>
                <c:pt idx="592">
                  <c:v>1076.6028</c:v>
                </c:pt>
                <c:pt idx="593">
                  <c:v>1159.1554</c:v>
                </c:pt>
                <c:pt idx="594">
                  <c:v>1122.4983</c:v>
                </c:pt>
                <c:pt idx="595">
                  <c:v>1227.0206</c:v>
                </c:pt>
                <c:pt idx="596">
                  <c:v>1093.1842</c:v>
                </c:pt>
                <c:pt idx="597">
                  <c:v>1338.956</c:v>
                </c:pt>
                <c:pt idx="598">
                  <c:v>3513.3109</c:v>
                </c:pt>
                <c:pt idx="599">
                  <c:v>3236.2367</c:v>
                </c:pt>
                <c:pt idx="600">
                  <c:v>2770.1764</c:v>
                </c:pt>
                <c:pt idx="601">
                  <c:v>2696.1131</c:v>
                </c:pt>
                <c:pt idx="602">
                  <c:v>2329.179</c:v>
                </c:pt>
                <c:pt idx="603">
                  <c:v>2268.7261</c:v>
                </c:pt>
                <c:pt idx="604">
                  <c:v>2071.554</c:v>
                </c:pt>
                <c:pt idx="605">
                  <c:v>2138.1004</c:v>
                </c:pt>
                <c:pt idx="606">
                  <c:v>2031.9594</c:v>
                </c:pt>
                <c:pt idx="607">
                  <c:v>1917.0286</c:v>
                </c:pt>
                <c:pt idx="608">
                  <c:v>1730.0095</c:v>
                </c:pt>
                <c:pt idx="609">
                  <c:v>1649.1521</c:v>
                </c:pt>
                <c:pt idx="610">
                  <c:v>1417.5783</c:v>
                </c:pt>
                <c:pt idx="611">
                  <c:v>1543.4576</c:v>
                </c:pt>
                <c:pt idx="612">
                  <c:v>1323.7112</c:v>
                </c:pt>
                <c:pt idx="613">
                  <c:v>1419.2913</c:v>
                </c:pt>
                <c:pt idx="614">
                  <c:v>1249.5867</c:v>
                </c:pt>
                <c:pt idx="615">
                  <c:v>1263.5365</c:v>
                </c:pt>
                <c:pt idx="616">
                  <c:v>1299.1538</c:v>
                </c:pt>
                <c:pt idx="617">
                  <c:v>1213.3899</c:v>
                </c:pt>
                <c:pt idx="618">
                  <c:v>1036.2403</c:v>
                </c:pt>
                <c:pt idx="619">
                  <c:v>1146.8659</c:v>
                </c:pt>
                <c:pt idx="620">
                  <c:v>965.3788</c:v>
                </c:pt>
                <c:pt idx="621">
                  <c:v>1095.2934</c:v>
                </c:pt>
                <c:pt idx="622">
                  <c:v>980.8532</c:v>
                </c:pt>
                <c:pt idx="623">
                  <c:v>1573.4285</c:v>
                </c:pt>
                <c:pt idx="624">
                  <c:v>1355.589</c:v>
                </c:pt>
                <c:pt idx="625">
                  <c:v>1471.5417</c:v>
                </c:pt>
                <c:pt idx="626">
                  <c:v>1324.4722</c:v>
                </c:pt>
                <c:pt idx="627">
                  <c:v>1427.9929</c:v>
                </c:pt>
                <c:pt idx="628">
                  <c:v>1282.2249</c:v>
                </c:pt>
                <c:pt idx="629">
                  <c:v>1280.224</c:v>
                </c:pt>
                <c:pt idx="630">
                  <c:v>1114.5936</c:v>
                </c:pt>
                <c:pt idx="631">
                  <c:v>1220.0133</c:v>
                </c:pt>
                <c:pt idx="632">
                  <c:v>1046.9611</c:v>
                </c:pt>
                <c:pt idx="633">
                  <c:v>1120.1517</c:v>
                </c:pt>
                <c:pt idx="634">
                  <c:v>967.7193</c:v>
                </c:pt>
                <c:pt idx="635">
                  <c:v>1206.6156</c:v>
                </c:pt>
                <c:pt idx="636">
                  <c:v>1044.8681</c:v>
                </c:pt>
                <c:pt idx="637">
                  <c:v>1175.7507</c:v>
                </c:pt>
                <c:pt idx="638">
                  <c:v>1006.902</c:v>
                </c:pt>
                <c:pt idx="639">
                  <c:v>1123.7252</c:v>
                </c:pt>
                <c:pt idx="640">
                  <c:v>1072.0028</c:v>
                </c:pt>
                <c:pt idx="641">
                  <c:v>1231.3173</c:v>
                </c:pt>
                <c:pt idx="642">
                  <c:v>1026.2535</c:v>
                </c:pt>
                <c:pt idx="643">
                  <c:v>1151.9359</c:v>
                </c:pt>
                <c:pt idx="644">
                  <c:v>1006.028</c:v>
                </c:pt>
                <c:pt idx="645">
                  <c:v>1553.8859</c:v>
                </c:pt>
                <c:pt idx="646">
                  <c:v>1388.7244</c:v>
                </c:pt>
                <c:pt idx="647">
                  <c:v>1501.7584</c:v>
                </c:pt>
                <c:pt idx="648">
                  <c:v>1321.5128</c:v>
                </c:pt>
                <c:pt idx="649">
                  <c:v>1450.9873</c:v>
                </c:pt>
                <c:pt idx="650">
                  <c:v>1166.1262</c:v>
                </c:pt>
                <c:pt idx="651">
                  <c:v>1241.8674</c:v>
                </c:pt>
                <c:pt idx="652">
                  <c:v>1056.5326</c:v>
                </c:pt>
                <c:pt idx="653">
                  <c:v>1169.5165</c:v>
                </c:pt>
                <c:pt idx="654">
                  <c:v>1047.3853</c:v>
                </c:pt>
                <c:pt idx="655">
                  <c:v>1715.8408</c:v>
                </c:pt>
                <c:pt idx="656">
                  <c:v>1525.4656</c:v>
                </c:pt>
                <c:pt idx="657">
                  <c:v>1547.1783</c:v>
                </c:pt>
                <c:pt idx="658">
                  <c:v>1528.4366</c:v>
                </c:pt>
                <c:pt idx="659">
                  <c:v>1591.6525</c:v>
                </c:pt>
                <c:pt idx="660">
                  <c:v>1422.8217</c:v>
                </c:pt>
                <c:pt idx="661">
                  <c:v>1515.8487</c:v>
                </c:pt>
                <c:pt idx="662">
                  <c:v>1276.862</c:v>
                </c:pt>
                <c:pt idx="663">
                  <c:v>1351.6066</c:v>
                </c:pt>
                <c:pt idx="664">
                  <c:v>1164.7178</c:v>
                </c:pt>
                <c:pt idx="665">
                  <c:v>1356.1287</c:v>
                </c:pt>
                <c:pt idx="666">
                  <c:v>1275.3192</c:v>
                </c:pt>
                <c:pt idx="667">
                  <c:v>2787.0571</c:v>
                </c:pt>
                <c:pt idx="668">
                  <c:v>2156.9236</c:v>
                </c:pt>
                <c:pt idx="669">
                  <c:v>2250.6098</c:v>
                </c:pt>
                <c:pt idx="670">
                  <c:v>1923.3422</c:v>
                </c:pt>
                <c:pt idx="671">
                  <c:v>2013.0437</c:v>
                </c:pt>
                <c:pt idx="672">
                  <c:v>1832.2632</c:v>
                </c:pt>
                <c:pt idx="673">
                  <c:v>1960.3952</c:v>
                </c:pt>
                <c:pt idx="674">
                  <c:v>1718.4552</c:v>
                </c:pt>
                <c:pt idx="675">
                  <c:v>1833.3322</c:v>
                </c:pt>
                <c:pt idx="676">
                  <c:v>1601.9</c:v>
                </c:pt>
                <c:pt idx="677">
                  <c:v>1720.4152</c:v>
                </c:pt>
                <c:pt idx="678">
                  <c:v>1512.26</c:v>
                </c:pt>
                <c:pt idx="679">
                  <c:v>1642.2502</c:v>
                </c:pt>
                <c:pt idx="680">
                  <c:v>1447.2208</c:v>
                </c:pt>
                <c:pt idx="681">
                  <c:v>1566.3006</c:v>
                </c:pt>
                <c:pt idx="682">
                  <c:v>1326.0953</c:v>
                </c:pt>
                <c:pt idx="683">
                  <c:v>1452.559</c:v>
                </c:pt>
                <c:pt idx="684">
                  <c:v>1321.8913</c:v>
                </c:pt>
                <c:pt idx="685">
                  <c:v>1497.0003</c:v>
                </c:pt>
                <c:pt idx="686">
                  <c:v>13406.0942</c:v>
                </c:pt>
                <c:pt idx="687">
                  <c:v>9029.8137</c:v>
                </c:pt>
                <c:pt idx="688">
                  <c:v>7102.9841</c:v>
                </c:pt>
                <c:pt idx="689">
                  <c:v>4649.8176</c:v>
                </c:pt>
                <c:pt idx="690">
                  <c:v>3729.3378</c:v>
                </c:pt>
                <c:pt idx="691">
                  <c:v>3439.6266</c:v>
                </c:pt>
                <c:pt idx="692">
                  <c:v>2600.4175</c:v>
                </c:pt>
                <c:pt idx="693">
                  <c:v>2625.9031</c:v>
                </c:pt>
                <c:pt idx="694">
                  <c:v>2229.6012</c:v>
                </c:pt>
                <c:pt idx="695">
                  <c:v>2288.3302</c:v>
                </c:pt>
                <c:pt idx="696">
                  <c:v>1831.9677</c:v>
                </c:pt>
                <c:pt idx="697">
                  <c:v>1992.2601</c:v>
                </c:pt>
                <c:pt idx="698">
                  <c:v>1752.0517</c:v>
                </c:pt>
                <c:pt idx="699">
                  <c:v>1871.0129</c:v>
                </c:pt>
                <c:pt idx="700">
                  <c:v>1684.6736</c:v>
                </c:pt>
                <c:pt idx="701">
                  <c:v>1740.8508</c:v>
                </c:pt>
                <c:pt idx="702">
                  <c:v>1456.4503</c:v>
                </c:pt>
                <c:pt idx="703">
                  <c:v>1597.7505</c:v>
                </c:pt>
                <c:pt idx="704">
                  <c:v>1378.2147</c:v>
                </c:pt>
                <c:pt idx="705">
                  <c:v>1558.5694</c:v>
                </c:pt>
                <c:pt idx="706">
                  <c:v>1355.8629</c:v>
                </c:pt>
                <c:pt idx="707">
                  <c:v>1395.426</c:v>
                </c:pt>
                <c:pt idx="708">
                  <c:v>1207.3819</c:v>
                </c:pt>
                <c:pt idx="709">
                  <c:v>1298.4367</c:v>
                </c:pt>
                <c:pt idx="710">
                  <c:v>1297.5279</c:v>
                </c:pt>
                <c:pt idx="711">
                  <c:v>1433.5984</c:v>
                </c:pt>
                <c:pt idx="712">
                  <c:v>2175.0801</c:v>
                </c:pt>
                <c:pt idx="713">
                  <c:v>1949.7181</c:v>
                </c:pt>
                <c:pt idx="714">
                  <c:v>1674.0289</c:v>
                </c:pt>
                <c:pt idx="715">
                  <c:v>1774.18</c:v>
                </c:pt>
                <c:pt idx="716">
                  <c:v>1568.9942</c:v>
                </c:pt>
                <c:pt idx="717">
                  <c:v>1672.4466</c:v>
                </c:pt>
                <c:pt idx="718">
                  <c:v>1527.1527</c:v>
                </c:pt>
                <c:pt idx="719">
                  <c:v>1580.4645</c:v>
                </c:pt>
                <c:pt idx="720">
                  <c:v>1393.8907</c:v>
                </c:pt>
                <c:pt idx="721">
                  <c:v>1412.5288</c:v>
                </c:pt>
                <c:pt idx="722">
                  <c:v>1506.8037</c:v>
                </c:pt>
                <c:pt idx="723">
                  <c:v>1519.2629</c:v>
                </c:pt>
                <c:pt idx="724">
                  <c:v>1343.552</c:v>
                </c:pt>
                <c:pt idx="725">
                  <c:v>1445.5312</c:v>
                </c:pt>
                <c:pt idx="726">
                  <c:v>1285.203</c:v>
                </c:pt>
                <c:pt idx="727">
                  <c:v>1472.2663</c:v>
                </c:pt>
                <c:pt idx="728">
                  <c:v>1388.9896</c:v>
                </c:pt>
                <c:pt idx="729">
                  <c:v>8641.392</c:v>
                </c:pt>
                <c:pt idx="730">
                  <c:v>11984.9014</c:v>
                </c:pt>
                <c:pt idx="731">
                  <c:v>9067.4762</c:v>
                </c:pt>
                <c:pt idx="732">
                  <c:v>5567.1102</c:v>
                </c:pt>
                <c:pt idx="733">
                  <c:v>3373.0534</c:v>
                </c:pt>
                <c:pt idx="734">
                  <c:v>2402.5255</c:v>
                </c:pt>
                <c:pt idx="735">
                  <c:v>2260.6504</c:v>
                </c:pt>
                <c:pt idx="736">
                  <c:v>1865.9213</c:v>
                </c:pt>
                <c:pt idx="737">
                  <c:v>1850.7915</c:v>
                </c:pt>
                <c:pt idx="738">
                  <c:v>1516.8861</c:v>
                </c:pt>
                <c:pt idx="739">
                  <c:v>1579.902</c:v>
                </c:pt>
                <c:pt idx="740">
                  <c:v>1369.7849</c:v>
                </c:pt>
                <c:pt idx="741">
                  <c:v>1486.6944</c:v>
                </c:pt>
                <c:pt idx="742">
                  <c:v>1314.8776</c:v>
                </c:pt>
                <c:pt idx="743">
                  <c:v>1415.7716</c:v>
                </c:pt>
                <c:pt idx="744">
                  <c:v>1206.8207</c:v>
                </c:pt>
                <c:pt idx="745">
                  <c:v>1302.1102</c:v>
                </c:pt>
                <c:pt idx="746">
                  <c:v>1086.8635</c:v>
                </c:pt>
                <c:pt idx="747">
                  <c:v>1230.2519</c:v>
                </c:pt>
                <c:pt idx="748">
                  <c:v>1073.3287</c:v>
                </c:pt>
                <c:pt idx="749">
                  <c:v>1211.6315</c:v>
                </c:pt>
                <c:pt idx="750">
                  <c:v>1075.8491</c:v>
                </c:pt>
                <c:pt idx="751">
                  <c:v>2210.1267</c:v>
                </c:pt>
                <c:pt idx="752">
                  <c:v>2001.3324</c:v>
                </c:pt>
                <c:pt idx="753">
                  <c:v>2008.0098</c:v>
                </c:pt>
                <c:pt idx="754">
                  <c:v>1641.4849</c:v>
                </c:pt>
                <c:pt idx="755">
                  <c:v>1668.8873</c:v>
                </c:pt>
                <c:pt idx="756">
                  <c:v>1784.5999</c:v>
                </c:pt>
                <c:pt idx="757">
                  <c:v>1733.4931</c:v>
                </c:pt>
                <c:pt idx="758">
                  <c:v>1395.8323</c:v>
                </c:pt>
                <c:pt idx="759">
                  <c:v>1501.1773</c:v>
                </c:pt>
                <c:pt idx="760">
                  <c:v>1181.1996</c:v>
                </c:pt>
                <c:pt idx="761">
                  <c:v>1258.3827</c:v>
                </c:pt>
                <c:pt idx="762">
                  <c:v>1082.4029</c:v>
                </c:pt>
                <c:pt idx="763">
                  <c:v>1229.6437</c:v>
                </c:pt>
                <c:pt idx="764">
                  <c:v>1054.4766</c:v>
                </c:pt>
                <c:pt idx="765">
                  <c:v>1211.2153</c:v>
                </c:pt>
                <c:pt idx="766">
                  <c:v>1441.2018</c:v>
                </c:pt>
                <c:pt idx="767">
                  <c:v>1581.9612</c:v>
                </c:pt>
                <c:pt idx="768">
                  <c:v>1381.5832</c:v>
                </c:pt>
                <c:pt idx="769">
                  <c:v>1476.3576</c:v>
                </c:pt>
                <c:pt idx="770">
                  <c:v>1226.104</c:v>
                </c:pt>
                <c:pt idx="771">
                  <c:v>1368.5653</c:v>
                </c:pt>
                <c:pt idx="772">
                  <c:v>1106.5907</c:v>
                </c:pt>
                <c:pt idx="773">
                  <c:v>1287.2527</c:v>
                </c:pt>
                <c:pt idx="774">
                  <c:v>1145.5221</c:v>
                </c:pt>
                <c:pt idx="775">
                  <c:v>2677.3912</c:v>
                </c:pt>
                <c:pt idx="776">
                  <c:v>2182.6663</c:v>
                </c:pt>
                <c:pt idx="777">
                  <c:v>2297.3769</c:v>
                </c:pt>
                <c:pt idx="778">
                  <c:v>2023.9756</c:v>
                </c:pt>
                <c:pt idx="779">
                  <c:v>2030.1081</c:v>
                </c:pt>
                <c:pt idx="780">
                  <c:v>1721.951</c:v>
                </c:pt>
                <c:pt idx="781">
                  <c:v>1810.5229</c:v>
                </c:pt>
                <c:pt idx="782">
                  <c:v>1595.5976</c:v>
                </c:pt>
                <c:pt idx="783">
                  <c:v>1729.3456</c:v>
                </c:pt>
                <c:pt idx="784">
                  <c:v>1492.425</c:v>
                </c:pt>
                <c:pt idx="785">
                  <c:v>1621.3324</c:v>
                </c:pt>
                <c:pt idx="786">
                  <c:v>1305.4145</c:v>
                </c:pt>
                <c:pt idx="787">
                  <c:v>1430.7717</c:v>
                </c:pt>
                <c:pt idx="788">
                  <c:v>1191.8237</c:v>
                </c:pt>
                <c:pt idx="789">
                  <c:v>1593.7978</c:v>
                </c:pt>
                <c:pt idx="790">
                  <c:v>1244.7019</c:v>
                </c:pt>
                <c:pt idx="791">
                  <c:v>1410.3266</c:v>
                </c:pt>
                <c:pt idx="792">
                  <c:v>1234.0856</c:v>
                </c:pt>
                <c:pt idx="793">
                  <c:v>4479.1214</c:v>
                </c:pt>
                <c:pt idx="794">
                  <c:v>3624.6189</c:v>
                </c:pt>
                <c:pt idx="795">
                  <c:v>3159.5593</c:v>
                </c:pt>
                <c:pt idx="796">
                  <c:v>2735.7412</c:v>
                </c:pt>
                <c:pt idx="797">
                  <c:v>2771.1369</c:v>
                </c:pt>
                <c:pt idx="798">
                  <c:v>2285.6063</c:v>
                </c:pt>
                <c:pt idx="799">
                  <c:v>2286.6868</c:v>
                </c:pt>
                <c:pt idx="800">
                  <c:v>1960.9833</c:v>
                </c:pt>
                <c:pt idx="801">
                  <c:v>2126.2539</c:v>
                </c:pt>
                <c:pt idx="802">
                  <c:v>1851.5054</c:v>
                </c:pt>
                <c:pt idx="803">
                  <c:v>1834.0583</c:v>
                </c:pt>
                <c:pt idx="804">
                  <c:v>1565.2638</c:v>
                </c:pt>
                <c:pt idx="805">
                  <c:v>1793.7561</c:v>
                </c:pt>
                <c:pt idx="806">
                  <c:v>1509.7182</c:v>
                </c:pt>
                <c:pt idx="807">
                  <c:v>1655.0828</c:v>
                </c:pt>
                <c:pt idx="808">
                  <c:v>1357.09</c:v>
                </c:pt>
                <c:pt idx="809">
                  <c:v>1502.4559</c:v>
                </c:pt>
                <c:pt idx="810">
                  <c:v>1238.715</c:v>
                </c:pt>
                <c:pt idx="811">
                  <c:v>1429.3921</c:v>
                </c:pt>
                <c:pt idx="812">
                  <c:v>1349.8238</c:v>
                </c:pt>
                <c:pt idx="813">
                  <c:v>10084.6044</c:v>
                </c:pt>
                <c:pt idx="814">
                  <c:v>7457.1839</c:v>
                </c:pt>
                <c:pt idx="815">
                  <c:v>5713.4436</c:v>
                </c:pt>
                <c:pt idx="816">
                  <c:v>3199.8364</c:v>
                </c:pt>
                <c:pt idx="817">
                  <c:v>3335.1708</c:v>
                </c:pt>
                <c:pt idx="818">
                  <c:v>2426.7586</c:v>
                </c:pt>
                <c:pt idx="819">
                  <c:v>2262.0444</c:v>
                </c:pt>
                <c:pt idx="820">
                  <c:v>1931.9102</c:v>
                </c:pt>
                <c:pt idx="821">
                  <c:v>1912.9745</c:v>
                </c:pt>
                <c:pt idx="822">
                  <c:v>1648.9484</c:v>
                </c:pt>
                <c:pt idx="823">
                  <c:v>1692.1067</c:v>
                </c:pt>
                <c:pt idx="824">
                  <c:v>1465.3007</c:v>
                </c:pt>
                <c:pt idx="825">
                  <c:v>1422.136</c:v>
                </c:pt>
                <c:pt idx="826">
                  <c:v>1496.2676</c:v>
                </c:pt>
                <c:pt idx="827">
                  <c:v>1475.4865</c:v>
                </c:pt>
                <c:pt idx="828">
                  <c:v>1319.2678</c:v>
                </c:pt>
                <c:pt idx="829">
                  <c:v>1331.9662</c:v>
                </c:pt>
                <c:pt idx="830">
                  <c:v>1171.7617</c:v>
                </c:pt>
                <c:pt idx="831">
                  <c:v>1286.7809</c:v>
                </c:pt>
                <c:pt idx="832">
                  <c:v>1109.33</c:v>
                </c:pt>
                <c:pt idx="833">
                  <c:v>1218.6891</c:v>
                </c:pt>
                <c:pt idx="834">
                  <c:v>1742.9345</c:v>
                </c:pt>
                <c:pt idx="835">
                  <c:v>1781.2039</c:v>
                </c:pt>
                <c:pt idx="836">
                  <c:v>1568.5636</c:v>
                </c:pt>
                <c:pt idx="837">
                  <c:v>1635.3787</c:v>
                </c:pt>
                <c:pt idx="838">
                  <c:v>1423.8622</c:v>
                </c:pt>
                <c:pt idx="839">
                  <c:v>1509.2752</c:v>
                </c:pt>
                <c:pt idx="840">
                  <c:v>1284.6574</c:v>
                </c:pt>
                <c:pt idx="841">
                  <c:v>1350.4244</c:v>
                </c:pt>
                <c:pt idx="842">
                  <c:v>1165.1894</c:v>
                </c:pt>
                <c:pt idx="843">
                  <c:v>1248.6306</c:v>
                </c:pt>
                <c:pt idx="844">
                  <c:v>1124.5548</c:v>
                </c:pt>
                <c:pt idx="845">
                  <c:v>1650.3405</c:v>
                </c:pt>
                <c:pt idx="846">
                  <c:v>1443.3051</c:v>
                </c:pt>
                <c:pt idx="847">
                  <c:v>1578.1789</c:v>
                </c:pt>
                <c:pt idx="848">
                  <c:v>1339.7758</c:v>
                </c:pt>
                <c:pt idx="849">
                  <c:v>1526.6985</c:v>
                </c:pt>
                <c:pt idx="850">
                  <c:v>1331.4777</c:v>
                </c:pt>
                <c:pt idx="851">
                  <c:v>1536.3092</c:v>
                </c:pt>
                <c:pt idx="852">
                  <c:v>22884.1602</c:v>
                </c:pt>
                <c:pt idx="853">
                  <c:v>11368.7199</c:v>
                </c:pt>
                <c:pt idx="854">
                  <c:v>6497.0596</c:v>
                </c:pt>
                <c:pt idx="855">
                  <c:v>5394.7491</c:v>
                </c:pt>
                <c:pt idx="856">
                  <c:v>3809.172</c:v>
                </c:pt>
                <c:pt idx="857">
                  <c:v>2880.5115</c:v>
                </c:pt>
                <c:pt idx="858">
                  <c:v>2087.8595</c:v>
                </c:pt>
                <c:pt idx="859">
                  <c:v>2122.5766</c:v>
                </c:pt>
                <c:pt idx="860">
                  <c:v>1829.8074</c:v>
                </c:pt>
                <c:pt idx="861">
                  <c:v>1892.6033</c:v>
                </c:pt>
                <c:pt idx="862">
                  <c:v>1603.7372</c:v>
                </c:pt>
                <c:pt idx="863">
                  <c:v>1716.8945</c:v>
                </c:pt>
                <c:pt idx="864">
                  <c:v>1506.4553</c:v>
                </c:pt>
                <c:pt idx="865">
                  <c:v>1586.7145</c:v>
                </c:pt>
                <c:pt idx="866">
                  <c:v>1304.7589</c:v>
                </c:pt>
                <c:pt idx="867">
                  <c:v>1477.1246</c:v>
                </c:pt>
                <c:pt idx="868">
                  <c:v>1228.1657</c:v>
                </c:pt>
                <c:pt idx="869">
                  <c:v>1306.8148</c:v>
                </c:pt>
                <c:pt idx="870">
                  <c:v>1146.7702</c:v>
                </c:pt>
                <c:pt idx="871">
                  <c:v>1277.3447</c:v>
                </c:pt>
                <c:pt idx="872">
                  <c:v>1151.1527</c:v>
                </c:pt>
                <c:pt idx="873">
                  <c:v>6705.8726</c:v>
                </c:pt>
                <c:pt idx="874">
                  <c:v>4461.8553</c:v>
                </c:pt>
                <c:pt idx="875">
                  <c:v>3869.6865</c:v>
                </c:pt>
                <c:pt idx="876">
                  <c:v>3085.3111</c:v>
                </c:pt>
                <c:pt idx="877">
                  <c:v>2698.7287</c:v>
                </c:pt>
                <c:pt idx="878">
                  <c:v>2367.2688</c:v>
                </c:pt>
                <c:pt idx="879">
                  <c:v>2344.4667</c:v>
                </c:pt>
                <c:pt idx="880">
                  <c:v>2097.2519</c:v>
                </c:pt>
                <c:pt idx="881">
                  <c:v>1943.0226</c:v>
                </c:pt>
                <c:pt idx="882">
                  <c:v>1716.6512</c:v>
                </c:pt>
                <c:pt idx="883">
                  <c:v>1760.8422</c:v>
                </c:pt>
                <c:pt idx="884">
                  <c:v>1559.6177</c:v>
                </c:pt>
                <c:pt idx="885">
                  <c:v>1590.4814</c:v>
                </c:pt>
                <c:pt idx="886">
                  <c:v>1422.6117</c:v>
                </c:pt>
                <c:pt idx="887">
                  <c:v>1400.8192</c:v>
                </c:pt>
                <c:pt idx="888">
                  <c:v>1208.6114</c:v>
                </c:pt>
                <c:pt idx="889">
                  <c:v>1330.8094</c:v>
                </c:pt>
                <c:pt idx="890">
                  <c:v>1152.4944</c:v>
                </c:pt>
                <c:pt idx="891">
                  <c:v>1248.0521</c:v>
                </c:pt>
                <c:pt idx="892">
                  <c:v>1104.5268</c:v>
                </c:pt>
                <c:pt idx="893">
                  <c:v>1295.141</c:v>
                </c:pt>
                <c:pt idx="894">
                  <c:v>1123.3979</c:v>
                </c:pt>
                <c:pt idx="895">
                  <c:v>1286.8712</c:v>
                </c:pt>
                <c:pt idx="896">
                  <c:v>1627.7301</c:v>
                </c:pt>
                <c:pt idx="897">
                  <c:v>1745.0121</c:v>
                </c:pt>
                <c:pt idx="898">
                  <c:v>1492.5612</c:v>
                </c:pt>
                <c:pt idx="899">
                  <c:v>1627.5107</c:v>
                </c:pt>
                <c:pt idx="900">
                  <c:v>1346.8239</c:v>
                </c:pt>
                <c:pt idx="901">
                  <c:v>1443.4327</c:v>
                </c:pt>
                <c:pt idx="902">
                  <c:v>1250.6202</c:v>
                </c:pt>
                <c:pt idx="903">
                  <c:v>1388.8704</c:v>
                </c:pt>
                <c:pt idx="904">
                  <c:v>7495.2749</c:v>
                </c:pt>
                <c:pt idx="905">
                  <c:v>4166.5696</c:v>
                </c:pt>
                <c:pt idx="906">
                  <c:v>3375.4629</c:v>
                </c:pt>
                <c:pt idx="907">
                  <c:v>2814.616</c:v>
                </c:pt>
                <c:pt idx="908">
                  <c:v>2495.8367</c:v>
                </c:pt>
                <c:pt idx="909">
                  <c:v>2463.8291</c:v>
                </c:pt>
                <c:pt idx="910">
                  <c:v>2066.9972</c:v>
                </c:pt>
                <c:pt idx="911">
                  <c:v>1882.1356</c:v>
                </c:pt>
                <c:pt idx="912">
                  <c:v>1558.923</c:v>
                </c:pt>
                <c:pt idx="913">
                  <c:v>1655.7567</c:v>
                </c:pt>
                <c:pt idx="914">
                  <c:v>1415.4095</c:v>
                </c:pt>
                <c:pt idx="915">
                  <c:v>1591.0411</c:v>
                </c:pt>
                <c:pt idx="916">
                  <c:v>1318.0846</c:v>
                </c:pt>
                <c:pt idx="917">
                  <c:v>1318.4353</c:v>
                </c:pt>
                <c:pt idx="918">
                  <c:v>1193.3816</c:v>
                </c:pt>
                <c:pt idx="919">
                  <c:v>1605.9366</c:v>
                </c:pt>
                <c:pt idx="920">
                  <c:v>1127.6996</c:v>
                </c:pt>
                <c:pt idx="921">
                  <c:v>1501.1424</c:v>
                </c:pt>
                <c:pt idx="922">
                  <c:v>1136.3334</c:v>
                </c:pt>
                <c:pt idx="923">
                  <c:v>1613.1673</c:v>
                </c:pt>
                <c:pt idx="924">
                  <c:v>1472.9202</c:v>
                </c:pt>
                <c:pt idx="925">
                  <c:v>1412.9378</c:v>
                </c:pt>
                <c:pt idx="926">
                  <c:v>1230.5452</c:v>
                </c:pt>
                <c:pt idx="927">
                  <c:v>1339.1071</c:v>
                </c:pt>
                <c:pt idx="928">
                  <c:v>1157.2834</c:v>
                </c:pt>
                <c:pt idx="929">
                  <c:v>4726.6822</c:v>
                </c:pt>
                <c:pt idx="930">
                  <c:v>3714.7138</c:v>
                </c:pt>
                <c:pt idx="931">
                  <c:v>3038.1648</c:v>
                </c:pt>
                <c:pt idx="932">
                  <c:v>2504.3094</c:v>
                </c:pt>
                <c:pt idx="933">
                  <c:v>2344.4932</c:v>
                </c:pt>
                <c:pt idx="934">
                  <c:v>2081.8016</c:v>
                </c:pt>
                <c:pt idx="935">
                  <c:v>2147.8384</c:v>
                </c:pt>
                <c:pt idx="936">
                  <c:v>1794.5598</c:v>
                </c:pt>
                <c:pt idx="937">
                  <c:v>1765.1852</c:v>
                </c:pt>
                <c:pt idx="938">
                  <c:v>1565.2337</c:v>
                </c:pt>
                <c:pt idx="939">
                  <c:v>1658.6749</c:v>
                </c:pt>
                <c:pt idx="940">
                  <c:v>1464.7256</c:v>
                </c:pt>
                <c:pt idx="941">
                  <c:v>1568.5446</c:v>
                </c:pt>
                <c:pt idx="942">
                  <c:v>1353.9552</c:v>
                </c:pt>
                <c:pt idx="943">
                  <c:v>1368.0854</c:v>
                </c:pt>
                <c:pt idx="944">
                  <c:v>1231.9912</c:v>
                </c:pt>
                <c:pt idx="945">
                  <c:v>1352.932</c:v>
                </c:pt>
                <c:pt idx="946">
                  <c:v>1155.8313</c:v>
                </c:pt>
                <c:pt idx="947">
                  <c:v>1263.3761</c:v>
                </c:pt>
                <c:pt idx="948">
                  <c:v>1123.118</c:v>
                </c:pt>
                <c:pt idx="949">
                  <c:v>2211.5862</c:v>
                </c:pt>
                <c:pt idx="950">
                  <c:v>1979.5129</c:v>
                </c:pt>
                <c:pt idx="951">
                  <c:v>2017.12895</c:v>
                </c:pt>
                <c:pt idx="952">
                  <c:v>1677.3364</c:v>
                </c:pt>
                <c:pt idx="953">
                  <c:v>1857.6104</c:v>
                </c:pt>
                <c:pt idx="954">
                  <c:v>1601.3013</c:v>
                </c:pt>
                <c:pt idx="955">
                  <c:v>1724.0544</c:v>
                </c:pt>
                <c:pt idx="956">
                  <c:v>1531.4846</c:v>
                </c:pt>
                <c:pt idx="957">
                  <c:v>1642.4943</c:v>
                </c:pt>
                <c:pt idx="958">
                  <c:v>1395.5539</c:v>
                </c:pt>
                <c:pt idx="959">
                  <c:v>1501.4693</c:v>
                </c:pt>
                <c:pt idx="960">
                  <c:v>1318.7319</c:v>
                </c:pt>
                <c:pt idx="961">
                  <c:v>1451.8691</c:v>
                </c:pt>
                <c:pt idx="962">
                  <c:v>1359.3064</c:v>
                </c:pt>
                <c:pt idx="963">
                  <c:v>6836.1125</c:v>
                </c:pt>
                <c:pt idx="964">
                  <c:v>5034.3855</c:v>
                </c:pt>
                <c:pt idx="965">
                  <c:v>3372.3893</c:v>
                </c:pt>
                <c:pt idx="966">
                  <c:v>2935.186</c:v>
                </c:pt>
                <c:pt idx="967">
                  <c:v>2890.1102</c:v>
                </c:pt>
                <c:pt idx="968">
                  <c:v>2576.4556</c:v>
                </c:pt>
                <c:pt idx="969">
                  <c:v>2845.6157</c:v>
                </c:pt>
                <c:pt idx="970">
                  <c:v>2579.0112</c:v>
                </c:pt>
                <c:pt idx="971">
                  <c:v>2560.1922</c:v>
                </c:pt>
                <c:pt idx="972">
                  <c:v>1987.801</c:v>
                </c:pt>
                <c:pt idx="973">
                  <c:v>1947.3471</c:v>
                </c:pt>
                <c:pt idx="974">
                  <c:v>1614.5468</c:v>
                </c:pt>
                <c:pt idx="975">
                  <c:v>1699.3189</c:v>
                </c:pt>
                <c:pt idx="976">
                  <c:v>1505.8732</c:v>
                </c:pt>
                <c:pt idx="977">
                  <c:v>1593.4844</c:v>
                </c:pt>
                <c:pt idx="978">
                  <c:v>1439.5757</c:v>
                </c:pt>
                <c:pt idx="979">
                  <c:v>1558.0792</c:v>
                </c:pt>
                <c:pt idx="980">
                  <c:v>1338.4664</c:v>
                </c:pt>
                <c:pt idx="981">
                  <c:v>1388.7418</c:v>
                </c:pt>
                <c:pt idx="982">
                  <c:v>1230.5024</c:v>
                </c:pt>
                <c:pt idx="983">
                  <c:v>1361.9669</c:v>
                </c:pt>
                <c:pt idx="984">
                  <c:v>1213.0314</c:v>
                </c:pt>
                <c:pt idx="985">
                  <c:v>1335.5297</c:v>
                </c:pt>
                <c:pt idx="986">
                  <c:v>1228.6113</c:v>
                </c:pt>
                <c:pt idx="987">
                  <c:v>7398.0979</c:v>
                </c:pt>
                <c:pt idx="988">
                  <c:v>4568.6161</c:v>
                </c:pt>
                <c:pt idx="989">
                  <c:v>3098.8326</c:v>
                </c:pt>
                <c:pt idx="990">
                  <c:v>2457.4226</c:v>
                </c:pt>
                <c:pt idx="991">
                  <c:v>2370.3632</c:v>
                </c:pt>
                <c:pt idx="992">
                  <c:v>2151.4355</c:v>
                </c:pt>
                <c:pt idx="993">
                  <c:v>2123.1729</c:v>
                </c:pt>
                <c:pt idx="994">
                  <c:v>1783.3252</c:v>
                </c:pt>
                <c:pt idx="995">
                  <c:v>1804.191</c:v>
                </c:pt>
                <c:pt idx="996">
                  <c:v>1617.2722</c:v>
                </c:pt>
                <c:pt idx="997">
                  <c:v>1710.0724</c:v>
                </c:pt>
                <c:pt idx="998">
                  <c:v>1483.2745</c:v>
                </c:pt>
                <c:pt idx="999">
                  <c:v>1602.6004</c:v>
                </c:pt>
                <c:pt idx="1000">
                  <c:v>1336.4191</c:v>
                </c:pt>
                <c:pt idx="1001">
                  <c:v>1423.0565</c:v>
                </c:pt>
                <c:pt idx="1002">
                  <c:v>1281.9813</c:v>
                </c:pt>
                <c:pt idx="1003">
                  <c:v>1382.0128</c:v>
                </c:pt>
                <c:pt idx="1004">
                  <c:v>1248.1221</c:v>
                </c:pt>
                <c:pt idx="1005">
                  <c:v>1460.2679</c:v>
                </c:pt>
                <c:pt idx="1006">
                  <c:v>2576.9222</c:v>
                </c:pt>
                <c:pt idx="1007">
                  <c:v>2510.3142</c:v>
                </c:pt>
                <c:pt idx="1008">
                  <c:v>2262.2798</c:v>
                </c:pt>
                <c:pt idx="1009">
                  <c:v>2286.5693</c:v>
                </c:pt>
                <c:pt idx="1010">
                  <c:v>1887.5392</c:v>
                </c:pt>
                <c:pt idx="1011">
                  <c:v>2003.9775</c:v>
                </c:pt>
                <c:pt idx="1012">
                  <c:v>1827.381</c:v>
                </c:pt>
                <c:pt idx="1013">
                  <c:v>1944.132</c:v>
                </c:pt>
                <c:pt idx="1014">
                  <c:v>1775.6022</c:v>
                </c:pt>
                <c:pt idx="1015">
                  <c:v>1796.9814</c:v>
                </c:pt>
                <c:pt idx="1016">
                  <c:v>1601.6673</c:v>
                </c:pt>
                <c:pt idx="1017">
                  <c:v>1671.8548</c:v>
                </c:pt>
                <c:pt idx="1018">
                  <c:v>1792.2712</c:v>
                </c:pt>
                <c:pt idx="1019">
                  <c:v>2424.2156</c:v>
                </c:pt>
                <c:pt idx="1020">
                  <c:v>63510.3137</c:v>
                </c:pt>
                <c:pt idx="1021">
                  <c:v>44032.1172</c:v>
                </c:pt>
                <c:pt idx="1022">
                  <c:v>17614.363</c:v>
                </c:pt>
                <c:pt idx="1023">
                  <c:v>5412.8602</c:v>
                </c:pt>
                <c:pt idx="1024">
                  <c:v>4092.8656</c:v>
                </c:pt>
                <c:pt idx="1025">
                  <c:v>2604.8662</c:v>
                </c:pt>
                <c:pt idx="1026">
                  <c:v>2715.9629</c:v>
                </c:pt>
                <c:pt idx="1027">
                  <c:v>2339.7197</c:v>
                </c:pt>
                <c:pt idx="1028">
                  <c:v>1847.8518</c:v>
                </c:pt>
                <c:pt idx="1029">
                  <c:v>1833.127</c:v>
                </c:pt>
                <c:pt idx="1030">
                  <c:v>1631.1081</c:v>
                </c:pt>
                <c:pt idx="1031">
                  <c:v>1634.7011</c:v>
                </c:pt>
                <c:pt idx="1032">
                  <c:v>1439.3507</c:v>
                </c:pt>
                <c:pt idx="1033">
                  <c:v>1348.5578</c:v>
                </c:pt>
                <c:pt idx="1034">
                  <c:v>1304.3517</c:v>
                </c:pt>
                <c:pt idx="1035">
                  <c:v>1254.8762</c:v>
                </c:pt>
                <c:pt idx="1036">
                  <c:v>1103.7922</c:v>
                </c:pt>
                <c:pt idx="1037">
                  <c:v>1211.5901</c:v>
                </c:pt>
                <c:pt idx="1038">
                  <c:v>1041.2708</c:v>
                </c:pt>
                <c:pt idx="1039">
                  <c:v>1195.0141</c:v>
                </c:pt>
                <c:pt idx="1040">
                  <c:v>1616.2381</c:v>
                </c:pt>
                <c:pt idx="1041">
                  <c:v>1637.5707</c:v>
                </c:pt>
                <c:pt idx="1042">
                  <c:v>1397.1088</c:v>
                </c:pt>
                <c:pt idx="1043">
                  <c:v>1513.5163</c:v>
                </c:pt>
                <c:pt idx="1044">
                  <c:v>1244.7514</c:v>
                </c:pt>
                <c:pt idx="1045">
                  <c:v>1312.7663</c:v>
                </c:pt>
                <c:pt idx="1046">
                  <c:v>1160.9552</c:v>
                </c:pt>
                <c:pt idx="1047">
                  <c:v>1229.9521</c:v>
                </c:pt>
                <c:pt idx="1048">
                  <c:v>1057.5956</c:v>
                </c:pt>
                <c:pt idx="1049">
                  <c:v>1244.6512</c:v>
                </c:pt>
                <c:pt idx="1050">
                  <c:v>4989.245</c:v>
                </c:pt>
                <c:pt idx="1051">
                  <c:v>3207.8059</c:v>
                </c:pt>
                <c:pt idx="1052">
                  <c:v>2862.708</c:v>
                </c:pt>
                <c:pt idx="1053">
                  <c:v>2534.1001</c:v>
                </c:pt>
                <c:pt idx="1054">
                  <c:v>2026.3813</c:v>
                </c:pt>
                <c:pt idx="1055">
                  <c:v>1908.5819</c:v>
                </c:pt>
                <c:pt idx="1056">
                  <c:v>1624.7334</c:v>
                </c:pt>
                <c:pt idx="1057">
                  <c:v>1728.2243</c:v>
                </c:pt>
                <c:pt idx="1058">
                  <c:v>1536.9214</c:v>
                </c:pt>
                <c:pt idx="1059">
                  <c:v>1576.7859</c:v>
                </c:pt>
                <c:pt idx="1060">
                  <c:v>1431.3691</c:v>
                </c:pt>
                <c:pt idx="1061">
                  <c:v>1356.6294</c:v>
                </c:pt>
                <c:pt idx="1062">
                  <c:v>1187.1417</c:v>
                </c:pt>
                <c:pt idx="1063">
                  <c:v>1272.141</c:v>
                </c:pt>
                <c:pt idx="1064">
                  <c:v>1111.6078</c:v>
                </c:pt>
                <c:pt idx="1065">
                  <c:v>1184.4767</c:v>
                </c:pt>
                <c:pt idx="1066">
                  <c:v>1052.91</c:v>
                </c:pt>
                <c:pt idx="1067">
                  <c:v>1595.0761</c:v>
                </c:pt>
                <c:pt idx="1068">
                  <c:v>1403.5061</c:v>
                </c:pt>
                <c:pt idx="1069">
                  <c:v>1317.9129</c:v>
                </c:pt>
                <c:pt idx="1070">
                  <c:v>1123.3613</c:v>
                </c:pt>
                <c:pt idx="1071">
                  <c:v>1203.216</c:v>
                </c:pt>
                <c:pt idx="1072">
                  <c:v>1062.1641</c:v>
                </c:pt>
                <c:pt idx="1073">
                  <c:v>1156.8109</c:v>
                </c:pt>
                <c:pt idx="1074">
                  <c:v>1028.3048</c:v>
                </c:pt>
                <c:pt idx="1075">
                  <c:v>1223.6284</c:v>
                </c:pt>
                <c:pt idx="1076">
                  <c:v>1098.7919</c:v>
                </c:pt>
                <c:pt idx="1077">
                  <c:v>1175.0196</c:v>
                </c:pt>
                <c:pt idx="1078">
                  <c:v>1043.0158</c:v>
                </c:pt>
                <c:pt idx="1079">
                  <c:v>1337.1246</c:v>
                </c:pt>
                <c:pt idx="1080">
                  <c:v>1177.1172</c:v>
                </c:pt>
                <c:pt idx="1081">
                  <c:v>1260.2085</c:v>
                </c:pt>
                <c:pt idx="1082">
                  <c:v>1119.6995</c:v>
                </c:pt>
                <c:pt idx="1083">
                  <c:v>1254.7408</c:v>
                </c:pt>
                <c:pt idx="1084">
                  <c:v>1992.8018</c:v>
                </c:pt>
                <c:pt idx="1085">
                  <c:v>1958.53</c:v>
                </c:pt>
                <c:pt idx="1086">
                  <c:v>1654.2083</c:v>
                </c:pt>
                <c:pt idx="1087">
                  <c:v>1758.3473</c:v>
                </c:pt>
                <c:pt idx="1088">
                  <c:v>1529.8914</c:v>
                </c:pt>
                <c:pt idx="1089">
                  <c:v>1574.6389</c:v>
                </c:pt>
                <c:pt idx="1090">
                  <c:v>1395.1918</c:v>
                </c:pt>
                <c:pt idx="1091">
                  <c:v>1379.1741</c:v>
                </c:pt>
                <c:pt idx="1092">
                  <c:v>1216.0116</c:v>
                </c:pt>
                <c:pt idx="1093">
                  <c:v>1328.8775</c:v>
                </c:pt>
                <c:pt idx="1094">
                  <c:v>1128.252</c:v>
                </c:pt>
                <c:pt idx="1095">
                  <c:v>1232.2402</c:v>
                </c:pt>
                <c:pt idx="1096">
                  <c:v>1084.0277</c:v>
                </c:pt>
                <c:pt idx="1097">
                  <c:v>1262.6737</c:v>
                </c:pt>
                <c:pt idx="1098">
                  <c:v>1123.6744</c:v>
                </c:pt>
                <c:pt idx="1099">
                  <c:v>1439.3847</c:v>
                </c:pt>
                <c:pt idx="1100">
                  <c:v>1277.3508</c:v>
                </c:pt>
                <c:pt idx="1101">
                  <c:v>1401.271</c:v>
                </c:pt>
                <c:pt idx="1102">
                  <c:v>1225.17</c:v>
                </c:pt>
                <c:pt idx="1103">
                  <c:v>1287.0492</c:v>
                </c:pt>
                <c:pt idx="1104">
                  <c:v>1147.9151</c:v>
                </c:pt>
                <c:pt idx="1105">
                  <c:v>1336.836</c:v>
                </c:pt>
                <c:pt idx="1106">
                  <c:v>1218.7191</c:v>
                </c:pt>
                <c:pt idx="1107">
                  <c:v>1960.1802</c:v>
                </c:pt>
                <c:pt idx="1108">
                  <c:v>1728.8254</c:v>
                </c:pt>
                <c:pt idx="1109">
                  <c:v>1773.2008</c:v>
                </c:pt>
                <c:pt idx="1110">
                  <c:v>1506.9326</c:v>
                </c:pt>
                <c:pt idx="1111">
                  <c:v>1498.4034</c:v>
                </c:pt>
                <c:pt idx="1112">
                  <c:v>1335.095</c:v>
                </c:pt>
                <c:pt idx="1113">
                  <c:v>1388.2374</c:v>
                </c:pt>
                <c:pt idx="1114">
                  <c:v>1237.5218</c:v>
                </c:pt>
                <c:pt idx="1115">
                  <c:v>1450.5807</c:v>
                </c:pt>
                <c:pt idx="1116">
                  <c:v>18952.5246</c:v>
                </c:pt>
                <c:pt idx="1117">
                  <c:v>7313.3684</c:v>
                </c:pt>
                <c:pt idx="1118">
                  <c:v>4838.0005</c:v>
                </c:pt>
                <c:pt idx="1119">
                  <c:v>3664.2648</c:v>
                </c:pt>
                <c:pt idx="1120">
                  <c:v>2898.6142</c:v>
                </c:pt>
                <c:pt idx="1121">
                  <c:v>2770.633</c:v>
                </c:pt>
                <c:pt idx="1122">
                  <c:v>2373.7012</c:v>
                </c:pt>
                <c:pt idx="1123">
                  <c:v>2149.5368</c:v>
                </c:pt>
                <c:pt idx="1124">
                  <c:v>1812.0895</c:v>
                </c:pt>
                <c:pt idx="1125">
                  <c:v>1820.1593</c:v>
                </c:pt>
                <c:pt idx="1126">
                  <c:v>1604.8021</c:v>
                </c:pt>
                <c:pt idx="1127">
                  <c:v>1601.2307</c:v>
                </c:pt>
                <c:pt idx="1128">
                  <c:v>1757.1695</c:v>
                </c:pt>
                <c:pt idx="1129">
                  <c:v>1404.6942</c:v>
                </c:pt>
                <c:pt idx="1130">
                  <c:v>1694.0413</c:v>
                </c:pt>
                <c:pt idx="1131">
                  <c:v>1341.4715</c:v>
                </c:pt>
                <c:pt idx="1132">
                  <c:v>1166.2912</c:v>
                </c:pt>
                <c:pt idx="1133">
                  <c:v>1272.8976</c:v>
                </c:pt>
                <c:pt idx="1134">
                  <c:v>1097.0186</c:v>
                </c:pt>
                <c:pt idx="1135">
                  <c:v>1191.3125</c:v>
                </c:pt>
                <c:pt idx="1136">
                  <c:v>1059.4658</c:v>
                </c:pt>
                <c:pt idx="1137">
                  <c:v>1278.5563</c:v>
                </c:pt>
                <c:pt idx="1138">
                  <c:v>1279.8541</c:v>
                </c:pt>
                <c:pt idx="1139">
                  <c:v>1311.5343</c:v>
                </c:pt>
                <c:pt idx="1140">
                  <c:v>1131.1525</c:v>
                </c:pt>
                <c:pt idx="1141">
                  <c:v>1261.4886</c:v>
                </c:pt>
                <c:pt idx="1142">
                  <c:v>1131.1072</c:v>
                </c:pt>
                <c:pt idx="1143">
                  <c:v>2393.0435</c:v>
                </c:pt>
                <c:pt idx="1144">
                  <c:v>2009.3479</c:v>
                </c:pt>
                <c:pt idx="1145">
                  <c:v>1915.5112</c:v>
                </c:pt>
                <c:pt idx="1146">
                  <c:v>1681.9403</c:v>
                </c:pt>
                <c:pt idx="1147">
                  <c:v>1716.048</c:v>
                </c:pt>
                <c:pt idx="1148">
                  <c:v>1521.3249</c:v>
                </c:pt>
                <c:pt idx="1149">
                  <c:v>1581.5395</c:v>
                </c:pt>
                <c:pt idx="1150">
                  <c:v>1247.0347</c:v>
                </c:pt>
                <c:pt idx="1151">
                  <c:v>1334.7259</c:v>
                </c:pt>
                <c:pt idx="1152">
                  <c:v>1187.6086</c:v>
                </c:pt>
                <c:pt idx="1153">
                  <c:v>1294.9459</c:v>
                </c:pt>
                <c:pt idx="1154">
                  <c:v>1157.6059</c:v>
                </c:pt>
                <c:pt idx="1155">
                  <c:v>1265.0314</c:v>
                </c:pt>
                <c:pt idx="1156">
                  <c:v>3003.7318</c:v>
                </c:pt>
                <c:pt idx="1157">
                  <c:v>2525.4584</c:v>
                </c:pt>
                <c:pt idx="1158">
                  <c:v>2103.5274</c:v>
                </c:pt>
                <c:pt idx="1159">
                  <c:v>1994.4525</c:v>
                </c:pt>
                <c:pt idx="1160">
                  <c:v>1747.7359</c:v>
                </c:pt>
                <c:pt idx="1161">
                  <c:v>1746.3572</c:v>
                </c:pt>
                <c:pt idx="1162">
                  <c:v>1535.6358</c:v>
                </c:pt>
                <c:pt idx="1163">
                  <c:v>1442.3727</c:v>
                </c:pt>
                <c:pt idx="1164">
                  <c:v>1219.4186</c:v>
                </c:pt>
                <c:pt idx="1165">
                  <c:v>1265.5777</c:v>
                </c:pt>
                <c:pt idx="1166">
                  <c:v>1097.0284</c:v>
                </c:pt>
                <c:pt idx="1167">
                  <c:v>1207.1789</c:v>
                </c:pt>
                <c:pt idx="1168">
                  <c:v>1060.4871</c:v>
                </c:pt>
                <c:pt idx="1169">
                  <c:v>1426.8477</c:v>
                </c:pt>
                <c:pt idx="1170">
                  <c:v>1273.6046</c:v>
                </c:pt>
                <c:pt idx="1171">
                  <c:v>1368.6525</c:v>
                </c:pt>
                <c:pt idx="1172">
                  <c:v>1146.9502</c:v>
                </c:pt>
                <c:pt idx="1173">
                  <c:v>1246.5267</c:v>
                </c:pt>
                <c:pt idx="1174">
                  <c:v>1091.3114</c:v>
                </c:pt>
                <c:pt idx="1175">
                  <c:v>1333.8105</c:v>
                </c:pt>
                <c:pt idx="1176">
                  <c:v>1181.0733</c:v>
                </c:pt>
                <c:pt idx="1177">
                  <c:v>1273.5954</c:v>
                </c:pt>
                <c:pt idx="1178">
                  <c:v>1757.2074</c:v>
                </c:pt>
                <c:pt idx="1179">
                  <c:v>1673.9701</c:v>
                </c:pt>
                <c:pt idx="1180">
                  <c:v>1420.3717</c:v>
                </c:pt>
                <c:pt idx="1181">
                  <c:v>1432.5992</c:v>
                </c:pt>
                <c:pt idx="1182">
                  <c:v>1278.0588</c:v>
                </c:pt>
                <c:pt idx="1183">
                  <c:v>1350.5151</c:v>
                </c:pt>
                <c:pt idx="1184">
                  <c:v>1194.2236</c:v>
                </c:pt>
                <c:pt idx="1185">
                  <c:v>1356.8008</c:v>
                </c:pt>
                <c:pt idx="1186">
                  <c:v>3264.3579</c:v>
                </c:pt>
                <c:pt idx="1187">
                  <c:v>2862.5977</c:v>
                </c:pt>
                <c:pt idx="1188">
                  <c:v>2335.4288</c:v>
                </c:pt>
                <c:pt idx="1189">
                  <c:v>2165.2744</c:v>
                </c:pt>
                <c:pt idx="1190">
                  <c:v>1758.8282</c:v>
                </c:pt>
                <c:pt idx="1191">
                  <c:v>1792.9491</c:v>
                </c:pt>
                <c:pt idx="1192">
                  <c:v>1501.2965</c:v>
                </c:pt>
                <c:pt idx="1193">
                  <c:v>1565.4103</c:v>
                </c:pt>
                <c:pt idx="1194">
                  <c:v>1274.1835</c:v>
                </c:pt>
                <c:pt idx="1195">
                  <c:v>1381.5781</c:v>
                </c:pt>
                <c:pt idx="1196">
                  <c:v>1234.4242</c:v>
                </c:pt>
                <c:pt idx="1197">
                  <c:v>1347.1275</c:v>
                </c:pt>
                <c:pt idx="1198">
                  <c:v>1155.5819</c:v>
                </c:pt>
                <c:pt idx="1199">
                  <c:v>1300.8494</c:v>
                </c:pt>
                <c:pt idx="1200">
                  <c:v>1837.3551</c:v>
                </c:pt>
                <c:pt idx="1201">
                  <c:v>1869.6234</c:v>
                </c:pt>
                <c:pt idx="1202">
                  <c:v>1654.7603</c:v>
                </c:pt>
                <c:pt idx="1203">
                  <c:v>1599.3806</c:v>
                </c:pt>
                <c:pt idx="1204">
                  <c:v>1400.1977</c:v>
                </c:pt>
                <c:pt idx="1205">
                  <c:v>1494.1886</c:v>
                </c:pt>
                <c:pt idx="1206">
                  <c:v>1322.6508</c:v>
                </c:pt>
                <c:pt idx="1207">
                  <c:v>1378.6836</c:v>
                </c:pt>
                <c:pt idx="1208">
                  <c:v>1212.3832</c:v>
                </c:pt>
                <c:pt idx="1209">
                  <c:v>1603.2428</c:v>
                </c:pt>
                <c:pt idx="1210">
                  <c:v>1481.5237</c:v>
                </c:pt>
                <c:pt idx="1211">
                  <c:v>1527.1188</c:v>
                </c:pt>
                <c:pt idx="1212">
                  <c:v>1323.2222</c:v>
                </c:pt>
                <c:pt idx="1213">
                  <c:v>1440.7002</c:v>
                </c:pt>
                <c:pt idx="1214">
                  <c:v>1279.4138</c:v>
                </c:pt>
                <c:pt idx="1215">
                  <c:v>1537.3908</c:v>
                </c:pt>
                <c:pt idx="1216">
                  <c:v>1300.3422</c:v>
                </c:pt>
                <c:pt idx="1217">
                  <c:v>1403.9106</c:v>
                </c:pt>
                <c:pt idx="1218">
                  <c:v>9151.5511</c:v>
                </c:pt>
                <c:pt idx="1219">
                  <c:v>4225.1267</c:v>
                </c:pt>
                <c:pt idx="1220">
                  <c:v>3362.4954</c:v>
                </c:pt>
                <c:pt idx="1221">
                  <c:v>3083.2715</c:v>
                </c:pt>
                <c:pt idx="1222">
                  <c:v>2475.5321</c:v>
                </c:pt>
                <c:pt idx="1223">
                  <c:v>2453.1208</c:v>
                </c:pt>
                <c:pt idx="1224">
                  <c:v>1912.8704</c:v>
                </c:pt>
                <c:pt idx="1225">
                  <c:v>1969.8338</c:v>
                </c:pt>
                <c:pt idx="1226">
                  <c:v>1635.7315</c:v>
                </c:pt>
                <c:pt idx="1227">
                  <c:v>1785.1712</c:v>
                </c:pt>
                <c:pt idx="1228">
                  <c:v>1472.7225</c:v>
                </c:pt>
                <c:pt idx="1229">
                  <c:v>1480.8462</c:v>
                </c:pt>
                <c:pt idx="1230">
                  <c:v>1288.0837</c:v>
                </c:pt>
                <c:pt idx="1231">
                  <c:v>1387.2545</c:v>
                </c:pt>
                <c:pt idx="1232">
                  <c:v>1256.0815</c:v>
                </c:pt>
                <c:pt idx="1233">
                  <c:v>1314.9099</c:v>
                </c:pt>
                <c:pt idx="1234">
                  <c:v>1364.4833</c:v>
                </c:pt>
                <c:pt idx="1235">
                  <c:v>1449.3441</c:v>
                </c:pt>
                <c:pt idx="1236">
                  <c:v>1670.0723</c:v>
                </c:pt>
                <c:pt idx="1237">
                  <c:v>1751.3605</c:v>
                </c:pt>
                <c:pt idx="1238">
                  <c:v>1840.9451</c:v>
                </c:pt>
                <c:pt idx="1239">
                  <c:v>1794.4664</c:v>
                </c:pt>
                <c:pt idx="1240">
                  <c:v>1472.209</c:v>
                </c:pt>
                <c:pt idx="1241">
                  <c:v>1434.6539</c:v>
                </c:pt>
                <c:pt idx="1242">
                  <c:v>1409.1491</c:v>
                </c:pt>
                <c:pt idx="1243">
                  <c:v>1459.1441</c:v>
                </c:pt>
                <c:pt idx="1244">
                  <c:v>1296.7362</c:v>
                </c:pt>
                <c:pt idx="1245">
                  <c:v>2012.3994</c:v>
                </c:pt>
                <c:pt idx="1246">
                  <c:v>1733.939</c:v>
                </c:pt>
                <c:pt idx="1247">
                  <c:v>1692.6851</c:v>
                </c:pt>
                <c:pt idx="1248">
                  <c:v>1488.962</c:v>
                </c:pt>
                <c:pt idx="1249">
                  <c:v>1621.4773</c:v>
                </c:pt>
                <c:pt idx="1250">
                  <c:v>1391.5497</c:v>
                </c:pt>
                <c:pt idx="1251">
                  <c:v>1590.1274</c:v>
                </c:pt>
                <c:pt idx="1252">
                  <c:v>2925.4344</c:v>
                </c:pt>
                <c:pt idx="1253">
                  <c:v>2604.4953</c:v>
                </c:pt>
                <c:pt idx="1254">
                  <c:v>2267.8841</c:v>
                </c:pt>
                <c:pt idx="1255">
                  <c:v>2238.7616</c:v>
                </c:pt>
                <c:pt idx="1256">
                  <c:v>1952.7491</c:v>
                </c:pt>
                <c:pt idx="1257">
                  <c:v>1837.4569</c:v>
                </c:pt>
                <c:pt idx="1258">
                  <c:v>1596.559</c:v>
                </c:pt>
                <c:pt idx="1259">
                  <c:v>1696.1943</c:v>
                </c:pt>
                <c:pt idx="1260">
                  <c:v>1512.2369</c:v>
                </c:pt>
                <c:pt idx="1261">
                  <c:v>1614.802</c:v>
                </c:pt>
                <c:pt idx="1262">
                  <c:v>9138.6746</c:v>
                </c:pt>
                <c:pt idx="1263">
                  <c:v>5068.8563</c:v>
                </c:pt>
                <c:pt idx="1264">
                  <c:v>3684.2502</c:v>
                </c:pt>
                <c:pt idx="1265">
                  <c:v>3336.8027</c:v>
                </c:pt>
                <c:pt idx="1266">
                  <c:v>2508.2127</c:v>
                </c:pt>
                <c:pt idx="1267">
                  <c:v>2607.3438</c:v>
                </c:pt>
                <c:pt idx="1268">
                  <c:v>2157.8885</c:v>
                </c:pt>
                <c:pt idx="1269">
                  <c:v>2025.1884</c:v>
                </c:pt>
                <c:pt idx="1270">
                  <c:v>1713.7314</c:v>
                </c:pt>
                <c:pt idx="1271">
                  <c:v>1807.485</c:v>
                </c:pt>
                <c:pt idx="1272">
                  <c:v>1568.9898</c:v>
                </c:pt>
                <c:pt idx="1273">
                  <c:v>1622.3299</c:v>
                </c:pt>
                <c:pt idx="1274">
                  <c:v>13550.4655</c:v>
                </c:pt>
                <c:pt idx="1275">
                  <c:v>5909.052</c:v>
                </c:pt>
                <c:pt idx="1276">
                  <c:v>4100.7391</c:v>
                </c:pt>
                <c:pt idx="1277">
                  <c:v>3168.2657</c:v>
                </c:pt>
                <c:pt idx="1278">
                  <c:v>2469.951</c:v>
                </c:pt>
                <c:pt idx="1279">
                  <c:v>2387.2913</c:v>
                </c:pt>
                <c:pt idx="1280">
                  <c:v>1984.6437</c:v>
                </c:pt>
                <c:pt idx="1281">
                  <c:v>1865.5734</c:v>
                </c:pt>
                <c:pt idx="1282">
                  <c:v>1571.767</c:v>
                </c:pt>
                <c:pt idx="1283">
                  <c:v>1586.4688</c:v>
                </c:pt>
                <c:pt idx="1284">
                  <c:v>1492.7436</c:v>
                </c:pt>
                <c:pt idx="1285">
                  <c:v>1590.2896</c:v>
                </c:pt>
                <c:pt idx="1286">
                  <c:v>1385.011</c:v>
                </c:pt>
                <c:pt idx="1287">
                  <c:v>2274.0644</c:v>
                </c:pt>
                <c:pt idx="1288">
                  <c:v>1960.4424</c:v>
                </c:pt>
                <c:pt idx="1289">
                  <c:v>1915.6543</c:v>
                </c:pt>
                <c:pt idx="1290">
                  <c:v>1643.1347</c:v>
                </c:pt>
                <c:pt idx="1291">
                  <c:v>1828.1058</c:v>
                </c:pt>
                <c:pt idx="1292">
                  <c:v>1567.82</c:v>
                </c:pt>
                <c:pt idx="1293">
                  <c:v>1723.4496</c:v>
                </c:pt>
                <c:pt idx="1294">
                  <c:v>1470.2362</c:v>
                </c:pt>
                <c:pt idx="1295">
                  <c:v>1824.516</c:v>
                </c:pt>
                <c:pt idx="1296">
                  <c:v>1645.9483</c:v>
                </c:pt>
                <c:pt idx="1297">
                  <c:v>23226.8274</c:v>
                </c:pt>
                <c:pt idx="1298">
                  <c:v>9013.5085</c:v>
                </c:pt>
                <c:pt idx="1299">
                  <c:v>4681.4428</c:v>
                </c:pt>
                <c:pt idx="1300">
                  <c:v>3895.5958</c:v>
                </c:pt>
                <c:pt idx="1301">
                  <c:v>3211.7305</c:v>
                </c:pt>
                <c:pt idx="1302">
                  <c:v>2660.1158</c:v>
                </c:pt>
                <c:pt idx="1303">
                  <c:v>2567.2662</c:v>
                </c:pt>
                <c:pt idx="1304">
                  <c:v>2213.9326</c:v>
                </c:pt>
                <c:pt idx="1305">
                  <c:v>2029.1902</c:v>
                </c:pt>
                <c:pt idx="1306">
                  <c:v>1767.0782</c:v>
                </c:pt>
                <c:pt idx="1307">
                  <c:v>1917.9345</c:v>
                </c:pt>
                <c:pt idx="1308">
                  <c:v>1808.9887</c:v>
                </c:pt>
                <c:pt idx="1309">
                  <c:v>1555.6213</c:v>
                </c:pt>
                <c:pt idx="1310">
                  <c:v>1317.3024</c:v>
                </c:pt>
                <c:pt idx="1311">
                  <c:v>1554.8116</c:v>
                </c:pt>
                <c:pt idx="1312">
                  <c:v>1275.0426</c:v>
                </c:pt>
                <c:pt idx="1313">
                  <c:v>8159.6057</c:v>
                </c:pt>
                <c:pt idx="1314">
                  <c:v>4543.7055</c:v>
                </c:pt>
                <c:pt idx="1315">
                  <c:v>3719.5608</c:v>
                </c:pt>
                <c:pt idx="1316">
                  <c:v>2828.9737</c:v>
                </c:pt>
                <c:pt idx="1317">
                  <c:v>2539.8485</c:v>
                </c:pt>
                <c:pt idx="1318">
                  <c:v>2194.6171</c:v>
                </c:pt>
                <c:pt idx="1319">
                  <c:v>2188.1798</c:v>
                </c:pt>
                <c:pt idx="1320">
                  <c:v>1632.389</c:v>
                </c:pt>
                <c:pt idx="1321">
                  <c:v>1658.8261</c:v>
                </c:pt>
                <c:pt idx="1322">
                  <c:v>1443.9931</c:v>
                </c:pt>
                <c:pt idx="1323">
                  <c:v>1534.6064</c:v>
                </c:pt>
                <c:pt idx="1324">
                  <c:v>1335.5213</c:v>
                </c:pt>
                <c:pt idx="1325">
                  <c:v>1419.9435</c:v>
                </c:pt>
                <c:pt idx="1326">
                  <c:v>3577.1794</c:v>
                </c:pt>
                <c:pt idx="1327">
                  <c:v>2882.2164</c:v>
                </c:pt>
                <c:pt idx="1328">
                  <c:v>2285.3033</c:v>
                </c:pt>
                <c:pt idx="1329">
                  <c:v>2081.1569</c:v>
                </c:pt>
                <c:pt idx="1330">
                  <c:v>1784.6722</c:v>
                </c:pt>
                <c:pt idx="1331">
                  <c:v>1945.9142</c:v>
                </c:pt>
                <c:pt idx="1332">
                  <c:v>1440.3878</c:v>
                </c:pt>
                <c:pt idx="1333">
                  <c:v>1495.8769</c:v>
                </c:pt>
                <c:pt idx="1334">
                  <c:v>1330.7128</c:v>
                </c:pt>
                <c:pt idx="1335">
                  <c:v>1404.8755</c:v>
                </c:pt>
                <c:pt idx="1336">
                  <c:v>1207.2421</c:v>
                </c:pt>
                <c:pt idx="1337">
                  <c:v>1324.8247</c:v>
                </c:pt>
                <c:pt idx="1338">
                  <c:v>1233.9295</c:v>
                </c:pt>
                <c:pt idx="1339">
                  <c:v>1411.325</c:v>
                </c:pt>
                <c:pt idx="1340">
                  <c:v>1351.6238</c:v>
                </c:pt>
                <c:pt idx="1341">
                  <c:v>1394.7095</c:v>
                </c:pt>
                <c:pt idx="1342">
                  <c:v>1498.4241</c:v>
                </c:pt>
                <c:pt idx="1343">
                  <c:v>1456.3981</c:v>
                </c:pt>
                <c:pt idx="1344">
                  <c:v>1428.1175</c:v>
                </c:pt>
                <c:pt idx="1345">
                  <c:v>1492.8026</c:v>
                </c:pt>
                <c:pt idx="1346">
                  <c:v>28156.5987</c:v>
                </c:pt>
                <c:pt idx="1347">
                  <c:v>7004.822</c:v>
                </c:pt>
                <c:pt idx="1348">
                  <c:v>4326.656</c:v>
                </c:pt>
                <c:pt idx="1349">
                  <c:v>3490.1405</c:v>
                </c:pt>
                <c:pt idx="1350">
                  <c:v>2664.6649</c:v>
                </c:pt>
                <c:pt idx="1351">
                  <c:v>2504.2427</c:v>
                </c:pt>
                <c:pt idx="1352">
                  <c:v>2081.8417</c:v>
                </c:pt>
                <c:pt idx="1353">
                  <c:v>2034.7603</c:v>
                </c:pt>
                <c:pt idx="1354">
                  <c:v>1590.7737</c:v>
                </c:pt>
                <c:pt idx="1355">
                  <c:v>1887.1497</c:v>
                </c:pt>
                <c:pt idx="1356">
                  <c:v>1464.7736</c:v>
                </c:pt>
                <c:pt idx="1357">
                  <c:v>1515.4294</c:v>
                </c:pt>
                <c:pt idx="1358">
                  <c:v>1275.1142</c:v>
                </c:pt>
                <c:pt idx="1359">
                  <c:v>1366.1904</c:v>
                </c:pt>
                <c:pt idx="1360">
                  <c:v>1196.8309</c:v>
                </c:pt>
                <c:pt idx="1361">
                  <c:v>1315.6079</c:v>
                </c:pt>
                <c:pt idx="1362">
                  <c:v>1279.8677</c:v>
                </c:pt>
                <c:pt idx="1363">
                  <c:v>1383.2962</c:v>
                </c:pt>
                <c:pt idx="1364">
                  <c:v>3075.0195</c:v>
                </c:pt>
                <c:pt idx="1365">
                  <c:v>2534.2863</c:v>
                </c:pt>
                <c:pt idx="1366">
                  <c:v>2127.0452</c:v>
                </c:pt>
                <c:pt idx="1367">
                  <c:v>2057.2089</c:v>
                </c:pt>
                <c:pt idx="1368">
                  <c:v>1712.6103</c:v>
                </c:pt>
                <c:pt idx="1369">
                  <c:v>1804.2307</c:v>
                </c:pt>
                <c:pt idx="1370">
                  <c:v>1420.2445</c:v>
                </c:pt>
                <c:pt idx="1371">
                  <c:v>1572.5595</c:v>
                </c:pt>
                <c:pt idx="1372">
                  <c:v>1312.6215</c:v>
                </c:pt>
                <c:pt idx="1373">
                  <c:v>1434.121</c:v>
                </c:pt>
                <c:pt idx="1374">
                  <c:v>1260.9036</c:v>
                </c:pt>
                <c:pt idx="1375">
                  <c:v>1337.7997</c:v>
                </c:pt>
                <c:pt idx="1376">
                  <c:v>8611.8934</c:v>
                </c:pt>
                <c:pt idx="1377">
                  <c:v>4494.9446</c:v>
                </c:pt>
                <c:pt idx="1378">
                  <c:v>3445.0517</c:v>
                </c:pt>
                <c:pt idx="1379">
                  <c:v>2846.5536</c:v>
                </c:pt>
                <c:pt idx="1380">
                  <c:v>2334.6819</c:v>
                </c:pt>
                <c:pt idx="1381">
                  <c:v>2157.8718</c:v>
                </c:pt>
                <c:pt idx="1382">
                  <c:v>1917.7618</c:v>
                </c:pt>
                <c:pt idx="1383">
                  <c:v>1945.8332</c:v>
                </c:pt>
                <c:pt idx="1384">
                  <c:v>1753.6553</c:v>
                </c:pt>
                <c:pt idx="1385">
                  <c:v>1617.5886</c:v>
                </c:pt>
                <c:pt idx="1386">
                  <c:v>1377.1725</c:v>
                </c:pt>
                <c:pt idx="1387">
                  <c:v>1422.3484</c:v>
                </c:pt>
                <c:pt idx="1388">
                  <c:v>1147.4716</c:v>
                </c:pt>
                <c:pt idx="1389">
                  <c:v>1280.7593</c:v>
                </c:pt>
                <c:pt idx="1390">
                  <c:v>1119.558</c:v>
                </c:pt>
                <c:pt idx="1391">
                  <c:v>1392.9321</c:v>
                </c:pt>
                <c:pt idx="1392">
                  <c:v>1221.6756</c:v>
                </c:pt>
                <c:pt idx="1393">
                  <c:v>1386.7498</c:v>
                </c:pt>
                <c:pt idx="1394">
                  <c:v>3304.9963</c:v>
                </c:pt>
                <c:pt idx="1395">
                  <c:v>3031.639</c:v>
                </c:pt>
                <c:pt idx="1396">
                  <c:v>2376.0269</c:v>
                </c:pt>
                <c:pt idx="1397">
                  <c:v>2361.3168</c:v>
                </c:pt>
                <c:pt idx="1398">
                  <c:v>1877.6805</c:v>
                </c:pt>
                <c:pt idx="1399">
                  <c:v>1981.2566</c:v>
                </c:pt>
                <c:pt idx="1400">
                  <c:v>1731.5628</c:v>
                </c:pt>
                <c:pt idx="1401">
                  <c:v>1823.9039</c:v>
                </c:pt>
                <c:pt idx="1402">
                  <c:v>1426.813</c:v>
                </c:pt>
                <c:pt idx="1403">
                  <c:v>1523.2731</c:v>
                </c:pt>
                <c:pt idx="1404">
                  <c:v>1314.8989</c:v>
                </c:pt>
                <c:pt idx="1405">
                  <c:v>1390.1037</c:v>
                </c:pt>
                <c:pt idx="1406">
                  <c:v>1221.7054</c:v>
                </c:pt>
                <c:pt idx="1407">
                  <c:v>1392.5225</c:v>
                </c:pt>
                <c:pt idx="1408">
                  <c:v>2236.2651</c:v>
                </c:pt>
                <c:pt idx="1409">
                  <c:v>2228.4217</c:v>
                </c:pt>
                <c:pt idx="1410">
                  <c:v>1928.4614</c:v>
                </c:pt>
                <c:pt idx="1411">
                  <c:v>2007.7049</c:v>
                </c:pt>
                <c:pt idx="1412">
                  <c:v>1575.1801</c:v>
                </c:pt>
                <c:pt idx="1413">
                  <c:v>1640.8961</c:v>
                </c:pt>
                <c:pt idx="1414">
                  <c:v>1448.9019</c:v>
                </c:pt>
                <c:pt idx="1415">
                  <c:v>1915.2539</c:v>
                </c:pt>
                <c:pt idx="1416">
                  <c:v>1455.7546</c:v>
                </c:pt>
                <c:pt idx="1417">
                  <c:v>1499.9871</c:v>
                </c:pt>
                <c:pt idx="1418">
                  <c:v>1451.6101</c:v>
                </c:pt>
                <c:pt idx="1419">
                  <c:v>1620.7067</c:v>
                </c:pt>
                <c:pt idx="1420">
                  <c:v>1395.0904</c:v>
                </c:pt>
                <c:pt idx="1421">
                  <c:v>1620.6621</c:v>
                </c:pt>
                <c:pt idx="1422">
                  <c:v>1541.8173</c:v>
                </c:pt>
                <c:pt idx="1423">
                  <c:v>1717.647</c:v>
                </c:pt>
                <c:pt idx="1424">
                  <c:v>1452.7775</c:v>
                </c:pt>
                <c:pt idx="1425">
                  <c:v>1895.8083</c:v>
                </c:pt>
                <c:pt idx="1426">
                  <c:v>1638.3172</c:v>
                </c:pt>
                <c:pt idx="1427">
                  <c:v>1858.8952</c:v>
                </c:pt>
                <c:pt idx="1428">
                  <c:v>1634.5806</c:v>
                </c:pt>
                <c:pt idx="1429">
                  <c:v>8468.0809</c:v>
                </c:pt>
                <c:pt idx="1430">
                  <c:v>4676.3252</c:v>
                </c:pt>
                <c:pt idx="1431">
                  <c:v>3781.6136</c:v>
                </c:pt>
                <c:pt idx="1432">
                  <c:v>2764.2526</c:v>
                </c:pt>
                <c:pt idx="1433">
                  <c:v>2499.7731</c:v>
                </c:pt>
                <c:pt idx="1434">
                  <c:v>2065.116</c:v>
                </c:pt>
                <c:pt idx="1435">
                  <c:v>2045.0945</c:v>
                </c:pt>
                <c:pt idx="1436">
                  <c:v>1667.6193</c:v>
                </c:pt>
                <c:pt idx="1437">
                  <c:v>1244.27155</c:v>
                </c:pt>
                <c:pt idx="1438">
                  <c:v>1073.3865</c:v>
                </c:pt>
                <c:pt idx="1439">
                  <c:v>1137.39325</c:v>
                </c:pt>
                <c:pt idx="1440">
                  <c:v>951.307</c:v>
                </c:pt>
                <c:pt idx="1441">
                  <c:v>1238.5968</c:v>
                </c:pt>
                <c:pt idx="1442">
                  <c:v>941.9749</c:v>
                </c:pt>
                <c:pt idx="1443">
                  <c:v>2108.10965</c:v>
                </c:pt>
                <c:pt idx="1444">
                  <c:v>1589.21325</c:v>
                </c:pt>
                <c:pt idx="1445">
                  <c:v>1417.72505</c:v>
                </c:pt>
                <c:pt idx="1446">
                  <c:v>1189.1138</c:v>
                </c:pt>
                <c:pt idx="1447">
                  <c:v>1226.63085</c:v>
                </c:pt>
                <c:pt idx="1448">
                  <c:v>1058.5348</c:v>
                </c:pt>
                <c:pt idx="1449">
                  <c:v>1133.1072</c:v>
                </c:pt>
                <c:pt idx="1450">
                  <c:v>976.2328</c:v>
                </c:pt>
                <c:pt idx="1451">
                  <c:v>965.0507</c:v>
                </c:pt>
                <c:pt idx="1452">
                  <c:v>997.9217</c:v>
                </c:pt>
                <c:pt idx="1453">
                  <c:v>1295.28005</c:v>
                </c:pt>
                <c:pt idx="1454">
                  <c:v>1130.3583</c:v>
                </c:pt>
                <c:pt idx="1455">
                  <c:v>1231.9133</c:v>
                </c:pt>
                <c:pt idx="1456">
                  <c:v>1038.3523</c:v>
                </c:pt>
                <c:pt idx="1457">
                  <c:v>1161.14475</c:v>
                </c:pt>
                <c:pt idx="1458">
                  <c:v>4183.47995</c:v>
                </c:pt>
                <c:pt idx="1459">
                  <c:v>3011.2103</c:v>
                </c:pt>
                <c:pt idx="1460">
                  <c:v>2386.6632</c:v>
                </c:pt>
                <c:pt idx="1461">
                  <c:v>2072.60315</c:v>
                </c:pt>
                <c:pt idx="1462">
                  <c:v>1777.3431</c:v>
                </c:pt>
                <c:pt idx="1463">
                  <c:v>1686.84855</c:v>
                </c:pt>
                <c:pt idx="1464">
                  <c:v>1279.35975</c:v>
                </c:pt>
                <c:pt idx="1465">
                  <c:v>1301.11455</c:v>
                </c:pt>
                <c:pt idx="1466">
                  <c:v>1113.59835</c:v>
                </c:pt>
                <c:pt idx="1467">
                  <c:v>1134.30615</c:v>
                </c:pt>
                <c:pt idx="1468">
                  <c:v>955.83495</c:v>
                </c:pt>
                <c:pt idx="1469">
                  <c:v>1043.15175</c:v>
                </c:pt>
                <c:pt idx="1470">
                  <c:v>917.2316</c:v>
                </c:pt>
                <c:pt idx="1471">
                  <c:v>1014.2894</c:v>
                </c:pt>
                <c:pt idx="1472">
                  <c:v>948.6382</c:v>
                </c:pt>
                <c:pt idx="1473">
                  <c:v>1078.91185</c:v>
                </c:pt>
                <c:pt idx="1474">
                  <c:v>1623.0564</c:v>
                </c:pt>
                <c:pt idx="1475">
                  <c:v>1539.809</c:v>
                </c:pt>
                <c:pt idx="1476">
                  <c:v>1246.3816</c:v>
                </c:pt>
                <c:pt idx="1477">
                  <c:v>1299.2943</c:v>
                </c:pt>
                <c:pt idx="1478">
                  <c:v>1126.72075</c:v>
                </c:pt>
                <c:pt idx="1479">
                  <c:v>1168.56355</c:v>
                </c:pt>
                <c:pt idx="1480">
                  <c:v>1008.82695</c:v>
                </c:pt>
                <c:pt idx="1481">
                  <c:v>1148.40585</c:v>
                </c:pt>
                <c:pt idx="1482">
                  <c:v>3441.09535</c:v>
                </c:pt>
                <c:pt idx="1483">
                  <c:v>2506.754</c:v>
                </c:pt>
                <c:pt idx="1484">
                  <c:v>2131.0829</c:v>
                </c:pt>
                <c:pt idx="1485">
                  <c:v>1909.328</c:v>
                </c:pt>
                <c:pt idx="1486">
                  <c:v>1635.69395</c:v>
                </c:pt>
                <c:pt idx="1487">
                  <c:v>1395.568</c:v>
                </c:pt>
                <c:pt idx="1488">
                  <c:v>1147.44275</c:v>
                </c:pt>
                <c:pt idx="1489">
                  <c:v>1181.96855</c:v>
                </c:pt>
                <c:pt idx="1490">
                  <c:v>1010.1696</c:v>
                </c:pt>
                <c:pt idx="1491">
                  <c:v>1050.2935</c:v>
                </c:pt>
                <c:pt idx="1492">
                  <c:v>867.395</c:v>
                </c:pt>
                <c:pt idx="1493">
                  <c:v>1014.05295</c:v>
                </c:pt>
                <c:pt idx="1494">
                  <c:v>1138.4595</c:v>
                </c:pt>
                <c:pt idx="1495">
                  <c:v>1193.1402</c:v>
                </c:pt>
                <c:pt idx="1496">
                  <c:v>1020.38325</c:v>
                </c:pt>
                <c:pt idx="1497">
                  <c:v>1080.46635</c:v>
                </c:pt>
                <c:pt idx="1498">
                  <c:v>935.04205</c:v>
                </c:pt>
                <c:pt idx="1499">
                  <c:v>1025.7425</c:v>
                </c:pt>
                <c:pt idx="1500">
                  <c:v>986.7776</c:v>
                </c:pt>
                <c:pt idx="1501">
                  <c:v>1132.42325</c:v>
                </c:pt>
                <c:pt idx="1502">
                  <c:v>2692.57915</c:v>
                </c:pt>
                <c:pt idx="1503">
                  <c:v>2227.4062</c:v>
                </c:pt>
                <c:pt idx="1504">
                  <c:v>1871.87665</c:v>
                </c:pt>
                <c:pt idx="1505">
                  <c:v>1780.3194</c:v>
                </c:pt>
                <c:pt idx="1506">
                  <c:v>1417.6397</c:v>
                </c:pt>
                <c:pt idx="1507">
                  <c:v>1378.7967</c:v>
                </c:pt>
                <c:pt idx="1508">
                  <c:v>1151.3565</c:v>
                </c:pt>
                <c:pt idx="1509">
                  <c:v>1204.63675</c:v>
                </c:pt>
                <c:pt idx="1510">
                  <c:v>999.76595</c:v>
                </c:pt>
                <c:pt idx="1511">
                  <c:v>1057.7859</c:v>
                </c:pt>
                <c:pt idx="1512">
                  <c:v>927.6891</c:v>
                </c:pt>
                <c:pt idx="1513">
                  <c:v>1391.45465</c:v>
                </c:pt>
                <c:pt idx="1514">
                  <c:v>1194.2951</c:v>
                </c:pt>
                <c:pt idx="1515">
                  <c:v>1182.6148</c:v>
                </c:pt>
                <c:pt idx="1516">
                  <c:v>1022.222</c:v>
                </c:pt>
                <c:pt idx="1517">
                  <c:v>1168.54505</c:v>
                </c:pt>
                <c:pt idx="1518">
                  <c:v>2910.8732</c:v>
                </c:pt>
                <c:pt idx="1519">
                  <c:v>2457.4257</c:v>
                </c:pt>
                <c:pt idx="1520">
                  <c:v>1954.53785</c:v>
                </c:pt>
                <c:pt idx="1521">
                  <c:v>1994.9159</c:v>
                </c:pt>
                <c:pt idx="1522">
                  <c:v>1557.5608</c:v>
                </c:pt>
                <c:pt idx="1523">
                  <c:v>1326.5542</c:v>
                </c:pt>
                <c:pt idx="1524">
                  <c:v>1099.4588</c:v>
                </c:pt>
                <c:pt idx="1525">
                  <c:v>1171.13025</c:v>
                </c:pt>
                <c:pt idx="1526">
                  <c:v>995.90495</c:v>
                </c:pt>
                <c:pt idx="1527">
                  <c:v>1090.67025</c:v>
                </c:pt>
                <c:pt idx="1528">
                  <c:v>982.8333</c:v>
                </c:pt>
                <c:pt idx="1529">
                  <c:v>2418.26275</c:v>
                </c:pt>
                <c:pt idx="1530">
                  <c:v>1981.25415</c:v>
                </c:pt>
                <c:pt idx="1531">
                  <c:v>1881.10995</c:v>
                </c:pt>
                <c:pt idx="1532">
                  <c:v>1598.819</c:v>
                </c:pt>
                <c:pt idx="1533">
                  <c:v>1346.37845</c:v>
                </c:pt>
                <c:pt idx="1534">
                  <c:v>1107.88985</c:v>
                </c:pt>
                <c:pt idx="1535">
                  <c:v>1181.27825</c:v>
                </c:pt>
                <c:pt idx="1536">
                  <c:v>908.39205</c:v>
                </c:pt>
                <c:pt idx="1537">
                  <c:v>1013.37205</c:v>
                </c:pt>
                <c:pt idx="1538">
                  <c:v>892.4832</c:v>
                </c:pt>
                <c:pt idx="1539">
                  <c:v>1701.47865</c:v>
                </c:pt>
                <c:pt idx="1540">
                  <c:v>1357.9464</c:v>
                </c:pt>
                <c:pt idx="1541">
                  <c:v>1338.90805</c:v>
                </c:pt>
                <c:pt idx="1542">
                  <c:v>1061.39105</c:v>
                </c:pt>
                <c:pt idx="1543">
                  <c:v>1139.90935</c:v>
                </c:pt>
                <c:pt idx="1544">
                  <c:v>1099.35975</c:v>
                </c:pt>
                <c:pt idx="1545">
                  <c:v>1049.3151</c:v>
                </c:pt>
                <c:pt idx="1546">
                  <c:v>889.0013</c:v>
                </c:pt>
                <c:pt idx="1547">
                  <c:v>1056.2584</c:v>
                </c:pt>
                <c:pt idx="1548">
                  <c:v>984.5411</c:v>
                </c:pt>
                <c:pt idx="1549">
                  <c:v>1008.5071</c:v>
                </c:pt>
                <c:pt idx="1550">
                  <c:v>881.2363</c:v>
                </c:pt>
                <c:pt idx="1551">
                  <c:v>1062.8212</c:v>
                </c:pt>
                <c:pt idx="1552">
                  <c:v>915.34995</c:v>
                </c:pt>
                <c:pt idx="1553">
                  <c:v>1044.5611</c:v>
                </c:pt>
                <c:pt idx="1554">
                  <c:v>1322.7551</c:v>
                </c:pt>
                <c:pt idx="1555">
                  <c:v>1170.4491</c:v>
                </c:pt>
                <c:pt idx="1556">
                  <c:v>1181.677</c:v>
                </c:pt>
                <c:pt idx="1557">
                  <c:v>1188.4512</c:v>
                </c:pt>
                <c:pt idx="1558">
                  <c:v>1006.40755</c:v>
                </c:pt>
                <c:pt idx="1559">
                  <c:v>1082.22515</c:v>
                </c:pt>
                <c:pt idx="1560">
                  <c:v>963.59075</c:v>
                </c:pt>
                <c:pt idx="1561">
                  <c:v>1847.99805</c:v>
                </c:pt>
                <c:pt idx="1562">
                  <c:v>1541.8773</c:v>
                </c:pt>
                <c:pt idx="1563">
                  <c:v>1326.9694</c:v>
                </c:pt>
                <c:pt idx="1564">
                  <c:v>1131.464</c:v>
                </c:pt>
                <c:pt idx="1565">
                  <c:v>1188.3109</c:v>
                </c:pt>
                <c:pt idx="1566">
                  <c:v>1016.2405</c:v>
                </c:pt>
                <c:pt idx="1567">
                  <c:v>1086.44855</c:v>
                </c:pt>
                <c:pt idx="1568">
                  <c:v>935.48655</c:v>
                </c:pt>
                <c:pt idx="1569">
                  <c:v>1053.4546</c:v>
                </c:pt>
                <c:pt idx="1570">
                  <c:v>1140.9403</c:v>
                </c:pt>
                <c:pt idx="1571">
                  <c:v>1215.4557</c:v>
                </c:pt>
                <c:pt idx="1572">
                  <c:v>1010.7418</c:v>
                </c:pt>
                <c:pt idx="1573">
                  <c:v>1095.4729</c:v>
                </c:pt>
                <c:pt idx="1574">
                  <c:v>977.73335</c:v>
                </c:pt>
                <c:pt idx="1575">
                  <c:v>1709.4593</c:v>
                </c:pt>
                <c:pt idx="1576">
                  <c:v>1360.7608</c:v>
                </c:pt>
                <c:pt idx="1577">
                  <c:v>1336.05035</c:v>
                </c:pt>
                <c:pt idx="1578">
                  <c:v>1126.1343</c:v>
                </c:pt>
                <c:pt idx="1579">
                  <c:v>1221.02405</c:v>
                </c:pt>
                <c:pt idx="1580">
                  <c:v>1032.7098</c:v>
                </c:pt>
                <c:pt idx="1581">
                  <c:v>1061.41135</c:v>
                </c:pt>
                <c:pt idx="1582">
                  <c:v>952.8711</c:v>
                </c:pt>
                <c:pt idx="1583">
                  <c:v>1374.95965</c:v>
                </c:pt>
                <c:pt idx="1584">
                  <c:v>1153.87625</c:v>
                </c:pt>
                <c:pt idx="1585">
                  <c:v>1224.18685</c:v>
                </c:pt>
                <c:pt idx="1586">
                  <c:v>1034.1123</c:v>
                </c:pt>
                <c:pt idx="1587">
                  <c:v>1103.8295</c:v>
                </c:pt>
                <c:pt idx="1588">
                  <c:v>1002.6505</c:v>
                </c:pt>
                <c:pt idx="1589">
                  <c:v>1439.74535</c:v>
                </c:pt>
                <c:pt idx="1590">
                  <c:v>1207.2293</c:v>
                </c:pt>
                <c:pt idx="1591">
                  <c:v>1257.86005</c:v>
                </c:pt>
                <c:pt idx="1592">
                  <c:v>1080.17695</c:v>
                </c:pt>
                <c:pt idx="1593">
                  <c:v>1122.33415</c:v>
                </c:pt>
                <c:pt idx="1594">
                  <c:v>1007.2907</c:v>
                </c:pt>
                <c:pt idx="1595">
                  <c:v>1381.79515</c:v>
                </c:pt>
                <c:pt idx="1596">
                  <c:v>1164.1473</c:v>
                </c:pt>
                <c:pt idx="1597">
                  <c:v>1280.972</c:v>
                </c:pt>
                <c:pt idx="1598">
                  <c:v>1080.5619</c:v>
                </c:pt>
                <c:pt idx="1599">
                  <c:v>1143.5173</c:v>
                </c:pt>
                <c:pt idx="1600">
                  <c:v>1429.6899</c:v>
                </c:pt>
                <c:pt idx="1601">
                  <c:v>1427.1221</c:v>
                </c:pt>
                <c:pt idx="1602">
                  <c:v>1272.04765</c:v>
                </c:pt>
                <c:pt idx="1603">
                  <c:v>1291.69615</c:v>
                </c:pt>
                <c:pt idx="1604">
                  <c:v>1126.6886</c:v>
                </c:pt>
                <c:pt idx="1605">
                  <c:v>1251.36095</c:v>
                </c:pt>
                <c:pt idx="1606">
                  <c:v>2974.28245</c:v>
                </c:pt>
                <c:pt idx="1607">
                  <c:v>2637.85305</c:v>
                </c:pt>
                <c:pt idx="1608">
                  <c:v>2085.5629</c:v>
                </c:pt>
                <c:pt idx="1609">
                  <c:v>2020.00085</c:v>
                </c:pt>
                <c:pt idx="1610">
                  <c:v>1793.1731</c:v>
                </c:pt>
                <c:pt idx="1611">
                  <c:v>1743.93415</c:v>
                </c:pt>
                <c:pt idx="1612">
                  <c:v>1464.37795</c:v>
                </c:pt>
                <c:pt idx="1613">
                  <c:v>1439.4063</c:v>
                </c:pt>
                <c:pt idx="1614">
                  <c:v>1249.51375</c:v>
                </c:pt>
                <c:pt idx="1615">
                  <c:v>1294.03825</c:v>
                </c:pt>
                <c:pt idx="1616">
                  <c:v>1092.54355</c:v>
                </c:pt>
                <c:pt idx="1617">
                  <c:v>1187.3427</c:v>
                </c:pt>
                <c:pt idx="1618">
                  <c:v>3437.65405</c:v>
                </c:pt>
                <c:pt idx="1619">
                  <c:v>2707.7946</c:v>
                </c:pt>
                <c:pt idx="1620">
                  <c:v>1999.3005</c:v>
                </c:pt>
                <c:pt idx="1621">
                  <c:v>1903.6338</c:v>
                </c:pt>
                <c:pt idx="1622">
                  <c:v>1625.2787</c:v>
                </c:pt>
                <c:pt idx="1623">
                  <c:v>1671.54475</c:v>
                </c:pt>
                <c:pt idx="1624">
                  <c:v>1294.05295</c:v>
                </c:pt>
                <c:pt idx="1625">
                  <c:v>1324.51675</c:v>
                </c:pt>
                <c:pt idx="1626">
                  <c:v>1143.5558</c:v>
                </c:pt>
                <c:pt idx="1627">
                  <c:v>1192.59005</c:v>
                </c:pt>
                <c:pt idx="1628">
                  <c:v>1116.81815</c:v>
                </c:pt>
                <c:pt idx="1629">
                  <c:v>2861.96935</c:v>
                </c:pt>
                <c:pt idx="1630">
                  <c:v>2098.4211</c:v>
                </c:pt>
                <c:pt idx="1631">
                  <c:v>1875.6559</c:v>
                </c:pt>
                <c:pt idx="1632">
                  <c:v>1650.9573</c:v>
                </c:pt>
                <c:pt idx="1633">
                  <c:v>1442.664</c:v>
                </c:pt>
                <c:pt idx="1634">
                  <c:v>1241.06755</c:v>
                </c:pt>
                <c:pt idx="1635">
                  <c:v>1287.36855</c:v>
                </c:pt>
                <c:pt idx="1636">
                  <c:v>1109.0107</c:v>
                </c:pt>
                <c:pt idx="1637">
                  <c:v>1184.58205</c:v>
                </c:pt>
                <c:pt idx="1638">
                  <c:v>1043.97145</c:v>
                </c:pt>
                <c:pt idx="1639">
                  <c:v>1955.75505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6372517"/>
        <c:axId val="255489726"/>
      </c:lineChart>
      <c:catAx>
        <c:axId val="7963725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489726"/>
        <c:crosses val="autoZero"/>
        <c:auto val="1"/>
        <c:lblAlgn val="ctr"/>
        <c:lblOffset val="100"/>
        <c:noMultiLvlLbl val="0"/>
      </c:catAx>
      <c:valAx>
        <c:axId val="255489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3725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current-sales($)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Sheet1!$M$2:$M$2908</c:f>
              <c:numCache>
                <c:formatCode>General</c:formatCode>
                <c:ptCount val="2907"/>
                <c:pt idx="1">
                  <c:v>21618460</c:v>
                </c:pt>
                <c:pt idx="2">
                  <c:v>17161761</c:v>
                </c:pt>
                <c:pt idx="3">
                  <c:v>29730587</c:v>
                </c:pt>
                <c:pt idx="4">
                  <c:v>20741474</c:v>
                </c:pt>
                <c:pt idx="5">
                  <c:v>17366891</c:v>
                </c:pt>
                <c:pt idx="6">
                  <c:v>27622912</c:v>
                </c:pt>
                <c:pt idx="7">
                  <c:v>19198463</c:v>
                </c:pt>
                <c:pt idx="8">
                  <c:v>16677876</c:v>
                </c:pt>
                <c:pt idx="9">
                  <c:v>26949664</c:v>
                </c:pt>
                <c:pt idx="10">
                  <c:v>18847495</c:v>
                </c:pt>
                <c:pt idx="11">
                  <c:v>22743688</c:v>
                </c:pt>
                <c:pt idx="12">
                  <c:v>36254524</c:v>
                </c:pt>
                <c:pt idx="13">
                  <c:v>24670447</c:v>
                </c:pt>
                <c:pt idx="14">
                  <c:v>21234385</c:v>
                </c:pt>
                <c:pt idx="15">
                  <c:v>33586986</c:v>
                </c:pt>
                <c:pt idx="16">
                  <c:v>23878889</c:v>
                </c:pt>
                <c:pt idx="17">
                  <c:v>20928278</c:v>
                </c:pt>
                <c:pt idx="18">
                  <c:v>31872740</c:v>
                </c:pt>
                <c:pt idx="19">
                  <c:v>22178647</c:v>
                </c:pt>
                <c:pt idx="20">
                  <c:v>19384288</c:v>
                </c:pt>
                <c:pt idx="21">
                  <c:v>30969425</c:v>
                </c:pt>
                <c:pt idx="22">
                  <c:v>22343618</c:v>
                </c:pt>
                <c:pt idx="23">
                  <c:v>23863888</c:v>
                </c:pt>
                <c:pt idx="24">
                  <c:v>239620118</c:v>
                </c:pt>
                <c:pt idx="25">
                  <c:v>165552255</c:v>
                </c:pt>
                <c:pt idx="26">
                  <c:v>119616110</c:v>
                </c:pt>
                <c:pt idx="27">
                  <c:v>130646238</c:v>
                </c:pt>
                <c:pt idx="28">
                  <c:v>93934452</c:v>
                </c:pt>
                <c:pt idx="29">
                  <c:v>86027532</c:v>
                </c:pt>
                <c:pt idx="30">
                  <c:v>103539592</c:v>
                </c:pt>
                <c:pt idx="31">
                  <c:v>66871181</c:v>
                </c:pt>
                <c:pt idx="32">
                  <c:v>50578283</c:v>
                </c:pt>
                <c:pt idx="33">
                  <c:v>70802425</c:v>
                </c:pt>
                <c:pt idx="34">
                  <c:v>46475666</c:v>
                </c:pt>
                <c:pt idx="35">
                  <c:v>37107079</c:v>
                </c:pt>
                <c:pt idx="36">
                  <c:v>56144119</c:v>
                </c:pt>
                <c:pt idx="37">
                  <c:v>37214691</c:v>
                </c:pt>
                <c:pt idx="38">
                  <c:v>32696358</c:v>
                </c:pt>
                <c:pt idx="39">
                  <c:v>50231806</c:v>
                </c:pt>
                <c:pt idx="40">
                  <c:v>33130393</c:v>
                </c:pt>
                <c:pt idx="41">
                  <c:v>27518645</c:v>
                </c:pt>
                <c:pt idx="42">
                  <c:v>42669165</c:v>
                </c:pt>
                <c:pt idx="43">
                  <c:v>29280643</c:v>
                </c:pt>
                <c:pt idx="44">
                  <c:v>24800639</c:v>
                </c:pt>
                <c:pt idx="45">
                  <c:v>38910620</c:v>
                </c:pt>
                <c:pt idx="46">
                  <c:v>26279869</c:v>
                </c:pt>
                <c:pt idx="47">
                  <c:v>22602964</c:v>
                </c:pt>
                <c:pt idx="48">
                  <c:v>37936878</c:v>
                </c:pt>
                <c:pt idx="49">
                  <c:v>25385812</c:v>
                </c:pt>
                <c:pt idx="50">
                  <c:v>21975120</c:v>
                </c:pt>
                <c:pt idx="51">
                  <c:v>35805373</c:v>
                </c:pt>
                <c:pt idx="52">
                  <c:v>23751503</c:v>
                </c:pt>
                <c:pt idx="53">
                  <c:v>20268661</c:v>
                </c:pt>
                <c:pt idx="54">
                  <c:v>32558312</c:v>
                </c:pt>
                <c:pt idx="55">
                  <c:v>22472027</c:v>
                </c:pt>
                <c:pt idx="56">
                  <c:v>19589886</c:v>
                </c:pt>
                <c:pt idx="57">
                  <c:v>30553116</c:v>
                </c:pt>
                <c:pt idx="58">
                  <c:v>20920065</c:v>
                </c:pt>
                <c:pt idx="59">
                  <c:v>17347472</c:v>
                </c:pt>
                <c:pt idx="60">
                  <c:v>29299665</c:v>
                </c:pt>
                <c:pt idx="61">
                  <c:v>20039277</c:v>
                </c:pt>
                <c:pt idx="62">
                  <c:v>17953843</c:v>
                </c:pt>
                <c:pt idx="63">
                  <c:v>28653734</c:v>
                </c:pt>
                <c:pt idx="64">
                  <c:v>23223307</c:v>
                </c:pt>
                <c:pt idx="65">
                  <c:v>104512304</c:v>
                </c:pt>
                <c:pt idx="66">
                  <c:v>138487492</c:v>
                </c:pt>
                <c:pt idx="67">
                  <c:v>86641786</c:v>
                </c:pt>
                <c:pt idx="68">
                  <c:v>55686940</c:v>
                </c:pt>
                <c:pt idx="69">
                  <c:v>86807703</c:v>
                </c:pt>
                <c:pt idx="70">
                  <c:v>51626402</c:v>
                </c:pt>
                <c:pt idx="71">
                  <c:v>40225791</c:v>
                </c:pt>
                <c:pt idx="72">
                  <c:v>58913998</c:v>
                </c:pt>
                <c:pt idx="73">
                  <c:v>41681718</c:v>
                </c:pt>
                <c:pt idx="74">
                  <c:v>31764942</c:v>
                </c:pt>
                <c:pt idx="75">
                  <c:v>47744794</c:v>
                </c:pt>
                <c:pt idx="76">
                  <c:v>33152347</c:v>
                </c:pt>
                <c:pt idx="77">
                  <c:v>28974658</c:v>
                </c:pt>
                <c:pt idx="78">
                  <c:v>45073953</c:v>
                </c:pt>
                <c:pt idx="79">
                  <c:v>29527760</c:v>
                </c:pt>
                <c:pt idx="80">
                  <c:v>26022134</c:v>
                </c:pt>
                <c:pt idx="81">
                  <c:v>36923450</c:v>
                </c:pt>
                <c:pt idx="82">
                  <c:v>31959058</c:v>
                </c:pt>
                <c:pt idx="83">
                  <c:v>24469289</c:v>
                </c:pt>
                <c:pt idx="84">
                  <c:v>37842584</c:v>
                </c:pt>
                <c:pt idx="85">
                  <c:v>26623604</c:v>
                </c:pt>
                <c:pt idx="86">
                  <c:v>23284136</c:v>
                </c:pt>
                <c:pt idx="87">
                  <c:v>37145344</c:v>
                </c:pt>
                <c:pt idx="88">
                  <c:v>25928523</c:v>
                </c:pt>
                <c:pt idx="89">
                  <c:v>21910154</c:v>
                </c:pt>
                <c:pt idx="90">
                  <c:v>34838255</c:v>
                </c:pt>
                <c:pt idx="91">
                  <c:v>24485575</c:v>
                </c:pt>
                <c:pt idx="92">
                  <c:v>20936518</c:v>
                </c:pt>
                <c:pt idx="93">
                  <c:v>33127261</c:v>
                </c:pt>
                <c:pt idx="94">
                  <c:v>24036539</c:v>
                </c:pt>
                <c:pt idx="95">
                  <c:v>19600306</c:v>
                </c:pt>
                <c:pt idx="96">
                  <c:v>30710423</c:v>
                </c:pt>
                <c:pt idx="97">
                  <c:v>22163830</c:v>
                </c:pt>
                <c:pt idx="98">
                  <c:v>18991178</c:v>
                </c:pt>
                <c:pt idx="99">
                  <c:v>34351027</c:v>
                </c:pt>
                <c:pt idx="100">
                  <c:v>283265661</c:v>
                </c:pt>
                <c:pt idx="101">
                  <c:v>204536087</c:v>
                </c:pt>
                <c:pt idx="102">
                  <c:v>252920433</c:v>
                </c:pt>
                <c:pt idx="103">
                  <c:v>187277657</c:v>
                </c:pt>
                <c:pt idx="104">
                  <c:v>145828848</c:v>
                </c:pt>
                <c:pt idx="105">
                  <c:v>145930789</c:v>
                </c:pt>
                <c:pt idx="106">
                  <c:v>94838249</c:v>
                </c:pt>
                <c:pt idx="107">
                  <c:v>68930097</c:v>
                </c:pt>
                <c:pt idx="108">
                  <c:v>87982285</c:v>
                </c:pt>
                <c:pt idx="109">
                  <c:v>59596549</c:v>
                </c:pt>
                <c:pt idx="110">
                  <c:v>48267548</c:v>
                </c:pt>
                <c:pt idx="111">
                  <c:v>67002814</c:v>
                </c:pt>
                <c:pt idx="112">
                  <c:v>47997806</c:v>
                </c:pt>
                <c:pt idx="113">
                  <c:v>40157779</c:v>
                </c:pt>
                <c:pt idx="114">
                  <c:v>59593054</c:v>
                </c:pt>
                <c:pt idx="115">
                  <c:v>40118442</c:v>
                </c:pt>
                <c:pt idx="116">
                  <c:v>31319168</c:v>
                </c:pt>
                <c:pt idx="117">
                  <c:v>54393634</c:v>
                </c:pt>
                <c:pt idx="118">
                  <c:v>36302158</c:v>
                </c:pt>
                <c:pt idx="119">
                  <c:v>31397509</c:v>
                </c:pt>
                <c:pt idx="120">
                  <c:v>48375961</c:v>
                </c:pt>
                <c:pt idx="121">
                  <c:v>35010815</c:v>
                </c:pt>
                <c:pt idx="122">
                  <c:v>28822739</c:v>
                </c:pt>
                <c:pt idx="123">
                  <c:v>45679536</c:v>
                </c:pt>
                <c:pt idx="124">
                  <c:v>32407525</c:v>
                </c:pt>
                <c:pt idx="125">
                  <c:v>27056479</c:v>
                </c:pt>
                <c:pt idx="126">
                  <c:v>42281779</c:v>
                </c:pt>
                <c:pt idx="127">
                  <c:v>36958065</c:v>
                </c:pt>
                <c:pt idx="128">
                  <c:v>30743334</c:v>
                </c:pt>
                <c:pt idx="129">
                  <c:v>49664709</c:v>
                </c:pt>
                <c:pt idx="130">
                  <c:v>32611961</c:v>
                </c:pt>
                <c:pt idx="131">
                  <c:v>23841541</c:v>
                </c:pt>
                <c:pt idx="132">
                  <c:v>36009900</c:v>
                </c:pt>
                <c:pt idx="133">
                  <c:v>24007282</c:v>
                </c:pt>
                <c:pt idx="134">
                  <c:v>19317951</c:v>
                </c:pt>
                <c:pt idx="135">
                  <c:v>35829741</c:v>
                </c:pt>
                <c:pt idx="136">
                  <c:v>264386691</c:v>
                </c:pt>
                <c:pt idx="137">
                  <c:v>155307916</c:v>
                </c:pt>
                <c:pt idx="138">
                  <c:v>167822992</c:v>
                </c:pt>
                <c:pt idx="139">
                  <c:v>107649307</c:v>
                </c:pt>
                <c:pt idx="140">
                  <c:v>82788555</c:v>
                </c:pt>
                <c:pt idx="141">
                  <c:v>99903354</c:v>
                </c:pt>
                <c:pt idx="142">
                  <c:v>48922961</c:v>
                </c:pt>
                <c:pt idx="143">
                  <c:v>43479986</c:v>
                </c:pt>
                <c:pt idx="144">
                  <c:v>54642130</c:v>
                </c:pt>
                <c:pt idx="145">
                  <c:v>36682695</c:v>
                </c:pt>
                <c:pt idx="146">
                  <c:v>30598857</c:v>
                </c:pt>
                <c:pt idx="147">
                  <c:v>48520653</c:v>
                </c:pt>
                <c:pt idx="148">
                  <c:v>33691907</c:v>
                </c:pt>
                <c:pt idx="149">
                  <c:v>26109893</c:v>
                </c:pt>
                <c:pt idx="150">
                  <c:v>42092382</c:v>
                </c:pt>
                <c:pt idx="151">
                  <c:v>29006276</c:v>
                </c:pt>
                <c:pt idx="152">
                  <c:v>24454825</c:v>
                </c:pt>
                <c:pt idx="153">
                  <c:v>39014581</c:v>
                </c:pt>
                <c:pt idx="154">
                  <c:v>25890470</c:v>
                </c:pt>
                <c:pt idx="155">
                  <c:v>22282466</c:v>
                </c:pt>
                <c:pt idx="156">
                  <c:v>36506088</c:v>
                </c:pt>
                <c:pt idx="157">
                  <c:v>25088507</c:v>
                </c:pt>
                <c:pt idx="158">
                  <c:v>19225091</c:v>
                </c:pt>
                <c:pt idx="159">
                  <c:v>33950145</c:v>
                </c:pt>
                <c:pt idx="160">
                  <c:v>22813755</c:v>
                </c:pt>
                <c:pt idx="161">
                  <c:v>19187800</c:v>
                </c:pt>
                <c:pt idx="162">
                  <c:v>31134783</c:v>
                </c:pt>
                <c:pt idx="163">
                  <c:v>21892793</c:v>
                </c:pt>
                <c:pt idx="164">
                  <c:v>18572816</c:v>
                </c:pt>
                <c:pt idx="165">
                  <c:v>30489181</c:v>
                </c:pt>
                <c:pt idx="166">
                  <c:v>21077748</c:v>
                </c:pt>
                <c:pt idx="167">
                  <c:v>17334175</c:v>
                </c:pt>
                <c:pt idx="168">
                  <c:v>27814048</c:v>
                </c:pt>
                <c:pt idx="169">
                  <c:v>19657109</c:v>
                </c:pt>
                <c:pt idx="170">
                  <c:v>16382528</c:v>
                </c:pt>
                <c:pt idx="171">
                  <c:v>26108671</c:v>
                </c:pt>
                <c:pt idx="172">
                  <c:v>17553469</c:v>
                </c:pt>
                <c:pt idx="173">
                  <c:v>14500629</c:v>
                </c:pt>
                <c:pt idx="174">
                  <c:v>23975050</c:v>
                </c:pt>
                <c:pt idx="175">
                  <c:v>27110561</c:v>
                </c:pt>
                <c:pt idx="176">
                  <c:v>22450456</c:v>
                </c:pt>
                <c:pt idx="177">
                  <c:v>34313799</c:v>
                </c:pt>
                <c:pt idx="178">
                  <c:v>23873989</c:v>
                </c:pt>
                <c:pt idx="179">
                  <c:v>18919752</c:v>
                </c:pt>
                <c:pt idx="180">
                  <c:v>31961272</c:v>
                </c:pt>
                <c:pt idx="181">
                  <c:v>21772031</c:v>
                </c:pt>
                <c:pt idx="182">
                  <c:v>18908467</c:v>
                </c:pt>
                <c:pt idx="183">
                  <c:v>30743780</c:v>
                </c:pt>
                <c:pt idx="184">
                  <c:v>20952250</c:v>
                </c:pt>
                <c:pt idx="185">
                  <c:v>17799797</c:v>
                </c:pt>
                <c:pt idx="186">
                  <c:v>28882201</c:v>
                </c:pt>
                <c:pt idx="187">
                  <c:v>19501405</c:v>
                </c:pt>
                <c:pt idx="188">
                  <c:v>16238128</c:v>
                </c:pt>
                <c:pt idx="189">
                  <c:v>26849942</c:v>
                </c:pt>
                <c:pt idx="190">
                  <c:v>18558293</c:v>
                </c:pt>
                <c:pt idx="191">
                  <c:v>15494539</c:v>
                </c:pt>
                <c:pt idx="192">
                  <c:v>26046952</c:v>
                </c:pt>
                <c:pt idx="193">
                  <c:v>17948655</c:v>
                </c:pt>
                <c:pt idx="194">
                  <c:v>15002844</c:v>
                </c:pt>
                <c:pt idx="195">
                  <c:v>34274154</c:v>
                </c:pt>
                <c:pt idx="196">
                  <c:v>24041735</c:v>
                </c:pt>
                <c:pt idx="197">
                  <c:v>20409381</c:v>
                </c:pt>
                <c:pt idx="198">
                  <c:v>32277228</c:v>
                </c:pt>
                <c:pt idx="199">
                  <c:v>22952004</c:v>
                </c:pt>
                <c:pt idx="200">
                  <c:v>18292251</c:v>
                </c:pt>
                <c:pt idx="201">
                  <c:v>29667603</c:v>
                </c:pt>
                <c:pt idx="202">
                  <c:v>20589097</c:v>
                </c:pt>
                <c:pt idx="203">
                  <c:v>17308700</c:v>
                </c:pt>
                <c:pt idx="204">
                  <c:v>28972118</c:v>
                </c:pt>
                <c:pt idx="205">
                  <c:v>22381257</c:v>
                </c:pt>
                <c:pt idx="206">
                  <c:v>87570597</c:v>
                </c:pt>
                <c:pt idx="207">
                  <c:v>107893878</c:v>
                </c:pt>
                <c:pt idx="208">
                  <c:v>68946388</c:v>
                </c:pt>
                <c:pt idx="209">
                  <c:v>52713413</c:v>
                </c:pt>
                <c:pt idx="210">
                  <c:v>75544546</c:v>
                </c:pt>
                <c:pt idx="211">
                  <c:v>51915160</c:v>
                </c:pt>
                <c:pt idx="212">
                  <c:v>42309783</c:v>
                </c:pt>
                <c:pt idx="213">
                  <c:v>61713889</c:v>
                </c:pt>
                <c:pt idx="214">
                  <c:v>43037700</c:v>
                </c:pt>
                <c:pt idx="215">
                  <c:v>34659035</c:v>
                </c:pt>
                <c:pt idx="216">
                  <c:v>72284670</c:v>
                </c:pt>
                <c:pt idx="217">
                  <c:v>45278468</c:v>
                </c:pt>
                <c:pt idx="218">
                  <c:v>35921589</c:v>
                </c:pt>
                <c:pt idx="219">
                  <c:v>57410017</c:v>
                </c:pt>
                <c:pt idx="220">
                  <c:v>35994870</c:v>
                </c:pt>
                <c:pt idx="221">
                  <c:v>26562386</c:v>
                </c:pt>
                <c:pt idx="222">
                  <c:v>51380358</c:v>
                </c:pt>
                <c:pt idx="223">
                  <c:v>30355177</c:v>
                </c:pt>
                <c:pt idx="224">
                  <c:v>19541425</c:v>
                </c:pt>
                <c:pt idx="225">
                  <c:v>36315135</c:v>
                </c:pt>
                <c:pt idx="226">
                  <c:v>23458124</c:v>
                </c:pt>
                <c:pt idx="227">
                  <c:v>18479397</c:v>
                </c:pt>
                <c:pt idx="228">
                  <c:v>29989208</c:v>
                </c:pt>
                <c:pt idx="229">
                  <c:v>21267975</c:v>
                </c:pt>
                <c:pt idx="230">
                  <c:v>17785046</c:v>
                </c:pt>
                <c:pt idx="231">
                  <c:v>28935592</c:v>
                </c:pt>
                <c:pt idx="232">
                  <c:v>20676210</c:v>
                </c:pt>
                <c:pt idx="233">
                  <c:v>16367892</c:v>
                </c:pt>
                <c:pt idx="234">
                  <c:v>27363898</c:v>
                </c:pt>
                <c:pt idx="235">
                  <c:v>18801490</c:v>
                </c:pt>
                <c:pt idx="236">
                  <c:v>16032759</c:v>
                </c:pt>
                <c:pt idx="237">
                  <c:v>24348390</c:v>
                </c:pt>
                <c:pt idx="238">
                  <c:v>20822705</c:v>
                </c:pt>
                <c:pt idx="239">
                  <c:v>15867786</c:v>
                </c:pt>
                <c:pt idx="240">
                  <c:v>30479907</c:v>
                </c:pt>
                <c:pt idx="241">
                  <c:v>22007640</c:v>
                </c:pt>
                <c:pt idx="242">
                  <c:v>19396609</c:v>
                </c:pt>
                <c:pt idx="243">
                  <c:v>33688643</c:v>
                </c:pt>
                <c:pt idx="244">
                  <c:v>51726098</c:v>
                </c:pt>
                <c:pt idx="245">
                  <c:v>600586371</c:v>
                </c:pt>
                <c:pt idx="246">
                  <c:v>608149708</c:v>
                </c:pt>
                <c:pt idx="247">
                  <c:v>399519543</c:v>
                </c:pt>
                <c:pt idx="248">
                  <c:v>286929097</c:v>
                </c:pt>
                <c:pt idx="249">
                  <c:v>215045551</c:v>
                </c:pt>
                <c:pt idx="250">
                  <c:v>121985184</c:v>
                </c:pt>
                <c:pt idx="251">
                  <c:v>73387165</c:v>
                </c:pt>
                <c:pt idx="252">
                  <c:v>77635198</c:v>
                </c:pt>
                <c:pt idx="253">
                  <c:v>50962371</c:v>
                </c:pt>
                <c:pt idx="254">
                  <c:v>33879955</c:v>
                </c:pt>
                <c:pt idx="255">
                  <c:v>55177752</c:v>
                </c:pt>
                <c:pt idx="256">
                  <c:v>36344447</c:v>
                </c:pt>
                <c:pt idx="257">
                  <c:v>26296230</c:v>
                </c:pt>
                <c:pt idx="258">
                  <c:v>42526021</c:v>
                </c:pt>
                <c:pt idx="259">
                  <c:v>29019191</c:v>
                </c:pt>
                <c:pt idx="260">
                  <c:v>22463560</c:v>
                </c:pt>
                <c:pt idx="261">
                  <c:v>38701176</c:v>
                </c:pt>
                <c:pt idx="262">
                  <c:v>26118287</c:v>
                </c:pt>
                <c:pt idx="263">
                  <c:v>19943242</c:v>
                </c:pt>
                <c:pt idx="264">
                  <c:v>34095023</c:v>
                </c:pt>
                <c:pt idx="265">
                  <c:v>23827800</c:v>
                </c:pt>
                <c:pt idx="266">
                  <c:v>18523393</c:v>
                </c:pt>
                <c:pt idx="267">
                  <c:v>32695695</c:v>
                </c:pt>
                <c:pt idx="268">
                  <c:v>22629314</c:v>
                </c:pt>
                <c:pt idx="269">
                  <c:v>17427043</c:v>
                </c:pt>
                <c:pt idx="270">
                  <c:v>30060156</c:v>
                </c:pt>
                <c:pt idx="271">
                  <c:v>21032280</c:v>
                </c:pt>
                <c:pt idx="272">
                  <c:v>15574023</c:v>
                </c:pt>
                <c:pt idx="273">
                  <c:v>29673399</c:v>
                </c:pt>
                <c:pt idx="274">
                  <c:v>20481116</c:v>
                </c:pt>
                <c:pt idx="275">
                  <c:v>16163517</c:v>
                </c:pt>
                <c:pt idx="276">
                  <c:v>27932045</c:v>
                </c:pt>
                <c:pt idx="277">
                  <c:v>19965648</c:v>
                </c:pt>
                <c:pt idx="278">
                  <c:v>15179003</c:v>
                </c:pt>
                <c:pt idx="279">
                  <c:v>26200325</c:v>
                </c:pt>
                <c:pt idx="280">
                  <c:v>18342607</c:v>
                </c:pt>
                <c:pt idx="281">
                  <c:v>14582961</c:v>
                </c:pt>
                <c:pt idx="282">
                  <c:v>25071047</c:v>
                </c:pt>
                <c:pt idx="283">
                  <c:v>17617215</c:v>
                </c:pt>
                <c:pt idx="284">
                  <c:v>14099537</c:v>
                </c:pt>
                <c:pt idx="285">
                  <c:v>25366150</c:v>
                </c:pt>
                <c:pt idx="286">
                  <c:v>31077802</c:v>
                </c:pt>
                <c:pt idx="287">
                  <c:v>24315277</c:v>
                </c:pt>
                <c:pt idx="288">
                  <c:v>58957946</c:v>
                </c:pt>
                <c:pt idx="289">
                  <c:v>38174856</c:v>
                </c:pt>
                <c:pt idx="290">
                  <c:v>24241909</c:v>
                </c:pt>
                <c:pt idx="291">
                  <c:v>40525870</c:v>
                </c:pt>
                <c:pt idx="292">
                  <c:v>26403972</c:v>
                </c:pt>
                <c:pt idx="293">
                  <c:v>17276425</c:v>
                </c:pt>
                <c:pt idx="294">
                  <c:v>29216050</c:v>
                </c:pt>
                <c:pt idx="295">
                  <c:v>19349553</c:v>
                </c:pt>
                <c:pt idx="296">
                  <c:v>14752001</c:v>
                </c:pt>
                <c:pt idx="297">
                  <c:v>25583867</c:v>
                </c:pt>
                <c:pt idx="298">
                  <c:v>17413025</c:v>
                </c:pt>
                <c:pt idx="299">
                  <c:v>12398960</c:v>
                </c:pt>
                <c:pt idx="300">
                  <c:v>26294233</c:v>
                </c:pt>
                <c:pt idx="301">
                  <c:v>34983231</c:v>
                </c:pt>
                <c:pt idx="302">
                  <c:v>27504806</c:v>
                </c:pt>
                <c:pt idx="303">
                  <c:v>45314351</c:v>
                </c:pt>
                <c:pt idx="304">
                  <c:v>31656616</c:v>
                </c:pt>
                <c:pt idx="305">
                  <c:v>23276532</c:v>
                </c:pt>
                <c:pt idx="306">
                  <c:v>39065374</c:v>
                </c:pt>
                <c:pt idx="307">
                  <c:v>27357552</c:v>
                </c:pt>
                <c:pt idx="308">
                  <c:v>21867782</c:v>
                </c:pt>
                <c:pt idx="309">
                  <c:v>37184200</c:v>
                </c:pt>
                <c:pt idx="310">
                  <c:v>25555418</c:v>
                </c:pt>
                <c:pt idx="311">
                  <c:v>19752179</c:v>
                </c:pt>
                <c:pt idx="312">
                  <c:v>33354157</c:v>
                </c:pt>
                <c:pt idx="313">
                  <c:v>23152754</c:v>
                </c:pt>
                <c:pt idx="314">
                  <c:v>16504098</c:v>
                </c:pt>
                <c:pt idx="315">
                  <c:v>31433062</c:v>
                </c:pt>
                <c:pt idx="316">
                  <c:v>21857004</c:v>
                </c:pt>
                <c:pt idx="317">
                  <c:v>17399981</c:v>
                </c:pt>
                <c:pt idx="318">
                  <c:v>29925252</c:v>
                </c:pt>
                <c:pt idx="319">
                  <c:v>21481484</c:v>
                </c:pt>
                <c:pt idx="320">
                  <c:v>16078838</c:v>
                </c:pt>
                <c:pt idx="321">
                  <c:v>28174655</c:v>
                </c:pt>
                <c:pt idx="322">
                  <c:v>19208814</c:v>
                </c:pt>
                <c:pt idx="323">
                  <c:v>14967110</c:v>
                </c:pt>
                <c:pt idx="324">
                  <c:v>26283316</c:v>
                </c:pt>
                <c:pt idx="325">
                  <c:v>18554111</c:v>
                </c:pt>
                <c:pt idx="326">
                  <c:v>14282146</c:v>
                </c:pt>
                <c:pt idx="327">
                  <c:v>27151520</c:v>
                </c:pt>
                <c:pt idx="328">
                  <c:v>75380080</c:v>
                </c:pt>
                <c:pt idx="329">
                  <c:v>50410703</c:v>
                </c:pt>
                <c:pt idx="330">
                  <c:v>67842545</c:v>
                </c:pt>
                <c:pt idx="331">
                  <c:v>40518517</c:v>
                </c:pt>
                <c:pt idx="332">
                  <c:v>29760726</c:v>
                </c:pt>
                <c:pt idx="333">
                  <c:v>50472854</c:v>
                </c:pt>
                <c:pt idx="334">
                  <c:v>34122224</c:v>
                </c:pt>
                <c:pt idx="335">
                  <c:v>24391232</c:v>
                </c:pt>
                <c:pt idx="336">
                  <c:v>42085340</c:v>
                </c:pt>
                <c:pt idx="337">
                  <c:v>29855193</c:v>
                </c:pt>
                <c:pt idx="338">
                  <c:v>23661761</c:v>
                </c:pt>
                <c:pt idx="339">
                  <c:v>42074974</c:v>
                </c:pt>
                <c:pt idx="340">
                  <c:v>27172126</c:v>
                </c:pt>
                <c:pt idx="341">
                  <c:v>20121866</c:v>
                </c:pt>
                <c:pt idx="342">
                  <c:v>34668565</c:v>
                </c:pt>
                <c:pt idx="343">
                  <c:v>24206827</c:v>
                </c:pt>
                <c:pt idx="344">
                  <c:v>19147979</c:v>
                </c:pt>
                <c:pt idx="345">
                  <c:v>33140833</c:v>
                </c:pt>
                <c:pt idx="346">
                  <c:v>23222944</c:v>
                </c:pt>
                <c:pt idx="347">
                  <c:v>17766534</c:v>
                </c:pt>
                <c:pt idx="348">
                  <c:v>30646437</c:v>
                </c:pt>
                <c:pt idx="349">
                  <c:v>20239854</c:v>
                </c:pt>
                <c:pt idx="350">
                  <c:v>15442662</c:v>
                </c:pt>
                <c:pt idx="351">
                  <c:v>27694096</c:v>
                </c:pt>
                <c:pt idx="352">
                  <c:v>19431005</c:v>
                </c:pt>
                <c:pt idx="353">
                  <c:v>14883172</c:v>
                </c:pt>
                <c:pt idx="354">
                  <c:v>25997722</c:v>
                </c:pt>
                <c:pt idx="355">
                  <c:v>19270140</c:v>
                </c:pt>
                <c:pt idx="356">
                  <c:v>14143429</c:v>
                </c:pt>
                <c:pt idx="357">
                  <c:v>25263145</c:v>
                </c:pt>
                <c:pt idx="358">
                  <c:v>18310851</c:v>
                </c:pt>
                <c:pt idx="359">
                  <c:v>20866766</c:v>
                </c:pt>
                <c:pt idx="360">
                  <c:v>37429725</c:v>
                </c:pt>
                <c:pt idx="361">
                  <c:v>26188888</c:v>
                </c:pt>
                <c:pt idx="362">
                  <c:v>20099873</c:v>
                </c:pt>
                <c:pt idx="363">
                  <c:v>33799260</c:v>
                </c:pt>
                <c:pt idx="364">
                  <c:v>25827714</c:v>
                </c:pt>
                <c:pt idx="365">
                  <c:v>18776538</c:v>
                </c:pt>
                <c:pt idx="366">
                  <c:v>31659226</c:v>
                </c:pt>
                <c:pt idx="367">
                  <c:v>21409579</c:v>
                </c:pt>
                <c:pt idx="368">
                  <c:v>15858480</c:v>
                </c:pt>
                <c:pt idx="369">
                  <c:v>28515646</c:v>
                </c:pt>
                <c:pt idx="370">
                  <c:v>20649466</c:v>
                </c:pt>
                <c:pt idx="371">
                  <c:v>14748339</c:v>
                </c:pt>
                <c:pt idx="372">
                  <c:v>28873701</c:v>
                </c:pt>
                <c:pt idx="373">
                  <c:v>20217930</c:v>
                </c:pt>
                <c:pt idx="374">
                  <c:v>15650820</c:v>
                </c:pt>
                <c:pt idx="375">
                  <c:v>31503964</c:v>
                </c:pt>
                <c:pt idx="376">
                  <c:v>165199538</c:v>
                </c:pt>
                <c:pt idx="377">
                  <c:v>103995410</c:v>
                </c:pt>
                <c:pt idx="378">
                  <c:v>139492063</c:v>
                </c:pt>
                <c:pt idx="379">
                  <c:v>80637098</c:v>
                </c:pt>
                <c:pt idx="380">
                  <c:v>50195660</c:v>
                </c:pt>
                <c:pt idx="381">
                  <c:v>68816296</c:v>
                </c:pt>
                <c:pt idx="382">
                  <c:v>41328507</c:v>
                </c:pt>
                <c:pt idx="383">
                  <c:v>29913842</c:v>
                </c:pt>
                <c:pt idx="384">
                  <c:v>51983180</c:v>
                </c:pt>
                <c:pt idx="385">
                  <c:v>37432444</c:v>
                </c:pt>
                <c:pt idx="386">
                  <c:v>27155522</c:v>
                </c:pt>
                <c:pt idx="387">
                  <c:v>47334814</c:v>
                </c:pt>
                <c:pt idx="388">
                  <c:v>31325155</c:v>
                </c:pt>
                <c:pt idx="389">
                  <c:v>23586236</c:v>
                </c:pt>
                <c:pt idx="390">
                  <c:v>42467818</c:v>
                </c:pt>
                <c:pt idx="391">
                  <c:v>30479004</c:v>
                </c:pt>
                <c:pt idx="392">
                  <c:v>22667522</c:v>
                </c:pt>
                <c:pt idx="393">
                  <c:v>36771227</c:v>
                </c:pt>
                <c:pt idx="394">
                  <c:v>31256840</c:v>
                </c:pt>
                <c:pt idx="395">
                  <c:v>21434202</c:v>
                </c:pt>
                <c:pt idx="396">
                  <c:v>38676241</c:v>
                </c:pt>
                <c:pt idx="397">
                  <c:v>26362683</c:v>
                </c:pt>
                <c:pt idx="398">
                  <c:v>19562799</c:v>
                </c:pt>
                <c:pt idx="399">
                  <c:v>35950983</c:v>
                </c:pt>
                <c:pt idx="400">
                  <c:v>25346195</c:v>
                </c:pt>
                <c:pt idx="401">
                  <c:v>18867341</c:v>
                </c:pt>
                <c:pt idx="402">
                  <c:v>34551870</c:v>
                </c:pt>
                <c:pt idx="403">
                  <c:v>24451146</c:v>
                </c:pt>
                <c:pt idx="404">
                  <c:v>18081838</c:v>
                </c:pt>
                <c:pt idx="405">
                  <c:v>33458033</c:v>
                </c:pt>
                <c:pt idx="406">
                  <c:v>23023377</c:v>
                </c:pt>
                <c:pt idx="407">
                  <c:v>16118035</c:v>
                </c:pt>
                <c:pt idx="408">
                  <c:v>29208289</c:v>
                </c:pt>
                <c:pt idx="409">
                  <c:v>20406474</c:v>
                </c:pt>
                <c:pt idx="410">
                  <c:v>14997579</c:v>
                </c:pt>
                <c:pt idx="411">
                  <c:v>28242158</c:v>
                </c:pt>
                <c:pt idx="412">
                  <c:v>19838056</c:v>
                </c:pt>
                <c:pt idx="413">
                  <c:v>14593870</c:v>
                </c:pt>
                <c:pt idx="414">
                  <c:v>28294186</c:v>
                </c:pt>
                <c:pt idx="415">
                  <c:v>25124332</c:v>
                </c:pt>
                <c:pt idx="416">
                  <c:v>124837031</c:v>
                </c:pt>
                <c:pt idx="417">
                  <c:v>159338165</c:v>
                </c:pt>
                <c:pt idx="418">
                  <c:v>82888640</c:v>
                </c:pt>
                <c:pt idx="419">
                  <c:v>53610224</c:v>
                </c:pt>
                <c:pt idx="420">
                  <c:v>84565448</c:v>
                </c:pt>
                <c:pt idx="421">
                  <c:v>53253972</c:v>
                </c:pt>
                <c:pt idx="422">
                  <c:v>33564704</c:v>
                </c:pt>
                <c:pt idx="423">
                  <c:v>64760536</c:v>
                </c:pt>
                <c:pt idx="424">
                  <c:v>44440079</c:v>
                </c:pt>
                <c:pt idx="425">
                  <c:v>29323336</c:v>
                </c:pt>
                <c:pt idx="426">
                  <c:v>56894195</c:v>
                </c:pt>
                <c:pt idx="427">
                  <c:v>37224949</c:v>
                </c:pt>
                <c:pt idx="428">
                  <c:v>22412761</c:v>
                </c:pt>
                <c:pt idx="429">
                  <c:v>50330765</c:v>
                </c:pt>
                <c:pt idx="430">
                  <c:v>35226720</c:v>
                </c:pt>
                <c:pt idx="431">
                  <c:v>22117126</c:v>
                </c:pt>
                <c:pt idx="432">
                  <c:v>47078987</c:v>
                </c:pt>
                <c:pt idx="433">
                  <c:v>30620581</c:v>
                </c:pt>
                <c:pt idx="434">
                  <c:v>17428620</c:v>
                </c:pt>
                <c:pt idx="435">
                  <c:v>43905280</c:v>
                </c:pt>
                <c:pt idx="436">
                  <c:v>39573680</c:v>
                </c:pt>
                <c:pt idx="437">
                  <c:v>42255507</c:v>
                </c:pt>
                <c:pt idx="438">
                  <c:v>38080686</c:v>
                </c:pt>
                <c:pt idx="439">
                  <c:v>40225369</c:v>
                </c:pt>
                <c:pt idx="440">
                  <c:v>36535319</c:v>
                </c:pt>
                <c:pt idx="441">
                  <c:v>37757973</c:v>
                </c:pt>
                <c:pt idx="442">
                  <c:v>32891838</c:v>
                </c:pt>
                <c:pt idx="443">
                  <c:v>35056781</c:v>
                </c:pt>
                <c:pt idx="444">
                  <c:v>31751334</c:v>
                </c:pt>
                <c:pt idx="445">
                  <c:v>33936114</c:v>
                </c:pt>
                <c:pt idx="446">
                  <c:v>30755512</c:v>
                </c:pt>
                <c:pt idx="447">
                  <c:v>32648831</c:v>
                </c:pt>
                <c:pt idx="448">
                  <c:v>29212286</c:v>
                </c:pt>
                <c:pt idx="449">
                  <c:v>32840949</c:v>
                </c:pt>
                <c:pt idx="450">
                  <c:v>26792299</c:v>
                </c:pt>
                <c:pt idx="451">
                  <c:v>28693853</c:v>
                </c:pt>
                <c:pt idx="452">
                  <c:v>25774799</c:v>
                </c:pt>
                <c:pt idx="453">
                  <c:v>27857745</c:v>
                </c:pt>
                <c:pt idx="454">
                  <c:v>24487104</c:v>
                </c:pt>
                <c:pt idx="455">
                  <c:v>25942447</c:v>
                </c:pt>
                <c:pt idx="456">
                  <c:v>23568858</c:v>
                </c:pt>
                <c:pt idx="457">
                  <c:v>45425975</c:v>
                </c:pt>
                <c:pt idx="458">
                  <c:v>41093156</c:v>
                </c:pt>
                <c:pt idx="459">
                  <c:v>44383088</c:v>
                </c:pt>
                <c:pt idx="460">
                  <c:v>39825032</c:v>
                </c:pt>
                <c:pt idx="461">
                  <c:v>43889948</c:v>
                </c:pt>
                <c:pt idx="462">
                  <c:v>38720546</c:v>
                </c:pt>
                <c:pt idx="463">
                  <c:v>38272036</c:v>
                </c:pt>
                <c:pt idx="464">
                  <c:v>33559418</c:v>
                </c:pt>
                <c:pt idx="465">
                  <c:v>35685999</c:v>
                </c:pt>
                <c:pt idx="466">
                  <c:v>31724433</c:v>
                </c:pt>
                <c:pt idx="467">
                  <c:v>34034242</c:v>
                </c:pt>
                <c:pt idx="468">
                  <c:v>29603847</c:v>
                </c:pt>
                <c:pt idx="469">
                  <c:v>31901476</c:v>
                </c:pt>
                <c:pt idx="470">
                  <c:v>26774817</c:v>
                </c:pt>
                <c:pt idx="471">
                  <c:v>29092582</c:v>
                </c:pt>
                <c:pt idx="472">
                  <c:v>25840883</c:v>
                </c:pt>
                <c:pt idx="473">
                  <c:v>28346977</c:v>
                </c:pt>
                <c:pt idx="474">
                  <c:v>24771840</c:v>
                </c:pt>
                <c:pt idx="475">
                  <c:v>27826098</c:v>
                </c:pt>
                <c:pt idx="476">
                  <c:v>24447679</c:v>
                </c:pt>
                <c:pt idx="477">
                  <c:v>42976306</c:v>
                </c:pt>
                <c:pt idx="478">
                  <c:v>39248898</c:v>
                </c:pt>
                <c:pt idx="479">
                  <c:v>42085642</c:v>
                </c:pt>
                <c:pt idx="480">
                  <c:v>36672228</c:v>
                </c:pt>
                <c:pt idx="481">
                  <c:v>38198606</c:v>
                </c:pt>
                <c:pt idx="482">
                  <c:v>33959105</c:v>
                </c:pt>
                <c:pt idx="483">
                  <c:v>36445290</c:v>
                </c:pt>
                <c:pt idx="484">
                  <c:v>33434866</c:v>
                </c:pt>
                <c:pt idx="485">
                  <c:v>35397168</c:v>
                </c:pt>
                <c:pt idx="486">
                  <c:v>30011030</c:v>
                </c:pt>
                <c:pt idx="487">
                  <c:v>30300267</c:v>
                </c:pt>
                <c:pt idx="488">
                  <c:v>24911414</c:v>
                </c:pt>
                <c:pt idx="489">
                  <c:v>30154440</c:v>
                </c:pt>
                <c:pt idx="490">
                  <c:v>26471260</c:v>
                </c:pt>
                <c:pt idx="491">
                  <c:v>30582263</c:v>
                </c:pt>
                <c:pt idx="492">
                  <c:v>26482178</c:v>
                </c:pt>
                <c:pt idx="493">
                  <c:v>32671629</c:v>
                </c:pt>
                <c:pt idx="494">
                  <c:v>29170028</c:v>
                </c:pt>
                <c:pt idx="495">
                  <c:v>56577900</c:v>
                </c:pt>
                <c:pt idx="496">
                  <c:v>248314274</c:v>
                </c:pt>
                <c:pt idx="497">
                  <c:v>224030319</c:v>
                </c:pt>
                <c:pt idx="498">
                  <c:v>181545006</c:v>
                </c:pt>
                <c:pt idx="499">
                  <c:v>133279809</c:v>
                </c:pt>
                <c:pt idx="500">
                  <c:v>103578144</c:v>
                </c:pt>
                <c:pt idx="501">
                  <c:v>73721067</c:v>
                </c:pt>
                <c:pt idx="502">
                  <c:v>63381993</c:v>
                </c:pt>
                <c:pt idx="503">
                  <c:v>51292528</c:v>
                </c:pt>
                <c:pt idx="504">
                  <c:v>52909774</c:v>
                </c:pt>
                <c:pt idx="505">
                  <c:v>48044909</c:v>
                </c:pt>
                <c:pt idx="506">
                  <c:v>40664483</c:v>
                </c:pt>
                <c:pt idx="507">
                  <c:v>42950193</c:v>
                </c:pt>
                <c:pt idx="508">
                  <c:v>38420091</c:v>
                </c:pt>
                <c:pt idx="509">
                  <c:v>40690367</c:v>
                </c:pt>
                <c:pt idx="510">
                  <c:v>36034910</c:v>
                </c:pt>
                <c:pt idx="511">
                  <c:v>34934707</c:v>
                </c:pt>
                <c:pt idx="512">
                  <c:v>37033259</c:v>
                </c:pt>
                <c:pt idx="513">
                  <c:v>35037283</c:v>
                </c:pt>
                <c:pt idx="514">
                  <c:v>30145451</c:v>
                </c:pt>
                <c:pt idx="515">
                  <c:v>33166014</c:v>
                </c:pt>
                <c:pt idx="516">
                  <c:v>28836774</c:v>
                </c:pt>
                <c:pt idx="517">
                  <c:v>31427868</c:v>
                </c:pt>
                <c:pt idx="518">
                  <c:v>28102754</c:v>
                </c:pt>
                <c:pt idx="519">
                  <c:v>31328914</c:v>
                </c:pt>
                <c:pt idx="520">
                  <c:v>27057830</c:v>
                </c:pt>
                <c:pt idx="521">
                  <c:v>29791062</c:v>
                </c:pt>
                <c:pt idx="522">
                  <c:v>25120759</c:v>
                </c:pt>
                <c:pt idx="523">
                  <c:v>27241459</c:v>
                </c:pt>
                <c:pt idx="524">
                  <c:v>23578296</c:v>
                </c:pt>
                <c:pt idx="525">
                  <c:v>25812020</c:v>
                </c:pt>
                <c:pt idx="526">
                  <c:v>22808420</c:v>
                </c:pt>
                <c:pt idx="527">
                  <c:v>25339367</c:v>
                </c:pt>
                <c:pt idx="528">
                  <c:v>21571600</c:v>
                </c:pt>
                <c:pt idx="529">
                  <c:v>23635994</c:v>
                </c:pt>
                <c:pt idx="530">
                  <c:v>21039073</c:v>
                </c:pt>
                <c:pt idx="531">
                  <c:v>23411529</c:v>
                </c:pt>
                <c:pt idx="532">
                  <c:v>25391775</c:v>
                </c:pt>
                <c:pt idx="533">
                  <c:v>27142781</c:v>
                </c:pt>
                <c:pt idx="534">
                  <c:v>23383221</c:v>
                </c:pt>
                <c:pt idx="535">
                  <c:v>26466202</c:v>
                </c:pt>
                <c:pt idx="536">
                  <c:v>23107720</c:v>
                </c:pt>
                <c:pt idx="537">
                  <c:v>24955934</c:v>
                </c:pt>
                <c:pt idx="538">
                  <c:v>21873587</c:v>
                </c:pt>
                <c:pt idx="539">
                  <c:v>24128829</c:v>
                </c:pt>
                <c:pt idx="540">
                  <c:v>21147155</c:v>
                </c:pt>
                <c:pt idx="541">
                  <c:v>24485368</c:v>
                </c:pt>
                <c:pt idx="542">
                  <c:v>33517392</c:v>
                </c:pt>
                <c:pt idx="543">
                  <c:v>35854122</c:v>
                </c:pt>
                <c:pt idx="544">
                  <c:v>31764457</c:v>
                </c:pt>
                <c:pt idx="545">
                  <c:v>33723102</c:v>
                </c:pt>
                <c:pt idx="546">
                  <c:v>29234856</c:v>
                </c:pt>
                <c:pt idx="547">
                  <c:v>29821476</c:v>
                </c:pt>
                <c:pt idx="548">
                  <c:v>25654487</c:v>
                </c:pt>
                <c:pt idx="549">
                  <c:v>27520056</c:v>
                </c:pt>
                <c:pt idx="550">
                  <c:v>24004308</c:v>
                </c:pt>
                <c:pt idx="551">
                  <c:v>26125424</c:v>
                </c:pt>
                <c:pt idx="552">
                  <c:v>23029894</c:v>
                </c:pt>
                <c:pt idx="553">
                  <c:v>25024363</c:v>
                </c:pt>
                <c:pt idx="554">
                  <c:v>22440788</c:v>
                </c:pt>
                <c:pt idx="555">
                  <c:v>24359229</c:v>
                </c:pt>
                <c:pt idx="556">
                  <c:v>21407321</c:v>
                </c:pt>
                <c:pt idx="557">
                  <c:v>23428913</c:v>
                </c:pt>
                <c:pt idx="558">
                  <c:v>20845281</c:v>
                </c:pt>
                <c:pt idx="559">
                  <c:v>22580819</c:v>
                </c:pt>
                <c:pt idx="560">
                  <c:v>21571427</c:v>
                </c:pt>
                <c:pt idx="561">
                  <c:v>24035105</c:v>
                </c:pt>
                <c:pt idx="562">
                  <c:v>26875612</c:v>
                </c:pt>
                <c:pt idx="563">
                  <c:v>29051974</c:v>
                </c:pt>
                <c:pt idx="564">
                  <c:v>24871639</c:v>
                </c:pt>
                <c:pt idx="565">
                  <c:v>26995316</c:v>
                </c:pt>
                <c:pt idx="566">
                  <c:v>22514041</c:v>
                </c:pt>
                <c:pt idx="567">
                  <c:v>24299868</c:v>
                </c:pt>
                <c:pt idx="568">
                  <c:v>21311638</c:v>
                </c:pt>
                <c:pt idx="569">
                  <c:v>23248963</c:v>
                </c:pt>
                <c:pt idx="570">
                  <c:v>20153628</c:v>
                </c:pt>
                <c:pt idx="571">
                  <c:v>22312791</c:v>
                </c:pt>
                <c:pt idx="572">
                  <c:v>18747866</c:v>
                </c:pt>
                <c:pt idx="573">
                  <c:v>20152609</c:v>
                </c:pt>
                <c:pt idx="574">
                  <c:v>17702706</c:v>
                </c:pt>
                <c:pt idx="575">
                  <c:v>19632549</c:v>
                </c:pt>
                <c:pt idx="576">
                  <c:v>17003092</c:v>
                </c:pt>
                <c:pt idx="577">
                  <c:v>19163744</c:v>
                </c:pt>
                <c:pt idx="578">
                  <c:v>24184595</c:v>
                </c:pt>
                <c:pt idx="579">
                  <c:v>26164225</c:v>
                </c:pt>
                <c:pt idx="580">
                  <c:v>24106627</c:v>
                </c:pt>
                <c:pt idx="581">
                  <c:v>26211697</c:v>
                </c:pt>
                <c:pt idx="582">
                  <c:v>24019855</c:v>
                </c:pt>
                <c:pt idx="583">
                  <c:v>27551332</c:v>
                </c:pt>
                <c:pt idx="584">
                  <c:v>26800422</c:v>
                </c:pt>
                <c:pt idx="585">
                  <c:v>32319898</c:v>
                </c:pt>
                <c:pt idx="586">
                  <c:v>29551345</c:v>
                </c:pt>
                <c:pt idx="587">
                  <c:v>32929411</c:v>
                </c:pt>
                <c:pt idx="588">
                  <c:v>27845480</c:v>
                </c:pt>
                <c:pt idx="589">
                  <c:v>29929161</c:v>
                </c:pt>
                <c:pt idx="590">
                  <c:v>25611340</c:v>
                </c:pt>
                <c:pt idx="591">
                  <c:v>27826040</c:v>
                </c:pt>
                <c:pt idx="592">
                  <c:v>23972530</c:v>
                </c:pt>
                <c:pt idx="593">
                  <c:v>25886773</c:v>
                </c:pt>
                <c:pt idx="594">
                  <c:v>24993243</c:v>
                </c:pt>
                <c:pt idx="595">
                  <c:v>27399432</c:v>
                </c:pt>
                <c:pt idx="596">
                  <c:v>24380150</c:v>
                </c:pt>
                <c:pt idx="597">
                  <c:v>29833660</c:v>
                </c:pt>
                <c:pt idx="598">
                  <c:v>76193331</c:v>
                </c:pt>
                <c:pt idx="599">
                  <c:v>70434269</c:v>
                </c:pt>
                <c:pt idx="600">
                  <c:v>60221675</c:v>
                </c:pt>
                <c:pt idx="601">
                  <c:v>58816717</c:v>
                </c:pt>
                <c:pt idx="602">
                  <c:v>50766442</c:v>
                </c:pt>
                <c:pt idx="603">
                  <c:v>49634648</c:v>
                </c:pt>
                <c:pt idx="604">
                  <c:v>45172281</c:v>
                </c:pt>
                <c:pt idx="605">
                  <c:v>46876967</c:v>
                </c:pt>
                <c:pt idx="606">
                  <c:v>44356817</c:v>
                </c:pt>
                <c:pt idx="607">
                  <c:v>42097625</c:v>
                </c:pt>
                <c:pt idx="608">
                  <c:v>37786856</c:v>
                </c:pt>
                <c:pt idx="609">
                  <c:v>36369009</c:v>
                </c:pt>
                <c:pt idx="610">
                  <c:v>31284476</c:v>
                </c:pt>
                <c:pt idx="611">
                  <c:v>34146974</c:v>
                </c:pt>
                <c:pt idx="612">
                  <c:v>29267944</c:v>
                </c:pt>
                <c:pt idx="613">
                  <c:v>31474065</c:v>
                </c:pt>
                <c:pt idx="614">
                  <c:v>27698212</c:v>
                </c:pt>
                <c:pt idx="615">
                  <c:v>28107102</c:v>
                </c:pt>
                <c:pt idx="616">
                  <c:v>28765207</c:v>
                </c:pt>
                <c:pt idx="617">
                  <c:v>27004061</c:v>
                </c:pt>
                <c:pt idx="618">
                  <c:v>23075477</c:v>
                </c:pt>
                <c:pt idx="619">
                  <c:v>25574832</c:v>
                </c:pt>
                <c:pt idx="620">
                  <c:v>21518608</c:v>
                </c:pt>
                <c:pt idx="621">
                  <c:v>24465299</c:v>
                </c:pt>
                <c:pt idx="622">
                  <c:v>21881429</c:v>
                </c:pt>
                <c:pt idx="623">
                  <c:v>34775350</c:v>
                </c:pt>
                <c:pt idx="624">
                  <c:v>29894655</c:v>
                </c:pt>
                <c:pt idx="625">
                  <c:v>32518128</c:v>
                </c:pt>
                <c:pt idx="626">
                  <c:v>29228810</c:v>
                </c:pt>
                <c:pt idx="627">
                  <c:v>31596739</c:v>
                </c:pt>
                <c:pt idx="628">
                  <c:v>28326439</c:v>
                </c:pt>
                <c:pt idx="629">
                  <c:v>28437135</c:v>
                </c:pt>
                <c:pt idx="630">
                  <c:v>24749774</c:v>
                </c:pt>
                <c:pt idx="631">
                  <c:v>27168989</c:v>
                </c:pt>
                <c:pt idx="632">
                  <c:v>23302457</c:v>
                </c:pt>
                <c:pt idx="633">
                  <c:v>25002213</c:v>
                </c:pt>
                <c:pt idx="634">
                  <c:v>21576153</c:v>
                </c:pt>
                <c:pt idx="635">
                  <c:v>26902240</c:v>
                </c:pt>
                <c:pt idx="636">
                  <c:v>23296723</c:v>
                </c:pt>
                <c:pt idx="637">
                  <c:v>26272598</c:v>
                </c:pt>
                <c:pt idx="638">
                  <c:v>22490049</c:v>
                </c:pt>
                <c:pt idx="639">
                  <c:v>25152739</c:v>
                </c:pt>
                <c:pt idx="640">
                  <c:v>23912815</c:v>
                </c:pt>
                <c:pt idx="641">
                  <c:v>27504389</c:v>
                </c:pt>
                <c:pt idx="642">
                  <c:v>22797570</c:v>
                </c:pt>
                <c:pt idx="643">
                  <c:v>25709694</c:v>
                </c:pt>
                <c:pt idx="644">
                  <c:v>22433173</c:v>
                </c:pt>
                <c:pt idx="645">
                  <c:v>34339566</c:v>
                </c:pt>
                <c:pt idx="646">
                  <c:v>30641402</c:v>
                </c:pt>
                <c:pt idx="647">
                  <c:v>33204681</c:v>
                </c:pt>
                <c:pt idx="648">
                  <c:v>29183011</c:v>
                </c:pt>
                <c:pt idx="649">
                  <c:v>32149229</c:v>
                </c:pt>
                <c:pt idx="650">
                  <c:v>25862487</c:v>
                </c:pt>
                <c:pt idx="651">
                  <c:v>27634512</c:v>
                </c:pt>
                <c:pt idx="652">
                  <c:v>23521051</c:v>
                </c:pt>
                <c:pt idx="653">
                  <c:v>26088591</c:v>
                </c:pt>
                <c:pt idx="654">
                  <c:v>23322623</c:v>
                </c:pt>
                <c:pt idx="655">
                  <c:v>37826028</c:v>
                </c:pt>
                <c:pt idx="656">
                  <c:v>33587765</c:v>
                </c:pt>
                <c:pt idx="657">
                  <c:v>34255632</c:v>
                </c:pt>
                <c:pt idx="658">
                  <c:v>33723149</c:v>
                </c:pt>
                <c:pt idx="659">
                  <c:v>35300837</c:v>
                </c:pt>
                <c:pt idx="660">
                  <c:v>31482853</c:v>
                </c:pt>
                <c:pt idx="661">
                  <c:v>33620978</c:v>
                </c:pt>
                <c:pt idx="662">
                  <c:v>28350988</c:v>
                </c:pt>
                <c:pt idx="663">
                  <c:v>30097662</c:v>
                </c:pt>
                <c:pt idx="664">
                  <c:v>25919533</c:v>
                </c:pt>
                <c:pt idx="665">
                  <c:v>30164939</c:v>
                </c:pt>
                <c:pt idx="666">
                  <c:v>28290822</c:v>
                </c:pt>
                <c:pt idx="667">
                  <c:v>60956562</c:v>
                </c:pt>
                <c:pt idx="668">
                  <c:v>47206119</c:v>
                </c:pt>
                <c:pt idx="669">
                  <c:v>49418483</c:v>
                </c:pt>
                <c:pt idx="670">
                  <c:v>42270921</c:v>
                </c:pt>
                <c:pt idx="671">
                  <c:v>44329215</c:v>
                </c:pt>
                <c:pt idx="672">
                  <c:v>40280959</c:v>
                </c:pt>
                <c:pt idx="673">
                  <c:v>43210562</c:v>
                </c:pt>
                <c:pt idx="674">
                  <c:v>37875925</c:v>
                </c:pt>
                <c:pt idx="675">
                  <c:v>40536638</c:v>
                </c:pt>
                <c:pt idx="676">
                  <c:v>35405527</c:v>
                </c:pt>
                <c:pt idx="677">
                  <c:v>38078511</c:v>
                </c:pt>
                <c:pt idx="678">
                  <c:v>33446282</c:v>
                </c:pt>
                <c:pt idx="679">
                  <c:v>36349770</c:v>
                </c:pt>
                <c:pt idx="680">
                  <c:v>32080762</c:v>
                </c:pt>
                <c:pt idx="681">
                  <c:v>34790945</c:v>
                </c:pt>
                <c:pt idx="682">
                  <c:v>29498838</c:v>
                </c:pt>
                <c:pt idx="683">
                  <c:v>32373051</c:v>
                </c:pt>
                <c:pt idx="684">
                  <c:v>29443850</c:v>
                </c:pt>
                <c:pt idx="685">
                  <c:v>33323743</c:v>
                </c:pt>
                <c:pt idx="686">
                  <c:v>287631941</c:v>
                </c:pt>
                <c:pt idx="687">
                  <c:v>194251490</c:v>
                </c:pt>
                <c:pt idx="688">
                  <c:v>152718981</c:v>
                </c:pt>
                <c:pt idx="689">
                  <c:v>100619331</c:v>
                </c:pt>
                <c:pt idx="690">
                  <c:v>80774387</c:v>
                </c:pt>
                <c:pt idx="691">
                  <c:v>74824218</c:v>
                </c:pt>
                <c:pt idx="692">
                  <c:v>56711808</c:v>
                </c:pt>
                <c:pt idx="693">
                  <c:v>57453096</c:v>
                </c:pt>
                <c:pt idx="694">
                  <c:v>48661627</c:v>
                </c:pt>
                <c:pt idx="695">
                  <c:v>50071352</c:v>
                </c:pt>
                <c:pt idx="696">
                  <c:v>40104087</c:v>
                </c:pt>
                <c:pt idx="697">
                  <c:v>43705608</c:v>
                </c:pt>
                <c:pt idx="698">
                  <c:v>38382884</c:v>
                </c:pt>
                <c:pt idx="699">
                  <c:v>41105707</c:v>
                </c:pt>
                <c:pt idx="700">
                  <c:v>36916454</c:v>
                </c:pt>
                <c:pt idx="701">
                  <c:v>38371172</c:v>
                </c:pt>
                <c:pt idx="702">
                  <c:v>32029726</c:v>
                </c:pt>
                <c:pt idx="703">
                  <c:v>35243610</c:v>
                </c:pt>
                <c:pt idx="704">
                  <c:v>30774594</c:v>
                </c:pt>
                <c:pt idx="705">
                  <c:v>34392607</c:v>
                </c:pt>
                <c:pt idx="706">
                  <c:v>29925509</c:v>
                </c:pt>
                <c:pt idx="707">
                  <c:v>30920721</c:v>
                </c:pt>
                <c:pt idx="708">
                  <c:v>26728410</c:v>
                </c:pt>
                <c:pt idx="709">
                  <c:v>28841013</c:v>
                </c:pt>
                <c:pt idx="710">
                  <c:v>28637943</c:v>
                </c:pt>
                <c:pt idx="711">
                  <c:v>31741379</c:v>
                </c:pt>
                <c:pt idx="712">
                  <c:v>47409766</c:v>
                </c:pt>
                <c:pt idx="713">
                  <c:v>42795982</c:v>
                </c:pt>
                <c:pt idx="714">
                  <c:v>36766660</c:v>
                </c:pt>
                <c:pt idx="715">
                  <c:v>39073942</c:v>
                </c:pt>
                <c:pt idx="716">
                  <c:v>34528049</c:v>
                </c:pt>
                <c:pt idx="717">
                  <c:v>36929536</c:v>
                </c:pt>
                <c:pt idx="718">
                  <c:v>33639400</c:v>
                </c:pt>
                <c:pt idx="719">
                  <c:v>34970274</c:v>
                </c:pt>
                <c:pt idx="720">
                  <c:v>30777404</c:v>
                </c:pt>
                <c:pt idx="721">
                  <c:v>31304318</c:v>
                </c:pt>
                <c:pt idx="722">
                  <c:v>33247832</c:v>
                </c:pt>
                <c:pt idx="723">
                  <c:v>33650927</c:v>
                </c:pt>
                <c:pt idx="724">
                  <c:v>29693512</c:v>
                </c:pt>
                <c:pt idx="725">
                  <c:v>32053011</c:v>
                </c:pt>
                <c:pt idx="726">
                  <c:v>28483917</c:v>
                </c:pt>
                <c:pt idx="727">
                  <c:v>32719757</c:v>
                </c:pt>
                <c:pt idx="728">
                  <c:v>30753760</c:v>
                </c:pt>
                <c:pt idx="729">
                  <c:v>185788031</c:v>
                </c:pt>
                <c:pt idx="730">
                  <c:v>256196241</c:v>
                </c:pt>
                <c:pt idx="731">
                  <c:v>194479535</c:v>
                </c:pt>
                <c:pt idx="732">
                  <c:v>119703576</c:v>
                </c:pt>
                <c:pt idx="733">
                  <c:v>73145336</c:v>
                </c:pt>
                <c:pt idx="734">
                  <c:v>52225167</c:v>
                </c:pt>
                <c:pt idx="735">
                  <c:v>49429256</c:v>
                </c:pt>
                <c:pt idx="736">
                  <c:v>40841495</c:v>
                </c:pt>
                <c:pt idx="737">
                  <c:v>40684353</c:v>
                </c:pt>
                <c:pt idx="738">
                  <c:v>33345664</c:v>
                </c:pt>
                <c:pt idx="739">
                  <c:v>34831971</c:v>
                </c:pt>
                <c:pt idx="740">
                  <c:v>30177450</c:v>
                </c:pt>
                <c:pt idx="741">
                  <c:v>32793536</c:v>
                </c:pt>
                <c:pt idx="742">
                  <c:v>29005055</c:v>
                </c:pt>
                <c:pt idx="743">
                  <c:v>31330108</c:v>
                </c:pt>
                <c:pt idx="744">
                  <c:v>26703988</c:v>
                </c:pt>
                <c:pt idx="745">
                  <c:v>28920677</c:v>
                </c:pt>
                <c:pt idx="746">
                  <c:v>24105593</c:v>
                </c:pt>
                <c:pt idx="747">
                  <c:v>27335032</c:v>
                </c:pt>
                <c:pt idx="748">
                  <c:v>23832766</c:v>
                </c:pt>
                <c:pt idx="749">
                  <c:v>26915790</c:v>
                </c:pt>
                <c:pt idx="750">
                  <c:v>23873061</c:v>
                </c:pt>
                <c:pt idx="751">
                  <c:v>48256723</c:v>
                </c:pt>
                <c:pt idx="752">
                  <c:v>43647458</c:v>
                </c:pt>
                <c:pt idx="753">
                  <c:v>43928581</c:v>
                </c:pt>
                <c:pt idx="754">
                  <c:v>35958900</c:v>
                </c:pt>
                <c:pt idx="755">
                  <c:v>36706563</c:v>
                </c:pt>
                <c:pt idx="756">
                  <c:v>39044229</c:v>
                </c:pt>
                <c:pt idx="757">
                  <c:v>38119833</c:v>
                </c:pt>
                <c:pt idx="758">
                  <c:v>30753900</c:v>
                </c:pt>
                <c:pt idx="759">
                  <c:v>33154400</c:v>
                </c:pt>
                <c:pt idx="760">
                  <c:v>26135491</c:v>
                </c:pt>
                <c:pt idx="761">
                  <c:v>27932015</c:v>
                </c:pt>
                <c:pt idx="762">
                  <c:v>23985919</c:v>
                </c:pt>
                <c:pt idx="763">
                  <c:v>27344026</c:v>
                </c:pt>
                <c:pt idx="764">
                  <c:v>23408437</c:v>
                </c:pt>
                <c:pt idx="765">
                  <c:v>26899396</c:v>
                </c:pt>
                <c:pt idx="766">
                  <c:v>31719411</c:v>
                </c:pt>
                <c:pt idx="767">
                  <c:v>34893756</c:v>
                </c:pt>
                <c:pt idx="768">
                  <c:v>30459036</c:v>
                </c:pt>
                <c:pt idx="769">
                  <c:v>32637865</c:v>
                </c:pt>
                <c:pt idx="770">
                  <c:v>27175522</c:v>
                </c:pt>
                <c:pt idx="771">
                  <c:v>30409583</c:v>
                </c:pt>
                <c:pt idx="772">
                  <c:v>24581684</c:v>
                </c:pt>
                <c:pt idx="773">
                  <c:v>28617943</c:v>
                </c:pt>
                <c:pt idx="774">
                  <c:v>25422848</c:v>
                </c:pt>
                <c:pt idx="775">
                  <c:v>58262191</c:v>
                </c:pt>
                <c:pt idx="776">
                  <c:v>47512486</c:v>
                </c:pt>
                <c:pt idx="777">
                  <c:v>50112161</c:v>
                </c:pt>
                <c:pt idx="778">
                  <c:v>44146678</c:v>
                </c:pt>
                <c:pt idx="779">
                  <c:v>44448476</c:v>
                </c:pt>
                <c:pt idx="780">
                  <c:v>37716450</c:v>
                </c:pt>
                <c:pt idx="781">
                  <c:v>39724529</c:v>
                </c:pt>
                <c:pt idx="782">
                  <c:v>34990502</c:v>
                </c:pt>
                <c:pt idx="783">
                  <c:v>38025858</c:v>
                </c:pt>
                <c:pt idx="784">
                  <c:v>32763382</c:v>
                </c:pt>
                <c:pt idx="785">
                  <c:v>35756043</c:v>
                </c:pt>
                <c:pt idx="786">
                  <c:v>28848482</c:v>
                </c:pt>
                <c:pt idx="787">
                  <c:v>31689202</c:v>
                </c:pt>
                <c:pt idx="788">
                  <c:v>26419058</c:v>
                </c:pt>
                <c:pt idx="789">
                  <c:v>35143653</c:v>
                </c:pt>
                <c:pt idx="790">
                  <c:v>27552324</c:v>
                </c:pt>
                <c:pt idx="791">
                  <c:v>31248981</c:v>
                </c:pt>
                <c:pt idx="792">
                  <c:v>27325603</c:v>
                </c:pt>
                <c:pt idx="793">
                  <c:v>96749682</c:v>
                </c:pt>
                <c:pt idx="794">
                  <c:v>78283749</c:v>
                </c:pt>
                <c:pt idx="795">
                  <c:v>68592126</c:v>
                </c:pt>
                <c:pt idx="796">
                  <c:v>59399528</c:v>
                </c:pt>
                <c:pt idx="797">
                  <c:v>60413044</c:v>
                </c:pt>
                <c:pt idx="798">
                  <c:v>49748306</c:v>
                </c:pt>
                <c:pt idx="799">
                  <c:v>49969967</c:v>
                </c:pt>
                <c:pt idx="800">
                  <c:v>42772865</c:v>
                </c:pt>
                <c:pt idx="801">
                  <c:v>46468596</c:v>
                </c:pt>
                <c:pt idx="802">
                  <c:v>40490561</c:v>
                </c:pt>
                <c:pt idx="803">
                  <c:v>40269747</c:v>
                </c:pt>
                <c:pt idx="804">
                  <c:v>34387965</c:v>
                </c:pt>
                <c:pt idx="805">
                  <c:v>39548250</c:v>
                </c:pt>
                <c:pt idx="806">
                  <c:v>33182943</c:v>
                </c:pt>
                <c:pt idx="807">
                  <c:v>36452690</c:v>
                </c:pt>
                <c:pt idx="808">
                  <c:v>29921801</c:v>
                </c:pt>
                <c:pt idx="809">
                  <c:v>33172554</c:v>
                </c:pt>
                <c:pt idx="810">
                  <c:v>27335190</c:v>
                </c:pt>
                <c:pt idx="811">
                  <c:v>31617050</c:v>
                </c:pt>
                <c:pt idx="812">
                  <c:v>29784687</c:v>
                </c:pt>
                <c:pt idx="813">
                  <c:v>216107168</c:v>
                </c:pt>
                <c:pt idx="814">
                  <c:v>159543395</c:v>
                </c:pt>
                <c:pt idx="815">
                  <c:v>122930206</c:v>
                </c:pt>
                <c:pt idx="816">
                  <c:v>69049222</c:v>
                </c:pt>
                <c:pt idx="817">
                  <c:v>72121245</c:v>
                </c:pt>
                <c:pt idx="818">
                  <c:v>52644308</c:v>
                </c:pt>
                <c:pt idx="819">
                  <c:v>49280397</c:v>
                </c:pt>
                <c:pt idx="820">
                  <c:v>42079244</c:v>
                </c:pt>
                <c:pt idx="821">
                  <c:v>41769994</c:v>
                </c:pt>
                <c:pt idx="822">
                  <c:v>36084504</c:v>
                </c:pt>
                <c:pt idx="823">
                  <c:v>36987072</c:v>
                </c:pt>
                <c:pt idx="824">
                  <c:v>31968880</c:v>
                </c:pt>
                <c:pt idx="825">
                  <c:v>31164712</c:v>
                </c:pt>
                <c:pt idx="826">
                  <c:v>32692722</c:v>
                </c:pt>
                <c:pt idx="827">
                  <c:v>32316924</c:v>
                </c:pt>
                <c:pt idx="828">
                  <c:v>28887923</c:v>
                </c:pt>
                <c:pt idx="829">
                  <c:v>29266923</c:v>
                </c:pt>
                <c:pt idx="830">
                  <c:v>25773154</c:v>
                </c:pt>
                <c:pt idx="831">
                  <c:v>28320219</c:v>
                </c:pt>
                <c:pt idx="832">
                  <c:v>24442209</c:v>
                </c:pt>
                <c:pt idx="833">
                  <c:v>26839464</c:v>
                </c:pt>
                <c:pt idx="834">
                  <c:v>37904573</c:v>
                </c:pt>
                <c:pt idx="835">
                  <c:v>38857716</c:v>
                </c:pt>
                <c:pt idx="836">
                  <c:v>34230338</c:v>
                </c:pt>
                <c:pt idx="837">
                  <c:v>35769509</c:v>
                </c:pt>
                <c:pt idx="838">
                  <c:v>31163987</c:v>
                </c:pt>
                <c:pt idx="839">
                  <c:v>33105389</c:v>
                </c:pt>
                <c:pt idx="840">
                  <c:v>28246874</c:v>
                </c:pt>
                <c:pt idx="841">
                  <c:v>29732317</c:v>
                </c:pt>
                <c:pt idx="842">
                  <c:v>25652149</c:v>
                </c:pt>
                <c:pt idx="843">
                  <c:v>27544999</c:v>
                </c:pt>
                <c:pt idx="844">
                  <c:v>25095498</c:v>
                </c:pt>
                <c:pt idx="845">
                  <c:v>36351486</c:v>
                </c:pt>
                <c:pt idx="846">
                  <c:v>31760883</c:v>
                </c:pt>
                <c:pt idx="847">
                  <c:v>34740244</c:v>
                </c:pt>
                <c:pt idx="848">
                  <c:v>29512763</c:v>
                </c:pt>
                <c:pt idx="849">
                  <c:v>33858627</c:v>
                </c:pt>
                <c:pt idx="850">
                  <c:v>29471680</c:v>
                </c:pt>
                <c:pt idx="851">
                  <c:v>34020015</c:v>
                </c:pt>
                <c:pt idx="852">
                  <c:v>487510768</c:v>
                </c:pt>
                <c:pt idx="853">
                  <c:v>242893401</c:v>
                </c:pt>
                <c:pt idx="854">
                  <c:v>139197173</c:v>
                </c:pt>
                <c:pt idx="855">
                  <c:v>116044599</c:v>
                </c:pt>
                <c:pt idx="856">
                  <c:v>82148433</c:v>
                </c:pt>
                <c:pt idx="857">
                  <c:v>62610521</c:v>
                </c:pt>
                <c:pt idx="858">
                  <c:v>45535290</c:v>
                </c:pt>
                <c:pt idx="859">
                  <c:v>46404309</c:v>
                </c:pt>
                <c:pt idx="860">
                  <c:v>39971698</c:v>
                </c:pt>
                <c:pt idx="861">
                  <c:v>41467300</c:v>
                </c:pt>
                <c:pt idx="862">
                  <c:v>35167682</c:v>
                </c:pt>
                <c:pt idx="863">
                  <c:v>37712134</c:v>
                </c:pt>
                <c:pt idx="864">
                  <c:v>33065919</c:v>
                </c:pt>
                <c:pt idx="865">
                  <c:v>34934398</c:v>
                </c:pt>
                <c:pt idx="866">
                  <c:v>28744287</c:v>
                </c:pt>
                <c:pt idx="867">
                  <c:v>32640354</c:v>
                </c:pt>
                <c:pt idx="868">
                  <c:v>27147937</c:v>
                </c:pt>
                <c:pt idx="869">
                  <c:v>28948149</c:v>
                </c:pt>
                <c:pt idx="870">
                  <c:v>25397200</c:v>
                </c:pt>
                <c:pt idx="871">
                  <c:v>28316998</c:v>
                </c:pt>
                <c:pt idx="872">
                  <c:v>25449832</c:v>
                </c:pt>
                <c:pt idx="873">
                  <c:v>143570498</c:v>
                </c:pt>
                <c:pt idx="874">
                  <c:v>95711906</c:v>
                </c:pt>
                <c:pt idx="875">
                  <c:v>83399681</c:v>
                </c:pt>
                <c:pt idx="876">
                  <c:v>66486997</c:v>
                </c:pt>
                <c:pt idx="877">
                  <c:v>58442622</c:v>
                </c:pt>
                <c:pt idx="878">
                  <c:v>51218551</c:v>
                </c:pt>
                <c:pt idx="879">
                  <c:v>50948147</c:v>
                </c:pt>
                <c:pt idx="880">
                  <c:v>45539598</c:v>
                </c:pt>
                <c:pt idx="881">
                  <c:v>42434731</c:v>
                </c:pt>
                <c:pt idx="882">
                  <c:v>37482547</c:v>
                </c:pt>
                <c:pt idx="883">
                  <c:v>38585431</c:v>
                </c:pt>
                <c:pt idx="884">
                  <c:v>34183834</c:v>
                </c:pt>
                <c:pt idx="885">
                  <c:v>35002122</c:v>
                </c:pt>
                <c:pt idx="886">
                  <c:v>31234926</c:v>
                </c:pt>
                <c:pt idx="887">
                  <c:v>30925906</c:v>
                </c:pt>
                <c:pt idx="888">
                  <c:v>26686255</c:v>
                </c:pt>
                <c:pt idx="889">
                  <c:v>29387584</c:v>
                </c:pt>
                <c:pt idx="890">
                  <c:v>25490156</c:v>
                </c:pt>
                <c:pt idx="891">
                  <c:v>27664787</c:v>
                </c:pt>
                <c:pt idx="892">
                  <c:v>24469676</c:v>
                </c:pt>
                <c:pt idx="893">
                  <c:v>28743324</c:v>
                </c:pt>
                <c:pt idx="894">
                  <c:v>24889470</c:v>
                </c:pt>
                <c:pt idx="895">
                  <c:v>28513118</c:v>
                </c:pt>
                <c:pt idx="896">
                  <c:v>35715784</c:v>
                </c:pt>
                <c:pt idx="897">
                  <c:v>38386459</c:v>
                </c:pt>
                <c:pt idx="898">
                  <c:v>32847208</c:v>
                </c:pt>
                <c:pt idx="899">
                  <c:v>35894422</c:v>
                </c:pt>
                <c:pt idx="900">
                  <c:v>29784094</c:v>
                </c:pt>
                <c:pt idx="901">
                  <c:v>32022799</c:v>
                </c:pt>
                <c:pt idx="902">
                  <c:v>27660434</c:v>
                </c:pt>
                <c:pt idx="903">
                  <c:v>30688346</c:v>
                </c:pt>
                <c:pt idx="904">
                  <c:v>160090502</c:v>
                </c:pt>
                <c:pt idx="905">
                  <c:v>89605431</c:v>
                </c:pt>
                <c:pt idx="906">
                  <c:v>72662686</c:v>
                </c:pt>
                <c:pt idx="907">
                  <c:v>60945059</c:v>
                </c:pt>
                <c:pt idx="908">
                  <c:v>53982969</c:v>
                </c:pt>
                <c:pt idx="909">
                  <c:v>53477689</c:v>
                </c:pt>
                <c:pt idx="910">
                  <c:v>44869583</c:v>
                </c:pt>
                <c:pt idx="911">
                  <c:v>41127628</c:v>
                </c:pt>
                <c:pt idx="912">
                  <c:v>34141190</c:v>
                </c:pt>
                <c:pt idx="913">
                  <c:v>36353414</c:v>
                </c:pt>
                <c:pt idx="914">
                  <c:v>31108247</c:v>
                </c:pt>
                <c:pt idx="915">
                  <c:v>34996292</c:v>
                </c:pt>
                <c:pt idx="916">
                  <c:v>29007110</c:v>
                </c:pt>
                <c:pt idx="917">
                  <c:v>29071129</c:v>
                </c:pt>
                <c:pt idx="918">
                  <c:v>26341560</c:v>
                </c:pt>
                <c:pt idx="919">
                  <c:v>35376994</c:v>
                </c:pt>
                <c:pt idx="920">
                  <c:v>24924869</c:v>
                </c:pt>
                <c:pt idx="921">
                  <c:v>33038620</c:v>
                </c:pt>
                <c:pt idx="922">
                  <c:v>25100259</c:v>
                </c:pt>
                <c:pt idx="923">
                  <c:v>35390159</c:v>
                </c:pt>
                <c:pt idx="924">
                  <c:v>32262909</c:v>
                </c:pt>
                <c:pt idx="925">
                  <c:v>31118804</c:v>
                </c:pt>
                <c:pt idx="926">
                  <c:v>27110597</c:v>
                </c:pt>
                <c:pt idx="927">
                  <c:v>29575435</c:v>
                </c:pt>
                <c:pt idx="928">
                  <c:v>25497275</c:v>
                </c:pt>
                <c:pt idx="929">
                  <c:v>101374294</c:v>
                </c:pt>
                <c:pt idx="930">
                  <c:v>79794644</c:v>
                </c:pt>
                <c:pt idx="931">
                  <c:v>65581965</c:v>
                </c:pt>
                <c:pt idx="932">
                  <c:v>54104120</c:v>
                </c:pt>
                <c:pt idx="933">
                  <c:v>50903620</c:v>
                </c:pt>
                <c:pt idx="934">
                  <c:v>45139020</c:v>
                </c:pt>
                <c:pt idx="935">
                  <c:v>46759283</c:v>
                </c:pt>
                <c:pt idx="936">
                  <c:v>39119625</c:v>
                </c:pt>
                <c:pt idx="937">
                  <c:v>38614399</c:v>
                </c:pt>
                <c:pt idx="938">
                  <c:v>34205160</c:v>
                </c:pt>
                <c:pt idx="939">
                  <c:v>36347016</c:v>
                </c:pt>
                <c:pt idx="940">
                  <c:v>32065008</c:v>
                </c:pt>
                <c:pt idx="941">
                  <c:v>34437459</c:v>
                </c:pt>
                <c:pt idx="942">
                  <c:v>29737278</c:v>
                </c:pt>
                <c:pt idx="943">
                  <c:v>30167612</c:v>
                </c:pt>
                <c:pt idx="944">
                  <c:v>27193765</c:v>
                </c:pt>
                <c:pt idx="945">
                  <c:v>29942596</c:v>
                </c:pt>
                <c:pt idx="946">
                  <c:v>25533405</c:v>
                </c:pt>
                <c:pt idx="947">
                  <c:v>27920104</c:v>
                </c:pt>
                <c:pt idx="948">
                  <c:v>24773398</c:v>
                </c:pt>
                <c:pt idx="949">
                  <c:v>48203455</c:v>
                </c:pt>
                <c:pt idx="950">
                  <c:v>43083917</c:v>
                </c:pt>
                <c:pt idx="951">
                  <c:v>44067534</c:v>
                </c:pt>
                <c:pt idx="952">
                  <c:v>36668652</c:v>
                </c:pt>
                <c:pt idx="953">
                  <c:v>40711595</c:v>
                </c:pt>
                <c:pt idx="954">
                  <c:v>35019577</c:v>
                </c:pt>
                <c:pt idx="955">
                  <c:v>37795644</c:v>
                </c:pt>
                <c:pt idx="956">
                  <c:v>33537418</c:v>
                </c:pt>
                <c:pt idx="957">
                  <c:v>36083153</c:v>
                </c:pt>
                <c:pt idx="958">
                  <c:v>30681870</c:v>
                </c:pt>
                <c:pt idx="959">
                  <c:v>33099588</c:v>
                </c:pt>
                <c:pt idx="960">
                  <c:v>29039684</c:v>
                </c:pt>
                <c:pt idx="961">
                  <c:v>32013987</c:v>
                </c:pt>
                <c:pt idx="962">
                  <c:v>29890995</c:v>
                </c:pt>
                <c:pt idx="963">
                  <c:v>146122944</c:v>
                </c:pt>
                <c:pt idx="964">
                  <c:v>107749087</c:v>
                </c:pt>
                <c:pt idx="965">
                  <c:v>72734054</c:v>
                </c:pt>
                <c:pt idx="966">
                  <c:v>63352569</c:v>
                </c:pt>
                <c:pt idx="967">
                  <c:v>62625173</c:v>
                </c:pt>
                <c:pt idx="968">
                  <c:v>55774054</c:v>
                </c:pt>
                <c:pt idx="969">
                  <c:v>61782241</c:v>
                </c:pt>
                <c:pt idx="970">
                  <c:v>55948585</c:v>
                </c:pt>
                <c:pt idx="971">
                  <c:v>55784492</c:v>
                </c:pt>
                <c:pt idx="972">
                  <c:v>43337884</c:v>
                </c:pt>
                <c:pt idx="973">
                  <c:v>42670163</c:v>
                </c:pt>
                <c:pt idx="974">
                  <c:v>35424826</c:v>
                </c:pt>
                <c:pt idx="975">
                  <c:v>37364904</c:v>
                </c:pt>
                <c:pt idx="976">
                  <c:v>33098386</c:v>
                </c:pt>
                <c:pt idx="977">
                  <c:v>35101368</c:v>
                </c:pt>
                <c:pt idx="978">
                  <c:v>31689782</c:v>
                </c:pt>
                <c:pt idx="979">
                  <c:v>34389699</c:v>
                </c:pt>
                <c:pt idx="980">
                  <c:v>29512102</c:v>
                </c:pt>
                <c:pt idx="981">
                  <c:v>30744883</c:v>
                </c:pt>
                <c:pt idx="982">
                  <c:v>27228750</c:v>
                </c:pt>
                <c:pt idx="983">
                  <c:v>30164498</c:v>
                </c:pt>
                <c:pt idx="984">
                  <c:v>26859712</c:v>
                </c:pt>
                <c:pt idx="985">
                  <c:v>29559403</c:v>
                </c:pt>
                <c:pt idx="986">
                  <c:v>27102646</c:v>
                </c:pt>
                <c:pt idx="987">
                  <c:v>157962802</c:v>
                </c:pt>
                <c:pt idx="988">
                  <c:v>92026689</c:v>
                </c:pt>
                <c:pt idx="989">
                  <c:v>67035924</c:v>
                </c:pt>
                <c:pt idx="990">
                  <c:v>53239940</c:v>
                </c:pt>
                <c:pt idx="991">
                  <c:v>51506132</c:v>
                </c:pt>
                <c:pt idx="992">
                  <c:v>46709450</c:v>
                </c:pt>
                <c:pt idx="993">
                  <c:v>46299395</c:v>
                </c:pt>
                <c:pt idx="994">
                  <c:v>38953462</c:v>
                </c:pt>
                <c:pt idx="995">
                  <c:v>39538796</c:v>
                </c:pt>
                <c:pt idx="996">
                  <c:v>35467558</c:v>
                </c:pt>
                <c:pt idx="997">
                  <c:v>37638618</c:v>
                </c:pt>
                <c:pt idx="998">
                  <c:v>32617617</c:v>
                </c:pt>
                <c:pt idx="999">
                  <c:v>35235370</c:v>
                </c:pt>
                <c:pt idx="1000">
                  <c:v>29479406</c:v>
                </c:pt>
                <c:pt idx="1001">
                  <c:v>31473246</c:v>
                </c:pt>
                <c:pt idx="1002">
                  <c:v>28341829</c:v>
                </c:pt>
                <c:pt idx="1003">
                  <c:v>30619832</c:v>
                </c:pt>
                <c:pt idx="1004">
                  <c:v>27642049</c:v>
                </c:pt>
                <c:pt idx="1005">
                  <c:v>32315614</c:v>
                </c:pt>
                <c:pt idx="1006">
                  <c:v>55948151</c:v>
                </c:pt>
                <c:pt idx="1007">
                  <c:v>54709155</c:v>
                </c:pt>
                <c:pt idx="1008">
                  <c:v>49249097</c:v>
                </c:pt>
                <c:pt idx="1009">
                  <c:v>49902782</c:v>
                </c:pt>
                <c:pt idx="1010">
                  <c:v>41268459</c:v>
                </c:pt>
                <c:pt idx="1011">
                  <c:v>43912366</c:v>
                </c:pt>
                <c:pt idx="1012">
                  <c:v>40006159</c:v>
                </c:pt>
                <c:pt idx="1013">
                  <c:v>42723285</c:v>
                </c:pt>
                <c:pt idx="1014">
                  <c:v>39011200</c:v>
                </c:pt>
                <c:pt idx="1015">
                  <c:v>39632366</c:v>
                </c:pt>
                <c:pt idx="1016">
                  <c:v>35331192</c:v>
                </c:pt>
                <c:pt idx="1017">
                  <c:v>36917976</c:v>
                </c:pt>
                <c:pt idx="1018">
                  <c:v>39343642</c:v>
                </c:pt>
                <c:pt idx="1019">
                  <c:v>53039919</c:v>
                </c:pt>
                <c:pt idx="1020">
                  <c:v>1343334683</c:v>
                </c:pt>
                <c:pt idx="1021">
                  <c:v>929998415</c:v>
                </c:pt>
                <c:pt idx="1022">
                  <c:v>372637148</c:v>
                </c:pt>
                <c:pt idx="1023">
                  <c:v>115805200</c:v>
                </c:pt>
                <c:pt idx="1024">
                  <c:v>87618049</c:v>
                </c:pt>
                <c:pt idx="1025">
                  <c:v>56269447</c:v>
                </c:pt>
                <c:pt idx="1026">
                  <c:v>58563224</c:v>
                </c:pt>
                <c:pt idx="1027">
                  <c:v>50720851</c:v>
                </c:pt>
                <c:pt idx="1028">
                  <c:v>40148819</c:v>
                </c:pt>
                <c:pt idx="1029">
                  <c:v>39978723</c:v>
                </c:pt>
                <c:pt idx="1030">
                  <c:v>35545427</c:v>
                </c:pt>
                <c:pt idx="1031">
                  <c:v>35771805</c:v>
                </c:pt>
                <c:pt idx="1032">
                  <c:v>31470249</c:v>
                </c:pt>
                <c:pt idx="1033">
                  <c:v>29661675</c:v>
                </c:pt>
                <c:pt idx="1034">
                  <c:v>28689389</c:v>
                </c:pt>
                <c:pt idx="1035">
                  <c:v>27700594</c:v>
                </c:pt>
                <c:pt idx="1036">
                  <c:v>24374522</c:v>
                </c:pt>
                <c:pt idx="1037">
                  <c:v>26816914</c:v>
                </c:pt>
                <c:pt idx="1038">
                  <c:v>23038962</c:v>
                </c:pt>
                <c:pt idx="1039">
                  <c:v>26447656</c:v>
                </c:pt>
                <c:pt idx="1040">
                  <c:v>35374132</c:v>
                </c:pt>
                <c:pt idx="1041">
                  <c:v>35929152</c:v>
                </c:pt>
                <c:pt idx="1042">
                  <c:v>30626308</c:v>
                </c:pt>
                <c:pt idx="1043">
                  <c:v>33226088</c:v>
                </c:pt>
                <c:pt idx="1044">
                  <c:v>27391737</c:v>
                </c:pt>
                <c:pt idx="1045">
                  <c:v>28956296</c:v>
                </c:pt>
                <c:pt idx="1046">
                  <c:v>25599394</c:v>
                </c:pt>
                <c:pt idx="1047">
                  <c:v>27161959</c:v>
                </c:pt>
                <c:pt idx="1048">
                  <c:v>23311731</c:v>
                </c:pt>
                <c:pt idx="1049">
                  <c:v>27462019</c:v>
                </c:pt>
                <c:pt idx="1050">
                  <c:v>106516385</c:v>
                </c:pt>
                <c:pt idx="1051">
                  <c:v>69085210</c:v>
                </c:pt>
                <c:pt idx="1052">
                  <c:v>61625351</c:v>
                </c:pt>
                <c:pt idx="1053">
                  <c:v>54844666</c:v>
                </c:pt>
                <c:pt idx="1054">
                  <c:v>44056594</c:v>
                </c:pt>
                <c:pt idx="1055">
                  <c:v>41661713</c:v>
                </c:pt>
                <c:pt idx="1056">
                  <c:v>35466563</c:v>
                </c:pt>
                <c:pt idx="1057">
                  <c:v>37841780</c:v>
                </c:pt>
                <c:pt idx="1058">
                  <c:v>33610304</c:v>
                </c:pt>
                <c:pt idx="1059">
                  <c:v>34535273</c:v>
                </c:pt>
                <c:pt idx="1060">
                  <c:v>31295015</c:v>
                </c:pt>
                <c:pt idx="1061">
                  <c:v>29834717</c:v>
                </c:pt>
                <c:pt idx="1062">
                  <c:v>26089103</c:v>
                </c:pt>
                <c:pt idx="1063">
                  <c:v>28017861</c:v>
                </c:pt>
                <c:pt idx="1064">
                  <c:v>24461695</c:v>
                </c:pt>
                <c:pt idx="1065">
                  <c:v>26139780</c:v>
                </c:pt>
                <c:pt idx="1066">
                  <c:v>23223801</c:v>
                </c:pt>
                <c:pt idx="1067">
                  <c:v>34987655</c:v>
                </c:pt>
                <c:pt idx="1068">
                  <c:v>30681219</c:v>
                </c:pt>
                <c:pt idx="1069">
                  <c:v>28981124</c:v>
                </c:pt>
                <c:pt idx="1070">
                  <c:v>24734631</c:v>
                </c:pt>
                <c:pt idx="1071">
                  <c:v>26546503</c:v>
                </c:pt>
                <c:pt idx="1072">
                  <c:v>23429905</c:v>
                </c:pt>
                <c:pt idx="1073">
                  <c:v>25543895</c:v>
                </c:pt>
                <c:pt idx="1074">
                  <c:v>22700020</c:v>
                </c:pt>
                <c:pt idx="1075">
                  <c:v>26991690</c:v>
                </c:pt>
                <c:pt idx="1076">
                  <c:v>24243248</c:v>
                </c:pt>
                <c:pt idx="1077">
                  <c:v>25946540</c:v>
                </c:pt>
                <c:pt idx="1078">
                  <c:v>23000803</c:v>
                </c:pt>
                <c:pt idx="1079">
                  <c:v>29418299</c:v>
                </c:pt>
                <c:pt idx="1080">
                  <c:v>25898975</c:v>
                </c:pt>
                <c:pt idx="1081">
                  <c:v>27802167</c:v>
                </c:pt>
                <c:pt idx="1082">
                  <c:v>24684089</c:v>
                </c:pt>
                <c:pt idx="1083">
                  <c:v>27653997</c:v>
                </c:pt>
                <c:pt idx="1084">
                  <c:v>43356447</c:v>
                </c:pt>
                <c:pt idx="1085">
                  <c:v>42753446</c:v>
                </c:pt>
                <c:pt idx="1086">
                  <c:v>36084556</c:v>
                </c:pt>
                <c:pt idx="1087">
                  <c:v>38447769</c:v>
                </c:pt>
                <c:pt idx="1088">
                  <c:v>33460905</c:v>
                </c:pt>
                <c:pt idx="1089">
                  <c:v>34544978</c:v>
                </c:pt>
                <c:pt idx="1090">
                  <c:v>30582241</c:v>
                </c:pt>
                <c:pt idx="1091">
                  <c:v>30362208</c:v>
                </c:pt>
                <c:pt idx="1092">
                  <c:v>26750401</c:v>
                </c:pt>
                <c:pt idx="1093">
                  <c:v>29297443</c:v>
                </c:pt>
                <c:pt idx="1094">
                  <c:v>24864051</c:v>
                </c:pt>
                <c:pt idx="1095">
                  <c:v>27186479</c:v>
                </c:pt>
                <c:pt idx="1096">
                  <c:v>23901971</c:v>
                </c:pt>
                <c:pt idx="1097">
                  <c:v>27819155</c:v>
                </c:pt>
                <c:pt idx="1098">
                  <c:v>24755888</c:v>
                </c:pt>
                <c:pt idx="1099">
                  <c:v>31586577</c:v>
                </c:pt>
                <c:pt idx="1100">
                  <c:v>28047409</c:v>
                </c:pt>
                <c:pt idx="1101">
                  <c:v>30744386</c:v>
                </c:pt>
                <c:pt idx="1102">
                  <c:v>26937112</c:v>
                </c:pt>
                <c:pt idx="1103">
                  <c:v>28325416</c:v>
                </c:pt>
                <c:pt idx="1104">
                  <c:v>24161178</c:v>
                </c:pt>
                <c:pt idx="1105">
                  <c:v>29431338</c:v>
                </c:pt>
                <c:pt idx="1106">
                  <c:v>26810862</c:v>
                </c:pt>
                <c:pt idx="1107">
                  <c:v>42731234</c:v>
                </c:pt>
                <c:pt idx="1108">
                  <c:v>37678911</c:v>
                </c:pt>
                <c:pt idx="1109">
                  <c:v>38764393</c:v>
                </c:pt>
                <c:pt idx="1110">
                  <c:v>33002712</c:v>
                </c:pt>
                <c:pt idx="1111">
                  <c:v>32910318</c:v>
                </c:pt>
                <c:pt idx="1112">
                  <c:v>29312065</c:v>
                </c:pt>
                <c:pt idx="1113">
                  <c:v>30524545</c:v>
                </c:pt>
                <c:pt idx="1114">
                  <c:v>27188967</c:v>
                </c:pt>
                <c:pt idx="1115">
                  <c:v>31814871</c:v>
                </c:pt>
                <c:pt idx="1116">
                  <c:v>399607067</c:v>
                </c:pt>
                <c:pt idx="1117">
                  <c:v>155363758</c:v>
                </c:pt>
                <c:pt idx="1118">
                  <c:v>103210936</c:v>
                </c:pt>
                <c:pt idx="1119">
                  <c:v>78581380</c:v>
                </c:pt>
                <c:pt idx="1120">
                  <c:v>62179625</c:v>
                </c:pt>
                <c:pt idx="1121">
                  <c:v>59612927</c:v>
                </c:pt>
                <c:pt idx="1122">
                  <c:v>51072406</c:v>
                </c:pt>
                <c:pt idx="1123">
                  <c:v>46600017</c:v>
                </c:pt>
                <c:pt idx="1124">
                  <c:v>39310042</c:v>
                </c:pt>
                <c:pt idx="1125">
                  <c:v>39570594</c:v>
                </c:pt>
                <c:pt idx="1126">
                  <c:v>34870458</c:v>
                </c:pt>
                <c:pt idx="1127">
                  <c:v>34968162</c:v>
                </c:pt>
                <c:pt idx="1128">
                  <c:v>38207447</c:v>
                </c:pt>
                <c:pt idx="1129">
                  <c:v>30728204</c:v>
                </c:pt>
                <c:pt idx="1130">
                  <c:v>36816440</c:v>
                </c:pt>
                <c:pt idx="1131">
                  <c:v>29395049</c:v>
                </c:pt>
                <c:pt idx="1132">
                  <c:v>25564061</c:v>
                </c:pt>
                <c:pt idx="1133">
                  <c:v>27941228</c:v>
                </c:pt>
                <c:pt idx="1134">
                  <c:v>24088191</c:v>
                </c:pt>
                <c:pt idx="1135">
                  <c:v>26187614</c:v>
                </c:pt>
                <c:pt idx="1136">
                  <c:v>23290270</c:v>
                </c:pt>
                <c:pt idx="1137">
                  <c:v>28018149</c:v>
                </c:pt>
                <c:pt idx="1138">
                  <c:v>27956199</c:v>
                </c:pt>
                <c:pt idx="1139">
                  <c:v>28699244</c:v>
                </c:pt>
                <c:pt idx="1140">
                  <c:v>24760671</c:v>
                </c:pt>
                <c:pt idx="1141">
                  <c:v>27643944</c:v>
                </c:pt>
                <c:pt idx="1142">
                  <c:v>24750494</c:v>
                </c:pt>
                <c:pt idx="1143">
                  <c:v>51589839</c:v>
                </c:pt>
                <c:pt idx="1144">
                  <c:v>43414779</c:v>
                </c:pt>
                <c:pt idx="1145">
                  <c:v>41599533</c:v>
                </c:pt>
                <c:pt idx="1146">
                  <c:v>36479377</c:v>
                </c:pt>
                <c:pt idx="1147">
                  <c:v>37320820</c:v>
                </c:pt>
                <c:pt idx="1148">
                  <c:v>33101910</c:v>
                </c:pt>
                <c:pt idx="1149">
                  <c:v>34493429</c:v>
                </c:pt>
                <c:pt idx="1150">
                  <c:v>27290400</c:v>
                </c:pt>
                <c:pt idx="1151">
                  <c:v>29255311</c:v>
                </c:pt>
                <c:pt idx="1152">
                  <c:v>26038459</c:v>
                </c:pt>
                <c:pt idx="1153">
                  <c:v>28412744</c:v>
                </c:pt>
                <c:pt idx="1154">
                  <c:v>25412350</c:v>
                </c:pt>
                <c:pt idx="1155">
                  <c:v>27605015</c:v>
                </c:pt>
                <c:pt idx="1156">
                  <c:v>64106361</c:v>
                </c:pt>
                <c:pt idx="1157">
                  <c:v>54162387</c:v>
                </c:pt>
                <c:pt idx="1158">
                  <c:v>45211058</c:v>
                </c:pt>
                <c:pt idx="1159">
                  <c:v>43043917</c:v>
                </c:pt>
                <c:pt idx="1160">
                  <c:v>37722399</c:v>
                </c:pt>
                <c:pt idx="1161">
                  <c:v>37804128</c:v>
                </c:pt>
                <c:pt idx="1162">
                  <c:v>33265649</c:v>
                </c:pt>
                <c:pt idx="1163">
                  <c:v>31378336</c:v>
                </c:pt>
                <c:pt idx="1164">
                  <c:v>26569125</c:v>
                </c:pt>
                <c:pt idx="1165">
                  <c:v>27597872</c:v>
                </c:pt>
                <c:pt idx="1166">
                  <c:v>23947600</c:v>
                </c:pt>
                <c:pt idx="1167">
                  <c:v>26356472</c:v>
                </c:pt>
                <c:pt idx="1168">
                  <c:v>23164109</c:v>
                </c:pt>
                <c:pt idx="1169">
                  <c:v>31060022</c:v>
                </c:pt>
                <c:pt idx="1170">
                  <c:v>27721725</c:v>
                </c:pt>
                <c:pt idx="1171">
                  <c:v>29847794</c:v>
                </c:pt>
                <c:pt idx="1172">
                  <c:v>24998608</c:v>
                </c:pt>
                <c:pt idx="1173">
                  <c:v>27193989</c:v>
                </c:pt>
                <c:pt idx="1174">
                  <c:v>23807854</c:v>
                </c:pt>
                <c:pt idx="1175">
                  <c:v>29043148</c:v>
                </c:pt>
                <c:pt idx="1176">
                  <c:v>25725819</c:v>
                </c:pt>
                <c:pt idx="1177">
                  <c:v>27750090</c:v>
                </c:pt>
                <c:pt idx="1178">
                  <c:v>37908575</c:v>
                </c:pt>
                <c:pt idx="1179">
                  <c:v>36248518</c:v>
                </c:pt>
                <c:pt idx="1180">
                  <c:v>30792682</c:v>
                </c:pt>
                <c:pt idx="1181">
                  <c:v>31118056</c:v>
                </c:pt>
                <c:pt idx="1182">
                  <c:v>27761889</c:v>
                </c:pt>
                <c:pt idx="1183">
                  <c:v>29369706</c:v>
                </c:pt>
                <c:pt idx="1184">
                  <c:v>25977171</c:v>
                </c:pt>
                <c:pt idx="1185">
                  <c:v>29501647</c:v>
                </c:pt>
                <c:pt idx="1186">
                  <c:v>69498554</c:v>
                </c:pt>
                <c:pt idx="1187">
                  <c:v>61185564</c:v>
                </c:pt>
                <c:pt idx="1188">
                  <c:v>50001546</c:v>
                </c:pt>
                <c:pt idx="1189">
                  <c:v>46563552</c:v>
                </c:pt>
                <c:pt idx="1190">
                  <c:v>37857412</c:v>
                </c:pt>
                <c:pt idx="1191">
                  <c:v>38722149</c:v>
                </c:pt>
                <c:pt idx="1192">
                  <c:v>32480296</c:v>
                </c:pt>
                <c:pt idx="1193">
                  <c:v>33949740</c:v>
                </c:pt>
                <c:pt idx="1194">
                  <c:v>27688332</c:v>
                </c:pt>
                <c:pt idx="1195">
                  <c:v>30053567</c:v>
                </c:pt>
                <c:pt idx="1196">
                  <c:v>26881741</c:v>
                </c:pt>
                <c:pt idx="1197">
                  <c:v>29366110</c:v>
                </c:pt>
                <c:pt idx="1198">
                  <c:v>25223837</c:v>
                </c:pt>
                <c:pt idx="1199">
                  <c:v>28348154</c:v>
                </c:pt>
                <c:pt idx="1200">
                  <c:v>39570379</c:v>
                </c:pt>
                <c:pt idx="1201">
                  <c:v>40370370</c:v>
                </c:pt>
                <c:pt idx="1202">
                  <c:v>35745332</c:v>
                </c:pt>
                <c:pt idx="1203">
                  <c:v>34680535</c:v>
                </c:pt>
                <c:pt idx="1204">
                  <c:v>30407433</c:v>
                </c:pt>
                <c:pt idx="1205">
                  <c:v>32484580</c:v>
                </c:pt>
                <c:pt idx="1206">
                  <c:v>28769372</c:v>
                </c:pt>
                <c:pt idx="1207">
                  <c:v>29992603</c:v>
                </c:pt>
                <c:pt idx="1208">
                  <c:v>26388166</c:v>
                </c:pt>
                <c:pt idx="1209">
                  <c:v>34778531</c:v>
                </c:pt>
                <c:pt idx="1210">
                  <c:v>32151761</c:v>
                </c:pt>
                <c:pt idx="1211">
                  <c:v>33215004</c:v>
                </c:pt>
                <c:pt idx="1212">
                  <c:v>28792809</c:v>
                </c:pt>
                <c:pt idx="1213">
                  <c:v>31374786</c:v>
                </c:pt>
                <c:pt idx="1214">
                  <c:v>27877904</c:v>
                </c:pt>
                <c:pt idx="1215">
                  <c:v>33478949</c:v>
                </c:pt>
                <c:pt idx="1216">
                  <c:v>28318512</c:v>
                </c:pt>
                <c:pt idx="1217">
                  <c:v>30552736</c:v>
                </c:pt>
                <c:pt idx="1218">
                  <c:v>192756973</c:v>
                </c:pt>
                <c:pt idx="1219">
                  <c:v>89873814</c:v>
                </c:pt>
                <c:pt idx="1220">
                  <c:v>71481251</c:v>
                </c:pt>
                <c:pt idx="1221">
                  <c:v>65954892</c:v>
                </c:pt>
                <c:pt idx="1222">
                  <c:v>53024160</c:v>
                </c:pt>
                <c:pt idx="1223">
                  <c:v>52715051</c:v>
                </c:pt>
                <c:pt idx="1224">
                  <c:v>41106686</c:v>
                </c:pt>
                <c:pt idx="1225">
                  <c:v>42421431</c:v>
                </c:pt>
                <c:pt idx="1226">
                  <c:v>35264988</c:v>
                </c:pt>
                <c:pt idx="1227">
                  <c:v>38512379</c:v>
                </c:pt>
                <c:pt idx="1228">
                  <c:v>31834375</c:v>
                </c:pt>
                <c:pt idx="1229">
                  <c:v>32088127</c:v>
                </c:pt>
                <c:pt idx="1230">
                  <c:v>27933112</c:v>
                </c:pt>
                <c:pt idx="1231">
                  <c:v>30169831</c:v>
                </c:pt>
                <c:pt idx="1232">
                  <c:v>27264219</c:v>
                </c:pt>
                <c:pt idx="1233">
                  <c:v>28590099</c:v>
                </c:pt>
                <c:pt idx="1234">
                  <c:v>29470505</c:v>
                </c:pt>
                <c:pt idx="1235">
                  <c:v>31440898</c:v>
                </c:pt>
                <c:pt idx="1236">
                  <c:v>36028741</c:v>
                </c:pt>
                <c:pt idx="1237">
                  <c:v>37849151</c:v>
                </c:pt>
                <c:pt idx="1238">
                  <c:v>39694408</c:v>
                </c:pt>
                <c:pt idx="1239">
                  <c:v>38767755</c:v>
                </c:pt>
                <c:pt idx="1240">
                  <c:v>31924427</c:v>
                </c:pt>
                <c:pt idx="1241">
                  <c:v>31204761</c:v>
                </c:pt>
                <c:pt idx="1242">
                  <c:v>30567182</c:v>
                </c:pt>
                <c:pt idx="1243">
                  <c:v>31661674</c:v>
                </c:pt>
                <c:pt idx="1244">
                  <c:v>28158054</c:v>
                </c:pt>
                <c:pt idx="1245">
                  <c:v>43372659</c:v>
                </c:pt>
                <c:pt idx="1246">
                  <c:v>37393366</c:v>
                </c:pt>
                <c:pt idx="1247">
                  <c:v>36641901</c:v>
                </c:pt>
                <c:pt idx="1248">
                  <c:v>32263546</c:v>
                </c:pt>
                <c:pt idx="1249">
                  <c:v>35166487</c:v>
                </c:pt>
                <c:pt idx="1250">
                  <c:v>30156259</c:v>
                </c:pt>
                <c:pt idx="1251">
                  <c:v>34434843</c:v>
                </c:pt>
                <c:pt idx="1252">
                  <c:v>62316879</c:v>
                </c:pt>
                <c:pt idx="1253">
                  <c:v>55719394</c:v>
                </c:pt>
                <c:pt idx="1254">
                  <c:v>48578417</c:v>
                </c:pt>
                <c:pt idx="1255">
                  <c:v>48106216</c:v>
                </c:pt>
                <c:pt idx="1256">
                  <c:v>42006657</c:v>
                </c:pt>
                <c:pt idx="1257">
                  <c:v>39686209</c:v>
                </c:pt>
                <c:pt idx="1258">
                  <c:v>34540260</c:v>
                </c:pt>
                <c:pt idx="1259">
                  <c:v>36706787</c:v>
                </c:pt>
                <c:pt idx="1260">
                  <c:v>32730269</c:v>
                </c:pt>
                <c:pt idx="1261">
                  <c:v>34951894</c:v>
                </c:pt>
                <c:pt idx="1262">
                  <c:v>192150262</c:v>
                </c:pt>
                <c:pt idx="1263">
                  <c:v>107353019</c:v>
                </c:pt>
                <c:pt idx="1264">
                  <c:v>78267381</c:v>
                </c:pt>
                <c:pt idx="1265">
                  <c:v>71142091</c:v>
                </c:pt>
                <c:pt idx="1266">
                  <c:v>53668355</c:v>
                </c:pt>
                <c:pt idx="1267">
                  <c:v>55894770</c:v>
                </c:pt>
                <c:pt idx="1268">
                  <c:v>46280282</c:v>
                </c:pt>
                <c:pt idx="1269">
                  <c:v>43637617</c:v>
                </c:pt>
                <c:pt idx="1270">
                  <c:v>36983180</c:v>
                </c:pt>
                <c:pt idx="1271">
                  <c:v>39059104</c:v>
                </c:pt>
                <c:pt idx="1272">
                  <c:v>33909900</c:v>
                </c:pt>
                <c:pt idx="1273">
                  <c:v>35083886</c:v>
                </c:pt>
                <c:pt idx="1274">
                  <c:v>284404439</c:v>
                </c:pt>
                <c:pt idx="1275">
                  <c:v>125013105</c:v>
                </c:pt>
                <c:pt idx="1276">
                  <c:v>86830258</c:v>
                </c:pt>
                <c:pt idx="1277">
                  <c:v>67468190</c:v>
                </c:pt>
                <c:pt idx="1278">
                  <c:v>52718253</c:v>
                </c:pt>
                <c:pt idx="1279">
                  <c:v>51132411</c:v>
                </c:pt>
                <c:pt idx="1280">
                  <c:v>42570365</c:v>
                </c:pt>
                <c:pt idx="1281">
                  <c:v>40214567</c:v>
                </c:pt>
                <c:pt idx="1282">
                  <c:v>33924584</c:v>
                </c:pt>
                <c:pt idx="1283">
                  <c:v>34377267</c:v>
                </c:pt>
                <c:pt idx="1284">
                  <c:v>32326592</c:v>
                </c:pt>
                <c:pt idx="1285">
                  <c:v>34450150</c:v>
                </c:pt>
                <c:pt idx="1286">
                  <c:v>29992115</c:v>
                </c:pt>
                <c:pt idx="1287">
                  <c:v>48790192</c:v>
                </c:pt>
                <c:pt idx="1288">
                  <c:v>42083052</c:v>
                </c:pt>
                <c:pt idx="1289">
                  <c:v>41291506</c:v>
                </c:pt>
                <c:pt idx="1290">
                  <c:v>35437019</c:v>
                </c:pt>
                <c:pt idx="1291">
                  <c:v>39450068</c:v>
                </c:pt>
                <c:pt idx="1292">
                  <c:v>33863703</c:v>
                </c:pt>
                <c:pt idx="1293">
                  <c:v>37264756</c:v>
                </c:pt>
                <c:pt idx="1294">
                  <c:v>31778263</c:v>
                </c:pt>
                <c:pt idx="1295">
                  <c:v>39365588</c:v>
                </c:pt>
                <c:pt idx="1296">
                  <c:v>35491403</c:v>
                </c:pt>
                <c:pt idx="1297">
                  <c:v>486133671</c:v>
                </c:pt>
                <c:pt idx="1298">
                  <c:v>189815908</c:v>
                </c:pt>
                <c:pt idx="1299">
                  <c:v>99355792</c:v>
                </c:pt>
                <c:pt idx="1300">
                  <c:v>82781347</c:v>
                </c:pt>
                <c:pt idx="1301">
                  <c:v>68577392</c:v>
                </c:pt>
                <c:pt idx="1302">
                  <c:v>56879052</c:v>
                </c:pt>
                <c:pt idx="1303">
                  <c:v>55023414</c:v>
                </c:pt>
                <c:pt idx="1304">
                  <c:v>47488846</c:v>
                </c:pt>
                <c:pt idx="1305">
                  <c:v>43737062</c:v>
                </c:pt>
                <c:pt idx="1306">
                  <c:v>38085926</c:v>
                </c:pt>
                <c:pt idx="1307">
                  <c:v>41392884</c:v>
                </c:pt>
                <c:pt idx="1308">
                  <c:v>38825198</c:v>
                </c:pt>
                <c:pt idx="1309">
                  <c:v>34050921</c:v>
                </c:pt>
                <c:pt idx="1310">
                  <c:v>28898672</c:v>
                </c:pt>
                <c:pt idx="1311">
                  <c:v>33995407</c:v>
                </c:pt>
                <c:pt idx="1312">
                  <c:v>27912298</c:v>
                </c:pt>
                <c:pt idx="1313">
                  <c:v>172956681</c:v>
                </c:pt>
                <c:pt idx="1314">
                  <c:v>96762417</c:v>
                </c:pt>
                <c:pt idx="1315">
                  <c:v>79575859</c:v>
                </c:pt>
                <c:pt idx="1316">
                  <c:v>60723755</c:v>
                </c:pt>
                <c:pt idx="1317">
                  <c:v>54748126</c:v>
                </c:pt>
                <c:pt idx="1318">
                  <c:v>47355762</c:v>
                </c:pt>
                <c:pt idx="1319">
                  <c:v>47381933</c:v>
                </c:pt>
                <c:pt idx="1320">
                  <c:v>35472677</c:v>
                </c:pt>
                <c:pt idx="1321">
                  <c:v>36124839</c:v>
                </c:pt>
                <c:pt idx="1322">
                  <c:v>31476774</c:v>
                </c:pt>
                <c:pt idx="1323">
                  <c:v>33490251</c:v>
                </c:pt>
                <c:pt idx="1324">
                  <c:v>29158627</c:v>
                </c:pt>
                <c:pt idx="1325">
                  <c:v>31000699</c:v>
                </c:pt>
                <c:pt idx="1326">
                  <c:v>76328219</c:v>
                </c:pt>
                <c:pt idx="1327">
                  <c:v>61903802</c:v>
                </c:pt>
                <c:pt idx="1328">
                  <c:v>49139846</c:v>
                </c:pt>
                <c:pt idx="1329">
                  <c:v>45000646</c:v>
                </c:pt>
                <c:pt idx="1330">
                  <c:v>38656407</c:v>
                </c:pt>
                <c:pt idx="1331">
                  <c:v>42167751</c:v>
                </c:pt>
                <c:pt idx="1332">
                  <c:v>31382933</c:v>
                </c:pt>
                <c:pt idx="1333">
                  <c:v>32638279</c:v>
                </c:pt>
                <c:pt idx="1334">
                  <c:v>29065957</c:v>
                </c:pt>
                <c:pt idx="1335">
                  <c:v>30728310</c:v>
                </c:pt>
                <c:pt idx="1336">
                  <c:v>26413638</c:v>
                </c:pt>
                <c:pt idx="1337">
                  <c:v>29002354</c:v>
                </c:pt>
                <c:pt idx="1338">
                  <c:v>26924265</c:v>
                </c:pt>
                <c:pt idx="1339">
                  <c:v>30848963</c:v>
                </c:pt>
                <c:pt idx="1340">
                  <c:v>29514089</c:v>
                </c:pt>
                <c:pt idx="1341">
                  <c:v>30514418</c:v>
                </c:pt>
                <c:pt idx="1342">
                  <c:v>32696307</c:v>
                </c:pt>
                <c:pt idx="1343">
                  <c:v>31858455</c:v>
                </c:pt>
                <c:pt idx="1344">
                  <c:v>31193640</c:v>
                </c:pt>
                <c:pt idx="1345">
                  <c:v>32634870</c:v>
                </c:pt>
                <c:pt idx="1346">
                  <c:v>589350948</c:v>
                </c:pt>
                <c:pt idx="1347">
                  <c:v>148573405</c:v>
                </c:pt>
                <c:pt idx="1348">
                  <c:v>92076926</c:v>
                </c:pt>
                <c:pt idx="1349">
                  <c:v>74575299</c:v>
                </c:pt>
                <c:pt idx="1350">
                  <c:v>57088193</c:v>
                </c:pt>
                <c:pt idx="1351">
                  <c:v>53857641</c:v>
                </c:pt>
                <c:pt idx="1352">
                  <c:v>44880692</c:v>
                </c:pt>
                <c:pt idx="1353">
                  <c:v>44064288</c:v>
                </c:pt>
                <c:pt idx="1354">
                  <c:v>34548223</c:v>
                </c:pt>
                <c:pt idx="1355">
                  <c:v>40824946</c:v>
                </c:pt>
                <c:pt idx="1356">
                  <c:v>31843210</c:v>
                </c:pt>
                <c:pt idx="1357">
                  <c:v>33014001</c:v>
                </c:pt>
                <c:pt idx="1358">
                  <c:v>27865253</c:v>
                </c:pt>
                <c:pt idx="1359">
                  <c:v>29881245</c:v>
                </c:pt>
                <c:pt idx="1360">
                  <c:v>26202412</c:v>
                </c:pt>
                <c:pt idx="1361">
                  <c:v>28799470</c:v>
                </c:pt>
                <c:pt idx="1362">
                  <c:v>27988983</c:v>
                </c:pt>
                <c:pt idx="1363">
                  <c:v>30228087</c:v>
                </c:pt>
                <c:pt idx="1364">
                  <c:v>65743383</c:v>
                </c:pt>
                <c:pt idx="1365">
                  <c:v>54488252</c:v>
                </c:pt>
                <c:pt idx="1366">
                  <c:v>45809135</c:v>
                </c:pt>
                <c:pt idx="1367">
                  <c:v>44471061</c:v>
                </c:pt>
                <c:pt idx="1368">
                  <c:v>37145127</c:v>
                </c:pt>
                <c:pt idx="1369">
                  <c:v>39213135</c:v>
                </c:pt>
                <c:pt idx="1370">
                  <c:v>30982478</c:v>
                </c:pt>
                <c:pt idx="1371">
                  <c:v>34327888</c:v>
                </c:pt>
                <c:pt idx="1372">
                  <c:v>28658825</c:v>
                </c:pt>
                <c:pt idx="1373">
                  <c:v>31342852</c:v>
                </c:pt>
                <c:pt idx="1374">
                  <c:v>27580893</c:v>
                </c:pt>
                <c:pt idx="1375">
                  <c:v>29271054</c:v>
                </c:pt>
                <c:pt idx="1376">
                  <c:v>181763617</c:v>
                </c:pt>
                <c:pt idx="1377">
                  <c:v>95780762</c:v>
                </c:pt>
                <c:pt idx="1378">
                  <c:v>73580202</c:v>
                </c:pt>
                <c:pt idx="1379">
                  <c:v>61105311</c:v>
                </c:pt>
                <c:pt idx="1380">
                  <c:v>50235241</c:v>
                </c:pt>
                <c:pt idx="1381">
                  <c:v>46613139</c:v>
                </c:pt>
                <c:pt idx="1382">
                  <c:v>41441003</c:v>
                </c:pt>
                <c:pt idx="1383">
                  <c:v>42142904</c:v>
                </c:pt>
                <c:pt idx="1384">
                  <c:v>37990217</c:v>
                </c:pt>
                <c:pt idx="1385">
                  <c:v>35229646</c:v>
                </c:pt>
                <c:pt idx="1386">
                  <c:v>30032748</c:v>
                </c:pt>
                <c:pt idx="1387">
                  <c:v>31092743</c:v>
                </c:pt>
                <c:pt idx="1388">
                  <c:v>25175243</c:v>
                </c:pt>
                <c:pt idx="1389">
                  <c:v>28095128</c:v>
                </c:pt>
                <c:pt idx="1390">
                  <c:v>24560535</c:v>
                </c:pt>
                <c:pt idx="1391">
                  <c:v>30468469</c:v>
                </c:pt>
                <c:pt idx="1392">
                  <c:v>26743280</c:v>
                </c:pt>
                <c:pt idx="1393">
                  <c:v>30304556</c:v>
                </c:pt>
                <c:pt idx="1394">
                  <c:v>70654823</c:v>
                </c:pt>
                <c:pt idx="1395">
                  <c:v>65024614</c:v>
                </c:pt>
                <c:pt idx="1396">
                  <c:v>51137498</c:v>
                </c:pt>
                <c:pt idx="1397">
                  <c:v>50968310</c:v>
                </c:pt>
                <c:pt idx="1398">
                  <c:v>40541645</c:v>
                </c:pt>
                <c:pt idx="1399">
                  <c:v>42872836</c:v>
                </c:pt>
                <c:pt idx="1400">
                  <c:v>37501952</c:v>
                </c:pt>
                <c:pt idx="1401">
                  <c:v>39577865</c:v>
                </c:pt>
                <c:pt idx="1402">
                  <c:v>31097800</c:v>
                </c:pt>
                <c:pt idx="1403">
                  <c:v>33236626</c:v>
                </c:pt>
                <c:pt idx="1404">
                  <c:v>28733962</c:v>
                </c:pt>
                <c:pt idx="1405">
                  <c:v>30443731</c:v>
                </c:pt>
                <c:pt idx="1406">
                  <c:v>26790417</c:v>
                </c:pt>
                <c:pt idx="1407">
                  <c:v>30478293</c:v>
                </c:pt>
                <c:pt idx="1408">
                  <c:v>48202507</c:v>
                </c:pt>
                <c:pt idx="1409">
                  <c:v>48177257</c:v>
                </c:pt>
                <c:pt idx="1410">
                  <c:v>41748606</c:v>
                </c:pt>
                <c:pt idx="1411">
                  <c:v>43492787</c:v>
                </c:pt>
                <c:pt idx="1412">
                  <c:v>34298013</c:v>
                </c:pt>
                <c:pt idx="1413">
                  <c:v>35783497</c:v>
                </c:pt>
                <c:pt idx="1414">
                  <c:v>31601523</c:v>
                </c:pt>
                <c:pt idx="1415">
                  <c:v>41641075</c:v>
                </c:pt>
                <c:pt idx="1416">
                  <c:v>31802788</c:v>
                </c:pt>
                <c:pt idx="1417">
                  <c:v>32828283</c:v>
                </c:pt>
                <c:pt idx="1418">
                  <c:v>31765090</c:v>
                </c:pt>
                <c:pt idx="1419">
                  <c:v>35445423</c:v>
                </c:pt>
                <c:pt idx="1420">
                  <c:v>30566975</c:v>
                </c:pt>
                <c:pt idx="1421">
                  <c:v>35470935</c:v>
                </c:pt>
                <c:pt idx="1422">
                  <c:v>33765082</c:v>
                </c:pt>
                <c:pt idx="1423">
                  <c:v>37619903</c:v>
                </c:pt>
                <c:pt idx="1424">
                  <c:v>31797820</c:v>
                </c:pt>
                <c:pt idx="1425">
                  <c:v>41336086</c:v>
                </c:pt>
                <c:pt idx="1426">
                  <c:v>35768649</c:v>
                </c:pt>
                <c:pt idx="1427">
                  <c:v>40620125</c:v>
                </c:pt>
                <c:pt idx="1428">
                  <c:v>35717165</c:v>
                </c:pt>
                <c:pt idx="1429">
                  <c:v>179759723</c:v>
                </c:pt>
                <c:pt idx="1430">
                  <c:v>99850525</c:v>
                </c:pt>
                <c:pt idx="1431">
                  <c:v>80962747</c:v>
                </c:pt>
                <c:pt idx="1432">
                  <c:v>59387639</c:v>
                </c:pt>
                <c:pt idx="1433">
                  <c:v>53878200</c:v>
                </c:pt>
                <c:pt idx="1434">
                  <c:v>44591773</c:v>
                </c:pt>
                <c:pt idx="1435">
                  <c:v>44294087</c:v>
                </c:pt>
                <c:pt idx="1436">
                  <c:v>36225267</c:v>
                </c:pt>
                <c:pt idx="1437">
                  <c:v>28988839</c:v>
                </c:pt>
                <c:pt idx="1438">
                  <c:v>25047863</c:v>
                </c:pt>
                <c:pt idx="1439">
                  <c:v>26594894</c:v>
                </c:pt>
                <c:pt idx="1440">
                  <c:v>22322728</c:v>
                </c:pt>
                <c:pt idx="1441">
                  <c:v>28887981</c:v>
                </c:pt>
                <c:pt idx="1442">
                  <c:v>22038320</c:v>
                </c:pt>
                <c:pt idx="1443">
                  <c:v>48035472</c:v>
                </c:pt>
                <c:pt idx="1444">
                  <c:v>36489581</c:v>
                </c:pt>
                <c:pt idx="1445">
                  <c:v>32922798</c:v>
                </c:pt>
                <c:pt idx="1446">
                  <c:v>27690519</c:v>
                </c:pt>
                <c:pt idx="1447">
                  <c:v>28633125</c:v>
                </c:pt>
                <c:pt idx="1448">
                  <c:v>24780804</c:v>
                </c:pt>
                <c:pt idx="1449">
                  <c:v>26606352</c:v>
                </c:pt>
                <c:pt idx="1450">
                  <c:v>22920817</c:v>
                </c:pt>
                <c:pt idx="1451">
                  <c:v>22785267</c:v>
                </c:pt>
                <c:pt idx="1452">
                  <c:v>23448313</c:v>
                </c:pt>
                <c:pt idx="1453">
                  <c:v>30216285</c:v>
                </c:pt>
                <c:pt idx="1454">
                  <c:v>26464325</c:v>
                </c:pt>
                <c:pt idx="1455">
                  <c:v>28806882</c:v>
                </c:pt>
                <c:pt idx="1456">
                  <c:v>24362223</c:v>
                </c:pt>
                <c:pt idx="1457">
                  <c:v>27191943</c:v>
                </c:pt>
                <c:pt idx="1458">
                  <c:v>93254163</c:v>
                </c:pt>
                <c:pt idx="1459">
                  <c:v>67788774</c:v>
                </c:pt>
                <c:pt idx="1460">
                  <c:v>53901853</c:v>
                </c:pt>
                <c:pt idx="1461">
                  <c:v>47271004</c:v>
                </c:pt>
                <c:pt idx="1462">
                  <c:v>40582014</c:v>
                </c:pt>
                <c:pt idx="1463">
                  <c:v>38801169</c:v>
                </c:pt>
                <c:pt idx="1464">
                  <c:v>29699465</c:v>
                </c:pt>
                <c:pt idx="1465">
                  <c:v>30317330</c:v>
                </c:pt>
                <c:pt idx="1466">
                  <c:v>26025519</c:v>
                </c:pt>
                <c:pt idx="1467">
                  <c:v>26660742</c:v>
                </c:pt>
                <c:pt idx="1468">
                  <c:v>22510272</c:v>
                </c:pt>
                <c:pt idx="1469">
                  <c:v>24550284</c:v>
                </c:pt>
                <c:pt idx="1470">
                  <c:v>21615796</c:v>
                </c:pt>
                <c:pt idx="1471">
                  <c:v>23900059</c:v>
                </c:pt>
                <c:pt idx="1472">
                  <c:v>22352044</c:v>
                </c:pt>
                <c:pt idx="1473">
                  <c:v>25344163</c:v>
                </c:pt>
                <c:pt idx="1474">
                  <c:v>37266146</c:v>
                </c:pt>
                <c:pt idx="1475">
                  <c:v>35686366</c:v>
                </c:pt>
                <c:pt idx="1476">
                  <c:v>28929650</c:v>
                </c:pt>
                <c:pt idx="1477">
                  <c:v>30227652</c:v>
                </c:pt>
                <c:pt idx="1478">
                  <c:v>26252743</c:v>
                </c:pt>
                <c:pt idx="1479">
                  <c:v>27355579</c:v>
                </c:pt>
                <c:pt idx="1480">
                  <c:v>23656693</c:v>
                </c:pt>
                <c:pt idx="1481">
                  <c:v>26873051</c:v>
                </c:pt>
                <c:pt idx="1482">
                  <c:v>76961076</c:v>
                </c:pt>
                <c:pt idx="1483">
                  <c:v>56820635</c:v>
                </c:pt>
                <c:pt idx="1484">
                  <c:v>48428827</c:v>
                </c:pt>
                <c:pt idx="1485">
                  <c:v>43752286</c:v>
                </c:pt>
                <c:pt idx="1486">
                  <c:v>37524339</c:v>
                </c:pt>
                <c:pt idx="1487">
                  <c:v>32437715</c:v>
                </c:pt>
                <c:pt idx="1488">
                  <c:v>26792970</c:v>
                </c:pt>
                <c:pt idx="1489">
                  <c:v>27736549</c:v>
                </c:pt>
                <c:pt idx="1490">
                  <c:v>23740389</c:v>
                </c:pt>
                <c:pt idx="1491">
                  <c:v>24756971</c:v>
                </c:pt>
                <c:pt idx="1492">
                  <c:v>20528326</c:v>
                </c:pt>
                <c:pt idx="1493">
                  <c:v>23988452</c:v>
                </c:pt>
                <c:pt idx="1494">
                  <c:v>26647219</c:v>
                </c:pt>
                <c:pt idx="1495">
                  <c:v>28052437</c:v>
                </c:pt>
                <c:pt idx="1496">
                  <c:v>24041073</c:v>
                </c:pt>
                <c:pt idx="1497">
                  <c:v>25536124</c:v>
                </c:pt>
                <c:pt idx="1498">
                  <c:v>22155622</c:v>
                </c:pt>
                <c:pt idx="1499">
                  <c:v>24287821</c:v>
                </c:pt>
                <c:pt idx="1500">
                  <c:v>23297631</c:v>
                </c:pt>
                <c:pt idx="1501">
                  <c:v>26643092</c:v>
                </c:pt>
                <c:pt idx="1502">
                  <c:v>60969193</c:v>
                </c:pt>
                <c:pt idx="1503">
                  <c:v>50755573</c:v>
                </c:pt>
                <c:pt idx="1504">
                  <c:v>42756043</c:v>
                </c:pt>
                <c:pt idx="1505">
                  <c:v>40989594</c:v>
                </c:pt>
                <c:pt idx="1506">
                  <c:v>32819469</c:v>
                </c:pt>
                <c:pt idx="1507">
                  <c:v>32155723</c:v>
                </c:pt>
                <c:pt idx="1508">
                  <c:v>26939889</c:v>
                </c:pt>
                <c:pt idx="1509">
                  <c:v>28243914</c:v>
                </c:pt>
                <c:pt idx="1510">
                  <c:v>23598972</c:v>
                </c:pt>
                <c:pt idx="1511">
                  <c:v>25044891</c:v>
                </c:pt>
                <c:pt idx="1512">
                  <c:v>21947664</c:v>
                </c:pt>
                <c:pt idx="1513">
                  <c:v>32498291</c:v>
                </c:pt>
                <c:pt idx="1514">
                  <c:v>27958235</c:v>
                </c:pt>
                <c:pt idx="1515">
                  <c:v>27855994</c:v>
                </c:pt>
                <c:pt idx="1516">
                  <c:v>24132454</c:v>
                </c:pt>
                <c:pt idx="1517">
                  <c:v>27470455</c:v>
                </c:pt>
                <c:pt idx="1518">
                  <c:v>65828620</c:v>
                </c:pt>
                <c:pt idx="1519">
                  <c:v>56255209</c:v>
                </c:pt>
                <c:pt idx="1520">
                  <c:v>44855309</c:v>
                </c:pt>
                <c:pt idx="1521">
                  <c:v>45905771</c:v>
                </c:pt>
                <c:pt idx="1522">
                  <c:v>36113316</c:v>
                </c:pt>
                <c:pt idx="1523">
                  <c:v>31230923</c:v>
                </c:pt>
                <c:pt idx="1524">
                  <c:v>26015377</c:v>
                </c:pt>
                <c:pt idx="1525">
                  <c:v>27748618</c:v>
                </c:pt>
                <c:pt idx="1526">
                  <c:v>23690339</c:v>
                </c:pt>
                <c:pt idx="1527">
                  <c:v>25983484</c:v>
                </c:pt>
                <c:pt idx="1528">
                  <c:v>23412898</c:v>
                </c:pt>
                <c:pt idx="1529">
                  <c:v>55483329</c:v>
                </c:pt>
                <c:pt idx="1530">
                  <c:v>45618131</c:v>
                </c:pt>
                <c:pt idx="1531">
                  <c:v>43515818</c:v>
                </c:pt>
                <c:pt idx="1532">
                  <c:v>37111396</c:v>
                </c:pt>
                <c:pt idx="1533">
                  <c:v>31683902</c:v>
                </c:pt>
                <c:pt idx="1534">
                  <c:v>26176822</c:v>
                </c:pt>
                <c:pt idx="1535">
                  <c:v>27954517</c:v>
                </c:pt>
                <c:pt idx="1536">
                  <c:v>21627332</c:v>
                </c:pt>
                <c:pt idx="1537">
                  <c:v>24143061</c:v>
                </c:pt>
                <c:pt idx="1538">
                  <c:v>21249999</c:v>
                </c:pt>
                <c:pt idx="1539">
                  <c:v>39512452</c:v>
                </c:pt>
                <c:pt idx="1540">
                  <c:v>31752070</c:v>
                </c:pt>
                <c:pt idx="1541">
                  <c:v>31502727</c:v>
                </c:pt>
                <c:pt idx="1542">
                  <c:v>25048076</c:v>
                </c:pt>
                <c:pt idx="1543">
                  <c:v>27055667</c:v>
                </c:pt>
                <c:pt idx="1544">
                  <c:v>25920589</c:v>
                </c:pt>
                <c:pt idx="1545">
                  <c:v>24921978</c:v>
                </c:pt>
                <c:pt idx="1546">
                  <c:v>21224514</c:v>
                </c:pt>
                <c:pt idx="1547">
                  <c:v>24953881</c:v>
                </c:pt>
                <c:pt idx="1548">
                  <c:v>23500241</c:v>
                </c:pt>
                <c:pt idx="1549">
                  <c:v>24137537</c:v>
                </c:pt>
                <c:pt idx="1550">
                  <c:v>21126332</c:v>
                </c:pt>
                <c:pt idx="1551">
                  <c:v>25412787</c:v>
                </c:pt>
                <c:pt idx="1552">
                  <c:v>21948987</c:v>
                </c:pt>
                <c:pt idx="1553">
                  <c:v>24971265</c:v>
                </c:pt>
                <c:pt idx="1554">
                  <c:v>31070998</c:v>
                </c:pt>
                <c:pt idx="1555">
                  <c:v>27783752</c:v>
                </c:pt>
                <c:pt idx="1556">
                  <c:v>27955747</c:v>
                </c:pt>
                <c:pt idx="1557">
                  <c:v>28194223</c:v>
                </c:pt>
                <c:pt idx="1558">
                  <c:v>23991786</c:v>
                </c:pt>
                <c:pt idx="1559">
                  <c:v>25820691</c:v>
                </c:pt>
                <c:pt idx="1560">
                  <c:v>23020646</c:v>
                </c:pt>
                <c:pt idx="1561">
                  <c:v>42881571</c:v>
                </c:pt>
                <c:pt idx="1562">
                  <c:v>35994172</c:v>
                </c:pt>
                <c:pt idx="1563">
                  <c:v>31382048</c:v>
                </c:pt>
                <c:pt idx="1564">
                  <c:v>26798455</c:v>
                </c:pt>
                <c:pt idx="1565">
                  <c:v>28210784</c:v>
                </c:pt>
                <c:pt idx="1566">
                  <c:v>24216929</c:v>
                </c:pt>
                <c:pt idx="1567">
                  <c:v>25953788</c:v>
                </c:pt>
                <c:pt idx="1568">
                  <c:v>22390691</c:v>
                </c:pt>
                <c:pt idx="1569">
                  <c:v>25195031</c:v>
                </c:pt>
                <c:pt idx="1570">
                  <c:v>27081162</c:v>
                </c:pt>
                <c:pt idx="1571">
                  <c:v>28969181</c:v>
                </c:pt>
                <c:pt idx="1572">
                  <c:v>24114065</c:v>
                </c:pt>
                <c:pt idx="1573">
                  <c:v>26184209</c:v>
                </c:pt>
                <c:pt idx="1574">
                  <c:v>23373005</c:v>
                </c:pt>
                <c:pt idx="1575">
                  <c:v>39955235</c:v>
                </c:pt>
                <c:pt idx="1576">
                  <c:v>32027796</c:v>
                </c:pt>
                <c:pt idx="1577">
                  <c:v>31639729</c:v>
                </c:pt>
                <c:pt idx="1578">
                  <c:v>26739200</c:v>
                </c:pt>
                <c:pt idx="1579">
                  <c:v>29096572</c:v>
                </c:pt>
                <c:pt idx="1580">
                  <c:v>24677205</c:v>
                </c:pt>
                <c:pt idx="1581">
                  <c:v>25371835</c:v>
                </c:pt>
                <c:pt idx="1582">
                  <c:v>22793523</c:v>
                </c:pt>
                <c:pt idx="1583">
                  <c:v>32533521</c:v>
                </c:pt>
                <c:pt idx="1584">
                  <c:v>27430009</c:v>
                </c:pt>
                <c:pt idx="1585">
                  <c:v>29196709</c:v>
                </c:pt>
                <c:pt idx="1586">
                  <c:v>24790803</c:v>
                </c:pt>
                <c:pt idx="1587">
                  <c:v>26472718</c:v>
                </c:pt>
                <c:pt idx="1588">
                  <c:v>24052684</c:v>
                </c:pt>
                <c:pt idx="1589">
                  <c:v>34112305</c:v>
                </c:pt>
                <c:pt idx="1590">
                  <c:v>28613728</c:v>
                </c:pt>
                <c:pt idx="1591">
                  <c:v>29950832</c:v>
                </c:pt>
                <c:pt idx="1592">
                  <c:v>25813087</c:v>
                </c:pt>
                <c:pt idx="1593">
                  <c:v>26926320</c:v>
                </c:pt>
                <c:pt idx="1594">
                  <c:v>24180585</c:v>
                </c:pt>
                <c:pt idx="1595">
                  <c:v>32825694</c:v>
                </c:pt>
                <c:pt idx="1596">
                  <c:v>27791842</c:v>
                </c:pt>
                <c:pt idx="1597">
                  <c:v>30668375</c:v>
                </c:pt>
                <c:pt idx="1598">
                  <c:v>25924924</c:v>
                </c:pt>
                <c:pt idx="1599">
                  <c:v>27482606</c:v>
                </c:pt>
                <c:pt idx="1600">
                  <c:v>33886125</c:v>
                </c:pt>
                <c:pt idx="1601">
                  <c:v>34094522</c:v>
                </c:pt>
                <c:pt idx="1602">
                  <c:v>30495468</c:v>
                </c:pt>
                <c:pt idx="1603">
                  <c:v>31035913</c:v>
                </c:pt>
                <c:pt idx="1604">
                  <c:v>27155780</c:v>
                </c:pt>
                <c:pt idx="1605">
                  <c:v>30047608</c:v>
                </c:pt>
                <c:pt idx="1606">
                  <c:v>68671285</c:v>
                </c:pt>
                <c:pt idx="1607">
                  <c:v>61621759</c:v>
                </c:pt>
                <c:pt idx="1608">
                  <c:v>48815641</c:v>
                </c:pt>
                <c:pt idx="1609">
                  <c:v>47629967</c:v>
                </c:pt>
                <c:pt idx="1610">
                  <c:v>42402275</c:v>
                </c:pt>
                <c:pt idx="1611">
                  <c:v>41528530</c:v>
                </c:pt>
                <c:pt idx="1612">
                  <c:v>35130780</c:v>
                </c:pt>
                <c:pt idx="1613">
                  <c:v>34596693</c:v>
                </c:pt>
                <c:pt idx="1614">
                  <c:v>30160938</c:v>
                </c:pt>
                <c:pt idx="1615">
                  <c:v>31127335</c:v>
                </c:pt>
                <c:pt idx="1616">
                  <c:v>26025101</c:v>
                </c:pt>
                <c:pt idx="1617">
                  <c:v>28197221</c:v>
                </c:pt>
                <c:pt idx="1618">
                  <c:v>78307244</c:v>
                </c:pt>
                <c:pt idx="1619">
                  <c:v>62240072</c:v>
                </c:pt>
                <c:pt idx="1620">
                  <c:v>46105946</c:v>
                </c:pt>
                <c:pt idx="1621">
                  <c:v>44250177</c:v>
                </c:pt>
                <c:pt idx="1622">
                  <c:v>37950394</c:v>
                </c:pt>
                <c:pt idx="1623">
                  <c:v>39249701</c:v>
                </c:pt>
                <c:pt idx="1624">
                  <c:v>30530883</c:v>
                </c:pt>
                <c:pt idx="1625">
                  <c:v>31363570</c:v>
                </c:pt>
                <c:pt idx="1626">
                  <c:v>27151390</c:v>
                </c:pt>
                <c:pt idx="1627">
                  <c:v>23856347.369</c:v>
                </c:pt>
                <c:pt idx="1628">
                  <c:v>26574356</c:v>
                </c:pt>
                <c:pt idx="1629">
                  <c:v>65575187</c:v>
                </c:pt>
                <c:pt idx="1630">
                  <c:v>48439129</c:v>
                </c:pt>
                <c:pt idx="1631">
                  <c:v>43816143</c:v>
                </c:pt>
                <c:pt idx="1632">
                  <c:v>38618323</c:v>
                </c:pt>
                <c:pt idx="1633">
                  <c:v>34219066</c:v>
                </c:pt>
                <c:pt idx="1634">
                  <c:v>29535102</c:v>
                </c:pt>
                <c:pt idx="1635">
                  <c:v>30795283</c:v>
                </c:pt>
                <c:pt idx="1636">
                  <c:v>26621148</c:v>
                </c:pt>
                <c:pt idx="1637">
                  <c:v>28417069</c:v>
                </c:pt>
                <c:pt idx="1638">
                  <c:v>24983018</c:v>
                </c:pt>
                <c:pt idx="1639">
                  <c:v>45682287</c:v>
                </c:pt>
                <c:pt idx="1640">
                  <c:v>42807009</c:v>
                </c:pt>
                <c:pt idx="1641">
                  <c:v>26348764</c:v>
                </c:pt>
                <c:pt idx="1642">
                  <c:v>23126454</c:v>
                </c:pt>
                <c:pt idx="1643">
                  <c:v>24329107</c:v>
                </c:pt>
                <c:pt idx="1644">
                  <c:v>20951325</c:v>
                </c:pt>
                <c:pt idx="1645">
                  <c:v>22127711</c:v>
                </c:pt>
                <c:pt idx="1646">
                  <c:v>19183243</c:v>
                </c:pt>
                <c:pt idx="1647">
                  <c:v>20137200</c:v>
                </c:pt>
                <c:pt idx="1648">
                  <c:v>18424810</c:v>
                </c:pt>
                <c:pt idx="1649">
                  <c:v>20773316</c:v>
                </c:pt>
                <c:pt idx="1650">
                  <c:v>16230044</c:v>
                </c:pt>
                <c:pt idx="1651">
                  <c:v>26112288</c:v>
                </c:pt>
                <c:pt idx="1652">
                  <c:v>26657449</c:v>
                </c:pt>
                <c:pt idx="1653">
                  <c:v>22431024</c:v>
                </c:pt>
                <c:pt idx="1654">
                  <c:v>19200121</c:v>
                </c:pt>
                <c:pt idx="1655">
                  <c:v>19578620</c:v>
                </c:pt>
                <c:pt idx="1656">
                  <c:v>16869821</c:v>
                </c:pt>
                <c:pt idx="1657">
                  <c:v>18158963</c:v>
                </c:pt>
                <c:pt idx="1658">
                  <c:v>16058360</c:v>
                </c:pt>
                <c:pt idx="1659">
                  <c:v>16133053</c:v>
                </c:pt>
                <c:pt idx="1660">
                  <c:v>16094222</c:v>
                </c:pt>
                <c:pt idx="1661">
                  <c:v>18202269</c:v>
                </c:pt>
                <c:pt idx="1662">
                  <c:v>16042944</c:v>
                </c:pt>
                <c:pt idx="1663">
                  <c:v>17946102</c:v>
                </c:pt>
                <c:pt idx="1664">
                  <c:v>21862168</c:v>
                </c:pt>
                <c:pt idx="1665">
                  <c:v>22119315</c:v>
                </c:pt>
                <c:pt idx="1666">
                  <c:v>19495176</c:v>
                </c:pt>
                <c:pt idx="1667">
                  <c:v>19486186</c:v>
                </c:pt>
                <c:pt idx="1668">
                  <c:v>16716952</c:v>
                </c:pt>
                <c:pt idx="1669">
                  <c:v>17956376</c:v>
                </c:pt>
                <c:pt idx="1670">
                  <c:v>15840096</c:v>
                </c:pt>
                <c:pt idx="1671">
                  <c:v>17363282</c:v>
                </c:pt>
                <c:pt idx="1672">
                  <c:v>16703747</c:v>
                </c:pt>
                <c:pt idx="1673">
                  <c:v>18317590</c:v>
                </c:pt>
                <c:pt idx="1674">
                  <c:v>17114067</c:v>
                </c:pt>
                <c:pt idx="1675">
                  <c:v>39963328</c:v>
                </c:pt>
                <c:pt idx="1676">
                  <c:v>33098307</c:v>
                </c:pt>
                <c:pt idx="1677">
                  <c:v>31615045</c:v>
                </c:pt>
                <c:pt idx="1678">
                  <c:v>27620531</c:v>
                </c:pt>
                <c:pt idx="1679">
                  <c:v>27582291</c:v>
                </c:pt>
                <c:pt idx="1680">
                  <c:v>22566189</c:v>
                </c:pt>
                <c:pt idx="1681">
                  <c:v>22564477</c:v>
                </c:pt>
                <c:pt idx="1682">
                  <c:v>20030771</c:v>
                </c:pt>
                <c:pt idx="1683">
                  <c:v>21172752</c:v>
                </c:pt>
                <c:pt idx="1684">
                  <c:v>18365653</c:v>
                </c:pt>
                <c:pt idx="1685">
                  <c:v>19066400</c:v>
                </c:pt>
                <c:pt idx="1686">
                  <c:v>16789639</c:v>
                </c:pt>
                <c:pt idx="1687">
                  <c:v>19470192</c:v>
                </c:pt>
                <c:pt idx="1688">
                  <c:v>65842626</c:v>
                </c:pt>
                <c:pt idx="1689">
                  <c:v>49512433</c:v>
                </c:pt>
                <c:pt idx="1690">
                  <c:v>37400849</c:v>
                </c:pt>
                <c:pt idx="1691">
                  <c:v>33971273</c:v>
                </c:pt>
                <c:pt idx="1692">
                  <c:v>28870823</c:v>
                </c:pt>
                <c:pt idx="1693">
                  <c:v>28035388</c:v>
                </c:pt>
                <c:pt idx="1694">
                  <c:v>24019690</c:v>
                </c:pt>
                <c:pt idx="1695">
                  <c:v>21884038</c:v>
                </c:pt>
                <c:pt idx="1696">
                  <c:v>19003928</c:v>
                </c:pt>
                <c:pt idx="1697">
                  <c:v>19866231</c:v>
                </c:pt>
                <c:pt idx="1698">
                  <c:v>17123492</c:v>
                </c:pt>
                <c:pt idx="1699">
                  <c:v>17975687</c:v>
                </c:pt>
                <c:pt idx="1700">
                  <c:v>15892607</c:v>
                </c:pt>
                <c:pt idx="1701">
                  <c:v>16672381</c:v>
                </c:pt>
                <c:pt idx="1702">
                  <c:v>15246947</c:v>
                </c:pt>
                <c:pt idx="1703">
                  <c:v>17155055</c:v>
                </c:pt>
                <c:pt idx="1704">
                  <c:v>15565535</c:v>
                </c:pt>
                <c:pt idx="1705">
                  <c:v>22290089</c:v>
                </c:pt>
                <c:pt idx="1706">
                  <c:v>19681628</c:v>
                </c:pt>
                <c:pt idx="1707">
                  <c:v>20119695</c:v>
                </c:pt>
                <c:pt idx="1708">
                  <c:v>17909899</c:v>
                </c:pt>
                <c:pt idx="1709">
                  <c:v>18699033</c:v>
                </c:pt>
                <c:pt idx="1710">
                  <c:v>16746673</c:v>
                </c:pt>
                <c:pt idx="1711">
                  <c:v>18302663</c:v>
                </c:pt>
                <c:pt idx="1712">
                  <c:v>53110338</c:v>
                </c:pt>
                <c:pt idx="1713">
                  <c:v>41368451</c:v>
                </c:pt>
                <c:pt idx="1714">
                  <c:v>33752417</c:v>
                </c:pt>
                <c:pt idx="1715">
                  <c:v>32258366</c:v>
                </c:pt>
                <c:pt idx="1716">
                  <c:v>27475729</c:v>
                </c:pt>
                <c:pt idx="1717">
                  <c:v>27269909</c:v>
                </c:pt>
                <c:pt idx="1718">
                  <c:v>22033568</c:v>
                </c:pt>
                <c:pt idx="1719">
                  <c:v>21834057</c:v>
                </c:pt>
                <c:pt idx="1720">
                  <c:v>18242374</c:v>
                </c:pt>
                <c:pt idx="1721">
                  <c:v>19457243</c:v>
                </c:pt>
                <c:pt idx="1722">
                  <c:v>17361904</c:v>
                </c:pt>
                <c:pt idx="1723">
                  <c:v>18525182</c:v>
                </c:pt>
                <c:pt idx="1724">
                  <c:v>16367063</c:v>
                </c:pt>
                <c:pt idx="1725">
                  <c:v>19019396</c:v>
                </c:pt>
                <c:pt idx="1726">
                  <c:v>30773727</c:v>
                </c:pt>
                <c:pt idx="1727">
                  <c:v>30444363</c:v>
                </c:pt>
                <c:pt idx="1728">
                  <c:v>26114210</c:v>
                </c:pt>
                <c:pt idx="1729">
                  <c:v>24471201</c:v>
                </c:pt>
                <c:pt idx="1730">
                  <c:v>20989951</c:v>
                </c:pt>
                <c:pt idx="1731">
                  <c:v>21945161</c:v>
                </c:pt>
                <c:pt idx="1732">
                  <c:v>18904687</c:v>
                </c:pt>
                <c:pt idx="1733">
                  <c:v>20610205</c:v>
                </c:pt>
                <c:pt idx="1734">
                  <c:v>17480709</c:v>
                </c:pt>
                <c:pt idx="1735">
                  <c:v>19385578</c:v>
                </c:pt>
                <c:pt idx="1736">
                  <c:v>17710870</c:v>
                </c:pt>
                <c:pt idx="1737">
                  <c:v>40585812</c:v>
                </c:pt>
                <c:pt idx="1738">
                  <c:v>33004838</c:v>
                </c:pt>
                <c:pt idx="1739">
                  <c:v>31083510</c:v>
                </c:pt>
                <c:pt idx="1740">
                  <c:v>26751148</c:v>
                </c:pt>
                <c:pt idx="1741">
                  <c:v>26121650</c:v>
                </c:pt>
                <c:pt idx="1742">
                  <c:v>21320594</c:v>
                </c:pt>
                <c:pt idx="1743">
                  <c:v>22503384</c:v>
                </c:pt>
                <c:pt idx="1744">
                  <c:v>19218723</c:v>
                </c:pt>
                <c:pt idx="1745">
                  <c:v>20644948</c:v>
                </c:pt>
                <c:pt idx="1746">
                  <c:v>16708093</c:v>
                </c:pt>
                <c:pt idx="1747">
                  <c:v>19278592</c:v>
                </c:pt>
                <c:pt idx="1748">
                  <c:v>17190146</c:v>
                </c:pt>
                <c:pt idx="1749">
                  <c:v>38330424</c:v>
                </c:pt>
                <c:pt idx="1750">
                  <c:v>33674948</c:v>
                </c:pt>
                <c:pt idx="1751">
                  <c:v>32008934</c:v>
                </c:pt>
                <c:pt idx="1752">
                  <c:v>29312505</c:v>
                </c:pt>
                <c:pt idx="1753">
                  <c:v>20359193</c:v>
                </c:pt>
                <c:pt idx="1754">
                  <c:v>20983719</c:v>
                </c:pt>
                <c:pt idx="1755">
                  <c:v>16945918</c:v>
                </c:pt>
                <c:pt idx="1756">
                  <c:v>19362415</c:v>
                </c:pt>
                <c:pt idx="1757">
                  <c:v>16777284</c:v>
                </c:pt>
                <c:pt idx="1758">
                  <c:v>14623703</c:v>
                </c:pt>
                <c:pt idx="1759">
                  <c:v>15557093</c:v>
                </c:pt>
                <c:pt idx="1760">
                  <c:v>13682460</c:v>
                </c:pt>
                <c:pt idx="1761">
                  <c:v>14727558</c:v>
                </c:pt>
                <c:pt idx="1762">
                  <c:v>13167444</c:v>
                </c:pt>
                <c:pt idx="1763">
                  <c:v>13299846</c:v>
                </c:pt>
                <c:pt idx="1764">
                  <c:v>12859427</c:v>
                </c:pt>
                <c:pt idx="1765">
                  <c:v>17067435</c:v>
                </c:pt>
                <c:pt idx="1766">
                  <c:v>14887848</c:v>
                </c:pt>
                <c:pt idx="1767">
                  <c:v>15899493</c:v>
                </c:pt>
                <c:pt idx="1768">
                  <c:v>13639951</c:v>
                </c:pt>
                <c:pt idx="1769">
                  <c:v>14697911</c:v>
                </c:pt>
                <c:pt idx="1770">
                  <c:v>12918154</c:v>
                </c:pt>
                <c:pt idx="1771">
                  <c:v>14172153</c:v>
                </c:pt>
                <c:pt idx="1772">
                  <c:v>15505826</c:v>
                </c:pt>
                <c:pt idx="1773">
                  <c:v>17078156</c:v>
                </c:pt>
                <c:pt idx="1774">
                  <c:v>14747387</c:v>
                </c:pt>
                <c:pt idx="1775">
                  <c:v>15856892</c:v>
                </c:pt>
                <c:pt idx="1776">
                  <c:v>13777127</c:v>
                </c:pt>
                <c:pt idx="1777">
                  <c:v>15116216</c:v>
                </c:pt>
                <c:pt idx="1778">
                  <c:v>13160825</c:v>
                </c:pt>
                <c:pt idx="1779">
                  <c:v>15428658</c:v>
                </c:pt>
                <c:pt idx="1780">
                  <c:v>14426354</c:v>
                </c:pt>
                <c:pt idx="1781">
                  <c:v>44765040</c:v>
                </c:pt>
                <c:pt idx="1782">
                  <c:v>34493168</c:v>
                </c:pt>
                <c:pt idx="1783">
                  <c:v>31755415</c:v>
                </c:pt>
                <c:pt idx="1784">
                  <c:v>27057880</c:v>
                </c:pt>
                <c:pt idx="1785">
                  <c:v>26031582</c:v>
                </c:pt>
                <c:pt idx="1786">
                  <c:v>22982970</c:v>
                </c:pt>
                <c:pt idx="1787">
                  <c:v>20790966</c:v>
                </c:pt>
                <c:pt idx="1788">
                  <c:v>16960226</c:v>
                </c:pt>
                <c:pt idx="1789">
                  <c:v>18470381</c:v>
                </c:pt>
                <c:pt idx="1790">
                  <c:v>15725016</c:v>
                </c:pt>
                <c:pt idx="1791">
                  <c:v>16845939</c:v>
                </c:pt>
                <c:pt idx="1792">
                  <c:v>14631485</c:v>
                </c:pt>
                <c:pt idx="1793">
                  <c:v>15512388</c:v>
                </c:pt>
                <c:pt idx="1794">
                  <c:v>13468008</c:v>
                </c:pt>
                <c:pt idx="1795">
                  <c:v>14835609</c:v>
                </c:pt>
                <c:pt idx="1796">
                  <c:v>12896112</c:v>
                </c:pt>
                <c:pt idx="1797">
                  <c:v>20183927</c:v>
                </c:pt>
                <c:pt idx="1798">
                  <c:v>17066704</c:v>
                </c:pt>
                <c:pt idx="1799">
                  <c:v>17529417</c:v>
                </c:pt>
                <c:pt idx="1800">
                  <c:v>15300101</c:v>
                </c:pt>
                <c:pt idx="1801">
                  <c:v>16093440</c:v>
                </c:pt>
                <c:pt idx="1802">
                  <c:v>14129522</c:v>
                </c:pt>
                <c:pt idx="1803">
                  <c:v>14838533</c:v>
                </c:pt>
                <c:pt idx="1804">
                  <c:v>13197661</c:v>
                </c:pt>
                <c:pt idx="1805">
                  <c:v>14224514</c:v>
                </c:pt>
                <c:pt idx="1806">
                  <c:v>18155586</c:v>
                </c:pt>
                <c:pt idx="1807">
                  <c:v>18579943</c:v>
                </c:pt>
                <c:pt idx="1808">
                  <c:v>16133145</c:v>
                </c:pt>
                <c:pt idx="1809">
                  <c:v>16889191</c:v>
                </c:pt>
                <c:pt idx="1810">
                  <c:v>14759207</c:v>
                </c:pt>
                <c:pt idx="1811">
                  <c:v>15504984</c:v>
                </c:pt>
                <c:pt idx="1812">
                  <c:v>13174219</c:v>
                </c:pt>
                <c:pt idx="1813">
                  <c:v>14435106</c:v>
                </c:pt>
                <c:pt idx="1814">
                  <c:v>12951401</c:v>
                </c:pt>
                <c:pt idx="1815">
                  <c:v>15864549</c:v>
                </c:pt>
                <c:pt idx="1816">
                  <c:v>13189071</c:v>
                </c:pt>
                <c:pt idx="1817">
                  <c:v>15040228</c:v>
                </c:pt>
                <c:pt idx="1818">
                  <c:v>13140517</c:v>
                </c:pt>
                <c:pt idx="1819">
                  <c:v>16355563</c:v>
                </c:pt>
                <c:pt idx="1820">
                  <c:v>14394887</c:v>
                </c:pt>
                <c:pt idx="1821">
                  <c:v>15744455</c:v>
                </c:pt>
                <c:pt idx="1822">
                  <c:v>14220001</c:v>
                </c:pt>
                <c:pt idx="1823">
                  <c:v>34806589</c:v>
                </c:pt>
                <c:pt idx="1824">
                  <c:v>29858610</c:v>
                </c:pt>
                <c:pt idx="1825">
                  <c:v>28708568</c:v>
                </c:pt>
                <c:pt idx="1826">
                  <c:v>24752135</c:v>
                </c:pt>
                <c:pt idx="1827">
                  <c:v>24887983</c:v>
                </c:pt>
                <c:pt idx="1828">
                  <c:v>20515685</c:v>
                </c:pt>
                <c:pt idx="1829">
                  <c:v>20872601</c:v>
                </c:pt>
                <c:pt idx="1830">
                  <c:v>18038487</c:v>
                </c:pt>
                <c:pt idx="1831">
                  <c:v>19344381</c:v>
                </c:pt>
                <c:pt idx="1832">
                  <c:v>16572671</c:v>
                </c:pt>
                <c:pt idx="1833">
                  <c:v>17278394</c:v>
                </c:pt>
                <c:pt idx="1834">
                  <c:v>14901857</c:v>
                </c:pt>
                <c:pt idx="1835">
                  <c:v>16489045</c:v>
                </c:pt>
                <c:pt idx="1836">
                  <c:v>15174006</c:v>
                </c:pt>
                <c:pt idx="1837">
                  <c:v>72525664</c:v>
                </c:pt>
                <c:pt idx="1838">
                  <c:v>55510717</c:v>
                </c:pt>
                <c:pt idx="1839">
                  <c:v>47264359</c:v>
                </c:pt>
                <c:pt idx="1840">
                  <c:v>35921579</c:v>
                </c:pt>
                <c:pt idx="1841">
                  <c:v>33120539</c:v>
                </c:pt>
                <c:pt idx="1842">
                  <c:v>28039513</c:v>
                </c:pt>
                <c:pt idx="1843">
                  <c:v>26285278</c:v>
                </c:pt>
                <c:pt idx="1844">
                  <c:v>23045491</c:v>
                </c:pt>
                <c:pt idx="1845">
                  <c:v>19830295</c:v>
                </c:pt>
                <c:pt idx="1846">
                  <c:v>16485820</c:v>
                </c:pt>
                <c:pt idx="1847">
                  <c:v>17919063</c:v>
                </c:pt>
                <c:pt idx="1848">
                  <c:v>15249726</c:v>
                </c:pt>
                <c:pt idx="1849">
                  <c:v>16538757</c:v>
                </c:pt>
                <c:pt idx="1850">
                  <c:v>13873360</c:v>
                </c:pt>
                <c:pt idx="1851">
                  <c:v>14944716</c:v>
                </c:pt>
                <c:pt idx="1852">
                  <c:v>13011737</c:v>
                </c:pt>
                <c:pt idx="1853">
                  <c:v>14661601</c:v>
                </c:pt>
                <c:pt idx="1854">
                  <c:v>20705464</c:v>
                </c:pt>
                <c:pt idx="1855">
                  <c:v>20249011</c:v>
                </c:pt>
                <c:pt idx="1856">
                  <c:v>17359952</c:v>
                </c:pt>
                <c:pt idx="1857">
                  <c:v>17891774</c:v>
                </c:pt>
                <c:pt idx="1858">
                  <c:v>14611312</c:v>
                </c:pt>
                <c:pt idx="1859">
                  <c:v>16287679</c:v>
                </c:pt>
                <c:pt idx="1860">
                  <c:v>13703279</c:v>
                </c:pt>
                <c:pt idx="1861">
                  <c:v>15522456</c:v>
                </c:pt>
                <c:pt idx="1862">
                  <c:v>13168634</c:v>
                </c:pt>
                <c:pt idx="1863">
                  <c:v>14008351</c:v>
                </c:pt>
                <c:pt idx="1864">
                  <c:v>14228329</c:v>
                </c:pt>
                <c:pt idx="1865">
                  <c:v>15144083</c:v>
                </c:pt>
                <c:pt idx="1866">
                  <c:v>13439842</c:v>
                </c:pt>
                <c:pt idx="1867">
                  <c:v>15414681</c:v>
                </c:pt>
                <c:pt idx="1868">
                  <c:v>29017165</c:v>
                </c:pt>
                <c:pt idx="1869">
                  <c:v>25061719</c:v>
                </c:pt>
                <c:pt idx="1870">
                  <c:v>25586135</c:v>
                </c:pt>
                <c:pt idx="1871">
                  <c:v>24590076</c:v>
                </c:pt>
                <c:pt idx="1872">
                  <c:v>19871083</c:v>
                </c:pt>
                <c:pt idx="1873">
                  <c:v>19767325</c:v>
                </c:pt>
                <c:pt idx="1874">
                  <c:v>16995212</c:v>
                </c:pt>
                <c:pt idx="1875">
                  <c:v>17697308</c:v>
                </c:pt>
                <c:pt idx="1876">
                  <c:v>15064736</c:v>
                </c:pt>
                <c:pt idx="1877">
                  <c:v>15932027</c:v>
                </c:pt>
                <c:pt idx="1878">
                  <c:v>13906184</c:v>
                </c:pt>
                <c:pt idx="1879">
                  <c:v>15044521</c:v>
                </c:pt>
                <c:pt idx="1880">
                  <c:v>13176495</c:v>
                </c:pt>
                <c:pt idx="1881">
                  <c:v>14232330</c:v>
                </c:pt>
                <c:pt idx="1882">
                  <c:v>13418049</c:v>
                </c:pt>
                <c:pt idx="1883">
                  <c:v>14638693</c:v>
                </c:pt>
                <c:pt idx="1884">
                  <c:v>13351602</c:v>
                </c:pt>
                <c:pt idx="1885">
                  <c:v>15275860</c:v>
                </c:pt>
                <c:pt idx="1886">
                  <c:v>16896627</c:v>
                </c:pt>
                <c:pt idx="1887">
                  <c:v>17411558</c:v>
                </c:pt>
                <c:pt idx="1888">
                  <c:v>15107028</c:v>
                </c:pt>
                <c:pt idx="1889">
                  <c:v>16054356</c:v>
                </c:pt>
                <c:pt idx="1890">
                  <c:v>14078547</c:v>
                </c:pt>
                <c:pt idx="1891">
                  <c:v>15643505</c:v>
                </c:pt>
                <c:pt idx="1892">
                  <c:v>14416929</c:v>
                </c:pt>
                <c:pt idx="1893">
                  <c:v>16445504</c:v>
                </c:pt>
                <c:pt idx="1894">
                  <c:v>14749514</c:v>
                </c:pt>
                <c:pt idx="1895">
                  <c:v>93655796</c:v>
                </c:pt>
                <c:pt idx="1896">
                  <c:v>59183652</c:v>
                </c:pt>
                <c:pt idx="1897">
                  <c:v>47045359</c:v>
                </c:pt>
                <c:pt idx="1898">
                  <c:v>36685610</c:v>
                </c:pt>
                <c:pt idx="1899">
                  <c:v>32503602</c:v>
                </c:pt>
                <c:pt idx="1900">
                  <c:v>28242100</c:v>
                </c:pt>
                <c:pt idx="1901">
                  <c:v>26928554</c:v>
                </c:pt>
                <c:pt idx="1902">
                  <c:v>23045126</c:v>
                </c:pt>
                <c:pt idx="1903">
                  <c:v>21215934</c:v>
                </c:pt>
                <c:pt idx="1904">
                  <c:v>17761292</c:v>
                </c:pt>
                <c:pt idx="1905">
                  <c:v>18138543</c:v>
                </c:pt>
                <c:pt idx="1906">
                  <c:v>15617169</c:v>
                </c:pt>
                <c:pt idx="1907">
                  <c:v>16476120</c:v>
                </c:pt>
                <c:pt idx="1908">
                  <c:v>13806569</c:v>
                </c:pt>
                <c:pt idx="1909">
                  <c:v>18597563</c:v>
                </c:pt>
                <c:pt idx="1910">
                  <c:v>12398218</c:v>
                </c:pt>
                <c:pt idx="1911">
                  <c:v>14272757</c:v>
                </c:pt>
                <c:pt idx="1912">
                  <c:v>21323660</c:v>
                </c:pt>
                <c:pt idx="1913">
                  <c:v>19232078</c:v>
                </c:pt>
                <c:pt idx="1914">
                  <c:v>16703340</c:v>
                </c:pt>
                <c:pt idx="1915">
                  <c:v>17288520</c:v>
                </c:pt>
                <c:pt idx="1916">
                  <c:v>14887040</c:v>
                </c:pt>
                <c:pt idx="1917">
                  <c:v>15520631</c:v>
                </c:pt>
                <c:pt idx="1918">
                  <c:v>13558914</c:v>
                </c:pt>
                <c:pt idx="1919">
                  <c:v>14681358</c:v>
                </c:pt>
                <c:pt idx="1920">
                  <c:v>12259556</c:v>
                </c:pt>
                <c:pt idx="1921">
                  <c:v>13878244</c:v>
                </c:pt>
                <c:pt idx="1922">
                  <c:v>15821221</c:v>
                </c:pt>
                <c:pt idx="1923">
                  <c:v>16578419</c:v>
                </c:pt>
                <c:pt idx="1924">
                  <c:v>14476063</c:v>
                </c:pt>
                <c:pt idx="1925">
                  <c:v>15389625</c:v>
                </c:pt>
                <c:pt idx="1926">
                  <c:v>13588643</c:v>
                </c:pt>
                <c:pt idx="1927">
                  <c:v>15024074</c:v>
                </c:pt>
                <c:pt idx="1928">
                  <c:v>13228695</c:v>
                </c:pt>
                <c:pt idx="1929">
                  <c:v>18446149</c:v>
                </c:pt>
                <c:pt idx="1930">
                  <c:v>16227270</c:v>
                </c:pt>
                <c:pt idx="1931">
                  <c:v>17144937</c:v>
                </c:pt>
                <c:pt idx="1932">
                  <c:v>15076998</c:v>
                </c:pt>
                <c:pt idx="1933">
                  <c:v>16400335</c:v>
                </c:pt>
                <c:pt idx="1934">
                  <c:v>14021186</c:v>
                </c:pt>
                <c:pt idx="1935">
                  <c:v>15520061</c:v>
                </c:pt>
                <c:pt idx="1936">
                  <c:v>14020234</c:v>
                </c:pt>
                <c:pt idx="1937">
                  <c:v>17633789</c:v>
                </c:pt>
                <c:pt idx="1938">
                  <c:v>15233386</c:v>
                </c:pt>
                <c:pt idx="1939">
                  <c:v>16463984</c:v>
                </c:pt>
                <c:pt idx="1940">
                  <c:v>15350147</c:v>
                </c:pt>
                <c:pt idx="1941">
                  <c:v>34514643</c:v>
                </c:pt>
                <c:pt idx="1942">
                  <c:v>30578191</c:v>
                </c:pt>
                <c:pt idx="1943">
                  <c:v>30194632</c:v>
                </c:pt>
                <c:pt idx="1944">
                  <c:v>27647905</c:v>
                </c:pt>
                <c:pt idx="1945">
                  <c:v>25213388</c:v>
                </c:pt>
                <c:pt idx="1946">
                  <c:v>20474945</c:v>
                </c:pt>
                <c:pt idx="1947">
                  <c:v>20038356</c:v>
                </c:pt>
                <c:pt idx="1948">
                  <c:v>17459255</c:v>
                </c:pt>
                <c:pt idx="1949">
                  <c:v>18236685</c:v>
                </c:pt>
                <c:pt idx="1950">
                  <c:v>15488986</c:v>
                </c:pt>
                <c:pt idx="1951">
                  <c:v>17128125</c:v>
                </c:pt>
                <c:pt idx="1952">
                  <c:v>14923778</c:v>
                </c:pt>
                <c:pt idx="1953">
                  <c:v>16333411</c:v>
                </c:pt>
                <c:pt idx="1954">
                  <c:v>14088177</c:v>
                </c:pt>
                <c:pt idx="1955">
                  <c:v>16435815</c:v>
                </c:pt>
                <c:pt idx="1956">
                  <c:v>65987058</c:v>
                </c:pt>
                <c:pt idx="1957">
                  <c:v>50210755</c:v>
                </c:pt>
                <c:pt idx="1958">
                  <c:v>35269063</c:v>
                </c:pt>
                <c:pt idx="1959">
                  <c:v>33447226</c:v>
                </c:pt>
                <c:pt idx="1960">
                  <c:v>27754965</c:v>
                </c:pt>
                <c:pt idx="1961">
                  <c:v>26716519</c:v>
                </c:pt>
                <c:pt idx="1962">
                  <c:v>21936400</c:v>
                </c:pt>
                <c:pt idx="1963">
                  <c:v>21042874</c:v>
                </c:pt>
                <c:pt idx="1964">
                  <c:v>16797938</c:v>
                </c:pt>
                <c:pt idx="1965">
                  <c:v>19896464</c:v>
                </c:pt>
                <c:pt idx="1966">
                  <c:v>16030352</c:v>
                </c:pt>
                <c:pt idx="1967">
                  <c:v>16675842</c:v>
                </c:pt>
                <c:pt idx="1968">
                  <c:v>14393328</c:v>
                </c:pt>
                <c:pt idx="1969">
                  <c:v>15111137</c:v>
                </c:pt>
                <c:pt idx="1970">
                  <c:v>13607025</c:v>
                </c:pt>
                <c:pt idx="1971">
                  <c:v>14541395</c:v>
                </c:pt>
                <c:pt idx="1972">
                  <c:v>17185603</c:v>
                </c:pt>
                <c:pt idx="1973">
                  <c:v>16888855</c:v>
                </c:pt>
                <c:pt idx="1974">
                  <c:v>16664564</c:v>
                </c:pt>
                <c:pt idx="1975">
                  <c:v>16839213</c:v>
                </c:pt>
                <c:pt idx="1976">
                  <c:v>14607660</c:v>
                </c:pt>
                <c:pt idx="1977">
                  <c:v>15829785</c:v>
                </c:pt>
                <c:pt idx="1978">
                  <c:v>13814636</c:v>
                </c:pt>
                <c:pt idx="1979">
                  <c:v>15683298</c:v>
                </c:pt>
                <c:pt idx="1980">
                  <c:v>20614669</c:v>
                </c:pt>
                <c:pt idx="1981">
                  <c:v>20375012</c:v>
                </c:pt>
                <c:pt idx="1982">
                  <c:v>17704086</c:v>
                </c:pt>
                <c:pt idx="1983">
                  <c:v>18719206</c:v>
                </c:pt>
                <c:pt idx="1984">
                  <c:v>15950273</c:v>
                </c:pt>
                <c:pt idx="1985">
                  <c:v>17423807</c:v>
                </c:pt>
                <c:pt idx="1986">
                  <c:v>14931534</c:v>
                </c:pt>
                <c:pt idx="1987">
                  <c:v>16503747</c:v>
                </c:pt>
                <c:pt idx="1988">
                  <c:v>14505001</c:v>
                </c:pt>
                <c:pt idx="1989">
                  <c:v>16051546</c:v>
                </c:pt>
                <c:pt idx="1990">
                  <c:v>14573640</c:v>
                </c:pt>
                <c:pt idx="1991">
                  <c:v>45279344</c:v>
                </c:pt>
                <c:pt idx="1992">
                  <c:v>33489255</c:v>
                </c:pt>
                <c:pt idx="1993">
                  <c:v>31429654</c:v>
                </c:pt>
                <c:pt idx="1994">
                  <c:v>26782641</c:v>
                </c:pt>
                <c:pt idx="1995">
                  <c:v>26457501</c:v>
                </c:pt>
                <c:pt idx="1996">
                  <c:v>22245953</c:v>
                </c:pt>
                <c:pt idx="1997">
                  <c:v>22188202</c:v>
                </c:pt>
                <c:pt idx="1998">
                  <c:v>18474146</c:v>
                </c:pt>
                <c:pt idx="1999">
                  <c:v>19463662</c:v>
                </c:pt>
                <c:pt idx="2000">
                  <c:v>16790423</c:v>
                </c:pt>
                <c:pt idx="2001">
                  <c:v>17711434</c:v>
                </c:pt>
                <c:pt idx="2002">
                  <c:v>15107010</c:v>
                </c:pt>
                <c:pt idx="2003">
                  <c:v>15955499</c:v>
                </c:pt>
                <c:pt idx="2004">
                  <c:v>14224064</c:v>
                </c:pt>
                <c:pt idx="2005">
                  <c:v>47273690</c:v>
                </c:pt>
                <c:pt idx="2006">
                  <c:v>34721871</c:v>
                </c:pt>
                <c:pt idx="2007">
                  <c:v>31381607</c:v>
                </c:pt>
                <c:pt idx="2008">
                  <c:v>26872703</c:v>
                </c:pt>
                <c:pt idx="2009">
                  <c:v>25831148</c:v>
                </c:pt>
                <c:pt idx="2010">
                  <c:v>22536063</c:v>
                </c:pt>
                <c:pt idx="2011">
                  <c:v>20385102</c:v>
                </c:pt>
                <c:pt idx="2012">
                  <c:v>17784638</c:v>
                </c:pt>
                <c:pt idx="2013">
                  <c:v>18305738</c:v>
                </c:pt>
                <c:pt idx="2014">
                  <c:v>15130742</c:v>
                </c:pt>
                <c:pt idx="2015">
                  <c:v>16988238</c:v>
                </c:pt>
                <c:pt idx="2016">
                  <c:v>14256040</c:v>
                </c:pt>
                <c:pt idx="2017">
                  <c:v>15425212</c:v>
                </c:pt>
                <c:pt idx="2018">
                  <c:v>13950697</c:v>
                </c:pt>
                <c:pt idx="2019">
                  <c:v>24543216</c:v>
                </c:pt>
                <c:pt idx="2020">
                  <c:v>19200304</c:v>
                </c:pt>
                <c:pt idx="2021">
                  <c:v>19931367</c:v>
                </c:pt>
                <c:pt idx="2022">
                  <c:v>17495712</c:v>
                </c:pt>
                <c:pt idx="2023">
                  <c:v>17892300</c:v>
                </c:pt>
                <c:pt idx="2024">
                  <c:v>15183548</c:v>
                </c:pt>
                <c:pt idx="2025">
                  <c:v>14474828</c:v>
                </c:pt>
                <c:pt idx="2026">
                  <c:v>12820209</c:v>
                </c:pt>
                <c:pt idx="2027">
                  <c:v>14502749</c:v>
                </c:pt>
                <c:pt idx="2028">
                  <c:v>22254456</c:v>
                </c:pt>
                <c:pt idx="2029">
                  <c:v>22742802</c:v>
                </c:pt>
                <c:pt idx="2030">
                  <c:v>18007006</c:v>
                </c:pt>
                <c:pt idx="2031">
                  <c:v>18742528</c:v>
                </c:pt>
                <c:pt idx="2032">
                  <c:v>16486757</c:v>
                </c:pt>
                <c:pt idx="2033">
                  <c:v>16802547</c:v>
                </c:pt>
                <c:pt idx="2034">
                  <c:v>14545681</c:v>
                </c:pt>
                <c:pt idx="2035">
                  <c:v>15357235</c:v>
                </c:pt>
                <c:pt idx="2036">
                  <c:v>13411849</c:v>
                </c:pt>
                <c:pt idx="2037">
                  <c:v>15485852</c:v>
                </c:pt>
                <c:pt idx="2038">
                  <c:v>40614381</c:v>
                </c:pt>
                <c:pt idx="2039">
                  <c:v>35451827</c:v>
                </c:pt>
                <c:pt idx="2040">
                  <c:v>29995064</c:v>
                </c:pt>
                <c:pt idx="2041">
                  <c:v>29940518</c:v>
                </c:pt>
                <c:pt idx="2042">
                  <c:v>25646496</c:v>
                </c:pt>
                <c:pt idx="2043">
                  <c:v>25355220</c:v>
                </c:pt>
                <c:pt idx="2044">
                  <c:v>22887760</c:v>
                </c:pt>
                <c:pt idx="2045">
                  <c:v>22029444</c:v>
                </c:pt>
                <c:pt idx="2046">
                  <c:v>19103347</c:v>
                </c:pt>
                <c:pt idx="2047">
                  <c:v>19944698</c:v>
                </c:pt>
                <c:pt idx="2048">
                  <c:v>17398332</c:v>
                </c:pt>
                <c:pt idx="2049">
                  <c:v>18440466</c:v>
                </c:pt>
                <c:pt idx="2050">
                  <c:v>15644982</c:v>
                </c:pt>
                <c:pt idx="2051">
                  <c:v>16777423</c:v>
                </c:pt>
                <c:pt idx="2052">
                  <c:v>15351541</c:v>
                </c:pt>
                <c:pt idx="2053">
                  <c:v>161069366</c:v>
                </c:pt>
                <c:pt idx="2054">
                  <c:v>92537801</c:v>
                </c:pt>
                <c:pt idx="2055">
                  <c:v>65377755</c:v>
                </c:pt>
                <c:pt idx="2056">
                  <c:v>47884166</c:v>
                </c:pt>
                <c:pt idx="2057">
                  <c:v>39646973</c:v>
                </c:pt>
                <c:pt idx="2058">
                  <c:v>31813429</c:v>
                </c:pt>
                <c:pt idx="2059">
                  <c:v>28842967</c:v>
                </c:pt>
                <c:pt idx="2060">
                  <c:v>24014709</c:v>
                </c:pt>
                <c:pt idx="2061">
                  <c:v>24175034</c:v>
                </c:pt>
                <c:pt idx="2062">
                  <c:v>17773187</c:v>
                </c:pt>
                <c:pt idx="2063">
                  <c:v>19012144</c:v>
                </c:pt>
                <c:pt idx="2064">
                  <c:v>15031147</c:v>
                </c:pt>
                <c:pt idx="2065">
                  <c:v>15610665</c:v>
                </c:pt>
                <c:pt idx="2066">
                  <c:v>13299646</c:v>
                </c:pt>
                <c:pt idx="2067">
                  <c:v>16237995</c:v>
                </c:pt>
                <c:pt idx="2068">
                  <c:v>12056489</c:v>
                </c:pt>
                <c:pt idx="2069">
                  <c:v>15923761</c:v>
                </c:pt>
                <c:pt idx="2070">
                  <c:v>12146846</c:v>
                </c:pt>
                <c:pt idx="2071">
                  <c:v>13220611</c:v>
                </c:pt>
                <c:pt idx="2072">
                  <c:v>21453727</c:v>
                </c:pt>
                <c:pt idx="2073">
                  <c:v>20698844</c:v>
                </c:pt>
                <c:pt idx="2074">
                  <c:v>16651726</c:v>
                </c:pt>
                <c:pt idx="2075">
                  <c:v>17092457</c:v>
                </c:pt>
                <c:pt idx="2076">
                  <c:v>14769688</c:v>
                </c:pt>
                <c:pt idx="2077">
                  <c:v>14276944</c:v>
                </c:pt>
                <c:pt idx="2078">
                  <c:v>14277178</c:v>
                </c:pt>
                <c:pt idx="2079">
                  <c:v>14362530</c:v>
                </c:pt>
                <c:pt idx="2080">
                  <c:v>12695626</c:v>
                </c:pt>
                <c:pt idx="2081">
                  <c:v>13766232</c:v>
                </c:pt>
                <c:pt idx="2082">
                  <c:v>12588482</c:v>
                </c:pt>
                <c:pt idx="2083">
                  <c:v>13639702</c:v>
                </c:pt>
                <c:pt idx="2084">
                  <c:v>14135903</c:v>
                </c:pt>
                <c:pt idx="2085">
                  <c:v>14695200</c:v>
                </c:pt>
                <c:pt idx="2086">
                  <c:v>13491525</c:v>
                </c:pt>
                <c:pt idx="2087">
                  <c:v>15670623</c:v>
                </c:pt>
                <c:pt idx="2088">
                  <c:v>165702055</c:v>
                </c:pt>
                <c:pt idx="2089">
                  <c:v>93711624</c:v>
                </c:pt>
                <c:pt idx="2090">
                  <c:v>63285429</c:v>
                </c:pt>
                <c:pt idx="2091">
                  <c:v>50064288</c:v>
                </c:pt>
                <c:pt idx="2092">
                  <c:v>36688866</c:v>
                </c:pt>
                <c:pt idx="2093">
                  <c:v>33384475</c:v>
                </c:pt>
                <c:pt idx="2094">
                  <c:v>27917824</c:v>
                </c:pt>
                <c:pt idx="2095">
                  <c:v>25826780</c:v>
                </c:pt>
                <c:pt idx="2096">
                  <c:v>21843529</c:v>
                </c:pt>
                <c:pt idx="2097">
                  <c:v>19369471</c:v>
                </c:pt>
                <c:pt idx="2098">
                  <c:v>15733224</c:v>
                </c:pt>
                <c:pt idx="2099">
                  <c:v>15751153</c:v>
                </c:pt>
                <c:pt idx="2100">
                  <c:v>12903742</c:v>
                </c:pt>
                <c:pt idx="2101">
                  <c:v>14073885</c:v>
                </c:pt>
                <c:pt idx="2102">
                  <c:v>11661808</c:v>
                </c:pt>
                <c:pt idx="2103">
                  <c:v>13194206</c:v>
                </c:pt>
                <c:pt idx="2104">
                  <c:v>11362334</c:v>
                </c:pt>
                <c:pt idx="2105">
                  <c:v>12228118</c:v>
                </c:pt>
                <c:pt idx="2106">
                  <c:v>10452591</c:v>
                </c:pt>
                <c:pt idx="2107">
                  <c:v>12118475</c:v>
                </c:pt>
                <c:pt idx="2108">
                  <c:v>20046296</c:v>
                </c:pt>
                <c:pt idx="2109">
                  <c:v>19410200</c:v>
                </c:pt>
                <c:pt idx="2110">
                  <c:v>16214682</c:v>
                </c:pt>
                <c:pt idx="2111">
                  <c:v>16274295</c:v>
                </c:pt>
                <c:pt idx="2112">
                  <c:v>13218975</c:v>
                </c:pt>
                <c:pt idx="2113">
                  <c:v>14155392</c:v>
                </c:pt>
                <c:pt idx="2114">
                  <c:v>12028493</c:v>
                </c:pt>
                <c:pt idx="2115">
                  <c:v>13179163</c:v>
                </c:pt>
                <c:pt idx="2116">
                  <c:v>11293239</c:v>
                </c:pt>
                <c:pt idx="2117">
                  <c:v>12084933</c:v>
                </c:pt>
                <c:pt idx="2118">
                  <c:v>10092153</c:v>
                </c:pt>
                <c:pt idx="2119">
                  <c:v>11841643</c:v>
                </c:pt>
                <c:pt idx="2120">
                  <c:v>10383472</c:v>
                </c:pt>
                <c:pt idx="2121">
                  <c:v>16869943</c:v>
                </c:pt>
                <c:pt idx="2122">
                  <c:v>14518940</c:v>
                </c:pt>
                <c:pt idx="2123">
                  <c:v>15197084</c:v>
                </c:pt>
                <c:pt idx="2124">
                  <c:v>12757562</c:v>
                </c:pt>
                <c:pt idx="2125">
                  <c:v>13679770</c:v>
                </c:pt>
                <c:pt idx="2126">
                  <c:v>11734970</c:v>
                </c:pt>
                <c:pt idx="2127">
                  <c:v>12711301</c:v>
                </c:pt>
                <c:pt idx="2128">
                  <c:v>11421109</c:v>
                </c:pt>
                <c:pt idx="2129">
                  <c:v>68244767</c:v>
                </c:pt>
                <c:pt idx="2130">
                  <c:v>50606867</c:v>
                </c:pt>
                <c:pt idx="2131">
                  <c:v>40387916</c:v>
                </c:pt>
                <c:pt idx="2132">
                  <c:v>32778247</c:v>
                </c:pt>
                <c:pt idx="2133">
                  <c:v>29487024</c:v>
                </c:pt>
                <c:pt idx="2134">
                  <c:v>21747095</c:v>
                </c:pt>
                <c:pt idx="2135">
                  <c:v>19960545</c:v>
                </c:pt>
                <c:pt idx="2136">
                  <c:v>16782647</c:v>
                </c:pt>
                <c:pt idx="2137">
                  <c:v>16495834</c:v>
                </c:pt>
                <c:pt idx="2138">
                  <c:v>13703921</c:v>
                </c:pt>
                <c:pt idx="2139">
                  <c:v>14073610</c:v>
                </c:pt>
                <c:pt idx="2140">
                  <c:v>11534775</c:v>
                </c:pt>
                <c:pt idx="2141">
                  <c:v>12481646</c:v>
                </c:pt>
                <c:pt idx="2142">
                  <c:v>10607067</c:v>
                </c:pt>
                <c:pt idx="2143">
                  <c:v>11338636</c:v>
                </c:pt>
                <c:pt idx="2144">
                  <c:v>9639616</c:v>
                </c:pt>
                <c:pt idx="2145">
                  <c:v>10939736</c:v>
                </c:pt>
                <c:pt idx="2146">
                  <c:v>10739292</c:v>
                </c:pt>
                <c:pt idx="2147">
                  <c:v>11844326</c:v>
                </c:pt>
                <c:pt idx="2148">
                  <c:v>9684876</c:v>
                </c:pt>
                <c:pt idx="2149">
                  <c:v>10925963</c:v>
                </c:pt>
                <c:pt idx="2150">
                  <c:v>10581612</c:v>
                </c:pt>
                <c:pt idx="2151">
                  <c:v>11339686</c:v>
                </c:pt>
                <c:pt idx="2152">
                  <c:v>11253878</c:v>
                </c:pt>
                <c:pt idx="2153">
                  <c:v>12362291</c:v>
                </c:pt>
                <c:pt idx="2154">
                  <c:v>10109910</c:v>
                </c:pt>
                <c:pt idx="2155">
                  <c:v>11252184</c:v>
                </c:pt>
                <c:pt idx="2156">
                  <c:v>10614026</c:v>
                </c:pt>
                <c:pt idx="2157">
                  <c:v>11726815</c:v>
                </c:pt>
                <c:pt idx="2158">
                  <c:v>10096589</c:v>
                </c:pt>
                <c:pt idx="2159">
                  <c:v>14431387</c:v>
                </c:pt>
                <c:pt idx="2160">
                  <c:v>12082713</c:v>
                </c:pt>
                <c:pt idx="2161">
                  <c:v>13141349</c:v>
                </c:pt>
                <c:pt idx="2162">
                  <c:v>10905341</c:v>
                </c:pt>
                <c:pt idx="2163">
                  <c:v>11445462</c:v>
                </c:pt>
                <c:pt idx="2164">
                  <c:v>9888417</c:v>
                </c:pt>
                <c:pt idx="2165">
                  <c:v>12760524</c:v>
                </c:pt>
                <c:pt idx="2166">
                  <c:v>10788815</c:v>
                </c:pt>
                <c:pt idx="2167">
                  <c:v>11981740</c:v>
                </c:pt>
                <c:pt idx="2168">
                  <c:v>10449723</c:v>
                </c:pt>
                <c:pt idx="2169">
                  <c:v>13947785</c:v>
                </c:pt>
                <c:pt idx="2170">
                  <c:v>12233136</c:v>
                </c:pt>
                <c:pt idx="2171">
                  <c:v>13249138</c:v>
                </c:pt>
                <c:pt idx="2172">
                  <c:v>11359177</c:v>
                </c:pt>
                <c:pt idx="2173">
                  <c:v>12320437</c:v>
                </c:pt>
                <c:pt idx="2174">
                  <c:v>13680483</c:v>
                </c:pt>
                <c:pt idx="2175">
                  <c:v>13986752</c:v>
                </c:pt>
                <c:pt idx="2176">
                  <c:v>11718337</c:v>
                </c:pt>
                <c:pt idx="2177">
                  <c:v>13610711</c:v>
                </c:pt>
                <c:pt idx="2178">
                  <c:v>40943873</c:v>
                </c:pt>
                <c:pt idx="2179">
                  <c:v>34831278</c:v>
                </c:pt>
                <c:pt idx="2180">
                  <c:v>28462523</c:v>
                </c:pt>
                <c:pt idx="2181">
                  <c:v>23228915</c:v>
                </c:pt>
                <c:pt idx="2182">
                  <c:v>24095321</c:v>
                </c:pt>
                <c:pt idx="2183">
                  <c:v>19557182</c:v>
                </c:pt>
                <c:pt idx="2184">
                  <c:v>16554479</c:v>
                </c:pt>
                <c:pt idx="2185">
                  <c:v>16523227</c:v>
                </c:pt>
                <c:pt idx="2186">
                  <c:v>14187049</c:v>
                </c:pt>
                <c:pt idx="2187">
                  <c:v>14852616</c:v>
                </c:pt>
                <c:pt idx="2188">
                  <c:v>12349232</c:v>
                </c:pt>
                <c:pt idx="2189">
                  <c:v>13539488</c:v>
                </c:pt>
                <c:pt idx="2190">
                  <c:v>11497921</c:v>
                </c:pt>
                <c:pt idx="2191">
                  <c:v>12615047</c:v>
                </c:pt>
                <c:pt idx="2192">
                  <c:v>10763447</c:v>
                </c:pt>
                <c:pt idx="2193">
                  <c:v>12916600</c:v>
                </c:pt>
                <c:pt idx="2194">
                  <c:v>11796809</c:v>
                </c:pt>
                <c:pt idx="2195">
                  <c:v>63032953</c:v>
                </c:pt>
                <c:pt idx="2196">
                  <c:v>43361601</c:v>
                </c:pt>
                <c:pt idx="2197">
                  <c:v>37384497</c:v>
                </c:pt>
                <c:pt idx="2198">
                  <c:v>29896354</c:v>
                </c:pt>
                <c:pt idx="2199">
                  <c:v>27476141</c:v>
                </c:pt>
                <c:pt idx="2200">
                  <c:v>21145819</c:v>
                </c:pt>
                <c:pt idx="2201">
                  <c:v>19493522</c:v>
                </c:pt>
                <c:pt idx="2202">
                  <c:v>16587844</c:v>
                </c:pt>
                <c:pt idx="2203">
                  <c:v>16635119</c:v>
                </c:pt>
                <c:pt idx="2204">
                  <c:v>13654144</c:v>
                </c:pt>
                <c:pt idx="2205">
                  <c:v>15231116</c:v>
                </c:pt>
                <c:pt idx="2206">
                  <c:v>12652438</c:v>
                </c:pt>
                <c:pt idx="2207">
                  <c:v>13548423</c:v>
                </c:pt>
                <c:pt idx="2208">
                  <c:v>11582226</c:v>
                </c:pt>
                <c:pt idx="2209">
                  <c:v>12422337</c:v>
                </c:pt>
                <c:pt idx="2210">
                  <c:v>11028375</c:v>
                </c:pt>
                <c:pt idx="2211">
                  <c:v>23951690</c:v>
                </c:pt>
                <c:pt idx="2212">
                  <c:v>18835239</c:v>
                </c:pt>
                <c:pt idx="2213">
                  <c:v>18681545</c:v>
                </c:pt>
                <c:pt idx="2214">
                  <c:v>15639279</c:v>
                </c:pt>
                <c:pt idx="2215">
                  <c:v>16147018</c:v>
                </c:pt>
                <c:pt idx="2216">
                  <c:v>12950821</c:v>
                </c:pt>
                <c:pt idx="2217">
                  <c:v>13580987</c:v>
                </c:pt>
                <c:pt idx="2218">
                  <c:v>11582105</c:v>
                </c:pt>
                <c:pt idx="2219">
                  <c:v>12613814</c:v>
                </c:pt>
                <c:pt idx="2220">
                  <c:v>10530161</c:v>
                </c:pt>
                <c:pt idx="2221">
                  <c:v>11620775</c:v>
                </c:pt>
                <c:pt idx="2222">
                  <c:v>11070590</c:v>
                </c:pt>
                <c:pt idx="2223">
                  <c:v>12992696</c:v>
                </c:pt>
                <c:pt idx="2224">
                  <c:v>10770005</c:v>
                </c:pt>
                <c:pt idx="2225">
                  <c:v>16661790</c:v>
                </c:pt>
                <c:pt idx="2226">
                  <c:v>14138812</c:v>
                </c:pt>
                <c:pt idx="2227">
                  <c:v>14958705</c:v>
                </c:pt>
                <c:pt idx="2228">
                  <c:v>12649299</c:v>
                </c:pt>
                <c:pt idx="2229">
                  <c:v>13550652</c:v>
                </c:pt>
                <c:pt idx="2230">
                  <c:v>11580793</c:v>
                </c:pt>
                <c:pt idx="2231">
                  <c:v>12783328</c:v>
                </c:pt>
                <c:pt idx="2232">
                  <c:v>10678573</c:v>
                </c:pt>
                <c:pt idx="2233">
                  <c:v>16826621</c:v>
                </c:pt>
                <c:pt idx="2234">
                  <c:v>14006896</c:v>
                </c:pt>
                <c:pt idx="2235">
                  <c:v>14893992</c:v>
                </c:pt>
                <c:pt idx="2236">
                  <c:v>12691270</c:v>
                </c:pt>
                <c:pt idx="2237">
                  <c:v>13491136</c:v>
                </c:pt>
                <c:pt idx="2238">
                  <c:v>12319414</c:v>
                </c:pt>
                <c:pt idx="2239">
                  <c:v>63179604</c:v>
                </c:pt>
                <c:pt idx="2240">
                  <c:v>44047942</c:v>
                </c:pt>
                <c:pt idx="2241">
                  <c:v>35100877</c:v>
                </c:pt>
                <c:pt idx="2242">
                  <c:v>27648713</c:v>
                </c:pt>
                <c:pt idx="2243">
                  <c:v>25697832</c:v>
                </c:pt>
                <c:pt idx="2244">
                  <c:v>20230405</c:v>
                </c:pt>
                <c:pt idx="2245">
                  <c:v>17057381</c:v>
                </c:pt>
                <c:pt idx="2246">
                  <c:v>14400037</c:v>
                </c:pt>
                <c:pt idx="2247">
                  <c:v>15487351</c:v>
                </c:pt>
                <c:pt idx="2248">
                  <c:v>12832161</c:v>
                </c:pt>
                <c:pt idx="2249">
                  <c:v>13886966</c:v>
                </c:pt>
                <c:pt idx="2250">
                  <c:v>11690087</c:v>
                </c:pt>
                <c:pt idx="2251">
                  <c:v>12583802</c:v>
                </c:pt>
                <c:pt idx="2252">
                  <c:v>10561323</c:v>
                </c:pt>
                <c:pt idx="2253">
                  <c:v>11534390</c:v>
                </c:pt>
                <c:pt idx="2254">
                  <c:v>10323150</c:v>
                </c:pt>
                <c:pt idx="2255">
                  <c:v>20680962</c:v>
                </c:pt>
                <c:pt idx="2256">
                  <c:v>16751327</c:v>
                </c:pt>
                <c:pt idx="2257">
                  <c:v>17488092</c:v>
                </c:pt>
                <c:pt idx="2258">
                  <c:v>14895330</c:v>
                </c:pt>
                <c:pt idx="2259">
                  <c:v>15345737</c:v>
                </c:pt>
                <c:pt idx="2260">
                  <c:v>12903650</c:v>
                </c:pt>
                <c:pt idx="2261">
                  <c:v>13970427</c:v>
                </c:pt>
                <c:pt idx="2262">
                  <c:v>11623342</c:v>
                </c:pt>
                <c:pt idx="2263">
                  <c:v>12911556</c:v>
                </c:pt>
                <c:pt idx="2264">
                  <c:v>10765848</c:v>
                </c:pt>
                <c:pt idx="2265">
                  <c:v>12350207</c:v>
                </c:pt>
                <c:pt idx="2266">
                  <c:v>17795366</c:v>
                </c:pt>
                <c:pt idx="2267">
                  <c:v>18353679</c:v>
                </c:pt>
                <c:pt idx="2268">
                  <c:v>14377550</c:v>
                </c:pt>
                <c:pt idx="2269">
                  <c:v>16319807</c:v>
                </c:pt>
                <c:pt idx="2270">
                  <c:v>13807439</c:v>
                </c:pt>
                <c:pt idx="2271">
                  <c:v>14585882</c:v>
                </c:pt>
                <c:pt idx="2272">
                  <c:v>12549931</c:v>
                </c:pt>
                <c:pt idx="2273">
                  <c:v>13141066</c:v>
                </c:pt>
                <c:pt idx="2274">
                  <c:v>11131869</c:v>
                </c:pt>
                <c:pt idx="2275">
                  <c:v>12714617</c:v>
                </c:pt>
                <c:pt idx="2276">
                  <c:v>89585661</c:v>
                </c:pt>
                <c:pt idx="2277">
                  <c:v>43544359</c:v>
                </c:pt>
                <c:pt idx="2278">
                  <c:v>44797436</c:v>
                </c:pt>
                <c:pt idx="2279">
                  <c:v>29088897</c:v>
                </c:pt>
                <c:pt idx="2280">
                  <c:v>23555449</c:v>
                </c:pt>
                <c:pt idx="2281">
                  <c:v>19066752</c:v>
                </c:pt>
                <c:pt idx="2282">
                  <c:v>15838304</c:v>
                </c:pt>
                <c:pt idx="2283">
                  <c:v>15573292</c:v>
                </c:pt>
                <c:pt idx="2284">
                  <c:v>14049942</c:v>
                </c:pt>
                <c:pt idx="2285">
                  <c:v>13418021</c:v>
                </c:pt>
                <c:pt idx="2286">
                  <c:v>12986217</c:v>
                </c:pt>
                <c:pt idx="2287">
                  <c:v>13040858</c:v>
                </c:pt>
                <c:pt idx="2288">
                  <c:v>11068653</c:v>
                </c:pt>
                <c:pt idx="2289">
                  <c:v>12016165</c:v>
                </c:pt>
                <c:pt idx="2290">
                  <c:v>10055876</c:v>
                </c:pt>
                <c:pt idx="2291">
                  <c:v>11369548</c:v>
                </c:pt>
                <c:pt idx="2292">
                  <c:v>10423235</c:v>
                </c:pt>
                <c:pt idx="2293">
                  <c:v>11396987</c:v>
                </c:pt>
                <c:pt idx="2294">
                  <c:v>10586974</c:v>
                </c:pt>
                <c:pt idx="2295">
                  <c:v>47152942</c:v>
                </c:pt>
                <c:pt idx="2296">
                  <c:v>35252267</c:v>
                </c:pt>
                <c:pt idx="2297">
                  <c:v>30579569</c:v>
                </c:pt>
                <c:pt idx="2298">
                  <c:v>24965814</c:v>
                </c:pt>
                <c:pt idx="2299">
                  <c:v>23518073</c:v>
                </c:pt>
                <c:pt idx="2300">
                  <c:v>17621426</c:v>
                </c:pt>
                <c:pt idx="2301">
                  <c:v>17724648</c:v>
                </c:pt>
                <c:pt idx="2302">
                  <c:v>14783816</c:v>
                </c:pt>
                <c:pt idx="2303">
                  <c:v>15322778</c:v>
                </c:pt>
                <c:pt idx="2304">
                  <c:v>13194791</c:v>
                </c:pt>
                <c:pt idx="2305">
                  <c:v>13533164</c:v>
                </c:pt>
                <c:pt idx="2306">
                  <c:v>11863748</c:v>
                </c:pt>
                <c:pt idx="2307">
                  <c:v>12618246</c:v>
                </c:pt>
                <c:pt idx="2308">
                  <c:v>10940370</c:v>
                </c:pt>
                <c:pt idx="2309">
                  <c:v>11626184</c:v>
                </c:pt>
                <c:pt idx="2310">
                  <c:v>10909344</c:v>
                </c:pt>
                <c:pt idx="2311">
                  <c:v>33265454</c:v>
                </c:pt>
                <c:pt idx="2312">
                  <c:v>27159453</c:v>
                </c:pt>
                <c:pt idx="2313">
                  <c:v>25332808</c:v>
                </c:pt>
                <c:pt idx="2314">
                  <c:v>18505672</c:v>
                </c:pt>
                <c:pt idx="2315">
                  <c:v>17765663</c:v>
                </c:pt>
                <c:pt idx="2316">
                  <c:v>15051984</c:v>
                </c:pt>
                <c:pt idx="2317">
                  <c:v>15006513</c:v>
                </c:pt>
                <c:pt idx="2318">
                  <c:v>12844765</c:v>
                </c:pt>
                <c:pt idx="2319">
                  <c:v>13241179</c:v>
                </c:pt>
                <c:pt idx="2320">
                  <c:v>11224665</c:v>
                </c:pt>
                <c:pt idx="2321">
                  <c:v>11720425</c:v>
                </c:pt>
                <c:pt idx="2322">
                  <c:v>10392274</c:v>
                </c:pt>
                <c:pt idx="2323">
                  <c:v>11283606</c:v>
                </c:pt>
                <c:pt idx="2324">
                  <c:v>11004107</c:v>
                </c:pt>
                <c:pt idx="2325">
                  <c:v>12710139</c:v>
                </c:pt>
                <c:pt idx="2326">
                  <c:v>110055858</c:v>
                </c:pt>
                <c:pt idx="2327">
                  <c:v>65180563</c:v>
                </c:pt>
                <c:pt idx="2328">
                  <c:v>48521684</c:v>
                </c:pt>
                <c:pt idx="2329">
                  <c:v>36749985</c:v>
                </c:pt>
                <c:pt idx="2330">
                  <c:v>28800559</c:v>
                </c:pt>
                <c:pt idx="2331">
                  <c:v>23475972</c:v>
                </c:pt>
                <c:pt idx="2332">
                  <c:v>18209434</c:v>
                </c:pt>
                <c:pt idx="2333">
                  <c:v>17263826</c:v>
                </c:pt>
                <c:pt idx="2334">
                  <c:v>14033722</c:v>
                </c:pt>
                <c:pt idx="2335">
                  <c:v>14222513</c:v>
                </c:pt>
                <c:pt idx="2336">
                  <c:v>12149892</c:v>
                </c:pt>
                <c:pt idx="2337">
                  <c:v>12911499</c:v>
                </c:pt>
                <c:pt idx="2338">
                  <c:v>10371816</c:v>
                </c:pt>
                <c:pt idx="2339">
                  <c:v>11643204</c:v>
                </c:pt>
                <c:pt idx="2340">
                  <c:v>10032236</c:v>
                </c:pt>
                <c:pt idx="2341">
                  <c:v>10672263</c:v>
                </c:pt>
                <c:pt idx="2342">
                  <c:v>9098573</c:v>
                </c:pt>
                <c:pt idx="2343">
                  <c:v>10846519</c:v>
                </c:pt>
                <c:pt idx="2344">
                  <c:v>19102321</c:v>
                </c:pt>
                <c:pt idx="2345">
                  <c:v>18122579</c:v>
                </c:pt>
                <c:pt idx="2346">
                  <c:v>14713597</c:v>
                </c:pt>
                <c:pt idx="2347">
                  <c:v>14482077</c:v>
                </c:pt>
                <c:pt idx="2348">
                  <c:v>12432086</c:v>
                </c:pt>
                <c:pt idx="2349">
                  <c:v>12927602</c:v>
                </c:pt>
                <c:pt idx="2350">
                  <c:v>10671517</c:v>
                </c:pt>
                <c:pt idx="2351">
                  <c:v>11500740</c:v>
                </c:pt>
                <c:pt idx="2352">
                  <c:v>9821258</c:v>
                </c:pt>
                <c:pt idx="2353">
                  <c:v>10754887</c:v>
                </c:pt>
                <c:pt idx="2354">
                  <c:v>9035161</c:v>
                </c:pt>
                <c:pt idx="2355">
                  <c:v>10388784</c:v>
                </c:pt>
                <c:pt idx="2356">
                  <c:v>13483954</c:v>
                </c:pt>
                <c:pt idx="2357">
                  <c:v>13796568</c:v>
                </c:pt>
                <c:pt idx="2358">
                  <c:v>11805627</c:v>
                </c:pt>
                <c:pt idx="2359">
                  <c:v>12689435</c:v>
                </c:pt>
                <c:pt idx="2360">
                  <c:v>10803936</c:v>
                </c:pt>
                <c:pt idx="2361">
                  <c:v>11653655</c:v>
                </c:pt>
                <c:pt idx="2362">
                  <c:v>9936491</c:v>
                </c:pt>
                <c:pt idx="2363">
                  <c:v>11031057</c:v>
                </c:pt>
                <c:pt idx="2364">
                  <c:v>9315306</c:v>
                </c:pt>
                <c:pt idx="2365">
                  <c:v>13687842</c:v>
                </c:pt>
                <c:pt idx="2366">
                  <c:v>10990939</c:v>
                </c:pt>
                <c:pt idx="2367">
                  <c:v>12492689</c:v>
                </c:pt>
                <c:pt idx="2368">
                  <c:v>10619758</c:v>
                </c:pt>
                <c:pt idx="2369">
                  <c:v>11680205</c:v>
                </c:pt>
                <c:pt idx="2370">
                  <c:v>10890725</c:v>
                </c:pt>
                <c:pt idx="2371">
                  <c:v>25651455</c:v>
                </c:pt>
                <c:pt idx="2372">
                  <c:v>17650662</c:v>
                </c:pt>
                <c:pt idx="2373">
                  <c:v>18049039</c:v>
                </c:pt>
                <c:pt idx="2374">
                  <c:v>15134102</c:v>
                </c:pt>
                <c:pt idx="2375">
                  <c:v>15852907</c:v>
                </c:pt>
                <c:pt idx="2376">
                  <c:v>13783628</c:v>
                </c:pt>
                <c:pt idx="2377">
                  <c:v>14271083</c:v>
                </c:pt>
                <c:pt idx="2378">
                  <c:v>12403361</c:v>
                </c:pt>
                <c:pt idx="2379">
                  <c:v>13128795</c:v>
                </c:pt>
                <c:pt idx="2380">
                  <c:v>11823212</c:v>
                </c:pt>
                <c:pt idx="2381">
                  <c:v>12957198</c:v>
                </c:pt>
                <c:pt idx="2382">
                  <c:v>163352371</c:v>
                </c:pt>
                <c:pt idx="2383">
                  <c:v>92060133</c:v>
                </c:pt>
                <c:pt idx="2384">
                  <c:v>57359549</c:v>
                </c:pt>
                <c:pt idx="2385">
                  <c:v>39344907</c:v>
                </c:pt>
                <c:pt idx="2386">
                  <c:v>28067936</c:v>
                </c:pt>
                <c:pt idx="2387">
                  <c:v>20139213</c:v>
                </c:pt>
                <c:pt idx="2388">
                  <c:v>16316519</c:v>
                </c:pt>
                <c:pt idx="2389">
                  <c:v>13997561</c:v>
                </c:pt>
                <c:pt idx="2390">
                  <c:v>13591547</c:v>
                </c:pt>
                <c:pt idx="2391">
                  <c:v>13310465</c:v>
                </c:pt>
                <c:pt idx="2392">
                  <c:v>11100937</c:v>
                </c:pt>
                <c:pt idx="2393">
                  <c:v>11845762</c:v>
                </c:pt>
                <c:pt idx="2394">
                  <c:v>9924976</c:v>
                </c:pt>
                <c:pt idx="2395">
                  <c:v>10961475</c:v>
                </c:pt>
                <c:pt idx="2396">
                  <c:v>9102173</c:v>
                </c:pt>
                <c:pt idx="2397">
                  <c:v>10256540</c:v>
                </c:pt>
                <c:pt idx="2398">
                  <c:v>9216311</c:v>
                </c:pt>
                <c:pt idx="2399">
                  <c:v>18687272</c:v>
                </c:pt>
                <c:pt idx="2400">
                  <c:v>15496585</c:v>
                </c:pt>
                <c:pt idx="2401">
                  <c:v>15063128</c:v>
                </c:pt>
                <c:pt idx="2402">
                  <c:v>12519193</c:v>
                </c:pt>
                <c:pt idx="2403">
                  <c:v>12883818</c:v>
                </c:pt>
                <c:pt idx="2404">
                  <c:v>11119216</c:v>
                </c:pt>
                <c:pt idx="2405">
                  <c:v>10587045</c:v>
                </c:pt>
                <c:pt idx="2406">
                  <c:v>9209014</c:v>
                </c:pt>
                <c:pt idx="2407">
                  <c:v>9962972</c:v>
                </c:pt>
                <c:pt idx="2408">
                  <c:v>8575791</c:v>
                </c:pt>
                <c:pt idx="2409">
                  <c:v>9709325</c:v>
                </c:pt>
                <c:pt idx="2410">
                  <c:v>9144776</c:v>
                </c:pt>
                <c:pt idx="2411">
                  <c:v>31587307</c:v>
                </c:pt>
                <c:pt idx="2412">
                  <c:v>20414347</c:v>
                </c:pt>
                <c:pt idx="2413">
                  <c:v>19725295</c:v>
                </c:pt>
                <c:pt idx="2414">
                  <c:v>15607394</c:v>
                </c:pt>
                <c:pt idx="2415">
                  <c:v>15455980</c:v>
                </c:pt>
                <c:pt idx="2416">
                  <c:v>12421171</c:v>
                </c:pt>
                <c:pt idx="2417">
                  <c:v>12509416</c:v>
                </c:pt>
                <c:pt idx="2418">
                  <c:v>10793249</c:v>
                </c:pt>
                <c:pt idx="2419">
                  <c:v>11181957</c:v>
                </c:pt>
                <c:pt idx="2420">
                  <c:v>9694844</c:v>
                </c:pt>
                <c:pt idx="2421">
                  <c:v>10329896</c:v>
                </c:pt>
                <c:pt idx="2422">
                  <c:v>8944952</c:v>
                </c:pt>
                <c:pt idx="2423">
                  <c:v>9684770</c:v>
                </c:pt>
                <c:pt idx="2424">
                  <c:v>8192740</c:v>
                </c:pt>
                <c:pt idx="2425">
                  <c:v>9096908</c:v>
                </c:pt>
                <c:pt idx="2426">
                  <c:v>8023250</c:v>
                </c:pt>
                <c:pt idx="2427">
                  <c:v>12036060</c:v>
                </c:pt>
                <c:pt idx="2428">
                  <c:v>10153277</c:v>
                </c:pt>
                <c:pt idx="2429">
                  <c:v>10972635</c:v>
                </c:pt>
                <c:pt idx="2430">
                  <c:v>9493334</c:v>
                </c:pt>
                <c:pt idx="2431">
                  <c:v>9711932</c:v>
                </c:pt>
                <c:pt idx="2432">
                  <c:v>8819730</c:v>
                </c:pt>
                <c:pt idx="2433">
                  <c:v>10391229</c:v>
                </c:pt>
                <c:pt idx="2434">
                  <c:v>6689286</c:v>
                </c:pt>
                <c:pt idx="2435">
                  <c:v>7415382</c:v>
                </c:pt>
                <c:pt idx="2436">
                  <c:v>7001587</c:v>
                </c:pt>
                <c:pt idx="2437">
                  <c:v>7733459</c:v>
                </c:pt>
                <c:pt idx="2438">
                  <c:v>6829068</c:v>
                </c:pt>
                <c:pt idx="2439">
                  <c:v>9479504</c:v>
                </c:pt>
                <c:pt idx="2440">
                  <c:v>8271975</c:v>
                </c:pt>
                <c:pt idx="2441">
                  <c:v>8761872</c:v>
                </c:pt>
                <c:pt idx="2442">
                  <c:v>7284821</c:v>
                </c:pt>
                <c:pt idx="2443">
                  <c:v>8338655</c:v>
                </c:pt>
                <c:pt idx="2444">
                  <c:v>7386141</c:v>
                </c:pt>
                <c:pt idx="2445">
                  <c:v>8844819</c:v>
                </c:pt>
                <c:pt idx="2446">
                  <c:v>16692860</c:v>
                </c:pt>
                <c:pt idx="2447">
                  <c:v>15439843</c:v>
                </c:pt>
                <c:pt idx="2448">
                  <c:v>12865524</c:v>
                </c:pt>
                <c:pt idx="2449">
                  <c:v>12597964</c:v>
                </c:pt>
                <c:pt idx="2450">
                  <c:v>10727233</c:v>
                </c:pt>
                <c:pt idx="2451">
                  <c:v>10839433</c:v>
                </c:pt>
                <c:pt idx="2452">
                  <c:v>9145098</c:v>
                </c:pt>
                <c:pt idx="2453">
                  <c:v>9815131</c:v>
                </c:pt>
                <c:pt idx="2454">
                  <c:v>8710721</c:v>
                </c:pt>
                <c:pt idx="2455">
                  <c:v>9372464</c:v>
                </c:pt>
                <c:pt idx="2456">
                  <c:v>7596334</c:v>
                </c:pt>
                <c:pt idx="2457">
                  <c:v>8273694</c:v>
                </c:pt>
                <c:pt idx="2458">
                  <c:v>7154957</c:v>
                </c:pt>
                <c:pt idx="2459">
                  <c:v>8372596</c:v>
                </c:pt>
                <c:pt idx="2460">
                  <c:v>10319719</c:v>
                </c:pt>
                <c:pt idx="2461">
                  <c:v>10893489</c:v>
                </c:pt>
                <c:pt idx="2462">
                  <c:v>9136540</c:v>
                </c:pt>
                <c:pt idx="2463">
                  <c:v>9810248</c:v>
                </c:pt>
                <c:pt idx="2464">
                  <c:v>8433296</c:v>
                </c:pt>
                <c:pt idx="2465">
                  <c:v>8982077</c:v>
                </c:pt>
                <c:pt idx="2466">
                  <c:v>7826893</c:v>
                </c:pt>
                <c:pt idx="2467">
                  <c:v>8516644</c:v>
                </c:pt>
                <c:pt idx="2468">
                  <c:v>7278795</c:v>
                </c:pt>
                <c:pt idx="2469">
                  <c:v>8432510</c:v>
                </c:pt>
                <c:pt idx="2470">
                  <c:v>9381190</c:v>
                </c:pt>
                <c:pt idx="2471">
                  <c:v>10036319</c:v>
                </c:pt>
                <c:pt idx="2472">
                  <c:v>8429272</c:v>
                </c:pt>
                <c:pt idx="2473">
                  <c:v>9126621</c:v>
                </c:pt>
                <c:pt idx="2474">
                  <c:v>7737545</c:v>
                </c:pt>
                <c:pt idx="2475">
                  <c:v>8721797</c:v>
                </c:pt>
                <c:pt idx="2476">
                  <c:v>7945529</c:v>
                </c:pt>
                <c:pt idx="2477">
                  <c:v>25845966</c:v>
                </c:pt>
                <c:pt idx="2478">
                  <c:v>18341699</c:v>
                </c:pt>
                <c:pt idx="2479">
                  <c:v>16049476</c:v>
                </c:pt>
                <c:pt idx="2480">
                  <c:v>13130535</c:v>
                </c:pt>
                <c:pt idx="2481">
                  <c:v>12528568</c:v>
                </c:pt>
                <c:pt idx="2482">
                  <c:v>10322519</c:v>
                </c:pt>
                <c:pt idx="2483">
                  <c:v>10554870</c:v>
                </c:pt>
                <c:pt idx="2484">
                  <c:v>8365258</c:v>
                </c:pt>
                <c:pt idx="2485">
                  <c:v>9465658</c:v>
                </c:pt>
                <c:pt idx="2486">
                  <c:v>7521115</c:v>
                </c:pt>
                <c:pt idx="2487">
                  <c:v>9049477</c:v>
                </c:pt>
                <c:pt idx="2488">
                  <c:v>7645900</c:v>
                </c:pt>
                <c:pt idx="2489">
                  <c:v>8136720</c:v>
                </c:pt>
                <c:pt idx="2490">
                  <c:v>7097026</c:v>
                </c:pt>
                <c:pt idx="2491">
                  <c:v>7812322</c:v>
                </c:pt>
                <c:pt idx="2492">
                  <c:v>6881518</c:v>
                </c:pt>
                <c:pt idx="2493">
                  <c:v>9207857</c:v>
                </c:pt>
                <c:pt idx="2494">
                  <c:v>8002137</c:v>
                </c:pt>
                <c:pt idx="2495">
                  <c:v>8205891</c:v>
                </c:pt>
                <c:pt idx="2496">
                  <c:v>7860000</c:v>
                </c:pt>
                <c:pt idx="2497">
                  <c:v>8293273</c:v>
                </c:pt>
                <c:pt idx="2498">
                  <c:v>7242866</c:v>
                </c:pt>
                <c:pt idx="2499">
                  <c:v>8398910</c:v>
                </c:pt>
                <c:pt idx="2500">
                  <c:v>11307130</c:v>
                </c:pt>
                <c:pt idx="2501">
                  <c:v>11927436</c:v>
                </c:pt>
                <c:pt idx="2502">
                  <c:v>9647767</c:v>
                </c:pt>
                <c:pt idx="2503">
                  <c:v>10181856</c:v>
                </c:pt>
                <c:pt idx="2504">
                  <c:v>8762181</c:v>
                </c:pt>
                <c:pt idx="2505">
                  <c:v>9507534</c:v>
                </c:pt>
                <c:pt idx="2506">
                  <c:v>8191678</c:v>
                </c:pt>
                <c:pt idx="2507">
                  <c:v>8962689</c:v>
                </c:pt>
                <c:pt idx="2508">
                  <c:v>7730059</c:v>
                </c:pt>
                <c:pt idx="2509">
                  <c:v>8635605</c:v>
                </c:pt>
                <c:pt idx="2510">
                  <c:v>7700373</c:v>
                </c:pt>
                <c:pt idx="2511">
                  <c:v>8768966</c:v>
                </c:pt>
                <c:pt idx="2512">
                  <c:v>10563159</c:v>
                </c:pt>
                <c:pt idx="2513">
                  <c:v>11299082</c:v>
                </c:pt>
                <c:pt idx="2514">
                  <c:v>9695191</c:v>
                </c:pt>
                <c:pt idx="2515">
                  <c:v>10280328</c:v>
                </c:pt>
                <c:pt idx="2516">
                  <c:v>8913768</c:v>
                </c:pt>
                <c:pt idx="2517">
                  <c:v>10908295</c:v>
                </c:pt>
                <c:pt idx="2518">
                  <c:v>9256235</c:v>
                </c:pt>
                <c:pt idx="2519">
                  <c:v>11038937</c:v>
                </c:pt>
                <c:pt idx="2520">
                  <c:v>11609972</c:v>
                </c:pt>
                <c:pt idx="2521">
                  <c:v>203868890</c:v>
                </c:pt>
                <c:pt idx="2522">
                  <c:v>117448757</c:v>
                </c:pt>
                <c:pt idx="2523">
                  <c:v>50139368</c:v>
                </c:pt>
                <c:pt idx="2524">
                  <c:v>33890370</c:v>
                </c:pt>
                <c:pt idx="2525">
                  <c:v>20096990</c:v>
                </c:pt>
                <c:pt idx="2526">
                  <c:v>16726966</c:v>
                </c:pt>
                <c:pt idx="2527">
                  <c:v>15365257</c:v>
                </c:pt>
                <c:pt idx="2528">
                  <c:v>11632349</c:v>
                </c:pt>
                <c:pt idx="2529">
                  <c:v>11627802</c:v>
                </c:pt>
                <c:pt idx="2530">
                  <c:v>9600929</c:v>
                </c:pt>
                <c:pt idx="2531">
                  <c:v>9878908</c:v>
                </c:pt>
                <c:pt idx="2532">
                  <c:v>8379525</c:v>
                </c:pt>
                <c:pt idx="2533">
                  <c:v>8968690</c:v>
                </c:pt>
                <c:pt idx="2534">
                  <c:v>7591363</c:v>
                </c:pt>
                <c:pt idx="2535">
                  <c:v>8102034</c:v>
                </c:pt>
                <c:pt idx="2536">
                  <c:v>6704001</c:v>
                </c:pt>
                <c:pt idx="2537">
                  <c:v>7652840</c:v>
                </c:pt>
                <c:pt idx="2538">
                  <c:v>6589883</c:v>
                </c:pt>
                <c:pt idx="2539">
                  <c:v>7328072</c:v>
                </c:pt>
                <c:pt idx="2540">
                  <c:v>6339419</c:v>
                </c:pt>
                <c:pt idx="2541">
                  <c:v>7906112</c:v>
                </c:pt>
                <c:pt idx="2542">
                  <c:v>6822330</c:v>
                </c:pt>
                <c:pt idx="2543">
                  <c:v>7520434</c:v>
                </c:pt>
                <c:pt idx="2544">
                  <c:v>6688909</c:v>
                </c:pt>
                <c:pt idx="2545">
                  <c:v>7819018</c:v>
                </c:pt>
                <c:pt idx="2546">
                  <c:v>11241279</c:v>
                </c:pt>
                <c:pt idx="2547">
                  <c:v>11713185</c:v>
                </c:pt>
                <c:pt idx="2548">
                  <c:v>9854780</c:v>
                </c:pt>
                <c:pt idx="2549">
                  <c:v>10130523</c:v>
                </c:pt>
                <c:pt idx="2550">
                  <c:v>8605823</c:v>
                </c:pt>
                <c:pt idx="2551">
                  <c:v>9164987</c:v>
                </c:pt>
                <c:pt idx="2552">
                  <c:v>7829671</c:v>
                </c:pt>
                <c:pt idx="2553">
                  <c:v>8483770</c:v>
                </c:pt>
                <c:pt idx="2554">
                  <c:v>7251145</c:v>
                </c:pt>
                <c:pt idx="2555">
                  <c:v>7874779</c:v>
                </c:pt>
                <c:pt idx="2556">
                  <c:v>6955650</c:v>
                </c:pt>
                <c:pt idx="2557">
                  <c:v>7850585</c:v>
                </c:pt>
                <c:pt idx="2558">
                  <c:v>7326783</c:v>
                </c:pt>
                <c:pt idx="2559">
                  <c:v>18814912</c:v>
                </c:pt>
                <c:pt idx="2560">
                  <c:v>15433027</c:v>
                </c:pt>
                <c:pt idx="2561">
                  <c:v>14283622</c:v>
                </c:pt>
                <c:pt idx="2562">
                  <c:v>12108440</c:v>
                </c:pt>
                <c:pt idx="2563">
                  <c:v>12450350</c:v>
                </c:pt>
                <c:pt idx="2564">
                  <c:v>10204419</c:v>
                </c:pt>
                <c:pt idx="2565">
                  <c:v>10467071</c:v>
                </c:pt>
                <c:pt idx="2566">
                  <c:v>9151661</c:v>
                </c:pt>
                <c:pt idx="2567">
                  <c:v>9673484</c:v>
                </c:pt>
                <c:pt idx="2568">
                  <c:v>8265191</c:v>
                </c:pt>
                <c:pt idx="2569">
                  <c:v>8887303</c:v>
                </c:pt>
                <c:pt idx="2570">
                  <c:v>7539748</c:v>
                </c:pt>
                <c:pt idx="2571">
                  <c:v>8456250</c:v>
                </c:pt>
                <c:pt idx="2572">
                  <c:v>7184656</c:v>
                </c:pt>
                <c:pt idx="2573">
                  <c:v>8637586</c:v>
                </c:pt>
                <c:pt idx="2574">
                  <c:v>25698387</c:v>
                </c:pt>
                <c:pt idx="2575">
                  <c:v>20061638</c:v>
                </c:pt>
                <c:pt idx="2576">
                  <c:v>15817438</c:v>
                </c:pt>
                <c:pt idx="2577">
                  <c:v>13884274</c:v>
                </c:pt>
                <c:pt idx="2578">
                  <c:v>11613197</c:v>
                </c:pt>
                <c:pt idx="2579">
                  <c:v>11293530</c:v>
                </c:pt>
                <c:pt idx="2580">
                  <c:v>9330370</c:v>
                </c:pt>
                <c:pt idx="2581">
                  <c:v>9406069</c:v>
                </c:pt>
                <c:pt idx="2582">
                  <c:v>8183653</c:v>
                </c:pt>
                <c:pt idx="2583">
                  <c:v>8361102</c:v>
                </c:pt>
                <c:pt idx="2584">
                  <c:v>7268081</c:v>
                </c:pt>
                <c:pt idx="2585">
                  <c:v>7831956</c:v>
                </c:pt>
                <c:pt idx="2586">
                  <c:v>6790990</c:v>
                </c:pt>
                <c:pt idx="2587">
                  <c:v>7442465</c:v>
                </c:pt>
                <c:pt idx="2588">
                  <c:v>6244275</c:v>
                </c:pt>
                <c:pt idx="2589">
                  <c:v>7400633</c:v>
                </c:pt>
                <c:pt idx="2590">
                  <c:v>7890641</c:v>
                </c:pt>
                <c:pt idx="2591">
                  <c:v>9359367</c:v>
                </c:pt>
                <c:pt idx="2592">
                  <c:v>7699958</c:v>
                </c:pt>
                <c:pt idx="2593">
                  <c:v>8168083</c:v>
                </c:pt>
                <c:pt idx="2594">
                  <c:v>6870148</c:v>
                </c:pt>
                <c:pt idx="2595">
                  <c:v>7925823</c:v>
                </c:pt>
                <c:pt idx="2596">
                  <c:v>7046560</c:v>
                </c:pt>
                <c:pt idx="2597">
                  <c:v>8323046</c:v>
                </c:pt>
                <c:pt idx="2598">
                  <c:v>48007720</c:v>
                </c:pt>
                <c:pt idx="2599">
                  <c:v>27616901</c:v>
                </c:pt>
                <c:pt idx="2600">
                  <c:v>24244062</c:v>
                </c:pt>
                <c:pt idx="2601">
                  <c:v>18217356</c:v>
                </c:pt>
                <c:pt idx="2602">
                  <c:v>15363299</c:v>
                </c:pt>
                <c:pt idx="2603">
                  <c:v>13571497</c:v>
                </c:pt>
                <c:pt idx="2604">
                  <c:v>10983474</c:v>
                </c:pt>
                <c:pt idx="2605">
                  <c:v>11005648</c:v>
                </c:pt>
                <c:pt idx="2606">
                  <c:v>9156461</c:v>
                </c:pt>
                <c:pt idx="2607">
                  <c:v>9133387</c:v>
                </c:pt>
                <c:pt idx="2608">
                  <c:v>7812031</c:v>
                </c:pt>
                <c:pt idx="2609">
                  <c:v>8057753</c:v>
                </c:pt>
                <c:pt idx="2610">
                  <c:v>6882598</c:v>
                </c:pt>
                <c:pt idx="2611">
                  <c:v>7689802</c:v>
                </c:pt>
                <c:pt idx="2612">
                  <c:v>6349776</c:v>
                </c:pt>
                <c:pt idx="2613">
                  <c:v>7176187</c:v>
                </c:pt>
                <c:pt idx="2614">
                  <c:v>6218928</c:v>
                </c:pt>
                <c:pt idx="2615">
                  <c:v>6911892</c:v>
                </c:pt>
                <c:pt idx="2616">
                  <c:v>5874304</c:v>
                </c:pt>
                <c:pt idx="2617">
                  <c:v>8363155</c:v>
                </c:pt>
                <c:pt idx="2618">
                  <c:v>7166557</c:v>
                </c:pt>
                <c:pt idx="2619">
                  <c:v>7783310</c:v>
                </c:pt>
                <c:pt idx="2620">
                  <c:v>6557801</c:v>
                </c:pt>
                <c:pt idx="2621">
                  <c:v>7306535</c:v>
                </c:pt>
                <c:pt idx="2622">
                  <c:v>6107990</c:v>
                </c:pt>
                <c:pt idx="2623">
                  <c:v>7182578</c:v>
                </c:pt>
                <c:pt idx="2624">
                  <c:v>5987591</c:v>
                </c:pt>
                <c:pt idx="2625">
                  <c:v>7317120</c:v>
                </c:pt>
                <c:pt idx="2626">
                  <c:v>6355564</c:v>
                </c:pt>
                <c:pt idx="2627">
                  <c:v>7142643</c:v>
                </c:pt>
                <c:pt idx="2628">
                  <c:v>7443529</c:v>
                </c:pt>
                <c:pt idx="2629">
                  <c:v>7999316</c:v>
                </c:pt>
                <c:pt idx="2630">
                  <c:v>6872179</c:v>
                </c:pt>
                <c:pt idx="2631">
                  <c:v>7611868</c:v>
                </c:pt>
                <c:pt idx="2632">
                  <c:v>6580687</c:v>
                </c:pt>
                <c:pt idx="2633">
                  <c:v>7245052</c:v>
                </c:pt>
                <c:pt idx="2634">
                  <c:v>6719122</c:v>
                </c:pt>
                <c:pt idx="2635">
                  <c:v>13817359</c:v>
                </c:pt>
                <c:pt idx="2636">
                  <c:v>11384507</c:v>
                </c:pt>
                <c:pt idx="2637">
                  <c:v>11575918</c:v>
                </c:pt>
                <c:pt idx="2638">
                  <c:v>9559205</c:v>
                </c:pt>
                <c:pt idx="2639">
                  <c:v>9904277</c:v>
                </c:pt>
                <c:pt idx="2640">
                  <c:v>7808775</c:v>
                </c:pt>
                <c:pt idx="2641">
                  <c:v>8971209</c:v>
                </c:pt>
                <c:pt idx="2642">
                  <c:v>7542006</c:v>
                </c:pt>
                <c:pt idx="2643">
                  <c:v>8193996</c:v>
                </c:pt>
                <c:pt idx="2644">
                  <c:v>6947332</c:v>
                </c:pt>
                <c:pt idx="2645">
                  <c:v>7686673</c:v>
                </c:pt>
                <c:pt idx="2646">
                  <c:v>6630878</c:v>
                </c:pt>
                <c:pt idx="2647">
                  <c:v>7358539</c:v>
                </c:pt>
                <c:pt idx="2648">
                  <c:v>6477056</c:v>
                </c:pt>
                <c:pt idx="2649">
                  <c:v>7777539</c:v>
                </c:pt>
                <c:pt idx="2650">
                  <c:v>6686026</c:v>
                </c:pt>
                <c:pt idx="2651">
                  <c:v>13668488</c:v>
                </c:pt>
                <c:pt idx="2652">
                  <c:v>11340234</c:v>
                </c:pt>
                <c:pt idx="2653">
                  <c:v>11309298</c:v>
                </c:pt>
                <c:pt idx="2654">
                  <c:v>9866708</c:v>
                </c:pt>
                <c:pt idx="2655">
                  <c:v>9889051</c:v>
                </c:pt>
                <c:pt idx="2656">
                  <c:v>8972394</c:v>
                </c:pt>
                <c:pt idx="2657">
                  <c:v>9542893</c:v>
                </c:pt>
                <c:pt idx="2658">
                  <c:v>7682962</c:v>
                </c:pt>
                <c:pt idx="2659">
                  <c:v>8177531</c:v>
                </c:pt>
                <c:pt idx="2660">
                  <c:v>6992779</c:v>
                </c:pt>
                <c:pt idx="2661">
                  <c:v>8788695</c:v>
                </c:pt>
                <c:pt idx="2662">
                  <c:v>18308581</c:v>
                </c:pt>
                <c:pt idx="2663">
                  <c:v>16865767</c:v>
                </c:pt>
                <c:pt idx="2664">
                  <c:v>13466748</c:v>
                </c:pt>
                <c:pt idx="2665">
                  <c:v>13032646</c:v>
                </c:pt>
                <c:pt idx="2666">
                  <c:v>10729655</c:v>
                </c:pt>
                <c:pt idx="2667">
                  <c:v>11377659</c:v>
                </c:pt>
                <c:pt idx="2668">
                  <c:v>9187775</c:v>
                </c:pt>
                <c:pt idx="2669">
                  <c:v>9699923</c:v>
                </c:pt>
                <c:pt idx="2670">
                  <c:v>8207077</c:v>
                </c:pt>
                <c:pt idx="2671">
                  <c:v>8832165</c:v>
                </c:pt>
                <c:pt idx="2672">
                  <c:v>7595591</c:v>
                </c:pt>
                <c:pt idx="2673">
                  <c:v>8552240</c:v>
                </c:pt>
                <c:pt idx="2674">
                  <c:v>8597558</c:v>
                </c:pt>
                <c:pt idx="2675">
                  <c:v>77092846</c:v>
                </c:pt>
                <c:pt idx="2676">
                  <c:v>43695461</c:v>
                </c:pt>
                <c:pt idx="2677">
                  <c:v>24206015</c:v>
                </c:pt>
                <c:pt idx="2678">
                  <c:v>17993097</c:v>
                </c:pt>
                <c:pt idx="2679">
                  <c:v>14950267</c:v>
                </c:pt>
                <c:pt idx="2680">
                  <c:v>12069606</c:v>
                </c:pt>
                <c:pt idx="2681">
                  <c:v>10972799</c:v>
                </c:pt>
                <c:pt idx="2682">
                  <c:v>8744437</c:v>
                </c:pt>
                <c:pt idx="2683">
                  <c:v>9164858</c:v>
                </c:pt>
                <c:pt idx="2684">
                  <c:v>7435126</c:v>
                </c:pt>
                <c:pt idx="2685">
                  <c:v>7890695</c:v>
                </c:pt>
                <c:pt idx="2686">
                  <c:v>6415603</c:v>
                </c:pt>
                <c:pt idx="2687">
                  <c:v>7159403</c:v>
                </c:pt>
                <c:pt idx="2688">
                  <c:v>6207533</c:v>
                </c:pt>
                <c:pt idx="2689">
                  <c:v>7022703</c:v>
                </c:pt>
                <c:pt idx="2690">
                  <c:v>6083918</c:v>
                </c:pt>
                <c:pt idx="2691">
                  <c:v>8933349</c:v>
                </c:pt>
                <c:pt idx="2692">
                  <c:v>7341947</c:v>
                </c:pt>
                <c:pt idx="2693">
                  <c:v>8320166</c:v>
                </c:pt>
                <c:pt idx="2694">
                  <c:v>7057116</c:v>
                </c:pt>
                <c:pt idx="2695">
                  <c:v>6838956</c:v>
                </c:pt>
                <c:pt idx="2696">
                  <c:v>6705382</c:v>
                </c:pt>
                <c:pt idx="2697">
                  <c:v>7228949</c:v>
                </c:pt>
                <c:pt idx="2698">
                  <c:v>6570626</c:v>
                </c:pt>
                <c:pt idx="2699">
                  <c:v>11142915</c:v>
                </c:pt>
                <c:pt idx="2700">
                  <c:v>9571667</c:v>
                </c:pt>
                <c:pt idx="2701">
                  <c:v>9559328</c:v>
                </c:pt>
                <c:pt idx="2702">
                  <c:v>8258573</c:v>
                </c:pt>
                <c:pt idx="2703">
                  <c:v>7966471</c:v>
                </c:pt>
                <c:pt idx="2704">
                  <c:v>7580900</c:v>
                </c:pt>
                <c:pt idx="2705">
                  <c:v>7864316</c:v>
                </c:pt>
                <c:pt idx="2706">
                  <c:v>6724712</c:v>
                </c:pt>
                <c:pt idx="2707">
                  <c:v>7528591</c:v>
                </c:pt>
                <c:pt idx="2708">
                  <c:v>6496770</c:v>
                </c:pt>
                <c:pt idx="2709">
                  <c:v>7262748</c:v>
                </c:pt>
                <c:pt idx="2710">
                  <c:v>6631815</c:v>
                </c:pt>
                <c:pt idx="2711">
                  <c:v>14177548</c:v>
                </c:pt>
                <c:pt idx="2712">
                  <c:v>11463916</c:v>
                </c:pt>
                <c:pt idx="2713">
                  <c:v>10976254</c:v>
                </c:pt>
                <c:pt idx="2714">
                  <c:v>9173932</c:v>
                </c:pt>
                <c:pt idx="2715">
                  <c:v>9232452</c:v>
                </c:pt>
                <c:pt idx="2716">
                  <c:v>7728665</c:v>
                </c:pt>
                <c:pt idx="2717">
                  <c:v>8404123</c:v>
                </c:pt>
                <c:pt idx="2718">
                  <c:v>7033357</c:v>
                </c:pt>
                <c:pt idx="2719">
                  <c:v>7794517</c:v>
                </c:pt>
                <c:pt idx="2720">
                  <c:v>6546234</c:v>
                </c:pt>
                <c:pt idx="2721">
                  <c:v>7286141</c:v>
                </c:pt>
                <c:pt idx="2722">
                  <c:v>6411063</c:v>
                </c:pt>
                <c:pt idx="2723">
                  <c:v>10374333</c:v>
                </c:pt>
                <c:pt idx="2724">
                  <c:v>8675114</c:v>
                </c:pt>
                <c:pt idx="2725">
                  <c:v>9199393</c:v>
                </c:pt>
                <c:pt idx="2726">
                  <c:v>7558521</c:v>
                </c:pt>
                <c:pt idx="2727">
                  <c:v>8558281</c:v>
                </c:pt>
                <c:pt idx="2728">
                  <c:v>7038882</c:v>
                </c:pt>
                <c:pt idx="2729">
                  <c:v>7711916</c:v>
                </c:pt>
                <c:pt idx="2730">
                  <c:v>6730374</c:v>
                </c:pt>
                <c:pt idx="2731">
                  <c:v>7656491</c:v>
                </c:pt>
                <c:pt idx="2732">
                  <c:v>8709488</c:v>
                </c:pt>
                <c:pt idx="2733">
                  <c:v>9132088</c:v>
                </c:pt>
                <c:pt idx="2734">
                  <c:v>7793571</c:v>
                </c:pt>
                <c:pt idx="2735">
                  <c:v>8304029</c:v>
                </c:pt>
                <c:pt idx="2736">
                  <c:v>7239467</c:v>
                </c:pt>
                <c:pt idx="2737">
                  <c:v>7909455</c:v>
                </c:pt>
                <c:pt idx="2738">
                  <c:v>6957291</c:v>
                </c:pt>
                <c:pt idx="2739">
                  <c:v>10049501</c:v>
                </c:pt>
                <c:pt idx="2740">
                  <c:v>8658223</c:v>
                </c:pt>
                <c:pt idx="2741">
                  <c:v>9302002</c:v>
                </c:pt>
                <c:pt idx="2742">
                  <c:v>8038837</c:v>
                </c:pt>
                <c:pt idx="2743">
                  <c:v>8504270</c:v>
                </c:pt>
                <c:pt idx="2744">
                  <c:v>7259169</c:v>
                </c:pt>
                <c:pt idx="2745">
                  <c:v>8822458</c:v>
                </c:pt>
                <c:pt idx="2746">
                  <c:v>69797117</c:v>
                </c:pt>
                <c:pt idx="2747">
                  <c:v>39028119</c:v>
                </c:pt>
                <c:pt idx="2748">
                  <c:v>23185915</c:v>
                </c:pt>
                <c:pt idx="2749">
                  <c:v>18460078</c:v>
                </c:pt>
                <c:pt idx="2750">
                  <c:v>14508839</c:v>
                </c:pt>
                <c:pt idx="2751">
                  <c:v>12952631</c:v>
                </c:pt>
                <c:pt idx="2752">
                  <c:v>10935748</c:v>
                </c:pt>
                <c:pt idx="2753">
                  <c:v>10769114</c:v>
                </c:pt>
                <c:pt idx="2754">
                  <c:v>8445202</c:v>
                </c:pt>
                <c:pt idx="2755">
                  <c:v>9330645</c:v>
                </c:pt>
                <c:pt idx="2756">
                  <c:v>7784487</c:v>
                </c:pt>
                <c:pt idx="2757">
                  <c:v>8497797</c:v>
                </c:pt>
                <c:pt idx="2758">
                  <c:v>7359468</c:v>
                </c:pt>
                <c:pt idx="2759">
                  <c:v>7955354</c:v>
                </c:pt>
                <c:pt idx="2760">
                  <c:v>6768893</c:v>
                </c:pt>
                <c:pt idx="2761">
                  <c:v>7643960</c:v>
                </c:pt>
                <c:pt idx="2762">
                  <c:v>6774362</c:v>
                </c:pt>
                <c:pt idx="2763">
                  <c:v>11593486</c:v>
                </c:pt>
                <c:pt idx="2764">
                  <c:v>9901613</c:v>
                </c:pt>
                <c:pt idx="2765">
                  <c:v>9897769</c:v>
                </c:pt>
                <c:pt idx="2766">
                  <c:v>8564553</c:v>
                </c:pt>
                <c:pt idx="2767">
                  <c:v>9148038</c:v>
                </c:pt>
                <c:pt idx="2768">
                  <c:v>7622055</c:v>
                </c:pt>
                <c:pt idx="2769">
                  <c:v>8226441</c:v>
                </c:pt>
                <c:pt idx="2770">
                  <c:v>7177646</c:v>
                </c:pt>
                <c:pt idx="2771">
                  <c:v>8360740</c:v>
                </c:pt>
                <c:pt idx="2772">
                  <c:v>7322218</c:v>
                </c:pt>
                <c:pt idx="2773">
                  <c:v>19708296</c:v>
                </c:pt>
                <c:pt idx="2774">
                  <c:v>14840912</c:v>
                </c:pt>
                <c:pt idx="2775">
                  <c:v>13529791</c:v>
                </c:pt>
                <c:pt idx="2776">
                  <c:v>10541640</c:v>
                </c:pt>
                <c:pt idx="2777">
                  <c:v>10903897</c:v>
                </c:pt>
                <c:pt idx="2778">
                  <c:v>8617808</c:v>
                </c:pt>
                <c:pt idx="2779">
                  <c:v>9222965</c:v>
                </c:pt>
                <c:pt idx="2780">
                  <c:v>7803698</c:v>
                </c:pt>
                <c:pt idx="2781">
                  <c:v>8470042</c:v>
                </c:pt>
                <c:pt idx="2782">
                  <c:v>6968169</c:v>
                </c:pt>
                <c:pt idx="2783">
                  <c:v>7864156</c:v>
                </c:pt>
                <c:pt idx="2784">
                  <c:v>6590645</c:v>
                </c:pt>
                <c:pt idx="2785">
                  <c:v>7483417</c:v>
                </c:pt>
                <c:pt idx="2786">
                  <c:v>8212966</c:v>
                </c:pt>
                <c:pt idx="2787">
                  <c:v>8967548</c:v>
                </c:pt>
                <c:pt idx="2788">
                  <c:v>7427052</c:v>
                </c:pt>
                <c:pt idx="2789">
                  <c:v>8202179</c:v>
                </c:pt>
                <c:pt idx="2790">
                  <c:v>6924878</c:v>
                </c:pt>
                <c:pt idx="2791">
                  <c:v>7790750</c:v>
                </c:pt>
                <c:pt idx="2792">
                  <c:v>7014150</c:v>
                </c:pt>
                <c:pt idx="2793">
                  <c:v>16686911</c:v>
                </c:pt>
                <c:pt idx="2794">
                  <c:v>13247846</c:v>
                </c:pt>
                <c:pt idx="2795">
                  <c:v>12142102</c:v>
                </c:pt>
                <c:pt idx="2796">
                  <c:v>9912637</c:v>
                </c:pt>
                <c:pt idx="2797">
                  <c:v>9020255</c:v>
                </c:pt>
                <c:pt idx="2798">
                  <c:v>8823368</c:v>
                </c:pt>
                <c:pt idx="2799">
                  <c:v>8256426</c:v>
                </c:pt>
                <c:pt idx="2800">
                  <c:v>8092329</c:v>
                </c:pt>
                <c:pt idx="2801">
                  <c:v>8351633</c:v>
                </c:pt>
                <c:pt idx="2802">
                  <c:v>7039503</c:v>
                </c:pt>
                <c:pt idx="2803">
                  <c:v>7814176</c:v>
                </c:pt>
                <c:pt idx="2804">
                  <c:v>6721399</c:v>
                </c:pt>
                <c:pt idx="2805">
                  <c:v>7615053</c:v>
                </c:pt>
                <c:pt idx="2806">
                  <c:v>6609741</c:v>
                </c:pt>
                <c:pt idx="2807">
                  <c:v>8899079</c:v>
                </c:pt>
                <c:pt idx="2808">
                  <c:v>8359112</c:v>
                </c:pt>
                <c:pt idx="2809">
                  <c:v>8764402</c:v>
                </c:pt>
                <c:pt idx="2810">
                  <c:v>7566242</c:v>
                </c:pt>
                <c:pt idx="2811">
                  <c:v>8289110</c:v>
                </c:pt>
                <c:pt idx="2812">
                  <c:v>6909549</c:v>
                </c:pt>
                <c:pt idx="2813">
                  <c:v>7961543</c:v>
                </c:pt>
                <c:pt idx="2814">
                  <c:v>6917311</c:v>
                </c:pt>
                <c:pt idx="2815">
                  <c:v>11717759</c:v>
                </c:pt>
                <c:pt idx="2816">
                  <c:v>9940196</c:v>
                </c:pt>
                <c:pt idx="2817">
                  <c:v>9959954</c:v>
                </c:pt>
                <c:pt idx="2818">
                  <c:v>8412139</c:v>
                </c:pt>
                <c:pt idx="2819">
                  <c:v>9221381</c:v>
                </c:pt>
                <c:pt idx="2820">
                  <c:v>7800856</c:v>
                </c:pt>
                <c:pt idx="2821">
                  <c:v>8507048</c:v>
                </c:pt>
                <c:pt idx="2822">
                  <c:v>7428276</c:v>
                </c:pt>
                <c:pt idx="2823">
                  <c:v>8429487</c:v>
                </c:pt>
                <c:pt idx="2824">
                  <c:v>7285309</c:v>
                </c:pt>
                <c:pt idx="2825">
                  <c:v>12671213</c:v>
                </c:pt>
                <c:pt idx="2826">
                  <c:v>10808216</c:v>
                </c:pt>
                <c:pt idx="2827">
                  <c:v>10946062</c:v>
                </c:pt>
                <c:pt idx="2828">
                  <c:v>9499322</c:v>
                </c:pt>
                <c:pt idx="2829">
                  <c:v>9832220</c:v>
                </c:pt>
                <c:pt idx="2830">
                  <c:v>8479801</c:v>
                </c:pt>
                <c:pt idx="2831">
                  <c:v>9587273</c:v>
                </c:pt>
                <c:pt idx="2832">
                  <c:v>8198291</c:v>
                </c:pt>
                <c:pt idx="2833">
                  <c:v>9108702</c:v>
                </c:pt>
                <c:pt idx="2834">
                  <c:v>8239264</c:v>
                </c:pt>
                <c:pt idx="2835">
                  <c:v>13675013</c:v>
                </c:pt>
                <c:pt idx="2836">
                  <c:v>11595849</c:v>
                </c:pt>
                <c:pt idx="2837">
                  <c:v>12397921</c:v>
                </c:pt>
                <c:pt idx="2838">
                  <c:v>10648205</c:v>
                </c:pt>
                <c:pt idx="2839">
                  <c:v>11012912</c:v>
                </c:pt>
                <c:pt idx="2840">
                  <c:v>10065520</c:v>
                </c:pt>
                <c:pt idx="2841">
                  <c:v>12778842</c:v>
                </c:pt>
                <c:pt idx="2842">
                  <c:v>210850582</c:v>
                </c:pt>
                <c:pt idx="2843">
                  <c:v>100306918</c:v>
                </c:pt>
                <c:pt idx="2844">
                  <c:v>59979949</c:v>
                </c:pt>
                <c:pt idx="2845">
                  <c:v>32529149</c:v>
                </c:pt>
                <c:pt idx="2846">
                  <c:v>20625320</c:v>
                </c:pt>
                <c:pt idx="2847">
                  <c:v>16347727</c:v>
                </c:pt>
                <c:pt idx="2848">
                  <c:v>13843758</c:v>
                </c:pt>
                <c:pt idx="2849">
                  <c:v>12583535</c:v>
                </c:pt>
                <c:pt idx="2850">
                  <c:v>10715561</c:v>
                </c:pt>
                <c:pt idx="2851">
                  <c:v>10846115</c:v>
                </c:pt>
                <c:pt idx="2852">
                  <c:v>8985832</c:v>
                </c:pt>
                <c:pt idx="2853">
                  <c:v>9686833</c:v>
                </c:pt>
                <c:pt idx="2854">
                  <c:v>8219689</c:v>
                </c:pt>
                <c:pt idx="2855">
                  <c:v>8764267</c:v>
                </c:pt>
                <c:pt idx="2856">
                  <c:v>7474819</c:v>
                </c:pt>
                <c:pt idx="2857">
                  <c:v>8246564</c:v>
                </c:pt>
                <c:pt idx="2858">
                  <c:v>7414854</c:v>
                </c:pt>
                <c:pt idx="2859">
                  <c:v>8078978</c:v>
                </c:pt>
                <c:pt idx="2860">
                  <c:v>6933812</c:v>
                </c:pt>
                <c:pt idx="2861">
                  <c:v>9192941</c:v>
                </c:pt>
                <c:pt idx="2862">
                  <c:v>138549398</c:v>
                </c:pt>
                <c:pt idx="2863">
                  <c:v>61984620</c:v>
                </c:pt>
                <c:pt idx="2864">
                  <c:v>32046086</c:v>
                </c:pt>
                <c:pt idx="2865">
                  <c:v>22360263</c:v>
                </c:pt>
                <c:pt idx="2866">
                  <c:v>14567820</c:v>
                </c:pt>
                <c:pt idx="2867">
                  <c:v>14000936</c:v>
                </c:pt>
                <c:pt idx="2868">
                  <c:v>10543200</c:v>
                </c:pt>
                <c:pt idx="2869">
                  <c:v>10076622</c:v>
                </c:pt>
                <c:pt idx="2870">
                  <c:v>8382167</c:v>
                </c:pt>
                <c:pt idx="2871">
                  <c:v>8519890</c:v>
                </c:pt>
                <c:pt idx="2872">
                  <c:v>7209218</c:v>
                </c:pt>
                <c:pt idx="2873">
                  <c:v>8021762</c:v>
                </c:pt>
                <c:pt idx="2874">
                  <c:v>6562674</c:v>
                </c:pt>
                <c:pt idx="2875">
                  <c:v>7613970</c:v>
                </c:pt>
                <c:pt idx="2876">
                  <c:v>6295816</c:v>
                </c:pt>
                <c:pt idx="2877">
                  <c:v>7158322</c:v>
                </c:pt>
                <c:pt idx="2878">
                  <c:v>6113886</c:v>
                </c:pt>
                <c:pt idx="2879">
                  <c:v>9121170</c:v>
                </c:pt>
                <c:pt idx="2880">
                  <c:v>7717612</c:v>
                </c:pt>
                <c:pt idx="2881">
                  <c:v>8390526</c:v>
                </c:pt>
                <c:pt idx="2882">
                  <c:v>6854234</c:v>
                </c:pt>
                <c:pt idx="2883">
                  <c:v>8045505</c:v>
                </c:pt>
                <c:pt idx="2884">
                  <c:v>6847576</c:v>
                </c:pt>
                <c:pt idx="2885">
                  <c:v>8074956</c:v>
                </c:pt>
                <c:pt idx="2886">
                  <c:v>15260981</c:v>
                </c:pt>
                <c:pt idx="2887">
                  <c:v>13963082</c:v>
                </c:pt>
                <c:pt idx="2888">
                  <c:v>10745471</c:v>
                </c:pt>
                <c:pt idx="2889">
                  <c:v>10601927</c:v>
                </c:pt>
                <c:pt idx="2890">
                  <c:v>8638951</c:v>
                </c:pt>
                <c:pt idx="2891">
                  <c:v>8938844</c:v>
                </c:pt>
                <c:pt idx="2892">
                  <c:v>7362067</c:v>
                </c:pt>
                <c:pt idx="2893">
                  <c:v>8046572</c:v>
                </c:pt>
                <c:pt idx="2894">
                  <c:v>6537272</c:v>
                </c:pt>
                <c:pt idx="2895">
                  <c:v>7465361</c:v>
                </c:pt>
                <c:pt idx="2896">
                  <c:v>6249225</c:v>
                </c:pt>
                <c:pt idx="2897">
                  <c:v>7193526</c:v>
                </c:pt>
                <c:pt idx="2898">
                  <c:v>6138176</c:v>
                </c:pt>
                <c:pt idx="2899">
                  <c:v>7496539</c:v>
                </c:pt>
                <c:pt idx="2900">
                  <c:v>8075392</c:v>
                </c:pt>
                <c:pt idx="2901">
                  <c:v>8460240</c:v>
                </c:pt>
                <c:pt idx="2902">
                  <c:v>7950903</c:v>
                </c:pt>
                <c:pt idx="2903">
                  <c:v>7192612</c:v>
                </c:pt>
                <c:pt idx="2904">
                  <c:v>7694837</c:v>
                </c:pt>
                <c:pt idx="2905">
                  <c:v>8044227</c:v>
                </c:pt>
                <c:pt idx="2906">
                  <c:v>21397198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78236050"/>
        <c:axId val="452146189"/>
      </c:lineChart>
      <c:catAx>
        <c:axId val="4782360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146189"/>
        <c:crosses val="autoZero"/>
        <c:auto val="1"/>
        <c:lblAlgn val="ctr"/>
        <c:lblOffset val="100"/>
        <c:noMultiLvlLbl val="0"/>
      </c:catAx>
      <c:valAx>
        <c:axId val="4521461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2360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cash-jackpot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Sheet1!$I$2:$I$579</c:f>
              <c:numCache>
                <c:formatCode>General</c:formatCode>
                <c:ptCount val="578"/>
                <c:pt idx="0">
                  <c:v>7728</c:v>
                </c:pt>
                <c:pt idx="1">
                  <c:v>6864</c:v>
                </c:pt>
                <c:pt idx="2">
                  <c:v>6288</c:v>
                </c:pt>
                <c:pt idx="3">
                  <c:v>5760</c:v>
                </c:pt>
                <c:pt idx="4">
                  <c:v>4800</c:v>
                </c:pt>
                <c:pt idx="5">
                  <c:v>4224</c:v>
                </c:pt>
                <c:pt idx="6">
                  <c:v>3696</c:v>
                </c:pt>
                <c:pt idx="7">
                  <c:v>2832</c:v>
                </c:pt>
                <c:pt idx="8">
                  <c:v>2256</c:v>
                </c:pt>
                <c:pt idx="9">
                  <c:v>1728</c:v>
                </c:pt>
                <c:pt idx="10">
                  <c:v>960</c:v>
                </c:pt>
                <c:pt idx="11">
                  <c:v>10272</c:v>
                </c:pt>
                <c:pt idx="12">
                  <c:v>9744</c:v>
                </c:pt>
                <c:pt idx="13">
                  <c:v>8544</c:v>
                </c:pt>
                <c:pt idx="14">
                  <c:v>7872</c:v>
                </c:pt>
                <c:pt idx="15">
                  <c:v>7152</c:v>
                </c:pt>
                <c:pt idx="16">
                  <c:v>6192</c:v>
                </c:pt>
                <c:pt idx="17">
                  <c:v>5520</c:v>
                </c:pt>
                <c:pt idx="18">
                  <c:v>4704</c:v>
                </c:pt>
                <c:pt idx="19">
                  <c:v>3744</c:v>
                </c:pt>
                <c:pt idx="20">
                  <c:v>3024</c:v>
                </c:pt>
                <c:pt idx="21">
                  <c:v>2208</c:v>
                </c:pt>
                <c:pt idx="22">
                  <c:v>1488</c:v>
                </c:pt>
                <c:pt idx="23">
                  <c:v>960</c:v>
                </c:pt>
                <c:pt idx="24">
                  <c:v>63600</c:v>
                </c:pt>
                <c:pt idx="25">
                  <c:v>52320</c:v>
                </c:pt>
                <c:pt idx="26">
                  <c:v>48000</c:v>
                </c:pt>
                <c:pt idx="27">
                  <c:v>44880</c:v>
                </c:pt>
                <c:pt idx="28">
                  <c:v>41520</c:v>
                </c:pt>
                <c:pt idx="29">
                  <c:v>38400</c:v>
                </c:pt>
                <c:pt idx="30">
                  <c:v>36000</c:v>
                </c:pt>
                <c:pt idx="31">
                  <c:v>32976</c:v>
                </c:pt>
                <c:pt idx="32">
                  <c:v>30960</c:v>
                </c:pt>
                <c:pt idx="33">
                  <c:v>28800</c:v>
                </c:pt>
                <c:pt idx="34">
                  <c:v>26832</c:v>
                </c:pt>
                <c:pt idx="35">
                  <c:v>25536</c:v>
                </c:pt>
                <c:pt idx="36">
                  <c:v>25008</c:v>
                </c:pt>
                <c:pt idx="37">
                  <c:v>23280</c:v>
                </c:pt>
                <c:pt idx="38">
                  <c:v>22080</c:v>
                </c:pt>
                <c:pt idx="39">
                  <c:v>21264</c:v>
                </c:pt>
                <c:pt idx="40">
                  <c:v>19776</c:v>
                </c:pt>
                <c:pt idx="41">
                  <c:v>18768</c:v>
                </c:pt>
                <c:pt idx="42">
                  <c:v>18048</c:v>
                </c:pt>
                <c:pt idx="43">
                  <c:v>16704</c:v>
                </c:pt>
                <c:pt idx="44">
                  <c:v>15840</c:v>
                </c:pt>
                <c:pt idx="45">
                  <c:v>14688</c:v>
                </c:pt>
                <c:pt idx="46">
                  <c:v>13680</c:v>
                </c:pt>
                <c:pt idx="47">
                  <c:v>12960</c:v>
                </c:pt>
                <c:pt idx="48">
                  <c:v>11904</c:v>
                </c:pt>
                <c:pt idx="49">
                  <c:v>10944</c:v>
                </c:pt>
                <c:pt idx="50">
                  <c:v>10272</c:v>
                </c:pt>
                <c:pt idx="51">
                  <c:v>9888</c:v>
                </c:pt>
                <c:pt idx="52">
                  <c:v>9024</c:v>
                </c:pt>
                <c:pt idx="53">
                  <c:v>8352</c:v>
                </c:pt>
                <c:pt idx="54">
                  <c:v>7872</c:v>
                </c:pt>
                <c:pt idx="55">
                  <c:v>6960</c:v>
                </c:pt>
                <c:pt idx="56">
                  <c:v>6384</c:v>
                </c:pt>
                <c:pt idx="57">
                  <c:v>5760</c:v>
                </c:pt>
                <c:pt idx="58">
                  <c:v>4896</c:v>
                </c:pt>
                <c:pt idx="59">
                  <c:v>4224</c:v>
                </c:pt>
                <c:pt idx="60">
                  <c:v>3696</c:v>
                </c:pt>
                <c:pt idx="61">
                  <c:v>2880</c:v>
                </c:pt>
                <c:pt idx="62">
                  <c:v>2208</c:v>
                </c:pt>
                <c:pt idx="63">
                  <c:v>1680</c:v>
                </c:pt>
                <c:pt idx="64">
                  <c:v>960</c:v>
                </c:pt>
                <c:pt idx="65">
                  <c:v>40435.2</c:v>
                </c:pt>
                <c:pt idx="66">
                  <c:v>36480</c:v>
                </c:pt>
                <c:pt idx="67">
                  <c:v>32880</c:v>
                </c:pt>
                <c:pt idx="68">
                  <c:v>30624</c:v>
                </c:pt>
                <c:pt idx="69">
                  <c:v>29760</c:v>
                </c:pt>
                <c:pt idx="70">
                  <c:v>27456</c:v>
                </c:pt>
                <c:pt idx="71">
                  <c:v>26064</c:v>
                </c:pt>
                <c:pt idx="72">
                  <c:v>25680</c:v>
                </c:pt>
                <c:pt idx="73">
                  <c:v>24000</c:v>
                </c:pt>
                <c:pt idx="74">
                  <c:v>22896</c:v>
                </c:pt>
                <c:pt idx="75">
                  <c:v>22464</c:v>
                </c:pt>
                <c:pt idx="76">
                  <c:v>20880</c:v>
                </c:pt>
                <c:pt idx="77">
                  <c:v>19776</c:v>
                </c:pt>
                <c:pt idx="78">
                  <c:v>19200</c:v>
                </c:pt>
                <c:pt idx="79">
                  <c:v>17952</c:v>
                </c:pt>
                <c:pt idx="80">
                  <c:v>16896</c:v>
                </c:pt>
                <c:pt idx="81">
                  <c:v>16320</c:v>
                </c:pt>
                <c:pt idx="82">
                  <c:v>15024</c:v>
                </c:pt>
                <c:pt idx="83">
                  <c:v>14160</c:v>
                </c:pt>
                <c:pt idx="84">
                  <c:v>13440</c:v>
                </c:pt>
                <c:pt idx="85">
                  <c:v>12240</c:v>
                </c:pt>
                <c:pt idx="86">
                  <c:v>11280</c:v>
                </c:pt>
                <c:pt idx="87">
                  <c:v>10560</c:v>
                </c:pt>
                <c:pt idx="88">
                  <c:v>9408</c:v>
                </c:pt>
                <c:pt idx="89">
                  <c:v>8592</c:v>
                </c:pt>
                <c:pt idx="90">
                  <c:v>8304</c:v>
                </c:pt>
                <c:pt idx="91">
                  <c:v>7296</c:v>
                </c:pt>
                <c:pt idx="92">
                  <c:v>6576</c:v>
                </c:pt>
                <c:pt idx="93">
                  <c:v>6000</c:v>
                </c:pt>
                <c:pt idx="94">
                  <c:v>4800</c:v>
                </c:pt>
                <c:pt idx="95">
                  <c:v>4080</c:v>
                </c:pt>
                <c:pt idx="96">
                  <c:v>3360</c:v>
                </c:pt>
                <c:pt idx="97">
                  <c:v>2352</c:v>
                </c:pt>
                <c:pt idx="98">
                  <c:v>1632</c:v>
                </c:pt>
                <c:pt idx="99">
                  <c:v>960</c:v>
                </c:pt>
                <c:pt idx="100">
                  <c:v>84672</c:v>
                </c:pt>
                <c:pt idx="101">
                  <c:v>74400</c:v>
                </c:pt>
                <c:pt idx="102">
                  <c:v>67200</c:v>
                </c:pt>
                <c:pt idx="103">
                  <c:v>57600</c:v>
                </c:pt>
                <c:pt idx="104">
                  <c:v>49920</c:v>
                </c:pt>
                <c:pt idx="105">
                  <c:v>46080</c:v>
                </c:pt>
                <c:pt idx="106">
                  <c:v>40800</c:v>
                </c:pt>
                <c:pt idx="107">
                  <c:v>37680</c:v>
                </c:pt>
                <c:pt idx="108">
                  <c:v>36000</c:v>
                </c:pt>
                <c:pt idx="109">
                  <c:v>32256</c:v>
                </c:pt>
                <c:pt idx="110">
                  <c:v>30624</c:v>
                </c:pt>
                <c:pt idx="111">
                  <c:v>28608</c:v>
                </c:pt>
                <c:pt idx="112">
                  <c:v>26400</c:v>
                </c:pt>
                <c:pt idx="113">
                  <c:v>25056</c:v>
                </c:pt>
                <c:pt idx="114">
                  <c:v>24000</c:v>
                </c:pt>
                <c:pt idx="115">
                  <c:v>22128</c:v>
                </c:pt>
                <c:pt idx="116">
                  <c:v>20880</c:v>
                </c:pt>
                <c:pt idx="117">
                  <c:v>20160</c:v>
                </c:pt>
                <c:pt idx="118">
                  <c:v>18528</c:v>
                </c:pt>
                <c:pt idx="119">
                  <c:v>17424</c:v>
                </c:pt>
                <c:pt idx="120">
                  <c:v>16560</c:v>
                </c:pt>
                <c:pt idx="121">
                  <c:v>15024</c:v>
                </c:pt>
                <c:pt idx="122">
                  <c:v>13968</c:v>
                </c:pt>
                <c:pt idx="123">
                  <c:v>12672</c:v>
                </c:pt>
                <c:pt idx="124">
                  <c:v>11328</c:v>
                </c:pt>
                <c:pt idx="125">
                  <c:v>10320</c:v>
                </c:pt>
                <c:pt idx="126">
                  <c:v>9312</c:v>
                </c:pt>
                <c:pt idx="127">
                  <c:v>8160</c:v>
                </c:pt>
                <c:pt idx="128">
                  <c:v>6960</c:v>
                </c:pt>
                <c:pt idx="129">
                  <c:v>5952</c:v>
                </c:pt>
                <c:pt idx="130">
                  <c:v>4560</c:v>
                </c:pt>
                <c:pt idx="131">
                  <c:v>3552</c:v>
                </c:pt>
                <c:pt idx="132">
                  <c:v>2880</c:v>
                </c:pt>
                <c:pt idx="133">
                  <c:v>1968</c:v>
                </c:pt>
                <c:pt idx="134">
                  <c:v>1344</c:v>
                </c:pt>
                <c:pt idx="135">
                  <c:v>960</c:v>
                </c:pt>
                <c:pt idx="136">
                  <c:v>48000</c:v>
                </c:pt>
                <c:pt idx="137">
                  <c:v>43200</c:v>
                </c:pt>
                <c:pt idx="138">
                  <c:v>39792</c:v>
                </c:pt>
                <c:pt idx="139">
                  <c:v>36000</c:v>
                </c:pt>
                <c:pt idx="140">
                  <c:v>32400</c:v>
                </c:pt>
                <c:pt idx="141">
                  <c:v>29520</c:v>
                </c:pt>
                <c:pt idx="142">
                  <c:v>26208</c:v>
                </c:pt>
                <c:pt idx="143">
                  <c:v>25056</c:v>
                </c:pt>
                <c:pt idx="144">
                  <c:v>23664</c:v>
                </c:pt>
                <c:pt idx="145">
                  <c:v>22176</c:v>
                </c:pt>
                <c:pt idx="146">
                  <c:v>21120</c:v>
                </c:pt>
                <c:pt idx="147">
                  <c:v>20496</c:v>
                </c:pt>
                <c:pt idx="148">
                  <c:v>19200</c:v>
                </c:pt>
                <c:pt idx="149">
                  <c:v>18240</c:v>
                </c:pt>
                <c:pt idx="150">
                  <c:v>17568</c:v>
                </c:pt>
                <c:pt idx="151">
                  <c:v>16320</c:v>
                </c:pt>
                <c:pt idx="152">
                  <c:v>15552</c:v>
                </c:pt>
                <c:pt idx="153">
                  <c:v>14784</c:v>
                </c:pt>
                <c:pt idx="154">
                  <c:v>13680</c:v>
                </c:pt>
                <c:pt idx="155">
                  <c:v>12912</c:v>
                </c:pt>
                <c:pt idx="156">
                  <c:v>12576</c:v>
                </c:pt>
                <c:pt idx="157">
                  <c:v>11472</c:v>
                </c:pt>
                <c:pt idx="158">
                  <c:v>10848</c:v>
                </c:pt>
                <c:pt idx="159">
                  <c:v>10128</c:v>
                </c:pt>
                <c:pt idx="160">
                  <c:v>9120</c:v>
                </c:pt>
                <c:pt idx="161">
                  <c:v>8592</c:v>
                </c:pt>
                <c:pt idx="162">
                  <c:v>7776</c:v>
                </c:pt>
                <c:pt idx="163">
                  <c:v>7008</c:v>
                </c:pt>
                <c:pt idx="164">
                  <c:v>6480</c:v>
                </c:pt>
                <c:pt idx="165">
                  <c:v>6000</c:v>
                </c:pt>
                <c:pt idx="166">
                  <c:v>5232</c:v>
                </c:pt>
                <c:pt idx="167">
                  <c:v>4656</c:v>
                </c:pt>
                <c:pt idx="168">
                  <c:v>4176</c:v>
                </c:pt>
                <c:pt idx="169">
                  <c:v>3408</c:v>
                </c:pt>
                <c:pt idx="170">
                  <c:v>2880</c:v>
                </c:pt>
                <c:pt idx="171">
                  <c:v>2448</c:v>
                </c:pt>
                <c:pt idx="172">
                  <c:v>1776</c:v>
                </c:pt>
                <c:pt idx="173">
                  <c:v>1344</c:v>
                </c:pt>
                <c:pt idx="174">
                  <c:v>960</c:v>
                </c:pt>
                <c:pt idx="175">
                  <c:v>12124.8</c:v>
                </c:pt>
                <c:pt idx="176">
                  <c:v>11472</c:v>
                </c:pt>
                <c:pt idx="177">
                  <c:v>10512</c:v>
                </c:pt>
                <c:pt idx="178">
                  <c:v>9696</c:v>
                </c:pt>
                <c:pt idx="179">
                  <c:v>9216</c:v>
                </c:pt>
                <c:pt idx="180">
                  <c:v>8928</c:v>
                </c:pt>
                <c:pt idx="181">
                  <c:v>8160</c:v>
                </c:pt>
                <c:pt idx="182">
                  <c:v>7632</c:v>
                </c:pt>
                <c:pt idx="183">
                  <c:v>7056</c:v>
                </c:pt>
                <c:pt idx="184">
                  <c:v>6336</c:v>
                </c:pt>
                <c:pt idx="185">
                  <c:v>5856</c:v>
                </c:pt>
                <c:pt idx="186">
                  <c:v>5376</c:v>
                </c:pt>
                <c:pt idx="187">
                  <c:v>4608</c:v>
                </c:pt>
                <c:pt idx="188">
                  <c:v>4128</c:v>
                </c:pt>
                <c:pt idx="189">
                  <c:v>3744</c:v>
                </c:pt>
                <c:pt idx="190">
                  <c:v>3024</c:v>
                </c:pt>
                <c:pt idx="191">
                  <c:v>2496</c:v>
                </c:pt>
                <c:pt idx="192">
                  <c:v>2160</c:v>
                </c:pt>
                <c:pt idx="193">
                  <c:v>1488</c:v>
                </c:pt>
                <c:pt idx="194">
                  <c:v>960</c:v>
                </c:pt>
                <c:pt idx="195">
                  <c:v>7804.8</c:v>
                </c:pt>
                <c:pt idx="196">
                  <c:v>6864</c:v>
                </c:pt>
                <c:pt idx="197">
                  <c:v>6288</c:v>
                </c:pt>
                <c:pt idx="198">
                  <c:v>5712</c:v>
                </c:pt>
                <c:pt idx="199">
                  <c:v>4800</c:v>
                </c:pt>
                <c:pt idx="200">
                  <c:v>4176</c:v>
                </c:pt>
                <c:pt idx="201">
                  <c:v>3504</c:v>
                </c:pt>
                <c:pt idx="202">
                  <c:v>2736</c:v>
                </c:pt>
                <c:pt idx="203">
                  <c:v>2160</c:v>
                </c:pt>
                <c:pt idx="204">
                  <c:v>1632</c:v>
                </c:pt>
                <c:pt idx="205">
                  <c:v>960</c:v>
                </c:pt>
                <c:pt idx="206">
                  <c:v>35856</c:v>
                </c:pt>
                <c:pt idx="207">
                  <c:v>33600</c:v>
                </c:pt>
                <c:pt idx="208">
                  <c:v>31344</c:v>
                </c:pt>
                <c:pt idx="209">
                  <c:v>29424</c:v>
                </c:pt>
                <c:pt idx="210">
                  <c:v>27456</c:v>
                </c:pt>
                <c:pt idx="211">
                  <c:v>25248</c:v>
                </c:pt>
                <c:pt idx="212">
                  <c:v>24096</c:v>
                </c:pt>
                <c:pt idx="213">
                  <c:v>22704</c:v>
                </c:pt>
                <c:pt idx="214">
                  <c:v>21072</c:v>
                </c:pt>
                <c:pt idx="215">
                  <c:v>19968</c:v>
                </c:pt>
                <c:pt idx="216">
                  <c:v>19392</c:v>
                </c:pt>
                <c:pt idx="217">
                  <c:v>17280</c:v>
                </c:pt>
                <c:pt idx="218">
                  <c:v>16320</c:v>
                </c:pt>
                <c:pt idx="219">
                  <c:v>15600</c:v>
                </c:pt>
                <c:pt idx="220">
                  <c:v>13968</c:v>
                </c:pt>
                <c:pt idx="221">
                  <c:v>12720</c:v>
                </c:pt>
                <c:pt idx="222">
                  <c:v>11808</c:v>
                </c:pt>
                <c:pt idx="223">
                  <c:v>10320</c:v>
                </c:pt>
                <c:pt idx="224">
                  <c:v>9648</c:v>
                </c:pt>
                <c:pt idx="225">
                  <c:v>8928</c:v>
                </c:pt>
                <c:pt idx="226">
                  <c:v>8160</c:v>
                </c:pt>
                <c:pt idx="227">
                  <c:v>7584</c:v>
                </c:pt>
                <c:pt idx="228">
                  <c:v>7152</c:v>
                </c:pt>
                <c:pt idx="229">
                  <c:v>6432</c:v>
                </c:pt>
                <c:pt idx="230">
                  <c:v>5952</c:v>
                </c:pt>
                <c:pt idx="231">
                  <c:v>5568</c:v>
                </c:pt>
                <c:pt idx="232">
                  <c:v>4800</c:v>
                </c:pt>
                <c:pt idx="233">
                  <c:v>4272</c:v>
                </c:pt>
                <c:pt idx="234">
                  <c:v>3888</c:v>
                </c:pt>
                <c:pt idx="235">
                  <c:v>3120</c:v>
                </c:pt>
                <c:pt idx="236">
                  <c:v>2688</c:v>
                </c:pt>
                <c:pt idx="237">
                  <c:v>2304</c:v>
                </c:pt>
                <c:pt idx="238">
                  <c:v>1440</c:v>
                </c:pt>
                <c:pt idx="239">
                  <c:v>960</c:v>
                </c:pt>
                <c:pt idx="240">
                  <c:v>4459.2</c:v>
                </c:pt>
                <c:pt idx="241">
                  <c:v>3648</c:v>
                </c:pt>
                <c:pt idx="242">
                  <c:v>2832</c:v>
                </c:pt>
                <c:pt idx="243">
                  <c:v>2256</c:v>
                </c:pt>
                <c:pt idx="244">
                  <c:v>960</c:v>
                </c:pt>
                <c:pt idx="245">
                  <c:v>97920</c:v>
                </c:pt>
                <c:pt idx="246">
                  <c:v>76800</c:v>
                </c:pt>
                <c:pt idx="247">
                  <c:v>57600</c:v>
                </c:pt>
                <c:pt idx="248">
                  <c:v>48000</c:v>
                </c:pt>
                <c:pt idx="249">
                  <c:v>39600</c:v>
                </c:pt>
                <c:pt idx="250">
                  <c:v>33600</c:v>
                </c:pt>
                <c:pt idx="251">
                  <c:v>30000</c:v>
                </c:pt>
                <c:pt idx="252">
                  <c:v>27840</c:v>
                </c:pt>
                <c:pt idx="253">
                  <c:v>24384</c:v>
                </c:pt>
                <c:pt idx="254">
                  <c:v>23040</c:v>
                </c:pt>
                <c:pt idx="255">
                  <c:v>21792</c:v>
                </c:pt>
                <c:pt idx="256">
                  <c:v>20160</c:v>
                </c:pt>
                <c:pt idx="257">
                  <c:v>19248</c:v>
                </c:pt>
                <c:pt idx="258">
                  <c:v>18144</c:v>
                </c:pt>
                <c:pt idx="259">
                  <c:v>16944</c:v>
                </c:pt>
                <c:pt idx="260">
                  <c:v>16128</c:v>
                </c:pt>
                <c:pt idx="261">
                  <c:v>15456</c:v>
                </c:pt>
                <c:pt idx="262">
                  <c:v>14400</c:v>
                </c:pt>
                <c:pt idx="263">
                  <c:v>13680</c:v>
                </c:pt>
                <c:pt idx="264">
                  <c:v>12960</c:v>
                </c:pt>
                <c:pt idx="265">
                  <c:v>12048</c:v>
                </c:pt>
                <c:pt idx="266">
                  <c:v>11424</c:v>
                </c:pt>
                <c:pt idx="267">
                  <c:v>10800</c:v>
                </c:pt>
                <c:pt idx="268">
                  <c:v>9888</c:v>
                </c:pt>
                <c:pt idx="269">
                  <c:v>9264</c:v>
                </c:pt>
                <c:pt idx="270">
                  <c:v>8928</c:v>
                </c:pt>
                <c:pt idx="271">
                  <c:v>8160</c:v>
                </c:pt>
                <c:pt idx="272">
                  <c:v>7632</c:v>
                </c:pt>
                <c:pt idx="273">
                  <c:v>7104</c:v>
                </c:pt>
                <c:pt idx="274">
                  <c:v>6432</c:v>
                </c:pt>
                <c:pt idx="275">
                  <c:v>5952</c:v>
                </c:pt>
                <c:pt idx="276">
                  <c:v>5520</c:v>
                </c:pt>
                <c:pt idx="277">
                  <c:v>4800</c:v>
                </c:pt>
                <c:pt idx="278">
                  <c:v>4320</c:v>
                </c:pt>
                <c:pt idx="279">
                  <c:v>3840</c:v>
                </c:pt>
                <c:pt idx="280">
                  <c:v>3168</c:v>
                </c:pt>
                <c:pt idx="281">
                  <c:v>2688</c:v>
                </c:pt>
                <c:pt idx="282">
                  <c:v>2304</c:v>
                </c:pt>
                <c:pt idx="283">
                  <c:v>1680</c:v>
                </c:pt>
                <c:pt idx="284">
                  <c:v>1248</c:v>
                </c:pt>
                <c:pt idx="285">
                  <c:v>960</c:v>
                </c:pt>
                <c:pt idx="286">
                  <c:v>9931.2</c:v>
                </c:pt>
                <c:pt idx="287">
                  <c:v>8976</c:v>
                </c:pt>
                <c:pt idx="288">
                  <c:v>8160</c:v>
                </c:pt>
                <c:pt idx="289">
                  <c:v>6960</c:v>
                </c:pt>
                <c:pt idx="290">
                  <c:v>6240</c:v>
                </c:pt>
                <c:pt idx="291">
                  <c:v>5712</c:v>
                </c:pt>
                <c:pt idx="292">
                  <c:v>4848</c:v>
                </c:pt>
                <c:pt idx="293">
                  <c:v>4272</c:v>
                </c:pt>
                <c:pt idx="294">
                  <c:v>3936</c:v>
                </c:pt>
                <c:pt idx="295">
                  <c:v>3168</c:v>
                </c:pt>
                <c:pt idx="296">
                  <c:v>2688</c:v>
                </c:pt>
                <c:pt idx="297">
                  <c:v>2304</c:v>
                </c:pt>
                <c:pt idx="298">
                  <c:v>1680</c:v>
                </c:pt>
                <c:pt idx="299">
                  <c:v>1248</c:v>
                </c:pt>
                <c:pt idx="300">
                  <c:v>960</c:v>
                </c:pt>
                <c:pt idx="301">
                  <c:v>17520</c:v>
                </c:pt>
                <c:pt idx="302">
                  <c:v>16608</c:v>
                </c:pt>
                <c:pt idx="303">
                  <c:v>16080</c:v>
                </c:pt>
                <c:pt idx="304">
                  <c:v>14976</c:v>
                </c:pt>
                <c:pt idx="305">
                  <c:v>14208</c:v>
                </c:pt>
                <c:pt idx="306">
                  <c:v>13392</c:v>
                </c:pt>
                <c:pt idx="307">
                  <c:v>12384</c:v>
                </c:pt>
                <c:pt idx="308">
                  <c:v>11664</c:v>
                </c:pt>
                <c:pt idx="309">
                  <c:v>10992</c:v>
                </c:pt>
                <c:pt idx="310">
                  <c:v>10080</c:v>
                </c:pt>
                <c:pt idx="311">
                  <c:v>9504</c:v>
                </c:pt>
                <c:pt idx="312">
                  <c:v>8832</c:v>
                </c:pt>
                <c:pt idx="313">
                  <c:v>8064</c:v>
                </c:pt>
                <c:pt idx="314">
                  <c:v>7536</c:v>
                </c:pt>
                <c:pt idx="315">
                  <c:v>7200</c:v>
                </c:pt>
                <c:pt idx="316">
                  <c:v>6480</c:v>
                </c:pt>
                <c:pt idx="317">
                  <c:v>6000</c:v>
                </c:pt>
                <c:pt idx="318">
                  <c:v>5616</c:v>
                </c:pt>
                <c:pt idx="319">
                  <c:v>4848</c:v>
                </c:pt>
                <c:pt idx="320">
                  <c:v>4320</c:v>
                </c:pt>
                <c:pt idx="321">
                  <c:v>3984</c:v>
                </c:pt>
                <c:pt idx="322">
                  <c:v>3264</c:v>
                </c:pt>
                <c:pt idx="323">
                  <c:v>2832</c:v>
                </c:pt>
                <c:pt idx="324">
                  <c:v>2448</c:v>
                </c:pt>
                <c:pt idx="325">
                  <c:v>1776</c:v>
                </c:pt>
                <c:pt idx="326">
                  <c:v>1296</c:v>
                </c:pt>
                <c:pt idx="327">
                  <c:v>960</c:v>
                </c:pt>
                <c:pt idx="328">
                  <c:v>22708.8</c:v>
                </c:pt>
                <c:pt idx="329">
                  <c:v>20208</c:v>
                </c:pt>
                <c:pt idx="330">
                  <c:v>19200</c:v>
                </c:pt>
                <c:pt idx="331">
                  <c:v>17760</c:v>
                </c:pt>
                <c:pt idx="332">
                  <c:v>16704</c:v>
                </c:pt>
                <c:pt idx="333">
                  <c:v>15600</c:v>
                </c:pt>
                <c:pt idx="334">
                  <c:v>14496</c:v>
                </c:pt>
                <c:pt idx="335">
                  <c:v>13824</c:v>
                </c:pt>
                <c:pt idx="336">
                  <c:v>12864</c:v>
                </c:pt>
                <c:pt idx="337">
                  <c:v>11808</c:v>
                </c:pt>
                <c:pt idx="338">
                  <c:v>11088</c:v>
                </c:pt>
                <c:pt idx="339">
                  <c:v>10656</c:v>
                </c:pt>
                <c:pt idx="340">
                  <c:v>9888</c:v>
                </c:pt>
                <c:pt idx="341">
                  <c:v>9360</c:v>
                </c:pt>
                <c:pt idx="342">
                  <c:v>8688</c:v>
                </c:pt>
                <c:pt idx="343">
                  <c:v>8016</c:v>
                </c:pt>
                <c:pt idx="344">
                  <c:v>7488</c:v>
                </c:pt>
                <c:pt idx="345">
                  <c:v>7056</c:v>
                </c:pt>
                <c:pt idx="346">
                  <c:v>6384</c:v>
                </c:pt>
                <c:pt idx="347">
                  <c:v>5952</c:v>
                </c:pt>
                <c:pt idx="348">
                  <c:v>5376</c:v>
                </c:pt>
                <c:pt idx="349">
                  <c:v>4752</c:v>
                </c:pt>
                <c:pt idx="350">
                  <c:v>4320</c:v>
                </c:pt>
                <c:pt idx="351">
                  <c:v>4080</c:v>
                </c:pt>
                <c:pt idx="352">
                  <c:v>3504</c:v>
                </c:pt>
                <c:pt idx="353">
                  <c:v>3120</c:v>
                </c:pt>
                <c:pt idx="354">
                  <c:v>2784</c:v>
                </c:pt>
                <c:pt idx="355">
                  <c:v>2160</c:v>
                </c:pt>
                <c:pt idx="356">
                  <c:v>1776</c:v>
                </c:pt>
                <c:pt idx="357">
                  <c:v>1488</c:v>
                </c:pt>
                <c:pt idx="358">
                  <c:v>960</c:v>
                </c:pt>
                <c:pt idx="359">
                  <c:v>8894.4</c:v>
                </c:pt>
                <c:pt idx="360">
                  <c:v>8256</c:v>
                </c:pt>
                <c:pt idx="361">
                  <c:v>7584</c:v>
                </c:pt>
                <c:pt idx="362">
                  <c:v>7056</c:v>
                </c:pt>
                <c:pt idx="363">
                  <c:v>6576</c:v>
                </c:pt>
                <c:pt idx="364">
                  <c:v>5904</c:v>
                </c:pt>
                <c:pt idx="365">
                  <c:v>5424</c:v>
                </c:pt>
                <c:pt idx="366">
                  <c:v>4992</c:v>
                </c:pt>
                <c:pt idx="367">
                  <c:v>4368</c:v>
                </c:pt>
                <c:pt idx="368">
                  <c:v>3936</c:v>
                </c:pt>
                <c:pt idx="369">
                  <c:v>3648</c:v>
                </c:pt>
                <c:pt idx="370">
                  <c:v>2976</c:v>
                </c:pt>
                <c:pt idx="371">
                  <c:v>2544</c:v>
                </c:pt>
                <c:pt idx="372">
                  <c:v>2304</c:v>
                </c:pt>
                <c:pt idx="373">
                  <c:v>1824</c:v>
                </c:pt>
                <c:pt idx="374">
                  <c:v>1296</c:v>
                </c:pt>
                <c:pt idx="375">
                  <c:v>960</c:v>
                </c:pt>
                <c:pt idx="376">
                  <c:v>30364.8</c:v>
                </c:pt>
                <c:pt idx="377">
                  <c:v>25920</c:v>
                </c:pt>
                <c:pt idx="378">
                  <c:v>24000</c:v>
                </c:pt>
                <c:pt idx="379">
                  <c:v>21168</c:v>
                </c:pt>
                <c:pt idx="380">
                  <c:v>19968</c:v>
                </c:pt>
                <c:pt idx="381">
                  <c:v>19200</c:v>
                </c:pt>
                <c:pt idx="382">
                  <c:v>18144</c:v>
                </c:pt>
                <c:pt idx="383">
                  <c:v>17424</c:v>
                </c:pt>
                <c:pt idx="384">
                  <c:v>16944</c:v>
                </c:pt>
                <c:pt idx="385">
                  <c:v>15984</c:v>
                </c:pt>
                <c:pt idx="386">
                  <c:v>15360</c:v>
                </c:pt>
                <c:pt idx="387">
                  <c:v>14736</c:v>
                </c:pt>
                <c:pt idx="388">
                  <c:v>13968</c:v>
                </c:pt>
                <c:pt idx="389">
                  <c:v>13440</c:v>
                </c:pt>
                <c:pt idx="390">
                  <c:v>13344</c:v>
                </c:pt>
                <c:pt idx="391">
                  <c:v>12672</c:v>
                </c:pt>
                <c:pt idx="392">
                  <c:v>12144</c:v>
                </c:pt>
                <c:pt idx="393">
                  <c:v>11664</c:v>
                </c:pt>
                <c:pt idx="394">
                  <c:v>10752</c:v>
                </c:pt>
                <c:pt idx="395">
                  <c:v>10224</c:v>
                </c:pt>
                <c:pt idx="396">
                  <c:v>9840</c:v>
                </c:pt>
                <c:pt idx="397">
                  <c:v>9120</c:v>
                </c:pt>
                <c:pt idx="398">
                  <c:v>8640</c:v>
                </c:pt>
                <c:pt idx="399">
                  <c:v>8304</c:v>
                </c:pt>
                <c:pt idx="400">
                  <c:v>7680</c:v>
                </c:pt>
                <c:pt idx="401">
                  <c:v>7248</c:v>
                </c:pt>
                <c:pt idx="402">
                  <c:v>7008</c:v>
                </c:pt>
                <c:pt idx="403">
                  <c:v>6336</c:v>
                </c:pt>
                <c:pt idx="404">
                  <c:v>5904</c:v>
                </c:pt>
                <c:pt idx="405">
                  <c:v>5568</c:v>
                </c:pt>
                <c:pt idx="406">
                  <c:v>4896</c:v>
                </c:pt>
                <c:pt idx="407">
                  <c:v>4464</c:v>
                </c:pt>
                <c:pt idx="408">
                  <c:v>4128</c:v>
                </c:pt>
                <c:pt idx="409">
                  <c:v>3504</c:v>
                </c:pt>
                <c:pt idx="410">
                  <c:v>3120</c:v>
                </c:pt>
                <c:pt idx="411">
                  <c:v>2880</c:v>
                </c:pt>
                <c:pt idx="412">
                  <c:v>2400</c:v>
                </c:pt>
                <c:pt idx="413">
                  <c:v>1824</c:v>
                </c:pt>
                <c:pt idx="414">
                  <c:v>1488</c:v>
                </c:pt>
                <c:pt idx="415">
                  <c:v>960</c:v>
                </c:pt>
                <c:pt idx="416">
                  <c:v>33590.4</c:v>
                </c:pt>
                <c:pt idx="417">
                  <c:v>30480</c:v>
                </c:pt>
                <c:pt idx="418">
                  <c:v>27360</c:v>
                </c:pt>
                <c:pt idx="419">
                  <c:v>26160</c:v>
                </c:pt>
                <c:pt idx="420">
                  <c:v>25104</c:v>
                </c:pt>
                <c:pt idx="421">
                  <c:v>23520</c:v>
                </c:pt>
                <c:pt idx="422">
                  <c:v>22656</c:v>
                </c:pt>
                <c:pt idx="423">
                  <c:v>21936</c:v>
                </c:pt>
                <c:pt idx="424">
                  <c:v>20736</c:v>
                </c:pt>
                <c:pt idx="425">
                  <c:v>19968</c:v>
                </c:pt>
                <c:pt idx="426">
                  <c:v>19632</c:v>
                </c:pt>
                <c:pt idx="427">
                  <c:v>18624</c:v>
                </c:pt>
                <c:pt idx="428">
                  <c:v>18000</c:v>
                </c:pt>
                <c:pt idx="429">
                  <c:v>17616</c:v>
                </c:pt>
                <c:pt idx="430">
                  <c:v>16560</c:v>
                </c:pt>
                <c:pt idx="431">
                  <c:v>15936</c:v>
                </c:pt>
                <c:pt idx="432">
                  <c:v>15456</c:v>
                </c:pt>
                <c:pt idx="433">
                  <c:v>14592</c:v>
                </c:pt>
                <c:pt idx="434">
                  <c:v>14064</c:v>
                </c:pt>
                <c:pt idx="435">
                  <c:v>13920</c:v>
                </c:pt>
                <c:pt idx="436">
                  <c:v>13152</c:v>
                </c:pt>
                <c:pt idx="437">
                  <c:v>12384</c:v>
                </c:pt>
                <c:pt idx="438">
                  <c:v>11568</c:v>
                </c:pt>
                <c:pt idx="439">
                  <c:v>10848</c:v>
                </c:pt>
                <c:pt idx="440">
                  <c:v>10128</c:v>
                </c:pt>
                <c:pt idx="441">
                  <c:v>9552</c:v>
                </c:pt>
                <c:pt idx="442">
                  <c:v>8928</c:v>
                </c:pt>
                <c:pt idx="443">
                  <c:v>8352</c:v>
                </c:pt>
                <c:pt idx="444">
                  <c:v>7728</c:v>
                </c:pt>
                <c:pt idx="445">
                  <c:v>7200</c:v>
                </c:pt>
                <c:pt idx="446">
                  <c:v>6576</c:v>
                </c:pt>
                <c:pt idx="447">
                  <c:v>6096</c:v>
                </c:pt>
                <c:pt idx="448">
                  <c:v>5424</c:v>
                </c:pt>
                <c:pt idx="449">
                  <c:v>4848</c:v>
                </c:pt>
                <c:pt idx="450">
                  <c:v>4224</c:v>
                </c:pt>
                <c:pt idx="451">
                  <c:v>3600</c:v>
                </c:pt>
                <c:pt idx="452">
                  <c:v>3024</c:v>
                </c:pt>
                <c:pt idx="453">
                  <c:v>2496</c:v>
                </c:pt>
                <c:pt idx="454">
                  <c:v>1920</c:v>
                </c:pt>
                <c:pt idx="455">
                  <c:v>1488</c:v>
                </c:pt>
                <c:pt idx="456">
                  <c:v>960</c:v>
                </c:pt>
                <c:pt idx="457">
                  <c:v>13708.8</c:v>
                </c:pt>
                <c:pt idx="458">
                  <c:v>12864</c:v>
                </c:pt>
                <c:pt idx="459">
                  <c:v>12144</c:v>
                </c:pt>
                <c:pt idx="460">
                  <c:v>11328</c:v>
                </c:pt>
                <c:pt idx="461">
                  <c:v>10464</c:v>
                </c:pt>
                <c:pt idx="462">
                  <c:v>9648</c:v>
                </c:pt>
                <c:pt idx="463">
                  <c:v>8784</c:v>
                </c:pt>
                <c:pt idx="464">
                  <c:v>8064</c:v>
                </c:pt>
                <c:pt idx="465">
                  <c:v>7536</c:v>
                </c:pt>
                <c:pt idx="466">
                  <c:v>6816</c:v>
                </c:pt>
                <c:pt idx="467">
                  <c:v>6192</c:v>
                </c:pt>
                <c:pt idx="468">
                  <c:v>5568</c:v>
                </c:pt>
                <c:pt idx="469">
                  <c:v>4992</c:v>
                </c:pt>
                <c:pt idx="470">
                  <c:v>4320</c:v>
                </c:pt>
                <c:pt idx="471">
                  <c:v>3792</c:v>
                </c:pt>
                <c:pt idx="472">
                  <c:v>3216</c:v>
                </c:pt>
                <c:pt idx="473">
                  <c:v>2640</c:v>
                </c:pt>
                <c:pt idx="474">
                  <c:v>2064</c:v>
                </c:pt>
                <c:pt idx="475">
                  <c:v>1536</c:v>
                </c:pt>
                <c:pt idx="476">
                  <c:v>960</c:v>
                </c:pt>
                <c:pt idx="477">
                  <c:v>11299.2</c:v>
                </c:pt>
                <c:pt idx="478">
                  <c:v>10560</c:v>
                </c:pt>
                <c:pt idx="479">
                  <c:v>9600</c:v>
                </c:pt>
                <c:pt idx="480">
                  <c:v>8832</c:v>
                </c:pt>
                <c:pt idx="481">
                  <c:v>8112</c:v>
                </c:pt>
                <c:pt idx="482">
                  <c:v>7440</c:v>
                </c:pt>
                <c:pt idx="483">
                  <c:v>6624</c:v>
                </c:pt>
                <c:pt idx="484">
                  <c:v>5904</c:v>
                </c:pt>
                <c:pt idx="485">
                  <c:v>5088</c:v>
                </c:pt>
                <c:pt idx="486">
                  <c:v>4320</c:v>
                </c:pt>
                <c:pt idx="487">
                  <c:v>3744</c:v>
                </c:pt>
                <c:pt idx="488">
                  <c:v>3168</c:v>
                </c:pt>
                <c:pt idx="489">
                  <c:v>2688</c:v>
                </c:pt>
                <c:pt idx="490">
                  <c:v>2016</c:v>
                </c:pt>
                <c:pt idx="491">
                  <c:v>1440</c:v>
                </c:pt>
                <c:pt idx="492">
                  <c:v>960</c:v>
                </c:pt>
                <c:pt idx="493">
                  <c:v>1593.6</c:v>
                </c:pt>
                <c:pt idx="494">
                  <c:v>960</c:v>
                </c:pt>
                <c:pt idx="495">
                  <c:v>1113.6</c:v>
                </c:pt>
                <c:pt idx="496">
                  <c:v>35040</c:v>
                </c:pt>
                <c:pt idx="497">
                  <c:v>30720</c:v>
                </c:pt>
                <c:pt idx="498">
                  <c:v>26400</c:v>
                </c:pt>
                <c:pt idx="499">
                  <c:v>22560</c:v>
                </c:pt>
                <c:pt idx="500">
                  <c:v>19680</c:v>
                </c:pt>
                <c:pt idx="501">
                  <c:v>18432</c:v>
                </c:pt>
                <c:pt idx="502">
                  <c:v>17424</c:v>
                </c:pt>
                <c:pt idx="503">
                  <c:v>16368</c:v>
                </c:pt>
                <c:pt idx="504">
                  <c:v>15408</c:v>
                </c:pt>
                <c:pt idx="505">
                  <c:v>14592</c:v>
                </c:pt>
                <c:pt idx="506">
                  <c:v>13776</c:v>
                </c:pt>
                <c:pt idx="507">
                  <c:v>13296</c:v>
                </c:pt>
                <c:pt idx="508">
                  <c:v>12576</c:v>
                </c:pt>
                <c:pt idx="509">
                  <c:v>11664</c:v>
                </c:pt>
                <c:pt idx="510">
                  <c:v>11088</c:v>
                </c:pt>
                <c:pt idx="511">
                  <c:v>10368</c:v>
                </c:pt>
                <c:pt idx="512">
                  <c:v>9696</c:v>
                </c:pt>
                <c:pt idx="513">
                  <c:v>9216</c:v>
                </c:pt>
                <c:pt idx="514">
                  <c:v>8592</c:v>
                </c:pt>
                <c:pt idx="515">
                  <c:v>8064</c:v>
                </c:pt>
                <c:pt idx="516">
                  <c:v>7584</c:v>
                </c:pt>
                <c:pt idx="517">
                  <c:v>7152</c:v>
                </c:pt>
                <c:pt idx="518">
                  <c:v>6576</c:v>
                </c:pt>
                <c:pt idx="519">
                  <c:v>6096</c:v>
                </c:pt>
                <c:pt idx="520">
                  <c:v>5568</c:v>
                </c:pt>
                <c:pt idx="521">
                  <c:v>4896</c:v>
                </c:pt>
                <c:pt idx="522">
                  <c:v>4368</c:v>
                </c:pt>
                <c:pt idx="523">
                  <c:v>3936</c:v>
                </c:pt>
                <c:pt idx="524">
                  <c:v>3456</c:v>
                </c:pt>
                <c:pt idx="525">
                  <c:v>2976</c:v>
                </c:pt>
                <c:pt idx="526">
                  <c:v>2496</c:v>
                </c:pt>
                <c:pt idx="527">
                  <c:v>2064</c:v>
                </c:pt>
                <c:pt idx="528">
                  <c:v>1632</c:v>
                </c:pt>
                <c:pt idx="529">
                  <c:v>1200</c:v>
                </c:pt>
                <c:pt idx="530">
                  <c:v>1056</c:v>
                </c:pt>
                <c:pt idx="531">
                  <c:v>960</c:v>
                </c:pt>
                <c:pt idx="532">
                  <c:v>4550.4</c:v>
                </c:pt>
                <c:pt idx="533">
                  <c:v>4080</c:v>
                </c:pt>
                <c:pt idx="534">
                  <c:v>3600</c:v>
                </c:pt>
                <c:pt idx="535">
                  <c:v>3168</c:v>
                </c:pt>
                <c:pt idx="536">
                  <c:v>2688</c:v>
                </c:pt>
                <c:pt idx="537">
                  <c:v>2256</c:v>
                </c:pt>
                <c:pt idx="538">
                  <c:v>1776</c:v>
                </c:pt>
                <c:pt idx="539">
                  <c:v>1392</c:v>
                </c:pt>
                <c:pt idx="540">
                  <c:v>1056</c:v>
                </c:pt>
                <c:pt idx="541">
                  <c:v>960</c:v>
                </c:pt>
                <c:pt idx="542">
                  <c:v>8112</c:v>
                </c:pt>
                <c:pt idx="543">
                  <c:v>7584</c:v>
                </c:pt>
                <c:pt idx="544">
                  <c:v>7056</c:v>
                </c:pt>
                <c:pt idx="545">
                  <c:v>6576</c:v>
                </c:pt>
                <c:pt idx="546">
                  <c:v>6048</c:v>
                </c:pt>
                <c:pt idx="547">
                  <c:v>5616</c:v>
                </c:pt>
                <c:pt idx="548">
                  <c:v>5088</c:v>
                </c:pt>
                <c:pt idx="549">
                  <c:v>4656</c:v>
                </c:pt>
                <c:pt idx="550">
                  <c:v>4176</c:v>
                </c:pt>
                <c:pt idx="551">
                  <c:v>3792</c:v>
                </c:pt>
                <c:pt idx="552">
                  <c:v>3312</c:v>
                </c:pt>
                <c:pt idx="553">
                  <c:v>2880</c:v>
                </c:pt>
                <c:pt idx="554">
                  <c:v>2448</c:v>
                </c:pt>
                <c:pt idx="555">
                  <c:v>2016</c:v>
                </c:pt>
                <c:pt idx="556">
                  <c:v>1584</c:v>
                </c:pt>
                <c:pt idx="557">
                  <c:v>1200</c:v>
                </c:pt>
                <c:pt idx="558">
                  <c:v>1056</c:v>
                </c:pt>
                <c:pt idx="559">
                  <c:v>960</c:v>
                </c:pt>
                <c:pt idx="560">
                  <c:v>1056</c:v>
                </c:pt>
                <c:pt idx="561">
                  <c:v>960</c:v>
                </c:pt>
                <c:pt idx="562">
                  <c:v>6547.2</c:v>
                </c:pt>
                <c:pt idx="563">
                  <c:v>6000</c:v>
                </c:pt>
                <c:pt idx="564">
                  <c:v>5472</c:v>
                </c:pt>
                <c:pt idx="565">
                  <c:v>4992</c:v>
                </c:pt>
                <c:pt idx="566">
                  <c:v>4560</c:v>
                </c:pt>
                <c:pt idx="567">
                  <c:v>4128</c:v>
                </c:pt>
                <c:pt idx="568">
                  <c:v>3696</c:v>
                </c:pt>
                <c:pt idx="569">
                  <c:v>3264</c:v>
                </c:pt>
                <c:pt idx="570">
                  <c:v>2832</c:v>
                </c:pt>
                <c:pt idx="571">
                  <c:v>2448</c:v>
                </c:pt>
                <c:pt idx="572">
                  <c:v>2064</c:v>
                </c:pt>
                <c:pt idx="573">
                  <c:v>1776</c:v>
                </c:pt>
                <c:pt idx="574">
                  <c:v>1392</c:v>
                </c:pt>
                <c:pt idx="575">
                  <c:v>1152</c:v>
                </c:pt>
                <c:pt idx="576">
                  <c:v>1056</c:v>
                </c:pt>
                <c:pt idx="577">
                  <c:v>960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4438933"/>
        <c:axId val="684539505"/>
      </c:lineChart>
      <c:catAx>
        <c:axId val="394438933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539505"/>
        <c:crosses val="autoZero"/>
        <c:auto val="1"/>
        <c:lblAlgn val="ctr"/>
        <c:lblOffset val="100"/>
        <c:noMultiLvlLbl val="0"/>
      </c:catAx>
      <c:valAx>
        <c:axId val="6845395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4389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585470</xdr:colOff>
      <xdr:row>563</xdr:row>
      <xdr:rowOff>62865</xdr:rowOff>
    </xdr:from>
    <xdr:to>
      <xdr:col>16</xdr:col>
      <xdr:colOff>114300</xdr:colOff>
      <xdr:row>579</xdr:row>
      <xdr:rowOff>14605</xdr:rowOff>
    </xdr:to>
    <xdr:graphicFrame>
      <xdr:nvGraphicFramePr>
        <xdr:cNvPr id="3" name="图表 2"/>
        <xdr:cNvGraphicFramePr/>
      </xdr:nvGraphicFramePr>
      <xdr:xfrm>
        <a:off x="9186545" y="99917250"/>
        <a:ext cx="4825365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436880</xdr:colOff>
      <xdr:row>17</xdr:row>
      <xdr:rowOff>111125</xdr:rowOff>
    </xdr:from>
    <xdr:to>
      <xdr:col>15</xdr:col>
      <xdr:colOff>612775</xdr:colOff>
      <xdr:row>33</xdr:row>
      <xdr:rowOff>15240</xdr:rowOff>
    </xdr:to>
    <xdr:graphicFrame>
      <xdr:nvGraphicFramePr>
        <xdr:cNvPr id="4" name="图表 3"/>
        <xdr:cNvGraphicFramePr/>
      </xdr:nvGraphicFramePr>
      <xdr:xfrm>
        <a:off x="9037955" y="3617595"/>
        <a:ext cx="4826635" cy="27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444500</xdr:colOff>
      <xdr:row>1</xdr:row>
      <xdr:rowOff>111125</xdr:rowOff>
    </xdr:from>
    <xdr:to>
      <xdr:col>15</xdr:col>
      <xdr:colOff>619760</xdr:colOff>
      <xdr:row>17</xdr:row>
      <xdr:rowOff>59055</xdr:rowOff>
    </xdr:to>
    <xdr:graphicFrame>
      <xdr:nvGraphicFramePr>
        <xdr:cNvPr id="5" name="图表 4"/>
        <xdr:cNvGraphicFramePr/>
      </xdr:nvGraphicFramePr>
      <xdr:xfrm>
        <a:off x="9045575" y="796925"/>
        <a:ext cx="4826000" cy="27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544</xdr:row>
      <xdr:rowOff>36195</xdr:rowOff>
    </xdr:from>
    <xdr:to>
      <xdr:col>16</xdr:col>
      <xdr:colOff>101600</xdr:colOff>
      <xdr:row>559</xdr:row>
      <xdr:rowOff>169545</xdr:rowOff>
    </xdr:to>
    <xdr:graphicFrame>
      <xdr:nvGraphicFramePr>
        <xdr:cNvPr id="6" name="图表 5"/>
        <xdr:cNvGraphicFramePr/>
      </xdr:nvGraphicFramePr>
      <xdr:xfrm>
        <a:off x="9172575" y="96542225"/>
        <a:ext cx="4826635" cy="2776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1Doctor%20Study\1Doctor%20thesis\ABM-LOTTERY\ABM-lottery-date\Simulation%20results\rbb6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..beheviorspace 11.25 red-blue "/>
      <sheetName val="Sheet1"/>
      <sheetName val="Sheet2"/>
    </sheetNames>
    <sheetDataSet>
      <sheetData sheetId="0"/>
      <sheetData sheetId="1">
        <row r="1">
          <cell r="C1" t="str">
            <v>e(sum)</v>
          </cell>
          <cell r="D1" t="str">
            <v>e(mean)</v>
          </cell>
          <cell r="E1" t="str">
            <v>e(sd)</v>
          </cell>
          <cell r="F1" t="str">
            <v>e(var)</v>
          </cell>
          <cell r="G1" t="str">
            <v>e(cv)</v>
          </cell>
          <cell r="H1" t="str">
            <v>e(skewn)</v>
          </cell>
          <cell r="I1" t="str">
            <v>e(kurto)</v>
          </cell>
          <cell r="J1" t="str">
            <v>e(p50)</v>
          </cell>
          <cell r="K1" t="str">
            <v>e(p75)</v>
          </cell>
          <cell r="L1" t="str">
            <v>e(p95)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ottoreport.com/PB1BillionWin040624.ht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ttoreport.com/PB1BillionWin040624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ttoreport.com/PB1BillionWin04062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08"/>
  <sheetViews>
    <sheetView workbookViewId="0">
      <pane ySplit="1" topLeftCell="A2" activePane="bottomLeft" state="frozen"/>
      <selection/>
      <selection pane="bottomLeft" activeCell="I3" sqref="I3"/>
    </sheetView>
  </sheetViews>
  <sheetFormatPr defaultColWidth="9" defaultRowHeight="13.5"/>
  <cols>
    <col min="1" max="1" width="15.283185840708" style="35"/>
    <col min="2" max="2" width="12.8141592920354" style="36" customWidth="1"/>
    <col min="3" max="3" width="11.7522123893805" style="36" customWidth="1"/>
    <col min="4" max="4" width="8.50442477876106" style="37" customWidth="1"/>
    <col min="5" max="5" width="10.0265486725664"/>
    <col min="6" max="7" width="11.6637168141593"/>
    <col min="8" max="8" width="12.5663716814159"/>
    <col min="9" max="10" width="12.7964601769912"/>
    <col min="11" max="11" width="12.5663716814159"/>
    <col min="12" max="14" width="12.7964601769912"/>
    <col min="15" max="15" width="13.858407079646"/>
  </cols>
  <sheetData>
    <row r="1" ht="54" spans="1:15">
      <c r="A1" s="35" t="s">
        <v>0</v>
      </c>
      <c r="B1" s="6" t="s">
        <v>1</v>
      </c>
      <c r="C1" s="6" t="s">
        <v>2</v>
      </c>
      <c r="D1" s="31" t="s">
        <v>3</v>
      </c>
      <c r="F1" s="38" t="s">
        <v>4</v>
      </c>
      <c r="G1" s="38"/>
      <c r="H1" t="s">
        <v>5</v>
      </c>
      <c r="I1" s="38" t="s">
        <v>6</v>
      </c>
      <c r="J1" s="38" t="s">
        <v>7</v>
      </c>
      <c r="K1" s="38" t="s">
        <v>8</v>
      </c>
      <c r="M1" s="38" t="s">
        <v>9</v>
      </c>
      <c r="O1" s="38" t="s">
        <v>10</v>
      </c>
    </row>
    <row r="2" ht="13.85" spans="1:15">
      <c r="A2" s="39">
        <v>38741</v>
      </c>
      <c r="B2" s="6"/>
      <c r="C2" s="6"/>
      <c r="D2" s="13">
        <v>161</v>
      </c>
      <c r="E2">
        <f>IF(RIGHT(D2,1)="B",VALUE(LEFT(D2,LEN(D2)-1))*1000,D2)</f>
        <v>161</v>
      </c>
      <c r="F2">
        <f t="shared" ref="F2:F65" si="0">B2/2</f>
        <v>0</v>
      </c>
      <c r="G2">
        <f>F2/100000</f>
        <v>0</v>
      </c>
      <c r="H2">
        <f>E2*100</f>
        <v>16100</v>
      </c>
      <c r="I2">
        <f>H2*0.48</f>
        <v>7728</v>
      </c>
      <c r="J2">
        <f>IF(H2&gt;H3,(H2-H3)/B3,0)</f>
        <v>9.45630948609686e-5</v>
      </c>
      <c r="K2">
        <f t="shared" ref="K2:K12" si="1">IF(E2&gt;E3,B3+K3,B3)</f>
        <v>210276468</v>
      </c>
      <c r="L2">
        <f t="shared" ref="L2:L7" si="2">IF(E2&gt;E3,H2/K2,0)</f>
        <v>7.65658666094772e-5</v>
      </c>
      <c r="M2" s="38"/>
      <c r="O2">
        <f t="shared" ref="O2:O7" si="3">IF(H2&gt;H3,(H2-H3)/M3,H2/M3)</f>
        <v>8.32621750115411e-5</v>
      </c>
    </row>
    <row r="3" ht="13.9" spans="1:15">
      <c r="A3" s="39" t="s">
        <v>11</v>
      </c>
      <c r="B3" s="13">
        <v>19034910</v>
      </c>
      <c r="C3" s="13">
        <v>2583550</v>
      </c>
      <c r="D3" s="13">
        <v>143</v>
      </c>
      <c r="E3">
        <f>IF(RIGHT(D3,1)="B",VALUE(LEFT(D3,LEN(D3)-1))*1000,D3)</f>
        <v>143</v>
      </c>
      <c r="F3">
        <f t="shared" si="0"/>
        <v>9517455</v>
      </c>
      <c r="G3">
        <f>F3/10000</f>
        <v>951.7455</v>
      </c>
      <c r="H3">
        <f t="shared" ref="H3:H66" si="4">E3*100</f>
        <v>14300</v>
      </c>
      <c r="I3">
        <f t="shared" ref="I3:I25" si="5">H3*0.48</f>
        <v>6864</v>
      </c>
      <c r="J3">
        <f>IF(H3&gt;H4,(H3-H4)/B3,0)</f>
        <v>6.30420632406457e-5</v>
      </c>
      <c r="K3">
        <f t="shared" si="1"/>
        <v>191241558</v>
      </c>
      <c r="L3">
        <f t="shared" si="2"/>
        <v>7.47745424663399e-5</v>
      </c>
      <c r="M3">
        <f>B3+C3</f>
        <v>21618460</v>
      </c>
      <c r="N3">
        <f t="shared" ref="N3:N15" si="6">IF(H3&lt;H4,M3+M4,M3+N4)</f>
        <v>238659271</v>
      </c>
      <c r="O3">
        <f t="shared" si="3"/>
        <v>6.9922894276409e-5</v>
      </c>
    </row>
    <row r="4" ht="13.9" spans="1:15">
      <c r="A4" s="40" t="s">
        <v>12</v>
      </c>
      <c r="B4" s="11">
        <v>15091444</v>
      </c>
      <c r="C4" s="11">
        <v>2070317</v>
      </c>
      <c r="D4" s="11">
        <v>131</v>
      </c>
      <c r="E4">
        <f>IF(RIGHT(D4,1)="B",VALUE(LEFT(D4,LEN(D4)-1))*1000,D4)</f>
        <v>131</v>
      </c>
      <c r="F4">
        <f t="shared" si="0"/>
        <v>7545722</v>
      </c>
      <c r="G4">
        <f t="shared" ref="G4:G67" si="7">F4/10000</f>
        <v>754.5722</v>
      </c>
      <c r="H4">
        <f t="shared" si="4"/>
        <v>13100</v>
      </c>
      <c r="I4">
        <f t="shared" si="5"/>
        <v>6288</v>
      </c>
      <c r="J4">
        <f t="shared" ref="J4:J12" si="8">IF(H4&gt;H5,(H4-H5)/B4,0)</f>
        <v>7.28889826579882e-5</v>
      </c>
      <c r="K4">
        <f t="shared" si="1"/>
        <v>176150114</v>
      </c>
      <c r="L4">
        <f t="shared" si="2"/>
        <v>7.43683878626386e-5</v>
      </c>
      <c r="M4">
        <f>B4+C4</f>
        <v>17161761</v>
      </c>
      <c r="N4">
        <f t="shared" si="6"/>
        <v>217040811</v>
      </c>
      <c r="O4">
        <f t="shared" si="3"/>
        <v>3.69989331189458e-5</v>
      </c>
    </row>
    <row r="5" ht="13.9" spans="1:15">
      <c r="A5" s="40" t="s">
        <v>13</v>
      </c>
      <c r="B5" s="11">
        <v>26333482</v>
      </c>
      <c r="C5" s="11">
        <v>3397105</v>
      </c>
      <c r="D5" s="11">
        <v>120</v>
      </c>
      <c r="E5">
        <f>IF(RIGHT(D5,1)="B",VALUE(LEFT(D5,LEN(D5)-1))*1000,D5)</f>
        <v>120</v>
      </c>
      <c r="F5">
        <f t="shared" si="0"/>
        <v>13166741</v>
      </c>
      <c r="G5">
        <f t="shared" si="7"/>
        <v>1316.6741</v>
      </c>
      <c r="H5">
        <f t="shared" si="4"/>
        <v>12000</v>
      </c>
      <c r="I5">
        <f t="shared" si="5"/>
        <v>5760</v>
      </c>
      <c r="J5">
        <f t="shared" si="8"/>
        <v>7.59489383135888e-5</v>
      </c>
      <c r="K5">
        <f t="shared" si="1"/>
        <v>149816632</v>
      </c>
      <c r="L5">
        <f t="shared" si="2"/>
        <v>8.00979159643637e-5</v>
      </c>
      <c r="M5">
        <f>B5+C5</f>
        <v>29730587</v>
      </c>
      <c r="N5">
        <f t="shared" si="6"/>
        <v>199879050</v>
      </c>
      <c r="O5">
        <f t="shared" si="3"/>
        <v>9.64251624547031e-5</v>
      </c>
    </row>
    <row r="6" ht="13.9" spans="1:15">
      <c r="A6" s="40" t="s">
        <v>14</v>
      </c>
      <c r="B6" s="11">
        <v>18259400</v>
      </c>
      <c r="C6" s="11">
        <v>2482074</v>
      </c>
      <c r="D6" s="11">
        <v>100</v>
      </c>
      <c r="E6">
        <f t="shared" ref="E6:E27" si="9">IF(RIGHT(D6,1)="B",VALUE(LEFT(D6,LEN(D6)-1))*1000,D6)</f>
        <v>100</v>
      </c>
      <c r="F6">
        <f t="shared" si="0"/>
        <v>9129700</v>
      </c>
      <c r="G6">
        <f t="shared" si="7"/>
        <v>912.97</v>
      </c>
      <c r="H6">
        <f t="shared" si="4"/>
        <v>10000</v>
      </c>
      <c r="I6">
        <f t="shared" si="5"/>
        <v>4800</v>
      </c>
      <c r="J6">
        <f t="shared" si="8"/>
        <v>6.57195745752872e-5</v>
      </c>
      <c r="K6">
        <f t="shared" si="1"/>
        <v>131557232</v>
      </c>
      <c r="L6">
        <f t="shared" si="2"/>
        <v>7.60125448671647e-5</v>
      </c>
      <c r="M6">
        <f>B6+C6</f>
        <v>20741474</v>
      </c>
      <c r="N6">
        <f t="shared" si="6"/>
        <v>170148463</v>
      </c>
      <c r="O6">
        <f t="shared" si="3"/>
        <v>6.90969961174974e-5</v>
      </c>
    </row>
    <row r="7" ht="13.9" spans="1:15">
      <c r="A7" s="40" t="s">
        <v>15</v>
      </c>
      <c r="B7" s="11">
        <v>15260610</v>
      </c>
      <c r="C7" s="11">
        <v>2106281</v>
      </c>
      <c r="D7" s="11">
        <v>88</v>
      </c>
      <c r="E7">
        <f t="shared" si="9"/>
        <v>88</v>
      </c>
      <c r="F7">
        <f t="shared" si="0"/>
        <v>7630305</v>
      </c>
      <c r="G7">
        <f t="shared" si="7"/>
        <v>763.0305</v>
      </c>
      <c r="H7">
        <f t="shared" si="4"/>
        <v>8800</v>
      </c>
      <c r="I7">
        <f t="shared" si="5"/>
        <v>4224</v>
      </c>
      <c r="J7">
        <f t="shared" si="8"/>
        <v>7.20809980728162e-5</v>
      </c>
      <c r="K7">
        <f t="shared" si="1"/>
        <v>116296622</v>
      </c>
      <c r="L7">
        <f t="shared" si="2"/>
        <v>7.56685778887026e-5</v>
      </c>
      <c r="M7">
        <f>B7+C7</f>
        <v>17366891</v>
      </c>
      <c r="N7">
        <f t="shared" si="6"/>
        <v>149406989</v>
      </c>
      <c r="O7">
        <f t="shared" si="3"/>
        <v>3.98220144204927e-5</v>
      </c>
    </row>
    <row r="8" ht="13.9" spans="1:15">
      <c r="A8" s="40" t="s">
        <v>16</v>
      </c>
      <c r="B8" s="11">
        <v>24397416</v>
      </c>
      <c r="C8" s="11">
        <v>3225496</v>
      </c>
      <c r="D8" s="11">
        <v>77</v>
      </c>
      <c r="E8">
        <f t="shared" si="9"/>
        <v>77</v>
      </c>
      <c r="F8">
        <f t="shared" si="0"/>
        <v>12198708</v>
      </c>
      <c r="G8">
        <f t="shared" si="7"/>
        <v>1219.8708</v>
      </c>
      <c r="H8">
        <f t="shared" si="4"/>
        <v>7700</v>
      </c>
      <c r="I8">
        <f t="shared" si="5"/>
        <v>3696</v>
      </c>
      <c r="J8">
        <f t="shared" si="8"/>
        <v>7.37783050467312e-5</v>
      </c>
      <c r="K8">
        <f t="shared" si="1"/>
        <v>91899206</v>
      </c>
      <c r="L8">
        <f t="shared" ref="L8:L18" si="10">IF(E8&gt;E9,H8/K8,0)</f>
        <v>8.37874486097301e-5</v>
      </c>
      <c r="M8">
        <f t="shared" ref="M8:M71" si="11">B8+C8</f>
        <v>27622912</v>
      </c>
      <c r="N8">
        <f t="shared" si="6"/>
        <v>132040098</v>
      </c>
      <c r="O8">
        <f t="shared" ref="O8:O14" si="12">IF(H8&gt;H9,(H8-H9)/M9,H8/M9)</f>
        <v>9.37575054836421e-5</v>
      </c>
    </row>
    <row r="9" ht="13.9" spans="1:15">
      <c r="A9" s="40" t="s">
        <v>17</v>
      </c>
      <c r="B9" s="11">
        <v>16842176</v>
      </c>
      <c r="C9" s="11">
        <v>2356287</v>
      </c>
      <c r="D9" s="11">
        <v>59</v>
      </c>
      <c r="E9">
        <f t="shared" si="9"/>
        <v>59</v>
      </c>
      <c r="F9">
        <f t="shared" si="0"/>
        <v>8421088</v>
      </c>
      <c r="G9">
        <f t="shared" si="7"/>
        <v>842.1088</v>
      </c>
      <c r="H9">
        <f t="shared" si="4"/>
        <v>5900</v>
      </c>
      <c r="I9">
        <f t="shared" si="5"/>
        <v>2832</v>
      </c>
      <c r="J9">
        <f t="shared" si="8"/>
        <v>7.12497007512568e-5</v>
      </c>
      <c r="K9">
        <f t="shared" si="1"/>
        <v>75057030</v>
      </c>
      <c r="L9">
        <f t="shared" si="10"/>
        <v>7.86068939844809e-5</v>
      </c>
      <c r="M9">
        <f t="shared" si="11"/>
        <v>19198463</v>
      </c>
      <c r="N9">
        <f t="shared" si="6"/>
        <v>104417186</v>
      </c>
      <c r="O9">
        <f t="shared" si="12"/>
        <v>7.19516082263713e-5</v>
      </c>
    </row>
    <row r="10" ht="13.9" spans="1:15">
      <c r="A10" s="40" t="s">
        <v>18</v>
      </c>
      <c r="B10" s="11">
        <v>14631902</v>
      </c>
      <c r="C10" s="11">
        <v>2045974</v>
      </c>
      <c r="D10" s="11">
        <v>47</v>
      </c>
      <c r="E10">
        <f t="shared" si="9"/>
        <v>47</v>
      </c>
      <c r="F10">
        <f t="shared" si="0"/>
        <v>7315951</v>
      </c>
      <c r="G10">
        <f t="shared" si="7"/>
        <v>731.5951</v>
      </c>
      <c r="H10">
        <f t="shared" si="4"/>
        <v>4700</v>
      </c>
      <c r="I10">
        <f t="shared" si="5"/>
        <v>2256</v>
      </c>
      <c r="J10">
        <f t="shared" si="8"/>
        <v>7.51781962454369e-5</v>
      </c>
      <c r="K10">
        <f t="shared" si="1"/>
        <v>60425128</v>
      </c>
      <c r="L10">
        <f t="shared" si="10"/>
        <v>7.77822100765761e-5</v>
      </c>
      <c r="M10">
        <f t="shared" si="11"/>
        <v>16677876</v>
      </c>
      <c r="N10">
        <f t="shared" si="6"/>
        <v>85218723</v>
      </c>
      <c r="O10">
        <f t="shared" si="12"/>
        <v>4.0816835415833e-5</v>
      </c>
    </row>
    <row r="11" ht="13.85" spans="1:15">
      <c r="A11" s="40">
        <v>38680</v>
      </c>
      <c r="B11" s="11">
        <v>23781504</v>
      </c>
      <c r="C11" s="11">
        <v>3168160</v>
      </c>
      <c r="D11" s="11">
        <v>36</v>
      </c>
      <c r="E11">
        <f t="shared" si="9"/>
        <v>36</v>
      </c>
      <c r="F11">
        <f t="shared" si="0"/>
        <v>11890752</v>
      </c>
      <c r="G11">
        <f t="shared" si="7"/>
        <v>1189.0752</v>
      </c>
      <c r="H11">
        <f t="shared" si="4"/>
        <v>3600</v>
      </c>
      <c r="I11">
        <f t="shared" si="5"/>
        <v>1728</v>
      </c>
      <c r="J11">
        <f t="shared" si="8"/>
        <v>6.72791762875889e-5</v>
      </c>
      <c r="K11">
        <f t="shared" si="1"/>
        <v>36643624</v>
      </c>
      <c r="L11">
        <f t="shared" si="10"/>
        <v>9.82435580061623e-5</v>
      </c>
      <c r="M11">
        <f t="shared" si="11"/>
        <v>26949664</v>
      </c>
      <c r="N11">
        <f t="shared" si="6"/>
        <v>68540847</v>
      </c>
      <c r="O11">
        <f t="shared" si="12"/>
        <v>8.48919179975907e-5</v>
      </c>
    </row>
    <row r="12" ht="13.85" spans="1:15">
      <c r="A12" s="40">
        <v>38588</v>
      </c>
      <c r="B12" s="11">
        <v>16543574</v>
      </c>
      <c r="C12" s="11">
        <v>2303921</v>
      </c>
      <c r="D12" s="11">
        <v>20</v>
      </c>
      <c r="E12">
        <f t="shared" si="9"/>
        <v>20</v>
      </c>
      <c r="F12">
        <f t="shared" si="0"/>
        <v>8271787</v>
      </c>
      <c r="G12">
        <f t="shared" si="7"/>
        <v>827.1787</v>
      </c>
      <c r="H12">
        <f t="shared" si="4"/>
        <v>2000</v>
      </c>
      <c r="I12">
        <f t="shared" si="5"/>
        <v>960</v>
      </c>
      <c r="J12">
        <f t="shared" si="8"/>
        <v>0</v>
      </c>
      <c r="K12">
        <f t="shared" si="1"/>
        <v>20100050</v>
      </c>
      <c r="L12">
        <f t="shared" si="10"/>
        <v>0</v>
      </c>
      <c r="M12">
        <f t="shared" si="11"/>
        <v>18847495</v>
      </c>
      <c r="N12">
        <f t="shared" si="6"/>
        <v>41591183</v>
      </c>
      <c r="O12">
        <v>0</v>
      </c>
    </row>
    <row r="13" ht="13.85" spans="1:15">
      <c r="A13" s="40">
        <v>38527</v>
      </c>
      <c r="B13" s="11">
        <v>20100050</v>
      </c>
      <c r="C13" s="11">
        <v>2643638</v>
      </c>
      <c r="D13" s="11">
        <v>214</v>
      </c>
      <c r="E13">
        <f t="shared" si="9"/>
        <v>214</v>
      </c>
      <c r="F13">
        <f t="shared" si="0"/>
        <v>10050025</v>
      </c>
      <c r="G13">
        <f t="shared" si="7"/>
        <v>1005.0025</v>
      </c>
      <c r="H13">
        <f t="shared" si="4"/>
        <v>21400</v>
      </c>
      <c r="I13">
        <f t="shared" si="5"/>
        <v>10272</v>
      </c>
      <c r="J13">
        <f t="shared" ref="J13:J29" si="13">IF(H13&gt;H14,(H13-H14)/B13,0)</f>
        <v>5.47262320242984e-5</v>
      </c>
      <c r="K13">
        <f t="shared" ref="K13:K24" si="14">IF(E13&gt;E14,B14+K14,B14)</f>
        <v>492328310</v>
      </c>
      <c r="L13">
        <f t="shared" si="10"/>
        <v>4.3466929618571e-5</v>
      </c>
      <c r="M13">
        <f t="shared" si="11"/>
        <v>22743688</v>
      </c>
      <c r="N13">
        <f t="shared" si="6"/>
        <v>573529921</v>
      </c>
      <c r="O13">
        <f t="shared" si="12"/>
        <v>3.03410410242871e-5</v>
      </c>
    </row>
    <row r="14" ht="13.85" spans="1:15">
      <c r="A14" s="40">
        <v>38466</v>
      </c>
      <c r="B14" s="11">
        <v>32198370</v>
      </c>
      <c r="C14" s="11">
        <v>4056154</v>
      </c>
      <c r="D14" s="11">
        <v>203</v>
      </c>
      <c r="E14">
        <f t="shared" si="9"/>
        <v>203</v>
      </c>
      <c r="F14">
        <f t="shared" si="0"/>
        <v>16099185</v>
      </c>
      <c r="G14">
        <f t="shared" si="7"/>
        <v>1609.9185</v>
      </c>
      <c r="H14">
        <f t="shared" si="4"/>
        <v>20300</v>
      </c>
      <c r="I14">
        <f t="shared" si="5"/>
        <v>9744</v>
      </c>
      <c r="J14">
        <f t="shared" si="13"/>
        <v>7.76436819627826e-5</v>
      </c>
      <c r="K14">
        <f t="shared" si="14"/>
        <v>460129940</v>
      </c>
      <c r="L14">
        <f t="shared" si="10"/>
        <v>4.4117972414488e-5</v>
      </c>
      <c r="M14">
        <f t="shared" si="11"/>
        <v>36254524</v>
      </c>
      <c r="N14">
        <f t="shared" si="6"/>
        <v>550786233</v>
      </c>
      <c r="O14">
        <f t="shared" si="12"/>
        <v>0.000101335820952089</v>
      </c>
    </row>
    <row r="15" ht="13.85" spans="1:15">
      <c r="A15" s="40">
        <v>38376</v>
      </c>
      <c r="B15" s="11">
        <v>21738356</v>
      </c>
      <c r="C15" s="11">
        <v>2932091</v>
      </c>
      <c r="D15" s="11">
        <v>178</v>
      </c>
      <c r="E15">
        <f t="shared" si="9"/>
        <v>178</v>
      </c>
      <c r="F15">
        <f t="shared" si="0"/>
        <v>10869178</v>
      </c>
      <c r="G15">
        <f t="shared" si="7"/>
        <v>1086.9178</v>
      </c>
      <c r="H15">
        <f t="shared" si="4"/>
        <v>17800</v>
      </c>
      <c r="I15">
        <f t="shared" si="5"/>
        <v>8544</v>
      </c>
      <c r="J15">
        <f t="shared" si="13"/>
        <v>6.4402294267331e-5</v>
      </c>
      <c r="K15">
        <f t="shared" si="14"/>
        <v>438391584</v>
      </c>
      <c r="L15">
        <f t="shared" si="10"/>
        <v>4.06029692394825e-5</v>
      </c>
      <c r="M15">
        <f t="shared" si="11"/>
        <v>24670447</v>
      </c>
      <c r="N15">
        <f t="shared" si="6"/>
        <v>514531709</v>
      </c>
      <c r="O15">
        <f t="shared" ref="O15:O20" si="15">IF(H15&gt;H16,(H15-H16)/M16,H15/M16)</f>
        <v>6.59308004446562e-5</v>
      </c>
    </row>
    <row r="16" ht="13.9" spans="1:15">
      <c r="A16" s="40" t="s">
        <v>19</v>
      </c>
      <c r="B16" s="11">
        <v>18697348</v>
      </c>
      <c r="C16" s="11">
        <v>2537037</v>
      </c>
      <c r="D16" s="11">
        <v>164</v>
      </c>
      <c r="E16">
        <f t="shared" si="9"/>
        <v>164</v>
      </c>
      <c r="F16">
        <f t="shared" si="0"/>
        <v>9348674</v>
      </c>
      <c r="G16">
        <f t="shared" si="7"/>
        <v>934.8674</v>
      </c>
      <c r="H16">
        <f t="shared" si="4"/>
        <v>16400</v>
      </c>
      <c r="I16">
        <f t="shared" si="5"/>
        <v>7872</v>
      </c>
      <c r="J16">
        <f t="shared" si="13"/>
        <v>8.02252811468236e-5</v>
      </c>
      <c r="K16">
        <f t="shared" si="14"/>
        <v>419694236</v>
      </c>
      <c r="L16">
        <f t="shared" si="10"/>
        <v>3.90760667963998e-5</v>
      </c>
      <c r="M16">
        <f t="shared" si="11"/>
        <v>21234385</v>
      </c>
      <c r="N16">
        <f t="shared" ref="N16:N31" si="16">IF(H16&lt;H17,M16+M17,M16+N17)</f>
        <v>489861262</v>
      </c>
      <c r="O16">
        <f t="shared" si="15"/>
        <v>4.46601549778834e-5</v>
      </c>
    </row>
    <row r="17" ht="13.9" spans="1:15">
      <c r="A17" s="40" t="s">
        <v>20</v>
      </c>
      <c r="B17" s="11">
        <v>29733516</v>
      </c>
      <c r="C17" s="11">
        <v>3853470</v>
      </c>
      <c r="D17" s="11">
        <v>149</v>
      </c>
      <c r="E17">
        <f t="shared" si="9"/>
        <v>149</v>
      </c>
      <c r="F17">
        <f t="shared" si="0"/>
        <v>14866758</v>
      </c>
      <c r="G17">
        <f t="shared" si="7"/>
        <v>1486.6758</v>
      </c>
      <c r="H17">
        <f t="shared" si="4"/>
        <v>14900</v>
      </c>
      <c r="I17">
        <f t="shared" si="5"/>
        <v>7152</v>
      </c>
      <c r="J17">
        <f t="shared" si="13"/>
        <v>6.72641607538106e-5</v>
      </c>
      <c r="K17">
        <f t="shared" si="14"/>
        <v>389960720</v>
      </c>
      <c r="L17">
        <f t="shared" si="10"/>
        <v>3.82089765348674e-5</v>
      </c>
      <c r="M17">
        <f t="shared" si="11"/>
        <v>33586986</v>
      </c>
      <c r="N17">
        <f t="shared" si="16"/>
        <v>468626877</v>
      </c>
      <c r="O17">
        <f t="shared" si="15"/>
        <v>8.37559904901773e-5</v>
      </c>
    </row>
    <row r="18" ht="13.9" spans="1:15">
      <c r="A18" s="40" t="s">
        <v>21</v>
      </c>
      <c r="B18" s="11">
        <v>21019378</v>
      </c>
      <c r="C18" s="11">
        <v>2859511</v>
      </c>
      <c r="D18" s="11">
        <v>129</v>
      </c>
      <c r="E18">
        <f t="shared" si="9"/>
        <v>129</v>
      </c>
      <c r="F18">
        <f t="shared" si="0"/>
        <v>10509689</v>
      </c>
      <c r="G18">
        <f t="shared" si="7"/>
        <v>1050.9689</v>
      </c>
      <c r="H18">
        <f t="shared" si="4"/>
        <v>12900</v>
      </c>
      <c r="I18">
        <f t="shared" si="5"/>
        <v>6192</v>
      </c>
      <c r="J18">
        <f t="shared" si="13"/>
        <v>6.66052059199849e-5</v>
      </c>
      <c r="K18">
        <f t="shared" si="14"/>
        <v>368941342</v>
      </c>
      <c r="L18">
        <f t="shared" si="10"/>
        <v>3.49649077820073e-5</v>
      </c>
      <c r="M18">
        <f t="shared" si="11"/>
        <v>23878889</v>
      </c>
      <c r="N18">
        <f t="shared" si="16"/>
        <v>435039891</v>
      </c>
      <c r="O18">
        <f t="shared" si="15"/>
        <v>6.68951358539866e-5</v>
      </c>
    </row>
    <row r="19" ht="13.9" spans="1:15">
      <c r="A19" s="40" t="s">
        <v>22</v>
      </c>
      <c r="B19" s="11">
        <v>18414836</v>
      </c>
      <c r="C19" s="11">
        <v>2513442</v>
      </c>
      <c r="D19" s="11">
        <v>115</v>
      </c>
      <c r="E19">
        <f t="shared" si="9"/>
        <v>115</v>
      </c>
      <c r="F19">
        <f t="shared" si="0"/>
        <v>9207418</v>
      </c>
      <c r="G19">
        <f t="shared" si="7"/>
        <v>920.7418</v>
      </c>
      <c r="H19">
        <f t="shared" si="4"/>
        <v>11500</v>
      </c>
      <c r="I19">
        <f t="shared" si="5"/>
        <v>5520</v>
      </c>
      <c r="J19">
        <f t="shared" si="13"/>
        <v>9.23168688550905e-5</v>
      </c>
      <c r="K19">
        <f t="shared" si="14"/>
        <v>350526506</v>
      </c>
      <c r="L19">
        <f t="shared" ref="L19:L26" si="17">IF(E19&gt;E20,H19/K19,0)</f>
        <v>3.28077900049019e-5</v>
      </c>
      <c r="M19">
        <f t="shared" si="11"/>
        <v>20928278</v>
      </c>
      <c r="N19">
        <f t="shared" si="16"/>
        <v>411161002</v>
      </c>
      <c r="O19">
        <f t="shared" si="15"/>
        <v>5.33371150393722e-5</v>
      </c>
    </row>
    <row r="20" ht="13.9" spans="1:15">
      <c r="A20" s="40" t="s">
        <v>23</v>
      </c>
      <c r="B20" s="11">
        <v>28166508</v>
      </c>
      <c r="C20" s="11">
        <v>3706232</v>
      </c>
      <c r="D20" s="11">
        <v>98</v>
      </c>
      <c r="E20">
        <f t="shared" si="9"/>
        <v>98</v>
      </c>
      <c r="F20">
        <f t="shared" si="0"/>
        <v>14083254</v>
      </c>
      <c r="G20">
        <f t="shared" si="7"/>
        <v>1408.3254</v>
      </c>
      <c r="H20">
        <f t="shared" si="4"/>
        <v>9800</v>
      </c>
      <c r="I20">
        <f t="shared" si="5"/>
        <v>4704</v>
      </c>
      <c r="J20">
        <f t="shared" si="13"/>
        <v>7.10063171480114e-5</v>
      </c>
      <c r="K20">
        <f t="shared" si="14"/>
        <v>322359998</v>
      </c>
      <c r="L20">
        <f t="shared" si="17"/>
        <v>3.04007943318079e-5</v>
      </c>
      <c r="M20">
        <f t="shared" si="11"/>
        <v>31872740</v>
      </c>
      <c r="N20">
        <f t="shared" si="16"/>
        <v>390232724</v>
      </c>
      <c r="O20">
        <f t="shared" si="15"/>
        <v>9.01768263862083e-5</v>
      </c>
    </row>
    <row r="21" ht="13.9" spans="1:15">
      <c r="A21" s="40" t="s">
        <v>24</v>
      </c>
      <c r="B21" s="11">
        <v>19452268</v>
      </c>
      <c r="C21" s="11">
        <v>2726379</v>
      </c>
      <c r="D21" s="11">
        <v>78</v>
      </c>
      <c r="E21">
        <f t="shared" si="9"/>
        <v>78</v>
      </c>
      <c r="F21">
        <f t="shared" si="0"/>
        <v>9726134</v>
      </c>
      <c r="G21">
        <f t="shared" si="7"/>
        <v>972.6134</v>
      </c>
      <c r="H21">
        <f t="shared" si="4"/>
        <v>7800</v>
      </c>
      <c r="I21">
        <f t="shared" si="5"/>
        <v>3744</v>
      </c>
      <c r="J21">
        <f t="shared" si="13"/>
        <v>7.71118308672284e-5</v>
      </c>
      <c r="K21">
        <f t="shared" si="14"/>
        <v>302907730</v>
      </c>
      <c r="L21">
        <f t="shared" si="17"/>
        <v>2.5750415811442e-5</v>
      </c>
      <c r="M21">
        <f t="shared" si="11"/>
        <v>22178647</v>
      </c>
      <c r="N21">
        <f t="shared" si="16"/>
        <v>358359984</v>
      </c>
      <c r="O21">
        <f t="shared" ref="O21:O52" si="18">IF(H21&gt;H22,(H21-H22)/M22,H21/M22)</f>
        <v>7.73822592813313e-5</v>
      </c>
    </row>
    <row r="22" ht="13.9" spans="1:15">
      <c r="A22" s="40" t="s">
        <v>25</v>
      </c>
      <c r="B22" s="11">
        <v>16993234</v>
      </c>
      <c r="C22" s="11">
        <v>2391054</v>
      </c>
      <c r="D22" s="11">
        <v>63</v>
      </c>
      <c r="E22">
        <f t="shared" si="9"/>
        <v>63</v>
      </c>
      <c r="F22">
        <f t="shared" si="0"/>
        <v>8496617</v>
      </c>
      <c r="G22">
        <f t="shared" si="7"/>
        <v>849.6617</v>
      </c>
      <c r="H22">
        <f t="shared" si="4"/>
        <v>6300</v>
      </c>
      <c r="I22">
        <f t="shared" si="5"/>
        <v>3024</v>
      </c>
      <c r="J22">
        <f t="shared" si="13"/>
        <v>0.000100039815846707</v>
      </c>
      <c r="K22">
        <f t="shared" si="14"/>
        <v>285914496</v>
      </c>
      <c r="L22">
        <f t="shared" si="17"/>
        <v>2.20345595908505e-5</v>
      </c>
      <c r="M22">
        <f t="shared" si="11"/>
        <v>19384288</v>
      </c>
      <c r="N22">
        <f t="shared" si="16"/>
        <v>336181337</v>
      </c>
      <c r="O22">
        <f t="shared" si="18"/>
        <v>5.48928499641178e-5</v>
      </c>
    </row>
    <row r="23" ht="13.9" spans="1:15">
      <c r="A23" s="40" t="s">
        <v>26</v>
      </c>
      <c r="B23" s="11">
        <v>27334952</v>
      </c>
      <c r="C23" s="11">
        <v>3634473</v>
      </c>
      <c r="D23" s="11">
        <v>46</v>
      </c>
      <c r="E23">
        <f t="shared" si="9"/>
        <v>46</v>
      </c>
      <c r="F23">
        <f t="shared" si="0"/>
        <v>13667476</v>
      </c>
      <c r="G23">
        <f t="shared" si="7"/>
        <v>1366.7476</v>
      </c>
      <c r="H23">
        <f t="shared" si="4"/>
        <v>4600</v>
      </c>
      <c r="I23">
        <f t="shared" si="5"/>
        <v>2208</v>
      </c>
      <c r="J23">
        <f t="shared" si="13"/>
        <v>5.4874799121652e-5</v>
      </c>
      <c r="K23">
        <f t="shared" si="14"/>
        <v>258579544</v>
      </c>
      <c r="L23">
        <f t="shared" si="17"/>
        <v>1.77894969139554e-5</v>
      </c>
      <c r="M23">
        <f t="shared" si="11"/>
        <v>30969425</v>
      </c>
      <c r="N23">
        <f t="shared" si="16"/>
        <v>316797049</v>
      </c>
      <c r="O23">
        <f t="shared" si="18"/>
        <v>6.71332637355329e-5</v>
      </c>
    </row>
    <row r="24" ht="13.85" spans="1:15">
      <c r="A24" s="40">
        <v>38284</v>
      </c>
      <c r="B24" s="11">
        <v>19615876</v>
      </c>
      <c r="C24" s="11">
        <v>2727742</v>
      </c>
      <c r="D24" s="11">
        <v>31</v>
      </c>
      <c r="E24">
        <f t="shared" si="9"/>
        <v>31</v>
      </c>
      <c r="F24">
        <f t="shared" si="0"/>
        <v>9807938</v>
      </c>
      <c r="G24">
        <f t="shared" si="7"/>
        <v>980.7938</v>
      </c>
      <c r="H24">
        <f t="shared" si="4"/>
        <v>3100</v>
      </c>
      <c r="I24">
        <f t="shared" si="5"/>
        <v>1488</v>
      </c>
      <c r="J24">
        <f t="shared" si="13"/>
        <v>5.60770265880555e-5</v>
      </c>
      <c r="K24">
        <f t="shared" si="14"/>
        <v>238963668</v>
      </c>
      <c r="L24">
        <f t="shared" si="17"/>
        <v>1.29726833620582e-5</v>
      </c>
      <c r="M24">
        <f t="shared" si="11"/>
        <v>22343618</v>
      </c>
      <c r="N24">
        <f t="shared" si="16"/>
        <v>285827624</v>
      </c>
      <c r="O24">
        <f t="shared" si="18"/>
        <v>4.60947520370528e-5</v>
      </c>
    </row>
    <row r="25" ht="19" customHeight="1" spans="1:15">
      <c r="A25" s="40">
        <v>38223</v>
      </c>
      <c r="B25" s="11">
        <v>21033178</v>
      </c>
      <c r="C25" s="11">
        <v>2830710</v>
      </c>
      <c r="D25" s="11">
        <v>20</v>
      </c>
      <c r="E25">
        <f t="shared" si="9"/>
        <v>20</v>
      </c>
      <c r="F25">
        <f t="shared" si="0"/>
        <v>10516589</v>
      </c>
      <c r="G25">
        <f t="shared" si="7"/>
        <v>1051.6589</v>
      </c>
      <c r="H25">
        <f t="shared" si="4"/>
        <v>2000</v>
      </c>
      <c r="I25">
        <f t="shared" si="5"/>
        <v>960</v>
      </c>
      <c r="J25">
        <f t="shared" si="13"/>
        <v>0</v>
      </c>
      <c r="K25">
        <f t="shared" ref="K25:K49" si="19">IF(E25&gt;E26,B26+K26,B26)</f>
        <v>217930490</v>
      </c>
      <c r="L25">
        <f t="shared" si="17"/>
        <v>0</v>
      </c>
      <c r="M25">
        <f t="shared" si="11"/>
        <v>23863888</v>
      </c>
      <c r="N25">
        <f t="shared" si="16"/>
        <v>263484006</v>
      </c>
      <c r="O25">
        <v>0</v>
      </c>
    </row>
    <row r="26" ht="13.9" spans="1:15">
      <c r="A26" s="40">
        <v>38162</v>
      </c>
      <c r="B26" s="11">
        <v>217930490</v>
      </c>
      <c r="C26" s="11">
        <v>21689628</v>
      </c>
      <c r="D26" s="11" t="s">
        <v>27</v>
      </c>
      <c r="E26">
        <f t="shared" si="9"/>
        <v>1325</v>
      </c>
      <c r="F26">
        <f t="shared" si="0"/>
        <v>108965245</v>
      </c>
      <c r="G26">
        <f t="shared" si="7"/>
        <v>10896.5245</v>
      </c>
      <c r="H26">
        <f t="shared" si="4"/>
        <v>132500</v>
      </c>
      <c r="I26">
        <f t="shared" ref="I26:I43" si="20">H26*0.48</f>
        <v>63600</v>
      </c>
      <c r="J26">
        <f t="shared" si="13"/>
        <v>0.000107832547891761</v>
      </c>
      <c r="K26">
        <f t="shared" si="19"/>
        <v>1726922938</v>
      </c>
      <c r="L26">
        <f t="shared" si="17"/>
        <v>7.67260640787203e-5</v>
      </c>
      <c r="M26">
        <f t="shared" si="11"/>
        <v>239620118</v>
      </c>
      <c r="N26">
        <f t="shared" si="16"/>
        <v>2164497198</v>
      </c>
      <c r="O26">
        <f t="shared" si="18"/>
        <v>0.000141949138657157</v>
      </c>
    </row>
    <row r="27" ht="13.9" spans="1:15">
      <c r="A27" s="40">
        <v>38070</v>
      </c>
      <c r="B27" s="11">
        <v>150329726</v>
      </c>
      <c r="C27" s="11">
        <v>15222529</v>
      </c>
      <c r="D27" s="11" t="s">
        <v>28</v>
      </c>
      <c r="E27">
        <f t="shared" si="9"/>
        <v>1090</v>
      </c>
      <c r="F27">
        <f t="shared" si="0"/>
        <v>75164863</v>
      </c>
      <c r="G27">
        <f t="shared" si="7"/>
        <v>7516.4863</v>
      </c>
      <c r="H27">
        <f t="shared" si="4"/>
        <v>109000</v>
      </c>
      <c r="I27">
        <f t="shared" si="20"/>
        <v>52320</v>
      </c>
      <c r="J27">
        <f t="shared" si="13"/>
        <v>5.98683988820681e-5</v>
      </c>
      <c r="K27">
        <f t="shared" si="19"/>
        <v>1576593212</v>
      </c>
      <c r="L27">
        <f t="shared" ref="L27:L34" si="21">IF(E27&gt;E28,H27/K27,0)</f>
        <v>6.91364133565735e-5</v>
      </c>
      <c r="M27">
        <f t="shared" si="11"/>
        <v>165552255</v>
      </c>
      <c r="N27">
        <f t="shared" si="16"/>
        <v>1924877080</v>
      </c>
      <c r="O27">
        <f t="shared" si="18"/>
        <v>7.52407012734322e-5</v>
      </c>
    </row>
    <row r="28" ht="13.9" spans="1:15">
      <c r="A28" s="40">
        <v>38010</v>
      </c>
      <c r="B28" s="11">
        <v>108410694</v>
      </c>
      <c r="C28" s="11">
        <v>11205416</v>
      </c>
      <c r="D28" s="11" t="s">
        <v>29</v>
      </c>
      <c r="E28">
        <f t="shared" ref="E28:E33" si="22">IF(RIGHT(D28,1)="B",VALUE(LEFT(D28,LEN(D28)-1))*1000,D28)</f>
        <v>1000</v>
      </c>
      <c r="F28">
        <f t="shared" si="0"/>
        <v>54205347</v>
      </c>
      <c r="G28">
        <f t="shared" si="7"/>
        <v>5420.5347</v>
      </c>
      <c r="H28">
        <f t="shared" si="4"/>
        <v>100000</v>
      </c>
      <c r="I28">
        <f t="shared" si="20"/>
        <v>48000</v>
      </c>
      <c r="J28">
        <f t="shared" si="13"/>
        <v>5.99571846666714e-5</v>
      </c>
      <c r="K28">
        <f t="shared" si="19"/>
        <v>1468182518</v>
      </c>
      <c r="L28">
        <f t="shared" si="21"/>
        <v>6.81114226426172e-5</v>
      </c>
      <c r="M28">
        <f t="shared" si="11"/>
        <v>119616110</v>
      </c>
      <c r="N28">
        <f t="shared" si="16"/>
        <v>1759324825</v>
      </c>
      <c r="O28">
        <f t="shared" si="18"/>
        <v>4.9752676383992e-5</v>
      </c>
    </row>
    <row r="29" ht="13.9" spans="1:15">
      <c r="A29" s="40" t="s">
        <v>30</v>
      </c>
      <c r="B29" s="11">
        <v>118655858</v>
      </c>
      <c r="C29" s="11">
        <v>11990380</v>
      </c>
      <c r="D29" s="11">
        <v>935</v>
      </c>
      <c r="E29">
        <f t="shared" si="22"/>
        <v>935</v>
      </c>
      <c r="F29">
        <f t="shared" si="0"/>
        <v>59327929</v>
      </c>
      <c r="G29">
        <f t="shared" si="7"/>
        <v>5932.7929</v>
      </c>
      <c r="H29">
        <f t="shared" si="4"/>
        <v>93500</v>
      </c>
      <c r="I29">
        <f t="shared" si="20"/>
        <v>44880</v>
      </c>
      <c r="J29">
        <f t="shared" si="13"/>
        <v>5.89941374828708e-5</v>
      </c>
      <c r="K29">
        <f t="shared" si="19"/>
        <v>1349526660</v>
      </c>
      <c r="L29">
        <f t="shared" si="21"/>
        <v>6.92835516120889e-5</v>
      </c>
      <c r="M29">
        <f t="shared" si="11"/>
        <v>130646238</v>
      </c>
      <c r="N29">
        <f t="shared" si="16"/>
        <v>1639708715</v>
      </c>
      <c r="O29">
        <f t="shared" si="18"/>
        <v>7.4520049363784e-5</v>
      </c>
    </row>
    <row r="30" ht="13.9" spans="1:15">
      <c r="A30" s="40" t="s">
        <v>31</v>
      </c>
      <c r="B30" s="11">
        <v>85196206</v>
      </c>
      <c r="C30" s="11">
        <v>8738246</v>
      </c>
      <c r="D30" s="11">
        <v>865</v>
      </c>
      <c r="E30">
        <f t="shared" si="22"/>
        <v>865</v>
      </c>
      <c r="F30">
        <f t="shared" si="0"/>
        <v>42598103</v>
      </c>
      <c r="G30">
        <f t="shared" si="7"/>
        <v>4259.8103</v>
      </c>
      <c r="H30">
        <f t="shared" si="4"/>
        <v>86500</v>
      </c>
      <c r="I30">
        <f t="shared" si="20"/>
        <v>41520</v>
      </c>
      <c r="J30">
        <f t="shared" ref="J30:J38" si="23">IF(H30&gt;H31,(H30-H31)/B30,0)</f>
        <v>7.62944772446792e-5</v>
      </c>
      <c r="K30">
        <f t="shared" si="19"/>
        <v>1264330454</v>
      </c>
      <c r="L30">
        <f t="shared" si="21"/>
        <v>6.84156580475756e-5</v>
      </c>
      <c r="M30">
        <f t="shared" si="11"/>
        <v>93934452</v>
      </c>
      <c r="N30">
        <f t="shared" si="16"/>
        <v>1509062477</v>
      </c>
      <c r="O30">
        <f t="shared" si="18"/>
        <v>7.55572064998912e-5</v>
      </c>
    </row>
    <row r="31" ht="13.9" spans="1:15">
      <c r="A31" s="40" t="s">
        <v>32</v>
      </c>
      <c r="B31" s="11">
        <v>78074318</v>
      </c>
      <c r="C31" s="11">
        <v>7953214</v>
      </c>
      <c r="D31" s="11">
        <v>800</v>
      </c>
      <c r="E31">
        <f t="shared" si="22"/>
        <v>800</v>
      </c>
      <c r="F31">
        <f t="shared" si="0"/>
        <v>39037159</v>
      </c>
      <c r="G31">
        <f t="shared" si="7"/>
        <v>3903.7159</v>
      </c>
      <c r="H31">
        <f t="shared" si="4"/>
        <v>80000</v>
      </c>
      <c r="I31">
        <f t="shared" si="20"/>
        <v>38400</v>
      </c>
      <c r="J31">
        <f t="shared" si="23"/>
        <v>6.40415456462905e-5</v>
      </c>
      <c r="K31">
        <f t="shared" si="19"/>
        <v>1186256136</v>
      </c>
      <c r="L31">
        <f t="shared" si="21"/>
        <v>6.74390610696913e-5</v>
      </c>
      <c r="M31">
        <f t="shared" si="11"/>
        <v>86027532</v>
      </c>
      <c r="N31">
        <f t="shared" si="16"/>
        <v>1415128025</v>
      </c>
      <c r="O31">
        <f t="shared" si="18"/>
        <v>4.82907060325291e-5</v>
      </c>
    </row>
    <row r="32" ht="13.9" spans="1:15">
      <c r="A32" s="40" t="s">
        <v>33</v>
      </c>
      <c r="B32" s="11">
        <v>93912674</v>
      </c>
      <c r="C32" s="11">
        <v>9626918</v>
      </c>
      <c r="D32" s="11">
        <v>750</v>
      </c>
      <c r="E32">
        <f t="shared" si="22"/>
        <v>750</v>
      </c>
      <c r="F32">
        <f t="shared" si="0"/>
        <v>46956337</v>
      </c>
      <c r="G32">
        <f t="shared" si="7"/>
        <v>4695.6337</v>
      </c>
      <c r="H32">
        <f t="shared" si="4"/>
        <v>75000</v>
      </c>
      <c r="I32">
        <f t="shared" si="20"/>
        <v>36000</v>
      </c>
      <c r="J32">
        <f t="shared" si="23"/>
        <v>6.7083597257597e-5</v>
      </c>
      <c r="K32">
        <f t="shared" si="19"/>
        <v>1092343462</v>
      </c>
      <c r="L32">
        <f t="shared" si="21"/>
        <v>6.86597234377918e-5</v>
      </c>
      <c r="M32">
        <f t="shared" si="11"/>
        <v>103539592</v>
      </c>
      <c r="N32">
        <f t="shared" ref="N32:N95" si="24">IF(H32&lt;H33,M32+M33,M32+N33)</f>
        <v>1329100493</v>
      </c>
      <c r="O32">
        <f t="shared" si="18"/>
        <v>9.42109875403576e-5</v>
      </c>
    </row>
    <row r="33" ht="12" customHeight="1" spans="1:15">
      <c r="A33" s="40" t="s">
        <v>34</v>
      </c>
      <c r="B33" s="11">
        <v>60346412</v>
      </c>
      <c r="C33" s="11">
        <v>6524769</v>
      </c>
      <c r="D33" s="11">
        <v>687</v>
      </c>
      <c r="E33">
        <f t="shared" si="22"/>
        <v>687</v>
      </c>
      <c r="F33">
        <f t="shared" si="0"/>
        <v>30173206</v>
      </c>
      <c r="G33">
        <f t="shared" si="7"/>
        <v>3017.3206</v>
      </c>
      <c r="H33">
        <f t="shared" si="4"/>
        <v>68700</v>
      </c>
      <c r="I33">
        <f t="shared" si="20"/>
        <v>32976</v>
      </c>
      <c r="J33">
        <f t="shared" si="23"/>
        <v>6.95981726303794e-5</v>
      </c>
      <c r="K33">
        <f t="shared" si="19"/>
        <v>1031997050</v>
      </c>
      <c r="L33">
        <f t="shared" si="21"/>
        <v>6.65699577338908e-5</v>
      </c>
      <c r="M33">
        <f t="shared" si="11"/>
        <v>66871181</v>
      </c>
      <c r="N33">
        <f t="shared" si="24"/>
        <v>1225560901</v>
      </c>
      <c r="O33">
        <f t="shared" si="18"/>
        <v>8.30395923088176e-5</v>
      </c>
    </row>
    <row r="34" ht="13.9" spans="1:15">
      <c r="A34" s="40" t="s">
        <v>35</v>
      </c>
      <c r="B34" s="11">
        <v>45504700</v>
      </c>
      <c r="C34" s="11">
        <v>5073583</v>
      </c>
      <c r="D34" s="11">
        <v>645</v>
      </c>
      <c r="E34">
        <f t="shared" ref="E34:E65" si="25">IF(RIGHT(D34,1)="B",VALUE(LEFT(D34,LEN(D34)-1))*1000,D34)</f>
        <v>645</v>
      </c>
      <c r="F34">
        <f t="shared" si="0"/>
        <v>22752350</v>
      </c>
      <c r="G34">
        <f t="shared" si="7"/>
        <v>2275.235</v>
      </c>
      <c r="H34">
        <f t="shared" si="4"/>
        <v>64500</v>
      </c>
      <c r="I34">
        <f t="shared" si="20"/>
        <v>30960</v>
      </c>
      <c r="J34">
        <f t="shared" si="23"/>
        <v>9.88908837988164e-5</v>
      </c>
      <c r="K34">
        <f t="shared" si="19"/>
        <v>986492350</v>
      </c>
      <c r="L34">
        <f t="shared" si="21"/>
        <v>6.53831730170031e-5</v>
      </c>
      <c r="M34">
        <f t="shared" si="11"/>
        <v>50578283</v>
      </c>
      <c r="N34">
        <f t="shared" si="24"/>
        <v>1158689720</v>
      </c>
      <c r="O34">
        <f t="shared" si="18"/>
        <v>6.35571451119082e-5</v>
      </c>
    </row>
    <row r="35" ht="13.9" spans="1:15">
      <c r="A35" s="40" t="s">
        <v>36</v>
      </c>
      <c r="B35" s="11">
        <v>63824556</v>
      </c>
      <c r="C35" s="11">
        <v>6977869</v>
      </c>
      <c r="D35" s="11">
        <v>600</v>
      </c>
      <c r="E35">
        <f t="shared" si="25"/>
        <v>600</v>
      </c>
      <c r="F35">
        <f t="shared" si="0"/>
        <v>31912278</v>
      </c>
      <c r="G35">
        <f t="shared" si="7"/>
        <v>3191.2278</v>
      </c>
      <c r="H35">
        <f t="shared" si="4"/>
        <v>60000</v>
      </c>
      <c r="I35">
        <f t="shared" si="20"/>
        <v>28800</v>
      </c>
      <c r="J35">
        <f t="shared" si="23"/>
        <v>6.42385980718769e-5</v>
      </c>
      <c r="K35">
        <f t="shared" si="19"/>
        <v>922667794</v>
      </c>
      <c r="L35">
        <f t="shared" ref="L35:L42" si="26">IF(E35&gt;E36,H35/K35,0)</f>
        <v>6.50288222805358e-5</v>
      </c>
      <c r="M35">
        <f t="shared" si="11"/>
        <v>70802425</v>
      </c>
      <c r="N35">
        <f t="shared" si="24"/>
        <v>1108111437</v>
      </c>
      <c r="O35">
        <f t="shared" si="18"/>
        <v>8.82182086427766e-5</v>
      </c>
    </row>
    <row r="36" ht="13.9" spans="1:15">
      <c r="A36" s="40" t="s">
        <v>37</v>
      </c>
      <c r="B36" s="11">
        <v>41645488</v>
      </c>
      <c r="C36" s="11">
        <v>4830178</v>
      </c>
      <c r="D36" s="11">
        <v>559</v>
      </c>
      <c r="E36">
        <f t="shared" si="25"/>
        <v>559</v>
      </c>
      <c r="F36">
        <f t="shared" si="0"/>
        <v>20822744</v>
      </c>
      <c r="G36">
        <f t="shared" si="7"/>
        <v>2082.2744</v>
      </c>
      <c r="H36">
        <f t="shared" si="4"/>
        <v>55900</v>
      </c>
      <c r="I36">
        <f t="shared" si="20"/>
        <v>26832</v>
      </c>
      <c r="J36">
        <f t="shared" si="23"/>
        <v>6.48329538124274e-5</v>
      </c>
      <c r="K36">
        <f t="shared" si="19"/>
        <v>881022306</v>
      </c>
      <c r="L36">
        <f t="shared" si="26"/>
        <v>6.34490178277053e-5</v>
      </c>
      <c r="M36">
        <f t="shared" si="11"/>
        <v>46475666</v>
      </c>
      <c r="N36">
        <f t="shared" si="24"/>
        <v>1037309012</v>
      </c>
      <c r="O36">
        <f t="shared" si="18"/>
        <v>7.27623966305728e-5</v>
      </c>
    </row>
    <row r="37" ht="13.85" spans="1:15">
      <c r="A37" s="40">
        <v>37949</v>
      </c>
      <c r="B37" s="11">
        <v>33190718</v>
      </c>
      <c r="C37" s="11">
        <v>3916361</v>
      </c>
      <c r="D37" s="11">
        <v>532</v>
      </c>
      <c r="E37">
        <f t="shared" si="25"/>
        <v>532</v>
      </c>
      <c r="F37">
        <f t="shared" si="0"/>
        <v>16595359</v>
      </c>
      <c r="G37">
        <f t="shared" si="7"/>
        <v>1659.5359</v>
      </c>
      <c r="H37">
        <f t="shared" si="4"/>
        <v>53200</v>
      </c>
      <c r="I37">
        <f t="shared" si="20"/>
        <v>25536</v>
      </c>
      <c r="J37">
        <f t="shared" si="23"/>
        <v>3.31417958478633e-5</v>
      </c>
      <c r="K37">
        <f t="shared" si="19"/>
        <v>847831588</v>
      </c>
      <c r="L37">
        <f t="shared" si="26"/>
        <v>6.27483108119345e-5</v>
      </c>
      <c r="M37">
        <f t="shared" si="11"/>
        <v>37107079</v>
      </c>
      <c r="N37">
        <f t="shared" si="24"/>
        <v>990833346</v>
      </c>
      <c r="O37">
        <f t="shared" si="18"/>
        <v>1.9592434961888e-5</v>
      </c>
    </row>
    <row r="38" ht="13.85" spans="1:15">
      <c r="A38" s="40">
        <v>37888</v>
      </c>
      <c r="B38" s="11">
        <v>50419158</v>
      </c>
      <c r="C38" s="11">
        <v>5724961</v>
      </c>
      <c r="D38" s="11">
        <v>521</v>
      </c>
      <c r="E38">
        <f t="shared" si="25"/>
        <v>521</v>
      </c>
      <c r="F38">
        <f t="shared" si="0"/>
        <v>25209579</v>
      </c>
      <c r="G38">
        <f t="shared" si="7"/>
        <v>2520.9579</v>
      </c>
      <c r="H38">
        <f t="shared" si="4"/>
        <v>52100</v>
      </c>
      <c r="I38">
        <f t="shared" si="20"/>
        <v>25008</v>
      </c>
      <c r="J38">
        <f t="shared" si="23"/>
        <v>7.14014303848549e-5</v>
      </c>
      <c r="K38">
        <f t="shared" si="19"/>
        <v>797412430</v>
      </c>
      <c r="L38">
        <f t="shared" si="26"/>
        <v>6.53363279024883e-5</v>
      </c>
      <c r="M38">
        <f t="shared" si="11"/>
        <v>56144119</v>
      </c>
      <c r="N38">
        <f t="shared" si="24"/>
        <v>953726267</v>
      </c>
      <c r="O38">
        <f t="shared" si="18"/>
        <v>9.67359906333765e-5</v>
      </c>
    </row>
    <row r="39" ht="13.85" spans="1:15">
      <c r="A39" s="40">
        <v>37796</v>
      </c>
      <c r="B39" s="11">
        <v>33222212</v>
      </c>
      <c r="C39" s="11">
        <v>3992479</v>
      </c>
      <c r="D39" s="11">
        <v>485</v>
      </c>
      <c r="E39">
        <f t="shared" si="25"/>
        <v>485</v>
      </c>
      <c r="F39">
        <f t="shared" si="0"/>
        <v>16611106</v>
      </c>
      <c r="G39">
        <f t="shared" si="7"/>
        <v>1661.1106</v>
      </c>
      <c r="H39">
        <f t="shared" si="4"/>
        <v>48500</v>
      </c>
      <c r="I39">
        <f t="shared" si="20"/>
        <v>23280</v>
      </c>
      <c r="J39">
        <f t="shared" ref="J39:J49" si="27">IF(H39&gt;H40,(H39-H40)/B39,0)</f>
        <v>7.52508592745119e-5</v>
      </c>
      <c r="K39">
        <f t="shared" si="19"/>
        <v>764190218</v>
      </c>
      <c r="L39">
        <f t="shared" si="26"/>
        <v>6.3465873885342e-5</v>
      </c>
      <c r="M39">
        <f t="shared" si="11"/>
        <v>37214691</v>
      </c>
      <c r="N39">
        <f t="shared" si="24"/>
        <v>897582148</v>
      </c>
      <c r="O39">
        <f t="shared" si="18"/>
        <v>7.64611153327842e-5</v>
      </c>
    </row>
    <row r="40" ht="13.85" spans="1:15">
      <c r="A40" s="40">
        <v>37735</v>
      </c>
      <c r="B40" s="11">
        <v>29158410</v>
      </c>
      <c r="C40" s="11">
        <v>3537948</v>
      </c>
      <c r="D40" s="11">
        <v>460</v>
      </c>
      <c r="E40">
        <f t="shared" si="25"/>
        <v>460</v>
      </c>
      <c r="F40">
        <f t="shared" si="0"/>
        <v>14579205</v>
      </c>
      <c r="G40">
        <f t="shared" si="7"/>
        <v>1457.9205</v>
      </c>
      <c r="H40">
        <f t="shared" si="4"/>
        <v>46000</v>
      </c>
      <c r="I40">
        <f t="shared" si="20"/>
        <v>22080</v>
      </c>
      <c r="J40">
        <f t="shared" si="27"/>
        <v>5.83022188109708e-5</v>
      </c>
      <c r="K40">
        <f t="shared" si="19"/>
        <v>735031808</v>
      </c>
      <c r="L40">
        <f t="shared" si="26"/>
        <v>6.25823256889585e-5</v>
      </c>
      <c r="M40">
        <f t="shared" si="11"/>
        <v>32696358</v>
      </c>
      <c r="N40">
        <f t="shared" si="24"/>
        <v>860367457</v>
      </c>
      <c r="O40">
        <f t="shared" si="18"/>
        <v>3.38430993303327e-5</v>
      </c>
    </row>
    <row r="41" ht="13.85" spans="1:15">
      <c r="A41" s="40">
        <v>37676</v>
      </c>
      <c r="B41" s="11">
        <v>44910094</v>
      </c>
      <c r="C41" s="11">
        <v>5321712</v>
      </c>
      <c r="D41" s="11">
        <v>443</v>
      </c>
      <c r="E41">
        <f t="shared" si="25"/>
        <v>443</v>
      </c>
      <c r="F41">
        <f t="shared" si="0"/>
        <v>22455047</v>
      </c>
      <c r="G41">
        <f t="shared" si="7"/>
        <v>2245.5047</v>
      </c>
      <c r="H41">
        <f t="shared" si="4"/>
        <v>44300</v>
      </c>
      <c r="I41">
        <f t="shared" si="20"/>
        <v>21264</v>
      </c>
      <c r="J41">
        <f t="shared" si="27"/>
        <v>6.90267982961692e-5</v>
      </c>
      <c r="K41">
        <f t="shared" si="19"/>
        <v>690121714</v>
      </c>
      <c r="L41">
        <f t="shared" si="26"/>
        <v>6.41915753428967e-5</v>
      </c>
      <c r="M41">
        <f t="shared" si="11"/>
        <v>50231806</v>
      </c>
      <c r="N41">
        <f t="shared" si="24"/>
        <v>827671099</v>
      </c>
      <c r="O41">
        <f t="shared" si="18"/>
        <v>9.35696718116202e-5</v>
      </c>
    </row>
    <row r="42" ht="13.9" spans="1:15">
      <c r="A42" s="40" t="s">
        <v>38</v>
      </c>
      <c r="B42" s="11">
        <v>29438072</v>
      </c>
      <c r="C42" s="11">
        <v>3692321</v>
      </c>
      <c r="D42" s="11">
        <v>412</v>
      </c>
      <c r="E42">
        <f t="shared" si="25"/>
        <v>412</v>
      </c>
      <c r="F42">
        <f t="shared" si="0"/>
        <v>14719036</v>
      </c>
      <c r="G42">
        <f t="shared" si="7"/>
        <v>1471.9036</v>
      </c>
      <c r="H42">
        <f t="shared" si="4"/>
        <v>41200</v>
      </c>
      <c r="I42">
        <f t="shared" si="20"/>
        <v>19776</v>
      </c>
      <c r="J42">
        <f t="shared" si="27"/>
        <v>7.13361934844103e-5</v>
      </c>
      <c r="K42">
        <f t="shared" si="19"/>
        <v>660683642</v>
      </c>
      <c r="L42">
        <f t="shared" si="26"/>
        <v>6.23596489770516e-5</v>
      </c>
      <c r="M42">
        <f t="shared" si="11"/>
        <v>33130393</v>
      </c>
      <c r="N42">
        <f t="shared" si="24"/>
        <v>777439293</v>
      </c>
      <c r="O42">
        <f t="shared" si="18"/>
        <v>7.63118968975398e-5</v>
      </c>
    </row>
    <row r="43" ht="13.9" spans="1:15">
      <c r="A43" s="40" t="s">
        <v>39</v>
      </c>
      <c r="B43" s="11">
        <v>24431042</v>
      </c>
      <c r="C43" s="11">
        <v>3087603</v>
      </c>
      <c r="D43" s="11">
        <v>391</v>
      </c>
      <c r="E43">
        <f t="shared" si="25"/>
        <v>391</v>
      </c>
      <c r="F43">
        <f t="shared" si="0"/>
        <v>12215521</v>
      </c>
      <c r="G43">
        <f t="shared" si="7"/>
        <v>1221.5521</v>
      </c>
      <c r="H43">
        <f t="shared" si="4"/>
        <v>39100</v>
      </c>
      <c r="I43">
        <f t="shared" si="20"/>
        <v>18768</v>
      </c>
      <c r="J43">
        <f t="shared" si="27"/>
        <v>6.13972993865755e-5</v>
      </c>
      <c r="K43">
        <f t="shared" si="19"/>
        <v>636252600</v>
      </c>
      <c r="L43">
        <f t="shared" ref="L43:L58" si="28">IF(E43&gt;E44,H43/K43,0)</f>
        <v>6.1453579914644e-5</v>
      </c>
      <c r="M43">
        <f t="shared" si="11"/>
        <v>27518645</v>
      </c>
      <c r="N43">
        <f t="shared" si="24"/>
        <v>744308900</v>
      </c>
      <c r="O43">
        <f t="shared" si="18"/>
        <v>3.5154191557299e-5</v>
      </c>
    </row>
    <row r="44" ht="13.9" spans="1:15">
      <c r="A44" s="40" t="s">
        <v>40</v>
      </c>
      <c r="B44" s="11">
        <v>38075728</v>
      </c>
      <c r="C44" s="11">
        <v>4593437</v>
      </c>
      <c r="D44" s="11">
        <v>376</v>
      </c>
      <c r="E44">
        <f t="shared" si="25"/>
        <v>376</v>
      </c>
      <c r="F44">
        <f t="shared" si="0"/>
        <v>19037864</v>
      </c>
      <c r="G44">
        <f t="shared" si="7"/>
        <v>1903.7864</v>
      </c>
      <c r="H44">
        <f t="shared" si="4"/>
        <v>37600</v>
      </c>
      <c r="I44">
        <f t="shared" ref="I44:I107" si="29">H44*0.48</f>
        <v>18048</v>
      </c>
      <c r="J44">
        <f t="shared" si="27"/>
        <v>7.35376615780006e-5</v>
      </c>
      <c r="K44">
        <f t="shared" si="19"/>
        <v>598176872</v>
      </c>
      <c r="L44">
        <f t="shared" si="28"/>
        <v>6.28576626078582e-5</v>
      </c>
      <c r="M44">
        <f t="shared" si="11"/>
        <v>42669165</v>
      </c>
      <c r="N44">
        <f t="shared" si="24"/>
        <v>716790255</v>
      </c>
      <c r="O44">
        <f t="shared" si="18"/>
        <v>9.56263153100839e-5</v>
      </c>
    </row>
    <row r="45" ht="13.9" spans="1:15">
      <c r="A45" s="40" t="s">
        <v>41</v>
      </c>
      <c r="B45" s="11">
        <v>25982838</v>
      </c>
      <c r="C45" s="11">
        <v>3297805</v>
      </c>
      <c r="D45" s="11">
        <v>348</v>
      </c>
      <c r="E45">
        <f t="shared" si="25"/>
        <v>348</v>
      </c>
      <c r="F45">
        <f t="shared" si="0"/>
        <v>12991419</v>
      </c>
      <c r="G45">
        <f t="shared" si="7"/>
        <v>1299.1419</v>
      </c>
      <c r="H45">
        <f t="shared" si="4"/>
        <v>34800</v>
      </c>
      <c r="I45">
        <f t="shared" si="29"/>
        <v>16704</v>
      </c>
      <c r="J45">
        <f t="shared" si="27"/>
        <v>6.92764970477821e-5</v>
      </c>
      <c r="K45">
        <f t="shared" si="19"/>
        <v>572194034</v>
      </c>
      <c r="L45">
        <f t="shared" si="28"/>
        <v>6.08185299604155e-5</v>
      </c>
      <c r="M45">
        <f t="shared" si="11"/>
        <v>29280643</v>
      </c>
      <c r="N45">
        <f t="shared" si="24"/>
        <v>674121090</v>
      </c>
      <c r="O45">
        <f t="shared" si="18"/>
        <v>7.25787750872064e-5</v>
      </c>
    </row>
    <row r="46" ht="13.9" spans="1:15">
      <c r="A46" s="40" t="s">
        <v>42</v>
      </c>
      <c r="B46" s="11">
        <v>21981544</v>
      </c>
      <c r="C46" s="11">
        <v>2819095</v>
      </c>
      <c r="D46" s="11">
        <v>330</v>
      </c>
      <c r="E46">
        <f t="shared" si="25"/>
        <v>330</v>
      </c>
      <c r="F46">
        <f t="shared" si="0"/>
        <v>10990772</v>
      </c>
      <c r="G46">
        <f t="shared" si="7"/>
        <v>1099.0772</v>
      </c>
      <c r="H46">
        <f t="shared" si="4"/>
        <v>33000</v>
      </c>
      <c r="I46">
        <f t="shared" si="29"/>
        <v>15840</v>
      </c>
      <c r="J46">
        <f t="shared" si="27"/>
        <v>0.000109182503285483</v>
      </c>
      <c r="K46">
        <f t="shared" si="19"/>
        <v>550212490</v>
      </c>
      <c r="L46">
        <f t="shared" si="28"/>
        <v>5.99768282250372e-5</v>
      </c>
      <c r="M46">
        <f t="shared" si="11"/>
        <v>24800639</v>
      </c>
      <c r="N46">
        <f t="shared" si="24"/>
        <v>644840447</v>
      </c>
      <c r="O46">
        <f t="shared" si="18"/>
        <v>6.1679819031411e-5</v>
      </c>
    </row>
    <row r="47" ht="13.9" spans="1:15">
      <c r="A47" s="40" t="s">
        <v>43</v>
      </c>
      <c r="B47" s="11">
        <v>34666998</v>
      </c>
      <c r="C47" s="11">
        <v>4243622</v>
      </c>
      <c r="D47" s="11">
        <v>306</v>
      </c>
      <c r="E47">
        <f t="shared" si="25"/>
        <v>306</v>
      </c>
      <c r="F47">
        <f t="shared" si="0"/>
        <v>17333499</v>
      </c>
      <c r="G47">
        <f t="shared" si="7"/>
        <v>1733.3499</v>
      </c>
      <c r="H47">
        <f t="shared" si="4"/>
        <v>30600</v>
      </c>
      <c r="I47">
        <f t="shared" si="29"/>
        <v>14688</v>
      </c>
      <c r="J47">
        <f t="shared" si="27"/>
        <v>6.0576344106865e-5</v>
      </c>
      <c r="K47">
        <f t="shared" si="19"/>
        <v>515545492</v>
      </c>
      <c r="L47">
        <f t="shared" si="28"/>
        <v>5.93546068675546e-5</v>
      </c>
      <c r="M47">
        <f t="shared" si="11"/>
        <v>38910620</v>
      </c>
      <c r="N47">
        <f t="shared" si="24"/>
        <v>620039808</v>
      </c>
      <c r="O47">
        <f t="shared" si="18"/>
        <v>7.99090741281853e-5</v>
      </c>
    </row>
    <row r="48" ht="13.9" spans="1:15">
      <c r="A48" s="40" t="s">
        <v>44</v>
      </c>
      <c r="B48" s="11">
        <v>23262220</v>
      </c>
      <c r="C48" s="11">
        <v>3017649</v>
      </c>
      <c r="D48" s="11">
        <v>285</v>
      </c>
      <c r="E48">
        <f t="shared" si="25"/>
        <v>285</v>
      </c>
      <c r="F48">
        <f t="shared" si="0"/>
        <v>11631110</v>
      </c>
      <c r="G48">
        <f t="shared" si="7"/>
        <v>1163.111</v>
      </c>
      <c r="H48">
        <f t="shared" si="4"/>
        <v>28500</v>
      </c>
      <c r="I48">
        <f t="shared" si="29"/>
        <v>13680</v>
      </c>
      <c r="J48">
        <f t="shared" si="27"/>
        <v>6.44822377227969e-5</v>
      </c>
      <c r="K48">
        <f t="shared" si="19"/>
        <v>492283272</v>
      </c>
      <c r="L48">
        <f t="shared" si="28"/>
        <v>5.78934967345386e-5</v>
      </c>
      <c r="M48">
        <f t="shared" si="11"/>
        <v>26279869</v>
      </c>
      <c r="N48">
        <f t="shared" si="24"/>
        <v>581129188</v>
      </c>
      <c r="O48">
        <f t="shared" si="18"/>
        <v>6.63629778820158e-5</v>
      </c>
    </row>
    <row r="49" ht="13.85" spans="1:15">
      <c r="A49" s="40">
        <v>37614</v>
      </c>
      <c r="B49" s="11">
        <v>20020864</v>
      </c>
      <c r="C49" s="11">
        <v>2582100</v>
      </c>
      <c r="D49" s="11">
        <v>270</v>
      </c>
      <c r="E49">
        <f t="shared" si="25"/>
        <v>270</v>
      </c>
      <c r="F49">
        <f t="shared" si="0"/>
        <v>10010432</v>
      </c>
      <c r="G49">
        <f t="shared" si="7"/>
        <v>1001.0432</v>
      </c>
      <c r="H49">
        <f t="shared" si="4"/>
        <v>27000</v>
      </c>
      <c r="I49">
        <f t="shared" si="29"/>
        <v>12960</v>
      </c>
      <c r="J49">
        <f t="shared" si="27"/>
        <v>0.000109885367584536</v>
      </c>
      <c r="K49">
        <f t="shared" si="19"/>
        <v>472262408</v>
      </c>
      <c r="L49">
        <f t="shared" si="28"/>
        <v>5.71716053249786e-5</v>
      </c>
      <c r="M49">
        <f t="shared" si="11"/>
        <v>22602964</v>
      </c>
      <c r="N49">
        <f t="shared" si="24"/>
        <v>554849319</v>
      </c>
      <c r="O49">
        <f t="shared" si="18"/>
        <v>5.79910661072321e-5</v>
      </c>
    </row>
    <row r="50" ht="13.85" spans="1:15">
      <c r="A50" s="40">
        <v>37553</v>
      </c>
      <c r="B50" s="11">
        <v>33820636</v>
      </c>
      <c r="C50" s="11">
        <v>4116242</v>
      </c>
      <c r="D50" s="11">
        <v>248</v>
      </c>
      <c r="E50">
        <f t="shared" si="25"/>
        <v>248</v>
      </c>
      <c r="F50">
        <f t="shared" si="0"/>
        <v>16910318</v>
      </c>
      <c r="G50">
        <f t="shared" si="7"/>
        <v>1691.0318</v>
      </c>
      <c r="H50">
        <f t="shared" si="4"/>
        <v>24800</v>
      </c>
      <c r="I50">
        <f t="shared" si="29"/>
        <v>11904</v>
      </c>
      <c r="J50">
        <f t="shared" ref="J50:J67" si="30">IF(H50&gt;H51,(H50-H51)/B50,0)</f>
        <v>5.91354934898327e-5</v>
      </c>
      <c r="K50">
        <f t="shared" ref="K50:K66" si="31">IF(E50&gt;E51,B51+K51,B51)</f>
        <v>438441772</v>
      </c>
      <c r="L50">
        <f t="shared" si="28"/>
        <v>5.65639534911833e-5</v>
      </c>
      <c r="M50">
        <f t="shared" si="11"/>
        <v>37936878</v>
      </c>
      <c r="N50">
        <f t="shared" si="24"/>
        <v>532246355</v>
      </c>
      <c r="O50">
        <f t="shared" si="18"/>
        <v>7.8784164950091e-5</v>
      </c>
    </row>
    <row r="51" ht="13.85" spans="1:15">
      <c r="A51" s="40">
        <v>37461</v>
      </c>
      <c r="B51" s="11">
        <v>22433706</v>
      </c>
      <c r="C51" s="11">
        <v>2952106</v>
      </c>
      <c r="D51" s="11">
        <v>228</v>
      </c>
      <c r="E51">
        <f t="shared" si="25"/>
        <v>228</v>
      </c>
      <c r="F51">
        <f t="shared" si="0"/>
        <v>11216853</v>
      </c>
      <c r="G51">
        <f t="shared" si="7"/>
        <v>1121.6853</v>
      </c>
      <c r="H51">
        <f t="shared" si="4"/>
        <v>22800</v>
      </c>
      <c r="I51">
        <f t="shared" si="29"/>
        <v>10944</v>
      </c>
      <c r="J51">
        <f t="shared" si="30"/>
        <v>6.24060955421276e-5</v>
      </c>
      <c r="K51">
        <f t="shared" si="31"/>
        <v>416008066</v>
      </c>
      <c r="L51">
        <f t="shared" si="28"/>
        <v>5.48066296387628e-5</v>
      </c>
      <c r="M51">
        <f t="shared" si="11"/>
        <v>25385812</v>
      </c>
      <c r="N51">
        <f t="shared" si="24"/>
        <v>494309477</v>
      </c>
      <c r="O51">
        <f t="shared" si="18"/>
        <v>6.37084120587282e-5</v>
      </c>
    </row>
    <row r="52" ht="13.85" spans="1:15">
      <c r="A52" s="40">
        <v>37400</v>
      </c>
      <c r="B52" s="11">
        <v>19376286</v>
      </c>
      <c r="C52" s="11">
        <v>2598834</v>
      </c>
      <c r="D52" s="11">
        <v>214</v>
      </c>
      <c r="E52">
        <f t="shared" si="25"/>
        <v>214</v>
      </c>
      <c r="F52">
        <f t="shared" si="0"/>
        <v>9688143</v>
      </c>
      <c r="G52">
        <f t="shared" si="7"/>
        <v>968.8143</v>
      </c>
      <c r="H52">
        <f t="shared" si="4"/>
        <v>21400</v>
      </c>
      <c r="I52">
        <f t="shared" si="29"/>
        <v>10272</v>
      </c>
      <c r="J52">
        <f t="shared" si="30"/>
        <v>4.12875821506763e-5</v>
      </c>
      <c r="K52">
        <f t="shared" si="31"/>
        <v>396631780</v>
      </c>
      <c r="L52">
        <f t="shared" si="28"/>
        <v>5.39543250921547e-5</v>
      </c>
      <c r="M52">
        <f t="shared" si="11"/>
        <v>21975120</v>
      </c>
      <c r="N52">
        <f t="shared" si="24"/>
        <v>468923665</v>
      </c>
      <c r="O52">
        <f t="shared" si="18"/>
        <v>2.23430153904555e-5</v>
      </c>
    </row>
    <row r="53" ht="13.85" spans="1:15">
      <c r="A53" s="40">
        <v>37339</v>
      </c>
      <c r="B53" s="11">
        <v>31812200</v>
      </c>
      <c r="C53" s="11">
        <v>3993173</v>
      </c>
      <c r="D53" s="11">
        <v>206</v>
      </c>
      <c r="E53">
        <f t="shared" si="25"/>
        <v>206</v>
      </c>
      <c r="F53">
        <f t="shared" si="0"/>
        <v>15906100</v>
      </c>
      <c r="G53">
        <f t="shared" si="7"/>
        <v>1590.61</v>
      </c>
      <c r="H53">
        <f t="shared" si="4"/>
        <v>20600</v>
      </c>
      <c r="I53">
        <f t="shared" si="29"/>
        <v>9888</v>
      </c>
      <c r="J53">
        <f t="shared" si="30"/>
        <v>5.65820659998365e-5</v>
      </c>
      <c r="K53">
        <f t="shared" si="31"/>
        <v>364819580</v>
      </c>
      <c r="L53">
        <f t="shared" si="28"/>
        <v>5.64662675177686e-5</v>
      </c>
      <c r="M53">
        <f t="shared" si="11"/>
        <v>35805373</v>
      </c>
      <c r="N53">
        <f t="shared" si="24"/>
        <v>446948545</v>
      </c>
      <c r="O53">
        <f t="shared" ref="O53:O75" si="32">IF(H53&gt;H54,(H53-H54)/M54,H53/M54)</f>
        <v>7.57846777107116e-5</v>
      </c>
    </row>
    <row r="54" ht="13.9" spans="1:15">
      <c r="A54" s="40" t="s">
        <v>45</v>
      </c>
      <c r="B54" s="11">
        <v>20947004</v>
      </c>
      <c r="C54" s="11">
        <v>2804499</v>
      </c>
      <c r="D54" s="11">
        <v>188</v>
      </c>
      <c r="E54">
        <f t="shared" si="25"/>
        <v>188</v>
      </c>
      <c r="F54">
        <f t="shared" si="0"/>
        <v>10473502</v>
      </c>
      <c r="G54">
        <f t="shared" si="7"/>
        <v>1047.3502</v>
      </c>
      <c r="H54">
        <f t="shared" si="4"/>
        <v>18800</v>
      </c>
      <c r="I54">
        <f t="shared" si="29"/>
        <v>9024</v>
      </c>
      <c r="J54">
        <f t="shared" si="30"/>
        <v>6.68353335875622e-5</v>
      </c>
      <c r="K54">
        <f t="shared" si="31"/>
        <v>343872576</v>
      </c>
      <c r="L54">
        <f t="shared" si="28"/>
        <v>5.46714140996228e-5</v>
      </c>
      <c r="M54">
        <f t="shared" si="11"/>
        <v>23751503</v>
      </c>
      <c r="N54">
        <f t="shared" si="24"/>
        <v>411143172</v>
      </c>
      <c r="O54">
        <f t="shared" si="32"/>
        <v>6.90721503507311e-5</v>
      </c>
    </row>
    <row r="55" ht="13.9" spans="1:15">
      <c r="A55" s="40" t="s">
        <v>46</v>
      </c>
      <c r="B55" s="11">
        <v>17876644</v>
      </c>
      <c r="C55" s="11">
        <v>2392017</v>
      </c>
      <c r="D55" s="11">
        <v>174</v>
      </c>
      <c r="E55">
        <f t="shared" si="25"/>
        <v>174</v>
      </c>
      <c r="F55">
        <f t="shared" si="0"/>
        <v>8938322</v>
      </c>
      <c r="G55">
        <f t="shared" si="7"/>
        <v>893.8322</v>
      </c>
      <c r="H55">
        <f t="shared" si="4"/>
        <v>17400</v>
      </c>
      <c r="I55">
        <f t="shared" si="29"/>
        <v>8352</v>
      </c>
      <c r="J55">
        <f t="shared" si="30"/>
        <v>5.59389111289569e-5</v>
      </c>
      <c r="K55">
        <f t="shared" si="31"/>
        <v>325995932</v>
      </c>
      <c r="L55">
        <f t="shared" si="28"/>
        <v>5.33748991689872e-5</v>
      </c>
      <c r="M55">
        <f t="shared" si="11"/>
        <v>20268661</v>
      </c>
      <c r="N55">
        <f t="shared" si="24"/>
        <v>387391669</v>
      </c>
      <c r="O55">
        <f t="shared" si="32"/>
        <v>3.07141230171884e-5</v>
      </c>
    </row>
    <row r="56" ht="13.9" spans="1:15">
      <c r="A56" s="40" t="s">
        <v>47</v>
      </c>
      <c r="B56" s="11">
        <v>28864980</v>
      </c>
      <c r="C56" s="11">
        <v>3693332</v>
      </c>
      <c r="D56" s="11">
        <v>164</v>
      </c>
      <c r="E56">
        <f t="shared" si="25"/>
        <v>164</v>
      </c>
      <c r="F56">
        <f t="shared" si="0"/>
        <v>14432490</v>
      </c>
      <c r="G56">
        <f t="shared" si="7"/>
        <v>1443.249</v>
      </c>
      <c r="H56">
        <f t="shared" si="4"/>
        <v>16400</v>
      </c>
      <c r="I56">
        <f t="shared" si="29"/>
        <v>7872</v>
      </c>
      <c r="J56">
        <f t="shared" si="30"/>
        <v>6.58237074822155e-5</v>
      </c>
      <c r="K56">
        <f t="shared" si="31"/>
        <v>297130952</v>
      </c>
      <c r="L56">
        <f t="shared" si="28"/>
        <v>5.51945190819434e-5</v>
      </c>
      <c r="M56">
        <f t="shared" si="11"/>
        <v>32558312</v>
      </c>
      <c r="N56">
        <f t="shared" si="24"/>
        <v>367123008</v>
      </c>
      <c r="O56">
        <f t="shared" si="32"/>
        <v>8.45495602154625e-5</v>
      </c>
    </row>
    <row r="57" ht="13.9" spans="1:15">
      <c r="A57" s="40" t="s">
        <v>48</v>
      </c>
      <c r="B57" s="11">
        <v>19805848</v>
      </c>
      <c r="C57" s="11">
        <v>2666179</v>
      </c>
      <c r="D57" s="11">
        <v>145</v>
      </c>
      <c r="E57">
        <f t="shared" si="25"/>
        <v>145</v>
      </c>
      <c r="F57">
        <f t="shared" si="0"/>
        <v>9902924</v>
      </c>
      <c r="G57">
        <f t="shared" si="7"/>
        <v>990.2924</v>
      </c>
      <c r="H57">
        <f t="shared" si="4"/>
        <v>14500</v>
      </c>
      <c r="I57">
        <f t="shared" si="29"/>
        <v>6960</v>
      </c>
      <c r="J57">
        <f t="shared" si="30"/>
        <v>6.05881656771273e-5</v>
      </c>
      <c r="K57">
        <f t="shared" si="31"/>
        <v>277325104</v>
      </c>
      <c r="L57">
        <f t="shared" si="28"/>
        <v>5.22852053090729e-5</v>
      </c>
      <c r="M57">
        <f t="shared" si="11"/>
        <v>22472027</v>
      </c>
      <c r="N57">
        <f t="shared" si="24"/>
        <v>334564696</v>
      </c>
      <c r="O57">
        <f t="shared" si="32"/>
        <v>6.12560991932265e-5</v>
      </c>
    </row>
    <row r="58" ht="13.9" spans="1:15">
      <c r="A58" s="40" t="s">
        <v>49</v>
      </c>
      <c r="B58" s="11">
        <v>17237778</v>
      </c>
      <c r="C58" s="11">
        <v>2352108</v>
      </c>
      <c r="D58" s="11">
        <v>133</v>
      </c>
      <c r="E58">
        <f t="shared" si="25"/>
        <v>133</v>
      </c>
      <c r="F58">
        <f t="shared" si="0"/>
        <v>8618889</v>
      </c>
      <c r="G58">
        <f t="shared" si="7"/>
        <v>861.8889</v>
      </c>
      <c r="H58">
        <f t="shared" si="4"/>
        <v>13300</v>
      </c>
      <c r="I58">
        <f t="shared" si="29"/>
        <v>6384</v>
      </c>
      <c r="J58">
        <f t="shared" si="30"/>
        <v>7.54157525407277e-5</v>
      </c>
      <c r="K58">
        <f t="shared" si="31"/>
        <v>260087326</v>
      </c>
      <c r="L58">
        <f t="shared" si="28"/>
        <v>5.11366709195203e-5</v>
      </c>
      <c r="M58">
        <f t="shared" si="11"/>
        <v>19589886</v>
      </c>
      <c r="N58">
        <f t="shared" si="24"/>
        <v>312092669</v>
      </c>
      <c r="O58">
        <f t="shared" si="32"/>
        <v>4.25488516457699e-5</v>
      </c>
    </row>
    <row r="59" ht="13.9" spans="1:15">
      <c r="A59" s="40" t="s">
        <v>50</v>
      </c>
      <c r="B59" s="11">
        <v>27024790</v>
      </c>
      <c r="C59" s="11">
        <v>3528326</v>
      </c>
      <c r="D59" s="11">
        <v>120</v>
      </c>
      <c r="E59">
        <f t="shared" si="25"/>
        <v>120</v>
      </c>
      <c r="F59">
        <f t="shared" si="0"/>
        <v>13512395</v>
      </c>
      <c r="G59">
        <f t="shared" si="7"/>
        <v>1351.2395</v>
      </c>
      <c r="H59">
        <f t="shared" si="4"/>
        <v>12000</v>
      </c>
      <c r="I59">
        <f t="shared" si="29"/>
        <v>5760</v>
      </c>
      <c r="J59">
        <f t="shared" si="30"/>
        <v>6.66055129383059e-5</v>
      </c>
      <c r="K59">
        <f t="shared" si="31"/>
        <v>233062536</v>
      </c>
      <c r="L59">
        <f t="shared" ref="L59:L67" si="33">IF(E59&gt;E60,H59/K59,0)</f>
        <v>5.14883267210308e-5</v>
      </c>
      <c r="M59">
        <f t="shared" si="11"/>
        <v>30553116</v>
      </c>
      <c r="N59">
        <f t="shared" si="24"/>
        <v>292502783</v>
      </c>
      <c r="O59">
        <f t="shared" si="32"/>
        <v>8.60417976712787e-5</v>
      </c>
    </row>
    <row r="60" ht="13.9" spans="1:15">
      <c r="A60" s="40" t="s">
        <v>51</v>
      </c>
      <c r="B60" s="11">
        <v>18396486</v>
      </c>
      <c r="C60" s="11">
        <v>2523579</v>
      </c>
      <c r="D60" s="11">
        <v>102</v>
      </c>
      <c r="E60">
        <f t="shared" si="25"/>
        <v>102</v>
      </c>
      <c r="F60">
        <f t="shared" si="0"/>
        <v>9198243</v>
      </c>
      <c r="G60">
        <f t="shared" si="7"/>
        <v>919.8243</v>
      </c>
      <c r="H60">
        <f t="shared" si="4"/>
        <v>10200</v>
      </c>
      <c r="I60">
        <f t="shared" si="29"/>
        <v>4896</v>
      </c>
      <c r="J60">
        <f t="shared" si="30"/>
        <v>7.6101490251997e-5</v>
      </c>
      <c r="K60">
        <f t="shared" si="31"/>
        <v>214666050</v>
      </c>
      <c r="L60">
        <f t="shared" si="33"/>
        <v>4.75156644471727e-5</v>
      </c>
      <c r="M60">
        <f t="shared" si="11"/>
        <v>20920065</v>
      </c>
      <c r="N60">
        <f t="shared" si="24"/>
        <v>261949667</v>
      </c>
      <c r="O60">
        <f t="shared" si="32"/>
        <v>8.07034016253204e-5</v>
      </c>
    </row>
    <row r="61" ht="13.9" spans="1:15">
      <c r="A61" s="40" t="s">
        <v>52</v>
      </c>
      <c r="B61" s="11">
        <v>15247722</v>
      </c>
      <c r="C61" s="11">
        <v>2099750</v>
      </c>
      <c r="D61" s="11">
        <v>88</v>
      </c>
      <c r="E61">
        <f t="shared" si="25"/>
        <v>88</v>
      </c>
      <c r="F61">
        <f t="shared" si="0"/>
        <v>7623861</v>
      </c>
      <c r="G61">
        <f t="shared" si="7"/>
        <v>762.3861</v>
      </c>
      <c r="H61">
        <f t="shared" si="4"/>
        <v>8800</v>
      </c>
      <c r="I61">
        <f t="shared" si="29"/>
        <v>4224</v>
      </c>
      <c r="J61">
        <f t="shared" si="30"/>
        <v>7.21419238886963e-5</v>
      </c>
      <c r="K61">
        <f t="shared" si="31"/>
        <v>199418328</v>
      </c>
      <c r="L61">
        <f t="shared" si="33"/>
        <v>4.41283411021278e-5</v>
      </c>
      <c r="M61">
        <f t="shared" si="11"/>
        <v>17347472</v>
      </c>
      <c r="N61">
        <f t="shared" si="24"/>
        <v>241029602</v>
      </c>
      <c r="O61">
        <f t="shared" si="32"/>
        <v>3.754309136299e-5</v>
      </c>
    </row>
    <row r="62" ht="13.9" spans="1:15">
      <c r="A62" s="40" t="s">
        <v>53</v>
      </c>
      <c r="B62" s="11">
        <v>25835714</v>
      </c>
      <c r="C62" s="11">
        <v>3463951</v>
      </c>
      <c r="D62" s="11">
        <v>77</v>
      </c>
      <c r="E62">
        <f t="shared" si="25"/>
        <v>77</v>
      </c>
      <c r="F62">
        <f t="shared" si="0"/>
        <v>12917857</v>
      </c>
      <c r="G62">
        <f t="shared" si="7"/>
        <v>1291.7857</v>
      </c>
      <c r="H62">
        <f t="shared" si="4"/>
        <v>7700</v>
      </c>
      <c r="I62">
        <f t="shared" si="29"/>
        <v>3696</v>
      </c>
      <c r="J62">
        <f t="shared" si="30"/>
        <v>6.58003877887795e-5</v>
      </c>
      <c r="K62">
        <f t="shared" si="31"/>
        <v>173582614</v>
      </c>
      <c r="L62">
        <f t="shared" si="33"/>
        <v>4.43592812814767e-5</v>
      </c>
      <c r="M62">
        <f t="shared" si="11"/>
        <v>29299665</v>
      </c>
      <c r="N62">
        <f t="shared" si="24"/>
        <v>223682130</v>
      </c>
      <c r="O62">
        <f t="shared" si="32"/>
        <v>8.48333999275523e-5</v>
      </c>
    </row>
    <row r="63" ht="13.85" spans="1:15">
      <c r="A63" s="40">
        <v>37188</v>
      </c>
      <c r="B63" s="11">
        <v>17553334</v>
      </c>
      <c r="C63" s="11">
        <v>2485943</v>
      </c>
      <c r="D63" s="11">
        <v>60</v>
      </c>
      <c r="E63">
        <f t="shared" si="25"/>
        <v>60</v>
      </c>
      <c r="F63">
        <f t="shared" si="0"/>
        <v>8776667</v>
      </c>
      <c r="G63">
        <f t="shared" si="7"/>
        <v>877.6667</v>
      </c>
      <c r="H63">
        <f t="shared" si="4"/>
        <v>6000</v>
      </c>
      <c r="I63">
        <f t="shared" si="29"/>
        <v>2880</v>
      </c>
      <c r="J63">
        <f t="shared" si="30"/>
        <v>7.97569282279936e-5</v>
      </c>
      <c r="K63">
        <f t="shared" si="31"/>
        <v>156029280</v>
      </c>
      <c r="L63">
        <f t="shared" si="33"/>
        <v>3.84543208813115e-5</v>
      </c>
      <c r="M63">
        <f t="shared" si="11"/>
        <v>20039277</v>
      </c>
      <c r="N63">
        <f t="shared" si="24"/>
        <v>194382465</v>
      </c>
      <c r="O63">
        <f t="shared" si="32"/>
        <v>7.79777343491307e-5</v>
      </c>
    </row>
    <row r="64" ht="13.85" spans="1:15">
      <c r="A64" s="40">
        <v>37127</v>
      </c>
      <c r="B64" s="11">
        <v>15731002</v>
      </c>
      <c r="C64" s="11">
        <v>2222841</v>
      </c>
      <c r="D64" s="11">
        <v>46</v>
      </c>
      <c r="E64">
        <f t="shared" si="25"/>
        <v>46</v>
      </c>
      <c r="F64">
        <f t="shared" si="0"/>
        <v>7865501</v>
      </c>
      <c r="G64">
        <f t="shared" si="7"/>
        <v>786.5501</v>
      </c>
      <c r="H64">
        <f t="shared" si="4"/>
        <v>4600</v>
      </c>
      <c r="I64">
        <f t="shared" si="29"/>
        <v>2208</v>
      </c>
      <c r="J64">
        <f t="shared" si="30"/>
        <v>6.99256156727969e-5</v>
      </c>
      <c r="K64">
        <f t="shared" si="31"/>
        <v>140298278</v>
      </c>
      <c r="L64">
        <f t="shared" si="33"/>
        <v>3.27872876672086e-5</v>
      </c>
      <c r="M64">
        <f t="shared" si="11"/>
        <v>17953843</v>
      </c>
      <c r="N64">
        <f t="shared" si="24"/>
        <v>174343188</v>
      </c>
      <c r="O64">
        <f t="shared" si="32"/>
        <v>3.83894120047321e-5</v>
      </c>
    </row>
    <row r="65" ht="13.85" spans="1:15">
      <c r="A65" s="40">
        <v>37066</v>
      </c>
      <c r="B65" s="11">
        <v>25261928</v>
      </c>
      <c r="C65" s="11">
        <v>3391806</v>
      </c>
      <c r="D65" s="11">
        <v>35</v>
      </c>
      <c r="E65">
        <f t="shared" si="25"/>
        <v>35</v>
      </c>
      <c r="F65">
        <f t="shared" si="0"/>
        <v>12630964</v>
      </c>
      <c r="G65">
        <f t="shared" si="7"/>
        <v>1263.0964</v>
      </c>
      <c r="H65">
        <f t="shared" si="4"/>
        <v>3500</v>
      </c>
      <c r="I65">
        <f t="shared" si="29"/>
        <v>1680</v>
      </c>
      <c r="J65">
        <f t="shared" si="30"/>
        <v>5.93778907136462e-5</v>
      </c>
      <c r="K65">
        <f t="shared" si="31"/>
        <v>115036350</v>
      </c>
      <c r="L65">
        <f t="shared" si="33"/>
        <v>3.04251656106961e-5</v>
      </c>
      <c r="M65">
        <f t="shared" si="11"/>
        <v>28653734</v>
      </c>
      <c r="N65">
        <f t="shared" si="24"/>
        <v>156389345</v>
      </c>
      <c r="O65">
        <f t="shared" si="32"/>
        <v>6.4590284234713e-5</v>
      </c>
    </row>
    <row r="66" ht="13.85" spans="1:15">
      <c r="A66" s="40">
        <v>36974</v>
      </c>
      <c r="B66" s="11">
        <v>20452528</v>
      </c>
      <c r="C66" s="11">
        <v>2770779</v>
      </c>
      <c r="D66" s="11">
        <v>20</v>
      </c>
      <c r="E66">
        <f t="shared" ref="E66:E111" si="34">IF(RIGHT(D66,1)="B",VALUE(LEFT(D66,LEN(D66)-1))*1000,D66)</f>
        <v>20</v>
      </c>
      <c r="F66">
        <f t="shared" ref="F66:F129" si="35">B66/2</f>
        <v>10226264</v>
      </c>
      <c r="G66">
        <f t="shared" si="7"/>
        <v>1022.6264</v>
      </c>
      <c r="H66">
        <f t="shared" si="4"/>
        <v>2000</v>
      </c>
      <c r="I66">
        <f t="shared" si="29"/>
        <v>960</v>
      </c>
      <c r="J66">
        <f t="shared" si="30"/>
        <v>0</v>
      </c>
      <c r="K66">
        <f t="shared" si="31"/>
        <v>94583822</v>
      </c>
      <c r="L66">
        <f t="shared" si="33"/>
        <v>0</v>
      </c>
      <c r="M66">
        <f t="shared" si="11"/>
        <v>23223307</v>
      </c>
      <c r="N66">
        <f t="shared" si="24"/>
        <v>127735611</v>
      </c>
      <c r="O66">
        <v>0</v>
      </c>
    </row>
    <row r="67" ht="13.85" spans="1:15">
      <c r="A67" s="40">
        <v>36915</v>
      </c>
      <c r="B67" s="11">
        <v>94583822</v>
      </c>
      <c r="C67" s="11">
        <v>9928482</v>
      </c>
      <c r="D67" s="11">
        <v>842.4</v>
      </c>
      <c r="E67">
        <f t="shared" si="34"/>
        <v>842.4</v>
      </c>
      <c r="F67">
        <f t="shared" si="35"/>
        <v>47291911</v>
      </c>
      <c r="G67">
        <f t="shared" si="7"/>
        <v>4729.1911</v>
      </c>
      <c r="H67">
        <f t="shared" ref="H67:H130" si="36">E67*100</f>
        <v>84240</v>
      </c>
      <c r="I67">
        <f t="shared" si="29"/>
        <v>40435.2</v>
      </c>
      <c r="J67">
        <f t="shared" si="30"/>
        <v>8.71184926318583e-5</v>
      </c>
      <c r="K67">
        <f t="shared" ref="K67:K130" si="37">IF(E67&gt;E68,B68+K68,B68)</f>
        <v>1450430922</v>
      </c>
      <c r="L67">
        <f t="shared" si="33"/>
        <v>5.80792912797539e-5</v>
      </c>
      <c r="M67">
        <f t="shared" si="11"/>
        <v>104512304</v>
      </c>
      <c r="N67">
        <f t="shared" si="24"/>
        <v>1719437437</v>
      </c>
      <c r="O67">
        <f t="shared" si="32"/>
        <v>5.9499958306704e-5</v>
      </c>
    </row>
    <row r="68" ht="13.9" spans="1:15">
      <c r="A68" s="41" t="s">
        <v>54</v>
      </c>
      <c r="B68" s="13">
        <v>125802272</v>
      </c>
      <c r="C68" s="13">
        <v>12685220</v>
      </c>
      <c r="D68" s="13">
        <v>760</v>
      </c>
      <c r="E68">
        <f t="shared" si="34"/>
        <v>760</v>
      </c>
      <c r="F68">
        <f t="shared" si="35"/>
        <v>62901136</v>
      </c>
      <c r="G68">
        <f t="shared" ref="G68:G131" si="38">F68/10000</f>
        <v>6290.1136</v>
      </c>
      <c r="H68">
        <f t="shared" si="36"/>
        <v>76000</v>
      </c>
      <c r="I68">
        <f t="shared" si="29"/>
        <v>36480</v>
      </c>
      <c r="J68">
        <f t="shared" ref="J68:J80" si="39">IF(H68&gt;H69,(H68-H69)/B68,0)</f>
        <v>5.96173652571235e-5</v>
      </c>
      <c r="K68">
        <f t="shared" si="37"/>
        <v>1324628650</v>
      </c>
      <c r="L68">
        <f t="shared" ref="L68:L102" si="40">IF(E68&gt;E69,H68/K68,0)</f>
        <v>5.73745706013531e-5</v>
      </c>
      <c r="M68">
        <f t="shared" si="11"/>
        <v>138487492</v>
      </c>
      <c r="N68">
        <f t="shared" si="24"/>
        <v>1614925133</v>
      </c>
      <c r="O68">
        <f t="shared" si="32"/>
        <v>8.65633125337467e-5</v>
      </c>
    </row>
    <row r="69" ht="13.9" spans="1:15">
      <c r="A69" s="42" t="s">
        <v>55</v>
      </c>
      <c r="B69" s="11">
        <v>78521654</v>
      </c>
      <c r="C69" s="11">
        <v>8120132</v>
      </c>
      <c r="D69" s="11">
        <v>685</v>
      </c>
      <c r="E69">
        <f t="shared" si="34"/>
        <v>685</v>
      </c>
      <c r="F69">
        <f t="shared" si="35"/>
        <v>39260827</v>
      </c>
      <c r="G69">
        <f t="shared" si="38"/>
        <v>3926.0827</v>
      </c>
      <c r="H69">
        <f t="shared" si="36"/>
        <v>68500</v>
      </c>
      <c r="I69">
        <f t="shared" si="29"/>
        <v>32880</v>
      </c>
      <c r="J69">
        <f t="shared" si="39"/>
        <v>5.98561003312538e-5</v>
      </c>
      <c r="K69">
        <f t="shared" si="37"/>
        <v>1246106996</v>
      </c>
      <c r="L69">
        <f t="shared" si="40"/>
        <v>5.49712024889394e-5</v>
      </c>
      <c r="M69">
        <f t="shared" si="11"/>
        <v>86641786</v>
      </c>
      <c r="N69">
        <f t="shared" si="24"/>
        <v>1476437641</v>
      </c>
      <c r="O69">
        <f t="shared" si="32"/>
        <v>8.44003998064896e-5</v>
      </c>
    </row>
    <row r="70" ht="13.9" spans="1:15">
      <c r="A70" s="42" t="s">
        <v>56</v>
      </c>
      <c r="B70" s="11">
        <v>50426838</v>
      </c>
      <c r="C70" s="11">
        <v>5260102</v>
      </c>
      <c r="D70" s="11">
        <v>638</v>
      </c>
      <c r="E70">
        <f t="shared" si="34"/>
        <v>638</v>
      </c>
      <c r="F70">
        <f t="shared" si="35"/>
        <v>25213419</v>
      </c>
      <c r="G70">
        <f t="shared" si="38"/>
        <v>2521.3419</v>
      </c>
      <c r="H70">
        <f t="shared" si="36"/>
        <v>63800</v>
      </c>
      <c r="I70">
        <f t="shared" si="29"/>
        <v>30624</v>
      </c>
      <c r="J70">
        <f t="shared" si="39"/>
        <v>3.5695277978762e-5</v>
      </c>
      <c r="K70">
        <f t="shared" si="37"/>
        <v>1195680158</v>
      </c>
      <c r="L70">
        <f t="shared" si="40"/>
        <v>5.33587511452206e-5</v>
      </c>
      <c r="M70">
        <f t="shared" si="11"/>
        <v>55686940</v>
      </c>
      <c r="N70">
        <f t="shared" si="24"/>
        <v>1389795855</v>
      </c>
      <c r="O70">
        <f t="shared" si="32"/>
        <v>2.07354870339099e-5</v>
      </c>
    </row>
    <row r="71" ht="13.9" spans="1:15">
      <c r="A71" s="42" t="s">
        <v>57</v>
      </c>
      <c r="B71" s="11">
        <v>78684874</v>
      </c>
      <c r="C71" s="11">
        <v>8122829</v>
      </c>
      <c r="D71" s="11">
        <v>620</v>
      </c>
      <c r="E71">
        <f t="shared" si="34"/>
        <v>620</v>
      </c>
      <c r="F71">
        <f t="shared" si="35"/>
        <v>39342437</v>
      </c>
      <c r="G71">
        <f t="shared" si="38"/>
        <v>3934.2437</v>
      </c>
      <c r="H71">
        <f t="shared" si="36"/>
        <v>62000</v>
      </c>
      <c r="I71">
        <f t="shared" si="29"/>
        <v>29760</v>
      </c>
      <c r="J71">
        <f t="shared" si="39"/>
        <v>6.10028300992132e-5</v>
      </c>
      <c r="K71">
        <f t="shared" si="37"/>
        <v>1116995284</v>
      </c>
      <c r="L71">
        <f t="shared" si="40"/>
        <v>5.55060535063101e-5</v>
      </c>
      <c r="M71">
        <f t="shared" si="11"/>
        <v>86807703</v>
      </c>
      <c r="N71">
        <f t="shared" si="24"/>
        <v>1334108915</v>
      </c>
      <c r="O71">
        <f t="shared" si="32"/>
        <v>9.29756832560208e-5</v>
      </c>
    </row>
    <row r="72" ht="13.9" spans="1:15">
      <c r="A72" s="42" t="s">
        <v>58</v>
      </c>
      <c r="B72" s="11">
        <v>46495528</v>
      </c>
      <c r="C72" s="11">
        <v>5130874</v>
      </c>
      <c r="D72" s="11">
        <v>572</v>
      </c>
      <c r="E72">
        <f t="shared" si="34"/>
        <v>572</v>
      </c>
      <c r="F72">
        <f t="shared" si="35"/>
        <v>23247764</v>
      </c>
      <c r="G72">
        <f t="shared" si="38"/>
        <v>2324.7764</v>
      </c>
      <c r="H72">
        <f t="shared" si="36"/>
        <v>57200</v>
      </c>
      <c r="I72">
        <f t="shared" si="29"/>
        <v>27456</v>
      </c>
      <c r="J72">
        <f t="shared" si="39"/>
        <v>6.23715898010665e-5</v>
      </c>
      <c r="K72">
        <f t="shared" si="37"/>
        <v>1070499756</v>
      </c>
      <c r="L72">
        <f t="shared" si="40"/>
        <v>5.343298742424e-5</v>
      </c>
      <c r="M72">
        <f t="shared" ref="M72:M135" si="41">B72+C72</f>
        <v>51626402</v>
      </c>
      <c r="N72">
        <f t="shared" si="24"/>
        <v>1247301212</v>
      </c>
      <c r="O72">
        <f t="shared" si="32"/>
        <v>7.20930509483331e-5</v>
      </c>
    </row>
    <row r="73" ht="13.9" spans="1:15">
      <c r="A73" s="42" t="s">
        <v>59</v>
      </c>
      <c r="B73" s="11">
        <v>36108338</v>
      </c>
      <c r="C73" s="11">
        <v>4117453</v>
      </c>
      <c r="D73" s="11">
        <v>543</v>
      </c>
      <c r="E73">
        <f t="shared" si="34"/>
        <v>543</v>
      </c>
      <c r="F73">
        <f t="shared" si="35"/>
        <v>18054169</v>
      </c>
      <c r="G73">
        <f t="shared" si="38"/>
        <v>1805.4169</v>
      </c>
      <c r="H73">
        <f t="shared" si="36"/>
        <v>54300</v>
      </c>
      <c r="I73">
        <f t="shared" si="29"/>
        <v>26064</v>
      </c>
      <c r="J73">
        <f t="shared" si="39"/>
        <v>2.21555475635572e-5</v>
      </c>
      <c r="K73">
        <f t="shared" si="37"/>
        <v>1034391418</v>
      </c>
      <c r="L73">
        <f t="shared" si="40"/>
        <v>5.24946350627979e-5</v>
      </c>
      <c r="M73">
        <f t="shared" si="41"/>
        <v>40225791</v>
      </c>
      <c r="N73">
        <f t="shared" si="24"/>
        <v>1195674810</v>
      </c>
      <c r="O73">
        <f t="shared" si="32"/>
        <v>1.35791157816178e-5</v>
      </c>
    </row>
    <row r="74" ht="13.9" spans="1:15">
      <c r="A74" s="42" t="s">
        <v>60</v>
      </c>
      <c r="B74" s="11">
        <v>53107604</v>
      </c>
      <c r="C74" s="11">
        <v>5806394</v>
      </c>
      <c r="D74" s="11">
        <v>535</v>
      </c>
      <c r="E74">
        <f t="shared" si="34"/>
        <v>535</v>
      </c>
      <c r="F74">
        <f t="shared" si="35"/>
        <v>26553802</v>
      </c>
      <c r="G74">
        <f t="shared" si="38"/>
        <v>2655.3802</v>
      </c>
      <c r="H74">
        <f t="shared" si="36"/>
        <v>53500</v>
      </c>
      <c r="I74">
        <f t="shared" si="29"/>
        <v>25680</v>
      </c>
      <c r="J74">
        <f t="shared" si="39"/>
        <v>6.59039334555556e-5</v>
      </c>
      <c r="K74">
        <f t="shared" si="37"/>
        <v>981283814</v>
      </c>
      <c r="L74">
        <f t="shared" si="40"/>
        <v>5.45204142132115e-5</v>
      </c>
      <c r="M74">
        <f t="shared" si="41"/>
        <v>58913998</v>
      </c>
      <c r="N74">
        <f t="shared" si="24"/>
        <v>1155449019</v>
      </c>
      <c r="O74">
        <f t="shared" si="32"/>
        <v>8.39696674690808e-5</v>
      </c>
    </row>
    <row r="75" ht="13.9" spans="1:15">
      <c r="A75" s="42" t="s">
        <v>61</v>
      </c>
      <c r="B75" s="11">
        <v>37416138</v>
      </c>
      <c r="C75" s="11">
        <v>4265580</v>
      </c>
      <c r="D75" s="11">
        <v>500</v>
      </c>
      <c r="E75">
        <f t="shared" si="34"/>
        <v>500</v>
      </c>
      <c r="F75">
        <f t="shared" si="35"/>
        <v>18708069</v>
      </c>
      <c r="G75">
        <f t="shared" si="38"/>
        <v>1870.8069</v>
      </c>
      <c r="H75">
        <f t="shared" si="36"/>
        <v>50000</v>
      </c>
      <c r="I75">
        <f t="shared" si="29"/>
        <v>24000</v>
      </c>
      <c r="J75">
        <f t="shared" si="39"/>
        <v>6.14708017166283e-5</v>
      </c>
      <c r="K75">
        <f t="shared" si="37"/>
        <v>943867676</v>
      </c>
      <c r="L75">
        <f t="shared" si="40"/>
        <v>5.29735271917501e-5</v>
      </c>
      <c r="M75">
        <f t="shared" si="41"/>
        <v>41681718</v>
      </c>
      <c r="N75">
        <f t="shared" si="24"/>
        <v>1096535021</v>
      </c>
      <c r="O75">
        <f t="shared" si="32"/>
        <v>7.24068691830131e-5</v>
      </c>
    </row>
    <row r="76" ht="13.85" spans="1:15">
      <c r="A76" s="43">
        <v>41236</v>
      </c>
      <c r="B76" s="11">
        <v>28391968</v>
      </c>
      <c r="C76" s="11">
        <v>3372974</v>
      </c>
      <c r="D76" s="11">
        <v>477</v>
      </c>
      <c r="E76">
        <f t="shared" si="34"/>
        <v>477</v>
      </c>
      <c r="F76">
        <f t="shared" si="35"/>
        <v>14195984</v>
      </c>
      <c r="G76">
        <f t="shared" si="38"/>
        <v>1419.5984</v>
      </c>
      <c r="H76">
        <f t="shared" si="36"/>
        <v>47700</v>
      </c>
      <c r="I76">
        <f t="shared" si="29"/>
        <v>22896</v>
      </c>
      <c r="J76">
        <f t="shared" si="39"/>
        <v>3.16991058879751e-5</v>
      </c>
      <c r="K76">
        <f t="shared" si="37"/>
        <v>915475708</v>
      </c>
      <c r="L76">
        <f t="shared" si="40"/>
        <v>5.21040586693536e-5</v>
      </c>
      <c r="M76">
        <f t="shared" si="41"/>
        <v>31764942</v>
      </c>
      <c r="N76">
        <f t="shared" si="24"/>
        <v>1054853303</v>
      </c>
      <c r="O76">
        <f t="shared" ref="O76:O104" si="42">IF(H76&gt;H77,(H76-H77)/M77,H76/M77)</f>
        <v>1.88502227070034e-5</v>
      </c>
    </row>
    <row r="77" ht="13.85" spans="1:15">
      <c r="A77" s="43">
        <v>41175</v>
      </c>
      <c r="B77" s="11">
        <v>42838810</v>
      </c>
      <c r="C77" s="11">
        <v>4905984</v>
      </c>
      <c r="D77" s="11">
        <v>468</v>
      </c>
      <c r="E77">
        <f t="shared" si="34"/>
        <v>468</v>
      </c>
      <c r="F77">
        <f t="shared" si="35"/>
        <v>21419405</v>
      </c>
      <c r="G77">
        <f t="shared" si="38"/>
        <v>2141.9405</v>
      </c>
      <c r="H77">
        <f t="shared" si="36"/>
        <v>46800</v>
      </c>
      <c r="I77">
        <f t="shared" si="29"/>
        <v>22464</v>
      </c>
      <c r="J77">
        <f t="shared" si="39"/>
        <v>7.70329521291558e-5</v>
      </c>
      <c r="K77">
        <f t="shared" si="37"/>
        <v>872636898</v>
      </c>
      <c r="L77">
        <f t="shared" si="40"/>
        <v>5.36305536784671e-5</v>
      </c>
      <c r="M77">
        <f t="shared" si="41"/>
        <v>47744794</v>
      </c>
      <c r="N77">
        <f t="shared" si="24"/>
        <v>1023088361</v>
      </c>
      <c r="O77">
        <f t="shared" si="42"/>
        <v>9.95404639074271e-5</v>
      </c>
    </row>
    <row r="78" ht="13.85" spans="1:15">
      <c r="A78" s="43">
        <v>41083</v>
      </c>
      <c r="B78" s="11">
        <v>29567190</v>
      </c>
      <c r="C78" s="11">
        <v>3585157</v>
      </c>
      <c r="D78" s="11">
        <v>435</v>
      </c>
      <c r="E78">
        <f t="shared" si="34"/>
        <v>435</v>
      </c>
      <c r="F78">
        <f t="shared" si="35"/>
        <v>14783595</v>
      </c>
      <c r="G78">
        <f t="shared" si="38"/>
        <v>1478.3595</v>
      </c>
      <c r="H78">
        <f t="shared" si="36"/>
        <v>43500</v>
      </c>
      <c r="I78">
        <f t="shared" si="29"/>
        <v>20880</v>
      </c>
      <c r="J78">
        <f t="shared" si="39"/>
        <v>7.77889275240562e-5</v>
      </c>
      <c r="K78">
        <f t="shared" si="37"/>
        <v>843069708</v>
      </c>
      <c r="L78">
        <f t="shared" si="40"/>
        <v>5.15971568984424e-5</v>
      </c>
      <c r="M78">
        <f t="shared" si="41"/>
        <v>33152347</v>
      </c>
      <c r="N78">
        <f t="shared" si="24"/>
        <v>975343567</v>
      </c>
      <c r="O78">
        <f t="shared" si="42"/>
        <v>7.93797117467271e-5</v>
      </c>
    </row>
    <row r="79" ht="13.85" spans="1:15">
      <c r="A79" s="43">
        <v>41022</v>
      </c>
      <c r="B79" s="11">
        <v>25822658</v>
      </c>
      <c r="C79" s="11">
        <v>3152000</v>
      </c>
      <c r="D79" s="11">
        <v>412</v>
      </c>
      <c r="E79">
        <f t="shared" si="34"/>
        <v>412</v>
      </c>
      <c r="F79">
        <f t="shared" si="35"/>
        <v>12911329</v>
      </c>
      <c r="G79">
        <f t="shared" si="38"/>
        <v>1291.1329</v>
      </c>
      <c r="H79">
        <f t="shared" si="36"/>
        <v>41200</v>
      </c>
      <c r="I79">
        <f t="shared" si="29"/>
        <v>19776</v>
      </c>
      <c r="J79">
        <f t="shared" si="39"/>
        <v>4.64708164434506e-5</v>
      </c>
      <c r="K79">
        <f t="shared" si="37"/>
        <v>817247050</v>
      </c>
      <c r="L79">
        <f t="shared" si="40"/>
        <v>5.04131523019875e-5</v>
      </c>
      <c r="M79">
        <f t="shared" si="41"/>
        <v>28974658</v>
      </c>
      <c r="N79">
        <f t="shared" si="24"/>
        <v>942191220</v>
      </c>
      <c r="O79">
        <f t="shared" si="42"/>
        <v>2.66229145688642e-5</v>
      </c>
    </row>
    <row r="80" ht="13.85" spans="1:15">
      <c r="A80" s="43">
        <v>40962</v>
      </c>
      <c r="B80" s="11">
        <v>40347156</v>
      </c>
      <c r="C80" s="11">
        <v>4726797</v>
      </c>
      <c r="D80" s="11">
        <v>400</v>
      </c>
      <c r="E80">
        <f t="shared" si="34"/>
        <v>400</v>
      </c>
      <c r="F80">
        <f t="shared" si="35"/>
        <v>20173578</v>
      </c>
      <c r="G80">
        <f t="shared" si="38"/>
        <v>2017.3578</v>
      </c>
      <c r="H80">
        <f t="shared" si="36"/>
        <v>40000</v>
      </c>
      <c r="I80">
        <f t="shared" si="29"/>
        <v>19200</v>
      </c>
      <c r="J80">
        <f t="shared" si="39"/>
        <v>6.44407253884264e-5</v>
      </c>
      <c r="K80">
        <f t="shared" si="37"/>
        <v>776899894</v>
      </c>
      <c r="L80">
        <f t="shared" si="40"/>
        <v>5.14866848469412e-5</v>
      </c>
      <c r="M80">
        <f t="shared" si="41"/>
        <v>45073953</v>
      </c>
      <c r="N80">
        <f t="shared" si="24"/>
        <v>913216562</v>
      </c>
      <c r="O80">
        <f t="shared" si="42"/>
        <v>8.80527341051268e-5</v>
      </c>
    </row>
    <row r="81" ht="13.9" spans="1:15">
      <c r="A81" s="42" t="s">
        <v>62</v>
      </c>
      <c r="B81" s="11">
        <v>26276894</v>
      </c>
      <c r="C81" s="11">
        <v>3250866</v>
      </c>
      <c r="D81" s="11">
        <v>374</v>
      </c>
      <c r="E81">
        <f t="shared" si="34"/>
        <v>374</v>
      </c>
      <c r="F81">
        <f t="shared" si="35"/>
        <v>13138447</v>
      </c>
      <c r="G81">
        <f t="shared" si="38"/>
        <v>1313.8447</v>
      </c>
      <c r="H81">
        <f t="shared" si="36"/>
        <v>37400</v>
      </c>
      <c r="I81">
        <f t="shared" si="29"/>
        <v>17952</v>
      </c>
      <c r="J81">
        <f t="shared" ref="J81:J91" si="43">IF(H81&gt;H82,(H81-H82)/B81,0)</f>
        <v>8.37237460409134e-5</v>
      </c>
      <c r="K81">
        <f t="shared" si="37"/>
        <v>750623000</v>
      </c>
      <c r="L81">
        <f t="shared" si="40"/>
        <v>4.98252784686853e-5</v>
      </c>
      <c r="M81">
        <f t="shared" si="41"/>
        <v>29527760</v>
      </c>
      <c r="N81">
        <f t="shared" si="24"/>
        <v>868142609</v>
      </c>
      <c r="O81">
        <f t="shared" si="42"/>
        <v>8.45434121582803e-5</v>
      </c>
    </row>
    <row r="82" ht="13.9" spans="1:15">
      <c r="A82" s="42" t="s">
        <v>63</v>
      </c>
      <c r="B82" s="11">
        <v>23147384</v>
      </c>
      <c r="C82" s="11">
        <v>2874750</v>
      </c>
      <c r="D82" s="11">
        <v>352</v>
      </c>
      <c r="E82">
        <f t="shared" si="34"/>
        <v>352</v>
      </c>
      <c r="F82">
        <f t="shared" si="35"/>
        <v>11573692</v>
      </c>
      <c r="G82">
        <f t="shared" si="38"/>
        <v>1157.3692</v>
      </c>
      <c r="H82">
        <f t="shared" si="36"/>
        <v>35200</v>
      </c>
      <c r="I82">
        <f t="shared" si="29"/>
        <v>16896</v>
      </c>
      <c r="J82">
        <f t="shared" si="43"/>
        <v>5.1841711357102e-5</v>
      </c>
      <c r="K82">
        <f t="shared" si="37"/>
        <v>727475616</v>
      </c>
      <c r="L82">
        <f t="shared" si="40"/>
        <v>4.83865015208977e-5</v>
      </c>
      <c r="M82">
        <f t="shared" si="41"/>
        <v>26022134</v>
      </c>
      <c r="N82">
        <f t="shared" si="24"/>
        <v>838614849</v>
      </c>
      <c r="O82">
        <f t="shared" si="42"/>
        <v>3.24996716179014e-5</v>
      </c>
    </row>
    <row r="83" ht="13.9" spans="1:15">
      <c r="A83" s="42" t="s">
        <v>64</v>
      </c>
      <c r="B83" s="11">
        <v>32925230</v>
      </c>
      <c r="C83" s="11">
        <v>3998220</v>
      </c>
      <c r="D83" s="11">
        <v>340</v>
      </c>
      <c r="E83">
        <f t="shared" si="34"/>
        <v>340</v>
      </c>
      <c r="F83">
        <f t="shared" si="35"/>
        <v>16462615</v>
      </c>
      <c r="G83">
        <f t="shared" si="38"/>
        <v>1646.2615</v>
      </c>
      <c r="H83">
        <f t="shared" si="36"/>
        <v>34000</v>
      </c>
      <c r="I83">
        <f t="shared" si="29"/>
        <v>16320</v>
      </c>
      <c r="J83">
        <f t="shared" si="43"/>
        <v>8.20039829638244e-5</v>
      </c>
      <c r="K83">
        <f t="shared" si="37"/>
        <v>694550386</v>
      </c>
      <c r="L83">
        <f t="shared" si="40"/>
        <v>4.89525320053598e-5</v>
      </c>
      <c r="M83">
        <f t="shared" si="41"/>
        <v>36923450</v>
      </c>
      <c r="N83">
        <f t="shared" si="24"/>
        <v>812592715</v>
      </c>
      <c r="O83">
        <f t="shared" si="42"/>
        <v>8.44830908345296e-5</v>
      </c>
    </row>
    <row r="84" ht="13.9" spans="1:15">
      <c r="A84" s="42" t="s">
        <v>65</v>
      </c>
      <c r="B84" s="11">
        <v>28456860</v>
      </c>
      <c r="C84" s="11">
        <v>3502198</v>
      </c>
      <c r="D84" s="11">
        <v>313</v>
      </c>
      <c r="E84">
        <f t="shared" si="34"/>
        <v>313</v>
      </c>
      <c r="F84">
        <f t="shared" si="35"/>
        <v>14228430</v>
      </c>
      <c r="G84">
        <f t="shared" si="38"/>
        <v>1422.843</v>
      </c>
      <c r="H84">
        <f t="shared" si="36"/>
        <v>31300</v>
      </c>
      <c r="I84">
        <f t="shared" si="29"/>
        <v>15024</v>
      </c>
      <c r="J84">
        <f t="shared" si="43"/>
        <v>6.32536407741402e-5</v>
      </c>
      <c r="K84">
        <f t="shared" si="37"/>
        <v>666093526</v>
      </c>
      <c r="L84">
        <f t="shared" si="40"/>
        <v>4.69903981621944e-5</v>
      </c>
      <c r="M84">
        <f t="shared" si="41"/>
        <v>31959058</v>
      </c>
      <c r="N84">
        <f t="shared" si="24"/>
        <v>775669265</v>
      </c>
      <c r="O84">
        <f t="shared" si="42"/>
        <v>7.35615979687845e-5</v>
      </c>
    </row>
    <row r="85" ht="13.9" spans="1:15">
      <c r="A85" s="42" t="s">
        <v>66</v>
      </c>
      <c r="B85" s="11">
        <v>21733480</v>
      </c>
      <c r="C85" s="11">
        <v>2735809</v>
      </c>
      <c r="D85" s="11">
        <v>295</v>
      </c>
      <c r="E85">
        <f t="shared" si="34"/>
        <v>295</v>
      </c>
      <c r="F85">
        <f t="shared" si="35"/>
        <v>10866740</v>
      </c>
      <c r="G85">
        <f t="shared" si="38"/>
        <v>1086.674</v>
      </c>
      <c r="H85">
        <f t="shared" si="36"/>
        <v>29500</v>
      </c>
      <c r="I85">
        <f t="shared" si="29"/>
        <v>14160</v>
      </c>
      <c r="J85">
        <f t="shared" si="43"/>
        <v>6.9017939142742e-5</v>
      </c>
      <c r="K85">
        <f t="shared" si="37"/>
        <v>644360046</v>
      </c>
      <c r="L85">
        <f t="shared" si="40"/>
        <v>4.5781857803145e-5</v>
      </c>
      <c r="M85">
        <f t="shared" si="41"/>
        <v>24469289</v>
      </c>
      <c r="N85">
        <f t="shared" si="24"/>
        <v>743710207</v>
      </c>
      <c r="O85">
        <f t="shared" si="42"/>
        <v>3.96378851930407e-5</v>
      </c>
    </row>
    <row r="86" ht="13.9" spans="1:15">
      <c r="A86" s="42" t="s">
        <v>67</v>
      </c>
      <c r="B86" s="11">
        <v>33743538</v>
      </c>
      <c r="C86" s="11">
        <v>4099046</v>
      </c>
      <c r="D86" s="11">
        <v>280</v>
      </c>
      <c r="E86">
        <f t="shared" si="34"/>
        <v>280</v>
      </c>
      <c r="F86">
        <f t="shared" si="35"/>
        <v>16871769</v>
      </c>
      <c r="G86">
        <f t="shared" si="38"/>
        <v>1687.1769</v>
      </c>
      <c r="H86">
        <f t="shared" si="36"/>
        <v>28000</v>
      </c>
      <c r="I86">
        <f t="shared" si="29"/>
        <v>13440</v>
      </c>
      <c r="J86">
        <f t="shared" si="43"/>
        <v>7.40882595061608e-5</v>
      </c>
      <c r="K86">
        <f t="shared" si="37"/>
        <v>610616508</v>
      </c>
      <c r="L86">
        <f t="shared" si="40"/>
        <v>4.58552948260613e-5</v>
      </c>
      <c r="M86">
        <f t="shared" si="41"/>
        <v>37842584</v>
      </c>
      <c r="N86">
        <f t="shared" si="24"/>
        <v>719240918</v>
      </c>
      <c r="O86">
        <f t="shared" si="42"/>
        <v>9.39016370586041e-5</v>
      </c>
    </row>
    <row r="87" ht="13.9" spans="1:15">
      <c r="A87" s="42" t="s">
        <v>68</v>
      </c>
      <c r="B87" s="11">
        <v>23592034</v>
      </c>
      <c r="C87" s="11">
        <v>3031570</v>
      </c>
      <c r="D87" s="11">
        <v>255</v>
      </c>
      <c r="E87">
        <f t="shared" si="34"/>
        <v>255</v>
      </c>
      <c r="F87">
        <f t="shared" si="35"/>
        <v>11796017</v>
      </c>
      <c r="G87">
        <f t="shared" si="38"/>
        <v>1179.6017</v>
      </c>
      <c r="H87">
        <f t="shared" si="36"/>
        <v>25500</v>
      </c>
      <c r="I87">
        <f t="shared" si="29"/>
        <v>12240</v>
      </c>
      <c r="J87">
        <f t="shared" si="43"/>
        <v>8.47743776564581e-5</v>
      </c>
      <c r="K87">
        <f t="shared" si="37"/>
        <v>587024474</v>
      </c>
      <c r="L87">
        <f t="shared" si="40"/>
        <v>4.34394154407947e-5</v>
      </c>
      <c r="M87">
        <f t="shared" si="41"/>
        <v>26623604</v>
      </c>
      <c r="N87">
        <f t="shared" si="24"/>
        <v>681398334</v>
      </c>
      <c r="O87">
        <f t="shared" si="42"/>
        <v>8.58953924680735e-5</v>
      </c>
    </row>
    <row r="88" ht="13.9" spans="1:15">
      <c r="A88" s="42" t="s">
        <v>69</v>
      </c>
      <c r="B88" s="11">
        <v>20613446</v>
      </c>
      <c r="C88" s="11">
        <v>2670690</v>
      </c>
      <c r="D88" s="11">
        <v>235</v>
      </c>
      <c r="E88">
        <f t="shared" si="34"/>
        <v>235</v>
      </c>
      <c r="F88">
        <f t="shared" si="35"/>
        <v>10306723</v>
      </c>
      <c r="G88">
        <f t="shared" si="38"/>
        <v>1030.6723</v>
      </c>
      <c r="H88">
        <f t="shared" si="36"/>
        <v>23500</v>
      </c>
      <c r="I88">
        <f t="shared" si="29"/>
        <v>11280</v>
      </c>
      <c r="J88">
        <f t="shared" si="43"/>
        <v>7.27680369405484e-5</v>
      </c>
      <c r="K88">
        <f t="shared" si="37"/>
        <v>566411028</v>
      </c>
      <c r="L88">
        <f t="shared" si="40"/>
        <v>4.14893051835142e-5</v>
      </c>
      <c r="M88">
        <f t="shared" si="41"/>
        <v>23284136</v>
      </c>
      <c r="N88">
        <f t="shared" si="24"/>
        <v>654774730</v>
      </c>
      <c r="O88">
        <f t="shared" si="42"/>
        <v>4.03819116603147e-5</v>
      </c>
    </row>
    <row r="89" ht="13.85" spans="1:15">
      <c r="A89" s="43">
        <v>40870</v>
      </c>
      <c r="B89" s="11">
        <v>33095478</v>
      </c>
      <c r="C89" s="11">
        <v>4049866</v>
      </c>
      <c r="D89" s="11">
        <v>220</v>
      </c>
      <c r="E89">
        <f t="shared" si="34"/>
        <v>220</v>
      </c>
      <c r="F89">
        <f t="shared" si="35"/>
        <v>16547739</v>
      </c>
      <c r="G89">
        <f t="shared" si="38"/>
        <v>1654.7739</v>
      </c>
      <c r="H89">
        <f t="shared" si="36"/>
        <v>22000</v>
      </c>
      <c r="I89">
        <f t="shared" si="29"/>
        <v>10560</v>
      </c>
      <c r="J89">
        <f t="shared" si="43"/>
        <v>7.25174599381825e-5</v>
      </c>
      <c r="K89">
        <f t="shared" si="37"/>
        <v>533315550</v>
      </c>
      <c r="L89">
        <f t="shared" si="40"/>
        <v>4.1251375475551e-5</v>
      </c>
      <c r="M89">
        <f t="shared" si="41"/>
        <v>37145344</v>
      </c>
      <c r="N89">
        <f t="shared" si="24"/>
        <v>631490594</v>
      </c>
      <c r="O89">
        <f t="shared" si="42"/>
        <v>9.25621563557631e-5</v>
      </c>
    </row>
    <row r="90" ht="13.85" spans="1:15">
      <c r="A90" s="43">
        <v>40778</v>
      </c>
      <c r="B90" s="11">
        <v>22948064</v>
      </c>
      <c r="C90" s="11">
        <v>2980459</v>
      </c>
      <c r="D90" s="11">
        <v>196</v>
      </c>
      <c r="E90">
        <f t="shared" si="34"/>
        <v>196</v>
      </c>
      <c r="F90">
        <f t="shared" si="35"/>
        <v>11474032</v>
      </c>
      <c r="G90">
        <f t="shared" si="38"/>
        <v>1147.4032</v>
      </c>
      <c r="H90">
        <f t="shared" si="36"/>
        <v>19600</v>
      </c>
      <c r="I90">
        <f t="shared" si="29"/>
        <v>9408</v>
      </c>
      <c r="J90">
        <f t="shared" si="43"/>
        <v>7.4080323290017e-5</v>
      </c>
      <c r="K90">
        <f t="shared" si="37"/>
        <v>510367486</v>
      </c>
      <c r="L90">
        <f t="shared" si="40"/>
        <v>3.84037003485759e-5</v>
      </c>
      <c r="M90">
        <f t="shared" si="41"/>
        <v>25928523</v>
      </c>
      <c r="N90">
        <f t="shared" si="24"/>
        <v>594345250</v>
      </c>
      <c r="O90">
        <f t="shared" si="42"/>
        <v>7.75895961297214e-5</v>
      </c>
    </row>
    <row r="91" ht="13.85" spans="1:15">
      <c r="A91" s="43">
        <v>40717</v>
      </c>
      <c r="B91" s="11">
        <v>19352594</v>
      </c>
      <c r="C91" s="11">
        <v>2557560</v>
      </c>
      <c r="D91" s="11">
        <v>179</v>
      </c>
      <c r="E91">
        <f t="shared" si="34"/>
        <v>179</v>
      </c>
      <c r="F91">
        <f t="shared" si="35"/>
        <v>9676297</v>
      </c>
      <c r="G91">
        <f t="shared" si="38"/>
        <v>967.6297</v>
      </c>
      <c r="H91">
        <f t="shared" si="36"/>
        <v>17900</v>
      </c>
      <c r="I91">
        <f t="shared" si="29"/>
        <v>8592</v>
      </c>
      <c r="J91">
        <f t="shared" si="43"/>
        <v>3.10035956936832e-5</v>
      </c>
      <c r="K91">
        <f t="shared" si="37"/>
        <v>491014892</v>
      </c>
      <c r="L91">
        <f t="shared" si="40"/>
        <v>3.64551061314857e-5</v>
      </c>
      <c r="M91">
        <f t="shared" si="41"/>
        <v>21910154</v>
      </c>
      <c r="N91">
        <f t="shared" si="24"/>
        <v>568416727</v>
      </c>
      <c r="O91">
        <f t="shared" si="42"/>
        <v>1.72224469911022e-5</v>
      </c>
    </row>
    <row r="92" ht="13.85" spans="1:15">
      <c r="A92" s="43">
        <v>40656</v>
      </c>
      <c r="B92" s="11">
        <v>30934696</v>
      </c>
      <c r="C92" s="11">
        <v>3903559</v>
      </c>
      <c r="D92" s="11">
        <v>173</v>
      </c>
      <c r="E92">
        <f t="shared" si="34"/>
        <v>173</v>
      </c>
      <c r="F92">
        <f t="shared" si="35"/>
        <v>15467348</v>
      </c>
      <c r="G92">
        <f t="shared" si="38"/>
        <v>1546.7348</v>
      </c>
      <c r="H92">
        <f t="shared" si="36"/>
        <v>17300</v>
      </c>
      <c r="I92">
        <f t="shared" si="29"/>
        <v>8304</v>
      </c>
      <c r="J92">
        <f t="shared" ref="J92:J114" si="44">IF(H92&gt;H93,(H92-H93)/B92,0)</f>
        <v>6.7884940585807e-5</v>
      </c>
      <c r="K92">
        <f t="shared" si="37"/>
        <v>460080196</v>
      </c>
      <c r="L92">
        <f t="shared" si="40"/>
        <v>3.76021401277616e-5</v>
      </c>
      <c r="M92">
        <f t="shared" si="41"/>
        <v>34838255</v>
      </c>
      <c r="N92">
        <f t="shared" si="24"/>
        <v>546506573</v>
      </c>
      <c r="O92">
        <f t="shared" si="42"/>
        <v>8.57647819175167e-5</v>
      </c>
    </row>
    <row r="93" ht="13.85" spans="1:15">
      <c r="A93" s="43">
        <v>40566</v>
      </c>
      <c r="B93" s="11">
        <v>21608742</v>
      </c>
      <c r="C93" s="11">
        <v>2876833</v>
      </c>
      <c r="D93" s="11">
        <v>152</v>
      </c>
      <c r="E93">
        <f t="shared" si="34"/>
        <v>152</v>
      </c>
      <c r="F93">
        <f t="shared" si="35"/>
        <v>10804371</v>
      </c>
      <c r="G93">
        <f t="shared" si="38"/>
        <v>1080.4371</v>
      </c>
      <c r="H93">
        <f t="shared" si="36"/>
        <v>15200</v>
      </c>
      <c r="I93">
        <f t="shared" si="29"/>
        <v>7296</v>
      </c>
      <c r="J93">
        <f t="shared" si="44"/>
        <v>6.94163501049714e-5</v>
      </c>
      <c r="K93">
        <f t="shared" si="37"/>
        <v>438471454</v>
      </c>
      <c r="L93">
        <f t="shared" si="40"/>
        <v>3.4665882719015e-5</v>
      </c>
      <c r="M93">
        <f t="shared" si="41"/>
        <v>24485575</v>
      </c>
      <c r="N93">
        <f t="shared" si="24"/>
        <v>511668318</v>
      </c>
      <c r="O93">
        <f t="shared" si="42"/>
        <v>7.16451513093056e-5</v>
      </c>
    </row>
    <row r="94" ht="13.9" spans="1:15">
      <c r="A94" s="42" t="s">
        <v>70</v>
      </c>
      <c r="B94" s="11">
        <v>18466968</v>
      </c>
      <c r="C94" s="11">
        <v>2469550</v>
      </c>
      <c r="D94" s="11">
        <v>137</v>
      </c>
      <c r="E94">
        <f t="shared" si="34"/>
        <v>137</v>
      </c>
      <c r="F94">
        <f t="shared" si="35"/>
        <v>9233484</v>
      </c>
      <c r="G94">
        <f t="shared" si="38"/>
        <v>923.3484</v>
      </c>
      <c r="H94">
        <f t="shared" si="36"/>
        <v>13700</v>
      </c>
      <c r="I94">
        <f t="shared" si="29"/>
        <v>6576</v>
      </c>
      <c r="J94">
        <f t="shared" si="44"/>
        <v>6.49808891205097e-5</v>
      </c>
      <c r="K94">
        <f t="shared" si="37"/>
        <v>420004486</v>
      </c>
      <c r="L94">
        <f t="shared" si="40"/>
        <v>3.26186992202745e-5</v>
      </c>
      <c r="M94">
        <f t="shared" si="41"/>
        <v>20936518</v>
      </c>
      <c r="N94">
        <f t="shared" si="24"/>
        <v>487182743</v>
      </c>
      <c r="O94">
        <f t="shared" si="42"/>
        <v>3.62239425710444e-5</v>
      </c>
    </row>
    <row r="95" ht="13.9" spans="1:15">
      <c r="A95" s="42" t="s">
        <v>71</v>
      </c>
      <c r="B95" s="11">
        <v>29395392</v>
      </c>
      <c r="C95" s="11">
        <v>3731869</v>
      </c>
      <c r="D95" s="11">
        <v>125</v>
      </c>
      <c r="E95">
        <f t="shared" si="34"/>
        <v>125</v>
      </c>
      <c r="F95">
        <f t="shared" si="35"/>
        <v>14697696</v>
      </c>
      <c r="G95">
        <f t="shared" si="38"/>
        <v>1469.7696</v>
      </c>
      <c r="H95">
        <f t="shared" si="36"/>
        <v>12500</v>
      </c>
      <c r="I95">
        <f t="shared" si="29"/>
        <v>6000</v>
      </c>
      <c r="J95">
        <f t="shared" si="44"/>
        <v>8.50473434747868e-5</v>
      </c>
      <c r="K95">
        <f t="shared" si="37"/>
        <v>390609094</v>
      </c>
      <c r="L95">
        <f t="shared" si="40"/>
        <v>3.20013030725803e-5</v>
      </c>
      <c r="M95">
        <f t="shared" si="41"/>
        <v>33127261</v>
      </c>
      <c r="N95">
        <f t="shared" si="24"/>
        <v>466246225</v>
      </c>
      <c r="O95">
        <f t="shared" si="42"/>
        <v>0.000104008318335681</v>
      </c>
    </row>
    <row r="96" ht="13.9" spans="1:15">
      <c r="A96" s="42" t="s">
        <v>72</v>
      </c>
      <c r="B96" s="11">
        <v>21190722</v>
      </c>
      <c r="C96" s="11">
        <v>2845817</v>
      </c>
      <c r="D96" s="11">
        <v>100</v>
      </c>
      <c r="E96">
        <f t="shared" si="34"/>
        <v>100</v>
      </c>
      <c r="F96">
        <f t="shared" si="35"/>
        <v>10595361</v>
      </c>
      <c r="G96">
        <f t="shared" si="38"/>
        <v>1059.5361</v>
      </c>
      <c r="H96">
        <f t="shared" si="36"/>
        <v>10000</v>
      </c>
      <c r="I96">
        <f t="shared" si="29"/>
        <v>4800</v>
      </c>
      <c r="J96">
        <f t="shared" si="44"/>
        <v>7.0785695739862e-5</v>
      </c>
      <c r="K96">
        <f t="shared" si="37"/>
        <v>369418372</v>
      </c>
      <c r="L96">
        <f t="shared" si="40"/>
        <v>2.70695795281129e-5</v>
      </c>
      <c r="M96">
        <f t="shared" si="41"/>
        <v>24036539</v>
      </c>
      <c r="N96">
        <f t="shared" ref="N96:N159" si="45">IF(H96&lt;H97,M96+M97,M96+N97)</f>
        <v>433118964</v>
      </c>
      <c r="O96">
        <f t="shared" si="42"/>
        <v>7.65294174488908e-5</v>
      </c>
    </row>
    <row r="97" ht="13.9" spans="1:15">
      <c r="A97" s="42" t="s">
        <v>73</v>
      </c>
      <c r="B97" s="11">
        <v>17235986</v>
      </c>
      <c r="C97" s="11">
        <v>2364320</v>
      </c>
      <c r="D97" s="11">
        <v>85</v>
      </c>
      <c r="E97">
        <f t="shared" si="34"/>
        <v>85</v>
      </c>
      <c r="F97">
        <f t="shared" si="35"/>
        <v>8617993</v>
      </c>
      <c r="G97">
        <f t="shared" si="38"/>
        <v>861.7993</v>
      </c>
      <c r="H97">
        <f t="shared" si="36"/>
        <v>8500</v>
      </c>
      <c r="I97">
        <f t="shared" si="29"/>
        <v>4080</v>
      </c>
      <c r="J97">
        <f t="shared" si="44"/>
        <v>8.7027223159731e-5</v>
      </c>
      <c r="K97">
        <f t="shared" si="37"/>
        <v>352182386</v>
      </c>
      <c r="L97">
        <f t="shared" si="40"/>
        <v>2.41352217995366e-5</v>
      </c>
      <c r="M97">
        <f t="shared" si="41"/>
        <v>19600306</v>
      </c>
      <c r="N97">
        <f t="shared" si="45"/>
        <v>409082425</v>
      </c>
      <c r="O97">
        <f t="shared" si="42"/>
        <v>4.88433519785774e-5</v>
      </c>
    </row>
    <row r="98" ht="13.9" spans="1:15">
      <c r="A98" s="42" t="s">
        <v>74</v>
      </c>
      <c r="B98" s="11">
        <v>27148946</v>
      </c>
      <c r="C98" s="11">
        <v>3561477</v>
      </c>
      <c r="D98" s="11">
        <v>70</v>
      </c>
      <c r="E98">
        <f t="shared" si="34"/>
        <v>70</v>
      </c>
      <c r="F98">
        <f t="shared" si="35"/>
        <v>13574473</v>
      </c>
      <c r="G98">
        <f t="shared" si="38"/>
        <v>1357.4473</v>
      </c>
      <c r="H98">
        <f t="shared" si="36"/>
        <v>7000</v>
      </c>
      <c r="I98">
        <f t="shared" si="29"/>
        <v>3360</v>
      </c>
      <c r="J98">
        <f t="shared" si="44"/>
        <v>7.73510691722618e-5</v>
      </c>
      <c r="K98">
        <f t="shared" si="37"/>
        <v>325033440</v>
      </c>
      <c r="L98">
        <f t="shared" si="40"/>
        <v>2.15362456244502e-5</v>
      </c>
      <c r="M98">
        <f t="shared" si="41"/>
        <v>30710423</v>
      </c>
      <c r="N98">
        <f t="shared" si="45"/>
        <v>389482119</v>
      </c>
      <c r="O98">
        <f t="shared" si="42"/>
        <v>9.4748967123462e-5</v>
      </c>
    </row>
    <row r="99" ht="13.9" spans="1:15">
      <c r="A99" s="42" t="s">
        <v>75</v>
      </c>
      <c r="B99" s="11">
        <v>19479414</v>
      </c>
      <c r="C99" s="11">
        <v>2684416</v>
      </c>
      <c r="D99" s="11">
        <v>49</v>
      </c>
      <c r="E99">
        <f t="shared" si="34"/>
        <v>49</v>
      </c>
      <c r="F99">
        <f t="shared" si="35"/>
        <v>9739707</v>
      </c>
      <c r="G99">
        <f t="shared" si="38"/>
        <v>973.9707</v>
      </c>
      <c r="H99">
        <f t="shared" si="36"/>
        <v>4900</v>
      </c>
      <c r="I99">
        <f t="shared" si="29"/>
        <v>2352</v>
      </c>
      <c r="J99">
        <f t="shared" si="44"/>
        <v>7.70043698439799e-5</v>
      </c>
      <c r="K99">
        <f t="shared" si="37"/>
        <v>305554026</v>
      </c>
      <c r="L99">
        <f t="shared" si="40"/>
        <v>1.60364439118861e-5</v>
      </c>
      <c r="M99">
        <f t="shared" si="41"/>
        <v>22163830</v>
      </c>
      <c r="N99">
        <f t="shared" si="45"/>
        <v>358771696</v>
      </c>
      <c r="O99">
        <f t="shared" si="42"/>
        <v>7.89840419588506e-5</v>
      </c>
    </row>
    <row r="100" ht="13.9" spans="1:15">
      <c r="A100" s="42" t="s">
        <v>76</v>
      </c>
      <c r="B100" s="11">
        <v>16673960</v>
      </c>
      <c r="C100" s="11">
        <v>2317218</v>
      </c>
      <c r="D100" s="11">
        <v>34</v>
      </c>
      <c r="E100">
        <f t="shared" si="34"/>
        <v>34</v>
      </c>
      <c r="F100">
        <f t="shared" si="35"/>
        <v>8336980</v>
      </c>
      <c r="G100">
        <f t="shared" si="38"/>
        <v>833.698</v>
      </c>
      <c r="H100">
        <f t="shared" si="36"/>
        <v>3400</v>
      </c>
      <c r="I100">
        <f t="shared" si="29"/>
        <v>1632</v>
      </c>
      <c r="J100">
        <f t="shared" si="44"/>
        <v>8.39632576784399e-5</v>
      </c>
      <c r="K100">
        <f t="shared" si="37"/>
        <v>288880066</v>
      </c>
      <c r="L100">
        <f t="shared" si="40"/>
        <v>1.17695902215697e-5</v>
      </c>
      <c r="M100">
        <f t="shared" si="41"/>
        <v>18991178</v>
      </c>
      <c r="N100">
        <f t="shared" si="45"/>
        <v>336607866</v>
      </c>
      <c r="O100">
        <f t="shared" si="42"/>
        <v>4.07556956011825e-5</v>
      </c>
    </row>
    <row r="101" ht="13.9" spans="1:15">
      <c r="A101" s="42" t="s">
        <v>77</v>
      </c>
      <c r="B101" s="11">
        <v>30383978</v>
      </c>
      <c r="C101" s="11">
        <v>3967049</v>
      </c>
      <c r="D101" s="11">
        <v>20</v>
      </c>
      <c r="E101">
        <f t="shared" si="34"/>
        <v>20</v>
      </c>
      <c r="F101">
        <f t="shared" si="35"/>
        <v>15191989</v>
      </c>
      <c r="G101">
        <f t="shared" si="38"/>
        <v>1519.1989</v>
      </c>
      <c r="H101">
        <f t="shared" si="36"/>
        <v>2000</v>
      </c>
      <c r="I101">
        <f t="shared" si="29"/>
        <v>960</v>
      </c>
      <c r="J101">
        <f t="shared" si="44"/>
        <v>0</v>
      </c>
      <c r="K101">
        <f t="shared" si="37"/>
        <v>258496088</v>
      </c>
      <c r="L101">
        <f t="shared" si="40"/>
        <v>0</v>
      </c>
      <c r="M101">
        <f t="shared" si="41"/>
        <v>34351027</v>
      </c>
      <c r="N101">
        <f t="shared" si="45"/>
        <v>317616688</v>
      </c>
      <c r="O101">
        <f>IF(H101&gt;H102,(H101-H102)/M102,0)</f>
        <v>0</v>
      </c>
    </row>
    <row r="102" ht="13.9" spans="1:15">
      <c r="A102" s="43">
        <v>40505</v>
      </c>
      <c r="B102" s="11">
        <v>258496088</v>
      </c>
      <c r="C102" s="11">
        <v>24769573</v>
      </c>
      <c r="D102" s="11" t="s">
        <v>78</v>
      </c>
      <c r="E102">
        <f t="shared" si="34"/>
        <v>1764</v>
      </c>
      <c r="F102">
        <f t="shared" si="35"/>
        <v>129248044</v>
      </c>
      <c r="G102">
        <f t="shared" si="38"/>
        <v>12924.8044</v>
      </c>
      <c r="H102">
        <f t="shared" si="36"/>
        <v>176400</v>
      </c>
      <c r="I102">
        <f t="shared" si="29"/>
        <v>84672</v>
      </c>
      <c r="J102">
        <f t="shared" si="44"/>
        <v>8.27865526537485e-5</v>
      </c>
      <c r="K102">
        <f t="shared" si="37"/>
        <v>2274969992</v>
      </c>
      <c r="L102">
        <f t="shared" si="40"/>
        <v>7.75394843098221e-5</v>
      </c>
      <c r="M102">
        <f t="shared" si="41"/>
        <v>283265661</v>
      </c>
      <c r="N102">
        <f t="shared" si="45"/>
        <v>2800662576</v>
      </c>
      <c r="O102">
        <f t="shared" ref="O102:O107" si="46">IF(H102&gt;H103,(H102-H103)/M103,0)</f>
        <v>0.000104627013813949</v>
      </c>
    </row>
    <row r="103" ht="13.9" spans="1:15">
      <c r="A103" s="43">
        <v>40444</v>
      </c>
      <c r="B103" s="11">
        <v>186354714</v>
      </c>
      <c r="C103" s="11">
        <v>18181373</v>
      </c>
      <c r="D103" s="11" t="s">
        <v>79</v>
      </c>
      <c r="E103">
        <f t="shared" si="34"/>
        <v>1550</v>
      </c>
      <c r="F103">
        <f t="shared" si="35"/>
        <v>93177357</v>
      </c>
      <c r="G103">
        <f t="shared" si="38"/>
        <v>9317.7357</v>
      </c>
      <c r="H103">
        <f t="shared" si="36"/>
        <v>155000</v>
      </c>
      <c r="I103">
        <f t="shared" si="29"/>
        <v>74400</v>
      </c>
      <c r="J103">
        <f t="shared" si="44"/>
        <v>8.04916585045442e-5</v>
      </c>
      <c r="K103">
        <f t="shared" si="37"/>
        <v>2088615278</v>
      </c>
      <c r="L103">
        <f t="shared" ref="L103:L114" si="47">IF(E103&gt;E104,H103/K103,0)</f>
        <v>7.42118482195647e-5</v>
      </c>
      <c r="M103">
        <f t="shared" si="41"/>
        <v>204536087</v>
      </c>
      <c r="N103">
        <f t="shared" si="45"/>
        <v>2517396915</v>
      </c>
      <c r="O103">
        <f t="shared" si="46"/>
        <v>5.93071893088211e-5</v>
      </c>
    </row>
    <row r="104" ht="13.9" spans="1:15">
      <c r="A104" s="43">
        <v>40382</v>
      </c>
      <c r="B104" s="11">
        <v>230840180</v>
      </c>
      <c r="C104" s="11">
        <v>22080253</v>
      </c>
      <c r="D104" s="11" t="s">
        <v>80</v>
      </c>
      <c r="E104">
        <f t="shared" si="34"/>
        <v>1400</v>
      </c>
      <c r="F104">
        <f t="shared" si="35"/>
        <v>115420090</v>
      </c>
      <c r="G104">
        <f t="shared" si="38"/>
        <v>11542.009</v>
      </c>
      <c r="H104">
        <f t="shared" si="36"/>
        <v>140000</v>
      </c>
      <c r="I104">
        <f t="shared" si="29"/>
        <v>67200</v>
      </c>
      <c r="J104">
        <f t="shared" si="44"/>
        <v>8.66400294784036e-5</v>
      </c>
      <c r="K104">
        <f t="shared" si="37"/>
        <v>1857775098</v>
      </c>
      <c r="L104">
        <f t="shared" si="47"/>
        <v>7.53589603772372e-5</v>
      </c>
      <c r="M104">
        <f t="shared" si="41"/>
        <v>252920433</v>
      </c>
      <c r="N104">
        <f t="shared" si="45"/>
        <v>2312860828</v>
      </c>
      <c r="O104">
        <f t="shared" si="46"/>
        <v>0.000106793305300696</v>
      </c>
    </row>
    <row r="105" ht="13.9" spans="1:15">
      <c r="A105" s="43">
        <v>40291</v>
      </c>
      <c r="B105" s="11">
        <v>170736364</v>
      </c>
      <c r="C105" s="11">
        <v>16541293</v>
      </c>
      <c r="D105" s="11" t="s">
        <v>81</v>
      </c>
      <c r="E105">
        <f t="shared" si="34"/>
        <v>1200</v>
      </c>
      <c r="F105">
        <f t="shared" si="35"/>
        <v>85368182</v>
      </c>
      <c r="G105">
        <f t="shared" si="38"/>
        <v>8536.8182</v>
      </c>
      <c r="H105">
        <f t="shared" si="36"/>
        <v>120000</v>
      </c>
      <c r="I105">
        <f t="shared" si="29"/>
        <v>57600</v>
      </c>
      <c r="J105">
        <f t="shared" si="44"/>
        <v>9.37117297402444e-5</v>
      </c>
      <c r="K105">
        <f t="shared" si="37"/>
        <v>1687038734</v>
      </c>
      <c r="L105">
        <f t="shared" si="47"/>
        <v>7.11305541369983e-5</v>
      </c>
      <c r="M105">
        <f t="shared" si="41"/>
        <v>187277657</v>
      </c>
      <c r="N105">
        <f t="shared" si="45"/>
        <v>2059940395</v>
      </c>
      <c r="O105">
        <f t="shared" si="46"/>
        <v>0.00010971766025334</v>
      </c>
    </row>
    <row r="106" ht="13.9" spans="1:15">
      <c r="A106" s="43">
        <v>40232</v>
      </c>
      <c r="B106" s="11">
        <v>132679996</v>
      </c>
      <c r="C106" s="11">
        <v>13148852</v>
      </c>
      <c r="D106" s="11" t="s">
        <v>82</v>
      </c>
      <c r="E106">
        <f t="shared" si="34"/>
        <v>1040</v>
      </c>
      <c r="F106">
        <f t="shared" si="35"/>
        <v>66339998</v>
      </c>
      <c r="G106">
        <f t="shared" si="38"/>
        <v>6633.9998</v>
      </c>
      <c r="H106">
        <f t="shared" si="36"/>
        <v>104000</v>
      </c>
      <c r="I106">
        <f t="shared" si="29"/>
        <v>49920</v>
      </c>
      <c r="J106">
        <f t="shared" si="44"/>
        <v>6.02954495114697e-5</v>
      </c>
      <c r="K106">
        <f t="shared" si="37"/>
        <v>1554358738</v>
      </c>
      <c r="L106">
        <f t="shared" si="47"/>
        <v>6.6908621193726e-5</v>
      </c>
      <c r="M106">
        <f t="shared" si="41"/>
        <v>145828848</v>
      </c>
      <c r="N106">
        <f t="shared" si="45"/>
        <v>1872662738</v>
      </c>
      <c r="O106">
        <f t="shared" si="46"/>
        <v>5.48205080971638e-5</v>
      </c>
    </row>
    <row r="107" ht="13.9" spans="1:15">
      <c r="A107" s="42" t="s">
        <v>83</v>
      </c>
      <c r="B107" s="11">
        <v>132789220</v>
      </c>
      <c r="C107" s="11">
        <v>13141569</v>
      </c>
      <c r="D107" s="27">
        <v>960</v>
      </c>
      <c r="E107">
        <f t="shared" si="34"/>
        <v>960</v>
      </c>
      <c r="F107">
        <f t="shared" si="35"/>
        <v>66394610</v>
      </c>
      <c r="G107">
        <f t="shared" si="38"/>
        <v>6639.461</v>
      </c>
      <c r="H107">
        <f t="shared" si="36"/>
        <v>96000</v>
      </c>
      <c r="I107">
        <f t="shared" si="29"/>
        <v>46080</v>
      </c>
      <c r="J107">
        <f t="shared" si="44"/>
        <v>8.28380496549343e-5</v>
      </c>
      <c r="K107">
        <f t="shared" si="37"/>
        <v>1421569518</v>
      </c>
      <c r="L107">
        <f t="shared" si="47"/>
        <v>6.75309921776193e-5</v>
      </c>
      <c r="M107">
        <f t="shared" si="41"/>
        <v>145930789</v>
      </c>
      <c r="N107">
        <f t="shared" si="45"/>
        <v>1726833890</v>
      </c>
      <c r="O107">
        <f t="shared" si="46"/>
        <v>0.000115986957962499</v>
      </c>
    </row>
    <row r="108" ht="13.9" spans="1:15">
      <c r="A108" s="42" t="s">
        <v>84</v>
      </c>
      <c r="B108" s="11">
        <v>86133114</v>
      </c>
      <c r="C108" s="11">
        <v>8705135</v>
      </c>
      <c r="D108" s="27">
        <v>850</v>
      </c>
      <c r="E108">
        <f t="shared" si="34"/>
        <v>850</v>
      </c>
      <c r="F108">
        <f t="shared" si="35"/>
        <v>43066557</v>
      </c>
      <c r="G108">
        <f t="shared" si="38"/>
        <v>4306.6557</v>
      </c>
      <c r="H108">
        <f t="shared" si="36"/>
        <v>85000</v>
      </c>
      <c r="I108">
        <f t="shared" ref="I108:I171" si="48">H108*0.48</f>
        <v>40800</v>
      </c>
      <c r="J108">
        <f t="shared" si="44"/>
        <v>7.54645884508483e-5</v>
      </c>
      <c r="K108">
        <f t="shared" si="37"/>
        <v>1335436404</v>
      </c>
      <c r="L108">
        <f t="shared" si="47"/>
        <v>6.36496052866326e-5</v>
      </c>
      <c r="M108">
        <f t="shared" si="41"/>
        <v>94838249</v>
      </c>
      <c r="N108">
        <f t="shared" si="45"/>
        <v>1580903101</v>
      </c>
      <c r="O108">
        <f t="shared" ref="O105:O136" si="49">IF(H108&gt;H109,(H108-H109)/M109,H108/M109)</f>
        <v>9.42984310612533e-5</v>
      </c>
    </row>
    <row r="109" ht="13.9" spans="1:15">
      <c r="A109" s="42" t="s">
        <v>85</v>
      </c>
      <c r="B109" s="11">
        <v>62431608</v>
      </c>
      <c r="C109" s="11">
        <v>6498489</v>
      </c>
      <c r="D109" s="11">
        <v>785</v>
      </c>
      <c r="E109">
        <f t="shared" si="34"/>
        <v>785</v>
      </c>
      <c r="F109">
        <f t="shared" si="35"/>
        <v>31215804</v>
      </c>
      <c r="G109">
        <f t="shared" si="38"/>
        <v>3121.5804</v>
      </c>
      <c r="H109">
        <f t="shared" si="36"/>
        <v>78500</v>
      </c>
      <c r="I109">
        <f t="shared" si="48"/>
        <v>37680</v>
      </c>
      <c r="J109">
        <f t="shared" si="44"/>
        <v>5.60613463616058e-5</v>
      </c>
      <c r="K109">
        <f t="shared" si="37"/>
        <v>1273004796</v>
      </c>
      <c r="L109">
        <f t="shared" si="47"/>
        <v>6.16651251013826e-5</v>
      </c>
      <c r="M109">
        <f t="shared" si="41"/>
        <v>68930097</v>
      </c>
      <c r="N109">
        <f t="shared" si="45"/>
        <v>1486064852</v>
      </c>
      <c r="O109">
        <f t="shared" si="49"/>
        <v>3.97807354059968e-5</v>
      </c>
    </row>
    <row r="110" ht="13.9" spans="1:15">
      <c r="A110" s="42" t="s">
        <v>86</v>
      </c>
      <c r="B110" s="11">
        <v>79717540</v>
      </c>
      <c r="C110" s="11">
        <v>8264745</v>
      </c>
      <c r="D110" s="27">
        <v>750</v>
      </c>
      <c r="E110">
        <f t="shared" si="34"/>
        <v>750</v>
      </c>
      <c r="F110">
        <f t="shared" si="35"/>
        <v>39858770</v>
      </c>
      <c r="G110">
        <f t="shared" si="38"/>
        <v>3985.877</v>
      </c>
      <c r="H110">
        <f t="shared" si="36"/>
        <v>75000</v>
      </c>
      <c r="I110">
        <f t="shared" si="48"/>
        <v>36000</v>
      </c>
      <c r="J110">
        <f t="shared" si="44"/>
        <v>9.78454678857376e-5</v>
      </c>
      <c r="K110">
        <f t="shared" si="37"/>
        <v>1193287256</v>
      </c>
      <c r="L110">
        <f t="shared" si="47"/>
        <v>6.28515888549806e-5</v>
      </c>
      <c r="M110">
        <f t="shared" si="41"/>
        <v>87982285</v>
      </c>
      <c r="N110">
        <f t="shared" si="45"/>
        <v>1417134755</v>
      </c>
      <c r="O110">
        <f t="shared" si="49"/>
        <v>0.000130880061528395</v>
      </c>
    </row>
    <row r="111" ht="13.9" spans="1:15">
      <c r="A111" s="42" t="s">
        <v>87</v>
      </c>
      <c r="B111" s="11">
        <v>53800630</v>
      </c>
      <c r="C111" s="11">
        <v>5795919</v>
      </c>
      <c r="D111" s="11">
        <v>672</v>
      </c>
      <c r="E111">
        <f t="shared" si="34"/>
        <v>672</v>
      </c>
      <c r="F111">
        <f t="shared" si="35"/>
        <v>26900315</v>
      </c>
      <c r="G111">
        <f t="shared" si="38"/>
        <v>2690.0315</v>
      </c>
      <c r="H111">
        <f t="shared" si="36"/>
        <v>67200</v>
      </c>
      <c r="I111">
        <f t="shared" si="48"/>
        <v>32256</v>
      </c>
      <c r="J111">
        <f t="shared" si="44"/>
        <v>6.31962859914466e-5</v>
      </c>
      <c r="K111">
        <f t="shared" si="37"/>
        <v>1139486626</v>
      </c>
      <c r="L111">
        <f t="shared" si="47"/>
        <v>5.89739260353548e-5</v>
      </c>
      <c r="M111">
        <f t="shared" si="41"/>
        <v>59596549</v>
      </c>
      <c r="N111">
        <f t="shared" si="45"/>
        <v>1329152470</v>
      </c>
      <c r="O111">
        <f t="shared" si="49"/>
        <v>7.0440702726395e-5</v>
      </c>
    </row>
    <row r="112" ht="13.9" spans="1:15">
      <c r="A112" s="42" t="s">
        <v>88</v>
      </c>
      <c r="B112" s="11">
        <v>43475072</v>
      </c>
      <c r="C112" s="11">
        <v>4792476</v>
      </c>
      <c r="D112" s="11">
        <v>638</v>
      </c>
      <c r="E112">
        <f t="shared" ref="E112:E141" si="50">IF(RIGHT(D112,1)="B",VALUE(LEFT(D112,LEN(D112)-1))*1000,D112)</f>
        <v>638</v>
      </c>
      <c r="F112">
        <f t="shared" si="35"/>
        <v>21737536</v>
      </c>
      <c r="G112">
        <f t="shared" si="38"/>
        <v>2173.7536</v>
      </c>
      <c r="H112">
        <f t="shared" si="36"/>
        <v>63800</v>
      </c>
      <c r="I112">
        <f t="shared" si="48"/>
        <v>30624</v>
      </c>
      <c r="J112">
        <f t="shared" si="44"/>
        <v>9.66070855500826e-5</v>
      </c>
      <c r="K112">
        <f t="shared" si="37"/>
        <v>1096011554</v>
      </c>
      <c r="L112">
        <f t="shared" si="47"/>
        <v>5.82110651727673e-5</v>
      </c>
      <c r="M112">
        <f t="shared" si="41"/>
        <v>48267548</v>
      </c>
      <c r="N112">
        <f t="shared" si="45"/>
        <v>1269555921</v>
      </c>
      <c r="O112">
        <f t="shared" si="49"/>
        <v>6.26839344389327e-5</v>
      </c>
    </row>
    <row r="113" ht="13.9" spans="1:15">
      <c r="A113" s="42" t="s">
        <v>89</v>
      </c>
      <c r="B113" s="11">
        <v>60455554</v>
      </c>
      <c r="C113" s="11">
        <v>6547260</v>
      </c>
      <c r="D113" s="11">
        <v>596</v>
      </c>
      <c r="E113">
        <f t="shared" si="50"/>
        <v>596</v>
      </c>
      <c r="F113">
        <f t="shared" si="35"/>
        <v>30227777</v>
      </c>
      <c r="G113">
        <f t="shared" si="38"/>
        <v>3022.7777</v>
      </c>
      <c r="H113">
        <f t="shared" si="36"/>
        <v>59600</v>
      </c>
      <c r="I113">
        <f t="shared" si="48"/>
        <v>28608</v>
      </c>
      <c r="J113">
        <f t="shared" si="44"/>
        <v>7.60889561941654e-5</v>
      </c>
      <c r="K113">
        <f t="shared" si="37"/>
        <v>1035556000</v>
      </c>
      <c r="L113">
        <f t="shared" si="47"/>
        <v>5.75536233675436e-5</v>
      </c>
      <c r="M113">
        <f t="shared" si="41"/>
        <v>67002814</v>
      </c>
      <c r="N113">
        <f t="shared" si="45"/>
        <v>1221288373</v>
      </c>
      <c r="O113">
        <f t="shared" si="49"/>
        <v>9.58377139155069e-5</v>
      </c>
    </row>
    <row r="114" ht="13.9" spans="1:15">
      <c r="A114" s="42" t="s">
        <v>90</v>
      </c>
      <c r="B114" s="11">
        <v>43178314</v>
      </c>
      <c r="C114" s="11">
        <v>4819492</v>
      </c>
      <c r="D114" s="11">
        <v>550</v>
      </c>
      <c r="E114">
        <f t="shared" si="50"/>
        <v>550</v>
      </c>
      <c r="F114">
        <f t="shared" si="35"/>
        <v>21589157</v>
      </c>
      <c r="G114">
        <f t="shared" si="38"/>
        <v>2158.9157</v>
      </c>
      <c r="H114">
        <f t="shared" si="36"/>
        <v>55000</v>
      </c>
      <c r="I114">
        <f t="shared" si="48"/>
        <v>26400</v>
      </c>
      <c r="J114">
        <f t="shared" si="44"/>
        <v>6.48473675929079e-5</v>
      </c>
      <c r="K114">
        <f t="shared" si="37"/>
        <v>992377686</v>
      </c>
      <c r="L114">
        <f t="shared" si="47"/>
        <v>5.54224472959381e-5</v>
      </c>
      <c r="M114">
        <f t="shared" si="41"/>
        <v>47997806</v>
      </c>
      <c r="N114">
        <f t="shared" si="45"/>
        <v>1154285559</v>
      </c>
      <c r="O114">
        <f t="shared" si="49"/>
        <v>6.9724971592677e-5</v>
      </c>
    </row>
    <row r="115" ht="13.85" spans="1:15">
      <c r="A115" s="43">
        <v>40140</v>
      </c>
      <c r="B115" s="11">
        <v>36054066</v>
      </c>
      <c r="C115" s="11">
        <v>4103713</v>
      </c>
      <c r="D115" s="11">
        <v>522</v>
      </c>
      <c r="E115">
        <f t="shared" si="50"/>
        <v>522</v>
      </c>
      <c r="F115">
        <f t="shared" si="35"/>
        <v>18027033</v>
      </c>
      <c r="G115">
        <f t="shared" si="38"/>
        <v>1802.7033</v>
      </c>
      <c r="H115">
        <f t="shared" si="36"/>
        <v>52200</v>
      </c>
      <c r="I115">
        <f t="shared" si="48"/>
        <v>25056</v>
      </c>
      <c r="J115">
        <f t="shared" ref="J115:J142" si="51">IF(H115&gt;H116,(H115-H116)/B115,0)</f>
        <v>6.10194700370272e-5</v>
      </c>
      <c r="K115">
        <f t="shared" si="37"/>
        <v>956323620</v>
      </c>
      <c r="L115">
        <f t="shared" ref="L115:L141" si="52">IF(E115&gt;E116,H115/K115,0)</f>
        <v>5.45840329657444e-5</v>
      </c>
      <c r="M115">
        <f t="shared" si="41"/>
        <v>40157779</v>
      </c>
      <c r="N115">
        <f t="shared" si="45"/>
        <v>1106287753</v>
      </c>
      <c r="O115">
        <f t="shared" si="49"/>
        <v>3.69170541251334e-5</v>
      </c>
    </row>
    <row r="116" ht="13.85" spans="1:15">
      <c r="A116" s="43">
        <v>40079</v>
      </c>
      <c r="B116" s="11">
        <v>53684174</v>
      </c>
      <c r="C116" s="11">
        <v>5908880</v>
      </c>
      <c r="D116" s="11">
        <v>500</v>
      </c>
      <c r="E116">
        <f t="shared" si="50"/>
        <v>500</v>
      </c>
      <c r="F116">
        <f t="shared" si="35"/>
        <v>26842087</v>
      </c>
      <c r="G116">
        <f t="shared" si="38"/>
        <v>2684.2087</v>
      </c>
      <c r="H116">
        <f t="shared" si="36"/>
        <v>50000</v>
      </c>
      <c r="I116">
        <f t="shared" si="48"/>
        <v>24000</v>
      </c>
      <c r="J116">
        <f t="shared" si="51"/>
        <v>7.26471082520521e-5</v>
      </c>
      <c r="K116">
        <f t="shared" si="37"/>
        <v>902639446</v>
      </c>
      <c r="L116">
        <f t="shared" si="52"/>
        <v>5.53931032169848e-5</v>
      </c>
      <c r="M116">
        <f t="shared" si="41"/>
        <v>59593054</v>
      </c>
      <c r="N116">
        <f t="shared" si="45"/>
        <v>1066129974</v>
      </c>
      <c r="O116">
        <f t="shared" si="49"/>
        <v>9.7212149963351e-5</v>
      </c>
    </row>
    <row r="117" ht="13.85" spans="1:15">
      <c r="A117" s="43">
        <v>39987</v>
      </c>
      <c r="B117" s="11">
        <v>35939466</v>
      </c>
      <c r="C117" s="11">
        <v>4178976</v>
      </c>
      <c r="D117" s="11">
        <v>461</v>
      </c>
      <c r="E117">
        <f t="shared" si="50"/>
        <v>461</v>
      </c>
      <c r="F117">
        <f t="shared" si="35"/>
        <v>17969733</v>
      </c>
      <c r="G117">
        <f t="shared" si="38"/>
        <v>1796.9733</v>
      </c>
      <c r="H117">
        <f t="shared" si="36"/>
        <v>46100</v>
      </c>
      <c r="I117">
        <f t="shared" si="48"/>
        <v>22128</v>
      </c>
      <c r="J117">
        <f t="shared" si="51"/>
        <v>7.2343868436999e-5</v>
      </c>
      <c r="K117">
        <f t="shared" si="37"/>
        <v>866699980</v>
      </c>
      <c r="L117">
        <f t="shared" si="52"/>
        <v>5.31902631404237e-5</v>
      </c>
      <c r="M117">
        <f t="shared" si="41"/>
        <v>40118442</v>
      </c>
      <c r="N117">
        <f t="shared" si="45"/>
        <v>1006536920</v>
      </c>
      <c r="O117">
        <f t="shared" si="49"/>
        <v>8.30162538161933e-5</v>
      </c>
    </row>
    <row r="118" ht="13.85" spans="1:15">
      <c r="A118" s="43">
        <v>39926</v>
      </c>
      <c r="B118" s="11">
        <v>27985582</v>
      </c>
      <c r="C118" s="11">
        <v>3333586</v>
      </c>
      <c r="D118" s="11">
        <v>435</v>
      </c>
      <c r="E118">
        <f t="shared" si="50"/>
        <v>435</v>
      </c>
      <c r="F118">
        <f t="shared" si="35"/>
        <v>13992791</v>
      </c>
      <c r="G118">
        <f t="shared" si="38"/>
        <v>1399.2791</v>
      </c>
      <c r="H118">
        <f t="shared" si="36"/>
        <v>43500</v>
      </c>
      <c r="I118">
        <f t="shared" si="48"/>
        <v>20880</v>
      </c>
      <c r="J118">
        <f t="shared" si="51"/>
        <v>5.35990282424714e-5</v>
      </c>
      <c r="K118">
        <f t="shared" si="37"/>
        <v>838714398</v>
      </c>
      <c r="L118">
        <f t="shared" si="52"/>
        <v>5.18650926986948e-5</v>
      </c>
      <c r="M118">
        <f t="shared" si="41"/>
        <v>31319168</v>
      </c>
      <c r="N118">
        <f t="shared" si="45"/>
        <v>966418478</v>
      </c>
      <c r="O118">
        <f t="shared" si="49"/>
        <v>2.75767565005861e-5</v>
      </c>
    </row>
    <row r="119" ht="13.85" spans="1:15">
      <c r="A119" s="43">
        <v>39867</v>
      </c>
      <c r="B119" s="11">
        <v>48913912</v>
      </c>
      <c r="C119" s="11">
        <v>5479722</v>
      </c>
      <c r="D119" s="11">
        <v>420</v>
      </c>
      <c r="E119">
        <f t="shared" si="50"/>
        <v>420</v>
      </c>
      <c r="F119">
        <f t="shared" si="35"/>
        <v>24456956</v>
      </c>
      <c r="G119">
        <f t="shared" si="38"/>
        <v>2445.6956</v>
      </c>
      <c r="H119">
        <f t="shared" si="36"/>
        <v>42000</v>
      </c>
      <c r="I119">
        <f t="shared" si="48"/>
        <v>20160</v>
      </c>
      <c r="J119">
        <f t="shared" si="51"/>
        <v>6.95098768628443e-5</v>
      </c>
      <c r="K119">
        <f t="shared" si="37"/>
        <v>789800486</v>
      </c>
      <c r="L119">
        <f t="shared" si="52"/>
        <v>5.31779870289925e-5</v>
      </c>
      <c r="M119">
        <f t="shared" si="41"/>
        <v>54393634</v>
      </c>
      <c r="N119">
        <f t="shared" si="45"/>
        <v>935099310</v>
      </c>
      <c r="O119">
        <f t="shared" si="49"/>
        <v>9.36583439474865e-5</v>
      </c>
    </row>
    <row r="120" ht="13.9" spans="1:15">
      <c r="A120" s="42" t="s">
        <v>91</v>
      </c>
      <c r="B120" s="11">
        <v>32508310</v>
      </c>
      <c r="C120" s="11">
        <v>3793848</v>
      </c>
      <c r="D120" s="11">
        <v>386</v>
      </c>
      <c r="E120">
        <f t="shared" si="50"/>
        <v>386</v>
      </c>
      <c r="F120">
        <f t="shared" si="35"/>
        <v>16254155</v>
      </c>
      <c r="G120">
        <f t="shared" si="38"/>
        <v>1625.4155</v>
      </c>
      <c r="H120">
        <f t="shared" si="36"/>
        <v>38600</v>
      </c>
      <c r="I120">
        <f t="shared" si="48"/>
        <v>18528</v>
      </c>
      <c r="J120">
        <f t="shared" si="51"/>
        <v>7.07511402469092e-5</v>
      </c>
      <c r="K120">
        <f t="shared" si="37"/>
        <v>757292176</v>
      </c>
      <c r="L120">
        <f t="shared" si="52"/>
        <v>5.09710798860809e-5</v>
      </c>
      <c r="M120">
        <f t="shared" si="41"/>
        <v>36302158</v>
      </c>
      <c r="N120">
        <f t="shared" si="45"/>
        <v>880705676</v>
      </c>
      <c r="O120">
        <f t="shared" si="49"/>
        <v>7.32542189891561e-5</v>
      </c>
    </row>
    <row r="121" ht="13.9" spans="1:15">
      <c r="A121" s="42" t="s">
        <v>92</v>
      </c>
      <c r="B121" s="11">
        <v>28061404</v>
      </c>
      <c r="C121" s="11">
        <v>3336105</v>
      </c>
      <c r="D121" s="11">
        <v>363</v>
      </c>
      <c r="E121">
        <f t="shared" si="50"/>
        <v>363</v>
      </c>
      <c r="F121">
        <f t="shared" si="35"/>
        <v>14030702</v>
      </c>
      <c r="G121">
        <f t="shared" si="38"/>
        <v>1403.0702</v>
      </c>
      <c r="H121">
        <f t="shared" si="36"/>
        <v>36300</v>
      </c>
      <c r="I121">
        <f t="shared" si="48"/>
        <v>17424</v>
      </c>
      <c r="J121">
        <f t="shared" si="51"/>
        <v>6.41450442037754e-5</v>
      </c>
      <c r="K121">
        <f t="shared" si="37"/>
        <v>729230772</v>
      </c>
      <c r="L121">
        <f t="shared" si="52"/>
        <v>4.9778480823626e-5</v>
      </c>
      <c r="M121">
        <f t="shared" si="41"/>
        <v>31397509</v>
      </c>
      <c r="N121">
        <f t="shared" si="45"/>
        <v>844403518</v>
      </c>
      <c r="O121">
        <f t="shared" si="49"/>
        <v>3.72085631539185e-5</v>
      </c>
    </row>
    <row r="122" ht="13.9" spans="1:15">
      <c r="A122" s="42" t="s">
        <v>93</v>
      </c>
      <c r="B122" s="11">
        <v>43420358</v>
      </c>
      <c r="C122" s="11">
        <v>4955603</v>
      </c>
      <c r="D122" s="11">
        <v>345</v>
      </c>
      <c r="E122">
        <f t="shared" si="50"/>
        <v>345</v>
      </c>
      <c r="F122">
        <f t="shared" si="35"/>
        <v>21710179</v>
      </c>
      <c r="G122">
        <f t="shared" si="38"/>
        <v>2171.0179</v>
      </c>
      <c r="H122">
        <f t="shared" si="36"/>
        <v>34500</v>
      </c>
      <c r="I122">
        <f t="shared" si="48"/>
        <v>16560</v>
      </c>
      <c r="J122">
        <f t="shared" si="51"/>
        <v>7.36981486886865e-5</v>
      </c>
      <c r="K122">
        <f t="shared" si="37"/>
        <v>685810414</v>
      </c>
      <c r="L122">
        <f t="shared" si="52"/>
        <v>5.03054478259935e-5</v>
      </c>
      <c r="M122">
        <f t="shared" si="41"/>
        <v>48375961</v>
      </c>
      <c r="N122">
        <f t="shared" si="45"/>
        <v>813006009</v>
      </c>
      <c r="O122">
        <f t="shared" si="49"/>
        <v>9.14003287269948e-5</v>
      </c>
    </row>
    <row r="123" ht="13.9" spans="1:15">
      <c r="A123" s="42" t="s">
        <v>94</v>
      </c>
      <c r="B123" s="11">
        <v>31269544</v>
      </c>
      <c r="C123" s="11">
        <v>3741271</v>
      </c>
      <c r="D123" s="11">
        <v>313</v>
      </c>
      <c r="E123">
        <f t="shared" si="50"/>
        <v>313</v>
      </c>
      <c r="F123">
        <f t="shared" si="35"/>
        <v>15634772</v>
      </c>
      <c r="G123">
        <f t="shared" si="38"/>
        <v>1563.4772</v>
      </c>
      <c r="H123">
        <f t="shared" si="36"/>
        <v>31300</v>
      </c>
      <c r="I123">
        <f t="shared" si="48"/>
        <v>15024</v>
      </c>
      <c r="J123">
        <f t="shared" si="51"/>
        <v>7.03559987955053e-5</v>
      </c>
      <c r="K123">
        <f t="shared" si="37"/>
        <v>654540870</v>
      </c>
      <c r="L123">
        <f t="shared" si="52"/>
        <v>4.78197793821492e-5</v>
      </c>
      <c r="M123">
        <f t="shared" si="41"/>
        <v>35010815</v>
      </c>
      <c r="N123">
        <f t="shared" si="45"/>
        <v>764630048</v>
      </c>
      <c r="O123">
        <f t="shared" si="49"/>
        <v>7.63286237300348e-5</v>
      </c>
    </row>
    <row r="124" ht="13.9" spans="1:15">
      <c r="A124" s="42" t="s">
        <v>95</v>
      </c>
      <c r="B124" s="11">
        <v>25665004</v>
      </c>
      <c r="C124" s="11">
        <v>3157735</v>
      </c>
      <c r="D124" s="11">
        <v>291</v>
      </c>
      <c r="E124">
        <f t="shared" si="50"/>
        <v>291</v>
      </c>
      <c r="F124">
        <f t="shared" si="35"/>
        <v>12832502</v>
      </c>
      <c r="G124">
        <f t="shared" si="38"/>
        <v>1283.2502</v>
      </c>
      <c r="H124">
        <f t="shared" si="36"/>
        <v>29100</v>
      </c>
      <c r="I124">
        <f t="shared" si="48"/>
        <v>13968</v>
      </c>
      <c r="J124">
        <f t="shared" si="51"/>
        <v>0.000105201620073778</v>
      </c>
      <c r="K124">
        <f t="shared" si="37"/>
        <v>628875866</v>
      </c>
      <c r="L124">
        <f t="shared" si="52"/>
        <v>4.62730430173639e-5</v>
      </c>
      <c r="M124">
        <f t="shared" si="41"/>
        <v>28822739</v>
      </c>
      <c r="N124">
        <f t="shared" si="45"/>
        <v>729619233</v>
      </c>
      <c r="O124">
        <f t="shared" si="49"/>
        <v>5.91074305133047e-5</v>
      </c>
    </row>
    <row r="125" ht="13.9" spans="1:15">
      <c r="A125" s="42" t="s">
        <v>96</v>
      </c>
      <c r="B125" s="11">
        <v>40899844</v>
      </c>
      <c r="C125" s="11">
        <v>4779692</v>
      </c>
      <c r="D125" s="11">
        <v>264</v>
      </c>
      <c r="E125">
        <f t="shared" si="50"/>
        <v>264</v>
      </c>
      <c r="F125">
        <f t="shared" si="35"/>
        <v>20449922</v>
      </c>
      <c r="G125">
        <f t="shared" si="38"/>
        <v>2044.9922</v>
      </c>
      <c r="H125">
        <f t="shared" si="36"/>
        <v>26400</v>
      </c>
      <c r="I125">
        <f t="shared" si="48"/>
        <v>12672</v>
      </c>
      <c r="J125">
        <f t="shared" si="51"/>
        <v>6.84599188202283e-5</v>
      </c>
      <c r="K125">
        <f t="shared" si="37"/>
        <v>587976022</v>
      </c>
      <c r="L125">
        <f t="shared" si="52"/>
        <v>4.48997901482452e-5</v>
      </c>
      <c r="M125">
        <f t="shared" si="41"/>
        <v>45679536</v>
      </c>
      <c r="N125">
        <f t="shared" si="45"/>
        <v>700796494</v>
      </c>
      <c r="O125">
        <f t="shared" si="49"/>
        <v>8.63996864925662e-5</v>
      </c>
    </row>
    <row r="126" ht="13.9" spans="1:15">
      <c r="A126" s="42" t="s">
        <v>97</v>
      </c>
      <c r="B126" s="11">
        <v>28861496</v>
      </c>
      <c r="C126" s="11">
        <v>3546029</v>
      </c>
      <c r="D126" s="11">
        <v>236</v>
      </c>
      <c r="E126">
        <f t="shared" si="50"/>
        <v>236</v>
      </c>
      <c r="F126">
        <f t="shared" si="35"/>
        <v>14430748</v>
      </c>
      <c r="G126">
        <f t="shared" si="38"/>
        <v>1443.0748</v>
      </c>
      <c r="H126">
        <f t="shared" si="36"/>
        <v>23600</v>
      </c>
      <c r="I126">
        <f t="shared" si="48"/>
        <v>11328</v>
      </c>
      <c r="J126">
        <f t="shared" si="51"/>
        <v>7.27613010773939e-5</v>
      </c>
      <c r="K126">
        <f t="shared" si="37"/>
        <v>559114526</v>
      </c>
      <c r="L126">
        <f t="shared" si="52"/>
        <v>4.22095991117212e-5</v>
      </c>
      <c r="M126">
        <f t="shared" si="41"/>
        <v>32407525</v>
      </c>
      <c r="N126">
        <f t="shared" si="45"/>
        <v>655116958</v>
      </c>
      <c r="O126">
        <f t="shared" si="49"/>
        <v>7.76154206909184e-5</v>
      </c>
    </row>
    <row r="127" ht="13.9" spans="1:15">
      <c r="A127" s="42" t="s">
        <v>98</v>
      </c>
      <c r="B127" s="11">
        <v>24041658</v>
      </c>
      <c r="C127" s="11">
        <v>3014821</v>
      </c>
      <c r="D127" s="11">
        <v>215</v>
      </c>
      <c r="E127">
        <f t="shared" si="50"/>
        <v>215</v>
      </c>
      <c r="F127">
        <f t="shared" si="35"/>
        <v>12020829</v>
      </c>
      <c r="G127">
        <f t="shared" si="38"/>
        <v>1202.0829</v>
      </c>
      <c r="H127">
        <f t="shared" si="36"/>
        <v>21500</v>
      </c>
      <c r="I127">
        <f t="shared" si="48"/>
        <v>10320</v>
      </c>
      <c r="J127">
        <f t="shared" si="51"/>
        <v>8.73483850406657e-5</v>
      </c>
      <c r="K127">
        <f t="shared" si="37"/>
        <v>535072868</v>
      </c>
      <c r="L127">
        <f t="shared" si="52"/>
        <v>4.01814431001947e-5</v>
      </c>
      <c r="M127">
        <f t="shared" si="41"/>
        <v>27056479</v>
      </c>
      <c r="N127">
        <f t="shared" si="45"/>
        <v>622709433</v>
      </c>
      <c r="O127">
        <f t="shared" si="49"/>
        <v>4.96667843611784e-5</v>
      </c>
    </row>
    <row r="128" ht="13.85" spans="1:15">
      <c r="A128" s="43">
        <v>39805</v>
      </c>
      <c r="B128" s="11">
        <v>37718640</v>
      </c>
      <c r="C128" s="11">
        <v>4563139</v>
      </c>
      <c r="D128" s="11">
        <v>194</v>
      </c>
      <c r="E128">
        <f t="shared" si="50"/>
        <v>194</v>
      </c>
      <c r="F128">
        <f t="shared" si="35"/>
        <v>18859320</v>
      </c>
      <c r="G128">
        <f t="shared" si="38"/>
        <v>1885.932</v>
      </c>
      <c r="H128">
        <f t="shared" si="36"/>
        <v>19400</v>
      </c>
      <c r="I128">
        <f t="shared" si="48"/>
        <v>9312</v>
      </c>
      <c r="J128">
        <f t="shared" si="51"/>
        <v>6.36290173770846e-5</v>
      </c>
      <c r="K128">
        <f t="shared" si="37"/>
        <v>497354228</v>
      </c>
      <c r="L128">
        <f t="shared" si="52"/>
        <v>3.9006404103596e-5</v>
      </c>
      <c r="M128">
        <f t="shared" si="41"/>
        <v>42281779</v>
      </c>
      <c r="N128">
        <f t="shared" si="45"/>
        <v>595652954</v>
      </c>
      <c r="O128">
        <f t="shared" si="49"/>
        <v>6.49384647166999e-5</v>
      </c>
    </row>
    <row r="129" ht="13.85" spans="1:15">
      <c r="A129" s="43">
        <v>39714</v>
      </c>
      <c r="B129" s="11">
        <v>32979038</v>
      </c>
      <c r="C129" s="11">
        <v>3979027</v>
      </c>
      <c r="D129" s="11">
        <v>170</v>
      </c>
      <c r="E129">
        <f t="shared" si="50"/>
        <v>170</v>
      </c>
      <c r="F129">
        <f t="shared" si="35"/>
        <v>16489519</v>
      </c>
      <c r="G129">
        <f t="shared" si="38"/>
        <v>1648.9519</v>
      </c>
      <c r="H129">
        <f t="shared" si="36"/>
        <v>17000</v>
      </c>
      <c r="I129">
        <f t="shared" si="48"/>
        <v>8160</v>
      </c>
      <c r="J129">
        <f t="shared" si="51"/>
        <v>7.58057284751605e-5</v>
      </c>
      <c r="K129">
        <f t="shared" si="37"/>
        <v>464375190</v>
      </c>
      <c r="L129">
        <f t="shared" si="52"/>
        <v>3.66083295707508e-5</v>
      </c>
      <c r="M129">
        <f t="shared" si="41"/>
        <v>36958065</v>
      </c>
      <c r="N129">
        <f t="shared" si="45"/>
        <v>553371175</v>
      </c>
      <c r="O129">
        <f t="shared" si="49"/>
        <v>8.13184412594939e-5</v>
      </c>
    </row>
    <row r="130" ht="13.85" spans="1:15">
      <c r="A130" s="43">
        <v>39652</v>
      </c>
      <c r="B130" s="11">
        <v>27298470</v>
      </c>
      <c r="C130" s="11">
        <v>3444864</v>
      </c>
      <c r="D130" s="11">
        <v>145</v>
      </c>
      <c r="E130">
        <f t="shared" si="50"/>
        <v>145</v>
      </c>
      <c r="F130">
        <f t="shared" ref="F130:F193" si="53">B130/2</f>
        <v>13649235</v>
      </c>
      <c r="G130">
        <f t="shared" si="38"/>
        <v>1364.9235</v>
      </c>
      <c r="H130">
        <f t="shared" si="36"/>
        <v>14500</v>
      </c>
      <c r="I130">
        <f t="shared" si="48"/>
        <v>6960</v>
      </c>
      <c r="J130">
        <f t="shared" si="51"/>
        <v>7.69273882382419e-5</v>
      </c>
      <c r="K130">
        <f t="shared" si="37"/>
        <v>437076720</v>
      </c>
      <c r="L130">
        <f t="shared" si="52"/>
        <v>3.31749538158884e-5</v>
      </c>
      <c r="M130">
        <f t="shared" si="41"/>
        <v>30743334</v>
      </c>
      <c r="N130">
        <f t="shared" si="45"/>
        <v>516413110</v>
      </c>
      <c r="O130">
        <f t="shared" si="49"/>
        <v>4.22835458474145e-5</v>
      </c>
    </row>
    <row r="131" ht="13.85" spans="1:15">
      <c r="A131" s="43">
        <v>39591</v>
      </c>
      <c r="B131" s="11">
        <v>44325386</v>
      </c>
      <c r="C131" s="11">
        <v>5339323</v>
      </c>
      <c r="D131" s="11">
        <v>124</v>
      </c>
      <c r="E131">
        <f t="shared" si="50"/>
        <v>124</v>
      </c>
      <c r="F131">
        <f t="shared" si="53"/>
        <v>22162693</v>
      </c>
      <c r="G131">
        <f t="shared" si="38"/>
        <v>2216.2693</v>
      </c>
      <c r="H131">
        <f t="shared" ref="H131:H194" si="54">E131*100</f>
        <v>12400</v>
      </c>
      <c r="I131">
        <f t="shared" si="48"/>
        <v>5952</v>
      </c>
      <c r="J131">
        <f t="shared" si="51"/>
        <v>6.54252621736898e-5</v>
      </c>
      <c r="K131">
        <f t="shared" ref="K131:K194" si="55">IF(E131&gt;E132,B132+K132,B132)</f>
        <v>392751334</v>
      </c>
      <c r="L131">
        <f t="shared" si="52"/>
        <v>3.1572139739696e-5</v>
      </c>
      <c r="M131">
        <f t="shared" si="41"/>
        <v>49664709</v>
      </c>
      <c r="N131">
        <f t="shared" si="45"/>
        <v>485669776</v>
      </c>
      <c r="O131">
        <f t="shared" si="49"/>
        <v>8.89244286781773e-5</v>
      </c>
    </row>
    <row r="132" ht="13.85" spans="1:15">
      <c r="A132" s="43">
        <v>39501</v>
      </c>
      <c r="B132" s="11">
        <v>28927868</v>
      </c>
      <c r="C132" s="11">
        <v>3684093</v>
      </c>
      <c r="D132" s="11">
        <v>95</v>
      </c>
      <c r="E132">
        <f t="shared" si="50"/>
        <v>95</v>
      </c>
      <c r="F132">
        <f t="shared" si="53"/>
        <v>14463934</v>
      </c>
      <c r="G132">
        <f t="shared" ref="G132:G195" si="56">F132/10000</f>
        <v>1446.3934</v>
      </c>
      <c r="H132">
        <f t="shared" si="54"/>
        <v>9500</v>
      </c>
      <c r="I132">
        <f t="shared" si="48"/>
        <v>4560</v>
      </c>
      <c r="J132">
        <f t="shared" si="51"/>
        <v>7.25943578005818e-5</v>
      </c>
      <c r="K132">
        <f t="shared" si="55"/>
        <v>363823466</v>
      </c>
      <c r="L132">
        <f t="shared" si="52"/>
        <v>2.61115647774077e-5</v>
      </c>
      <c r="M132">
        <f t="shared" si="41"/>
        <v>32611961</v>
      </c>
      <c r="N132">
        <f t="shared" si="45"/>
        <v>436005067</v>
      </c>
      <c r="O132">
        <f t="shared" si="49"/>
        <v>8.80815547954723e-5</v>
      </c>
    </row>
    <row r="133" ht="13.9" spans="1:15">
      <c r="A133" s="42" t="s">
        <v>99</v>
      </c>
      <c r="B133" s="11">
        <v>21060326</v>
      </c>
      <c r="C133" s="11">
        <v>2781215</v>
      </c>
      <c r="D133" s="11">
        <v>74</v>
      </c>
      <c r="E133">
        <f t="shared" si="50"/>
        <v>74</v>
      </c>
      <c r="F133">
        <f t="shared" si="53"/>
        <v>10530163</v>
      </c>
      <c r="G133">
        <f t="shared" si="56"/>
        <v>1053.0163</v>
      </c>
      <c r="H133">
        <f t="shared" si="54"/>
        <v>7400</v>
      </c>
      <c r="I133">
        <f t="shared" si="48"/>
        <v>3552</v>
      </c>
      <c r="J133">
        <f t="shared" si="51"/>
        <v>6.6475704127277e-5</v>
      </c>
      <c r="K133">
        <f t="shared" si="55"/>
        <v>342763140</v>
      </c>
      <c r="L133">
        <f t="shared" si="52"/>
        <v>2.15892525666558e-5</v>
      </c>
      <c r="M133">
        <f t="shared" si="41"/>
        <v>23841541</v>
      </c>
      <c r="N133">
        <f t="shared" si="45"/>
        <v>403393106</v>
      </c>
      <c r="O133">
        <f t="shared" si="49"/>
        <v>3.88781973846081e-5</v>
      </c>
    </row>
    <row r="134" ht="13.9" spans="1:15">
      <c r="A134" s="42" t="s">
        <v>100</v>
      </c>
      <c r="B134" s="11">
        <v>31976268</v>
      </c>
      <c r="C134" s="11">
        <v>4033632</v>
      </c>
      <c r="D134" s="11">
        <v>60</v>
      </c>
      <c r="E134">
        <f t="shared" si="50"/>
        <v>60</v>
      </c>
      <c r="F134">
        <f t="shared" si="53"/>
        <v>15988134</v>
      </c>
      <c r="G134">
        <f t="shared" si="56"/>
        <v>1598.8134</v>
      </c>
      <c r="H134">
        <f t="shared" si="54"/>
        <v>6000</v>
      </c>
      <c r="I134">
        <f t="shared" si="48"/>
        <v>2880</v>
      </c>
      <c r="J134">
        <f t="shared" si="51"/>
        <v>5.94190666653157e-5</v>
      </c>
      <c r="K134">
        <f t="shared" si="55"/>
        <v>310786872</v>
      </c>
      <c r="L134">
        <f t="shared" si="52"/>
        <v>1.93058347715537e-5</v>
      </c>
      <c r="M134">
        <f t="shared" si="41"/>
        <v>36009900</v>
      </c>
      <c r="N134">
        <f t="shared" si="45"/>
        <v>379551565</v>
      </c>
      <c r="O134">
        <f t="shared" si="49"/>
        <v>7.91426534665607e-5</v>
      </c>
    </row>
    <row r="135" ht="13.9" spans="1:15">
      <c r="A135" s="42" t="s">
        <v>101</v>
      </c>
      <c r="B135" s="11">
        <v>21221120</v>
      </c>
      <c r="C135" s="11">
        <v>2786162</v>
      </c>
      <c r="D135" s="11">
        <v>41</v>
      </c>
      <c r="E135">
        <f t="shared" si="50"/>
        <v>41</v>
      </c>
      <c r="F135">
        <f t="shared" si="53"/>
        <v>10610560</v>
      </c>
      <c r="G135">
        <f t="shared" si="56"/>
        <v>1061.056</v>
      </c>
      <c r="H135">
        <f t="shared" si="54"/>
        <v>4100</v>
      </c>
      <c r="I135">
        <f t="shared" si="48"/>
        <v>1968</v>
      </c>
      <c r="J135">
        <f t="shared" si="51"/>
        <v>6.12597261595995e-5</v>
      </c>
      <c r="K135">
        <f t="shared" si="55"/>
        <v>289565752</v>
      </c>
      <c r="L135">
        <f t="shared" si="52"/>
        <v>1.4159133017913e-5</v>
      </c>
      <c r="M135">
        <f t="shared" si="41"/>
        <v>24007282</v>
      </c>
      <c r="N135">
        <f t="shared" si="45"/>
        <v>343541665</v>
      </c>
      <c r="O135">
        <f t="shared" si="49"/>
        <v>6.72949217026174e-5</v>
      </c>
    </row>
    <row r="136" ht="13.9" spans="1:15">
      <c r="A136" s="42" t="s">
        <v>102</v>
      </c>
      <c r="B136" s="11">
        <v>17023904</v>
      </c>
      <c r="C136" s="11">
        <v>2294047</v>
      </c>
      <c r="D136" s="11">
        <v>28</v>
      </c>
      <c r="E136">
        <f t="shared" si="50"/>
        <v>28</v>
      </c>
      <c r="F136">
        <f t="shared" si="53"/>
        <v>8511952</v>
      </c>
      <c r="G136">
        <f t="shared" si="56"/>
        <v>851.1952</v>
      </c>
      <c r="H136">
        <f t="shared" si="54"/>
        <v>2800</v>
      </c>
      <c r="I136">
        <f t="shared" si="48"/>
        <v>1344</v>
      </c>
      <c r="J136">
        <f t="shared" si="51"/>
        <v>4.69927461996966e-5</v>
      </c>
      <c r="K136">
        <f t="shared" si="55"/>
        <v>272541848</v>
      </c>
      <c r="L136">
        <f t="shared" si="52"/>
        <v>1.02736516265201e-5</v>
      </c>
      <c r="M136">
        <f t="shared" ref="M136:M199" si="57">B136+C136</f>
        <v>19317951</v>
      </c>
      <c r="N136">
        <f t="shared" si="45"/>
        <v>319534383</v>
      </c>
      <c r="O136">
        <f t="shared" si="49"/>
        <v>2.23278197852449e-5</v>
      </c>
    </row>
    <row r="137" ht="13.9" spans="1:15">
      <c r="A137" s="42" t="s">
        <v>103</v>
      </c>
      <c r="B137" s="11">
        <v>31824578</v>
      </c>
      <c r="C137" s="11">
        <v>4005163</v>
      </c>
      <c r="D137" s="11">
        <v>20</v>
      </c>
      <c r="E137">
        <f t="shared" si="50"/>
        <v>20</v>
      </c>
      <c r="F137">
        <f t="shared" si="53"/>
        <v>15912289</v>
      </c>
      <c r="G137">
        <f t="shared" si="56"/>
        <v>1591.2289</v>
      </c>
      <c r="H137">
        <f t="shared" si="54"/>
        <v>2000</v>
      </c>
      <c r="I137">
        <f t="shared" si="48"/>
        <v>960</v>
      </c>
      <c r="J137">
        <f t="shared" si="51"/>
        <v>0</v>
      </c>
      <c r="K137">
        <f t="shared" si="55"/>
        <v>240717270</v>
      </c>
      <c r="L137">
        <f t="shared" si="52"/>
        <v>0</v>
      </c>
      <c r="M137">
        <f t="shared" si="57"/>
        <v>35829741</v>
      </c>
      <c r="N137">
        <f t="shared" si="45"/>
        <v>300216432</v>
      </c>
      <c r="O137">
        <f t="shared" ref="O137:O168" si="58">IF(H137&gt;H138,(H137-H138)/M138,H137/M138)</f>
        <v>7.5646773006437e-6</v>
      </c>
    </row>
    <row r="138" ht="13.9" spans="1:15">
      <c r="A138" s="42" t="s">
        <v>104</v>
      </c>
      <c r="B138" s="11">
        <v>240717270</v>
      </c>
      <c r="C138" s="11">
        <v>23669421</v>
      </c>
      <c r="D138" s="11" t="s">
        <v>105</v>
      </c>
      <c r="E138">
        <f t="shared" si="50"/>
        <v>1000</v>
      </c>
      <c r="F138">
        <f t="shared" si="53"/>
        <v>120358635</v>
      </c>
      <c r="G138">
        <f t="shared" si="56"/>
        <v>12035.8635</v>
      </c>
      <c r="H138">
        <f t="shared" si="54"/>
        <v>100000</v>
      </c>
      <c r="I138">
        <f t="shared" si="48"/>
        <v>48000</v>
      </c>
      <c r="J138">
        <f t="shared" si="51"/>
        <v>4.15425116777039e-5</v>
      </c>
      <c r="K138">
        <f t="shared" si="55"/>
        <v>1428116220</v>
      </c>
      <c r="L138">
        <f t="shared" si="52"/>
        <v>7.00223123297346e-5</v>
      </c>
      <c r="M138">
        <f t="shared" si="57"/>
        <v>264386691</v>
      </c>
      <c r="N138">
        <f t="shared" si="45"/>
        <v>1853623844</v>
      </c>
      <c r="O138">
        <f t="shared" si="58"/>
        <v>6.43882183056271e-5</v>
      </c>
    </row>
    <row r="139" ht="13.9" spans="1:15">
      <c r="A139" s="42" t="s">
        <v>106</v>
      </c>
      <c r="B139" s="11">
        <v>141352742</v>
      </c>
      <c r="C139" s="11">
        <v>13955174</v>
      </c>
      <c r="D139" s="11">
        <v>900</v>
      </c>
      <c r="E139">
        <f t="shared" si="50"/>
        <v>900</v>
      </c>
      <c r="F139">
        <f t="shared" si="53"/>
        <v>70676371</v>
      </c>
      <c r="G139">
        <f t="shared" si="56"/>
        <v>7067.6371</v>
      </c>
      <c r="H139">
        <f t="shared" si="54"/>
        <v>90000</v>
      </c>
      <c r="I139">
        <f t="shared" si="48"/>
        <v>43200</v>
      </c>
      <c r="J139">
        <f t="shared" si="51"/>
        <v>5.02289513421678e-5</v>
      </c>
      <c r="K139">
        <f t="shared" si="55"/>
        <v>1286763478</v>
      </c>
      <c r="L139">
        <f t="shared" si="52"/>
        <v>6.99429238851928e-5</v>
      </c>
      <c r="M139">
        <f t="shared" si="57"/>
        <v>155307916</v>
      </c>
      <c r="N139">
        <f t="shared" si="45"/>
        <v>1589237153</v>
      </c>
      <c r="O139">
        <f t="shared" si="58"/>
        <v>4.23064796747278e-5</v>
      </c>
    </row>
    <row r="140" ht="13.9" spans="1:15">
      <c r="A140" s="42" t="s">
        <v>107</v>
      </c>
      <c r="B140" s="11">
        <v>152749722</v>
      </c>
      <c r="C140" s="11">
        <v>15073270</v>
      </c>
      <c r="D140" s="11">
        <v>829</v>
      </c>
      <c r="E140">
        <f t="shared" si="50"/>
        <v>829</v>
      </c>
      <c r="F140">
        <f t="shared" si="53"/>
        <v>76374861</v>
      </c>
      <c r="G140">
        <f t="shared" si="56"/>
        <v>7637.4861</v>
      </c>
      <c r="H140">
        <f t="shared" si="54"/>
        <v>82900</v>
      </c>
      <c r="I140">
        <f t="shared" si="48"/>
        <v>39792</v>
      </c>
      <c r="J140">
        <f t="shared" si="51"/>
        <v>5.17185883978237e-5</v>
      </c>
      <c r="K140">
        <f t="shared" si="55"/>
        <v>1134013756</v>
      </c>
      <c r="L140">
        <f t="shared" si="52"/>
        <v>7.31031696585522e-5</v>
      </c>
      <c r="M140">
        <f t="shared" si="57"/>
        <v>167822992</v>
      </c>
      <c r="N140">
        <f t="shared" si="45"/>
        <v>1433929237</v>
      </c>
      <c r="O140">
        <f t="shared" si="58"/>
        <v>7.33864454882185e-5</v>
      </c>
    </row>
    <row r="141" ht="13.85" spans="1:15">
      <c r="A141" s="43">
        <v>39439</v>
      </c>
      <c r="B141" s="11">
        <v>97673974</v>
      </c>
      <c r="C141" s="11">
        <v>9975333</v>
      </c>
      <c r="D141" s="27">
        <v>750</v>
      </c>
      <c r="E141">
        <f t="shared" si="50"/>
        <v>750</v>
      </c>
      <c r="F141">
        <f t="shared" si="53"/>
        <v>48836987</v>
      </c>
      <c r="G141">
        <f t="shared" si="56"/>
        <v>4883.6987</v>
      </c>
      <c r="H141">
        <f t="shared" si="54"/>
        <v>75000</v>
      </c>
      <c r="I141">
        <f t="shared" si="48"/>
        <v>36000</v>
      </c>
      <c r="J141">
        <f t="shared" si="51"/>
        <v>7.67860638085638e-5</v>
      </c>
      <c r="K141">
        <f t="shared" si="55"/>
        <v>1036339782</v>
      </c>
      <c r="L141">
        <f t="shared" si="52"/>
        <v>7.23700868215826e-5</v>
      </c>
      <c r="M141">
        <f t="shared" si="57"/>
        <v>107649307</v>
      </c>
      <c r="N141">
        <f t="shared" si="45"/>
        <v>1266106245</v>
      </c>
      <c r="O141">
        <f t="shared" si="58"/>
        <v>9.05922322234033e-5</v>
      </c>
    </row>
    <row r="142" ht="13.85" spans="1:15">
      <c r="A142" s="43">
        <v>39378</v>
      </c>
      <c r="B142" s="11">
        <v>75038572</v>
      </c>
      <c r="C142" s="11">
        <v>7749983</v>
      </c>
      <c r="D142" s="27">
        <v>675</v>
      </c>
      <c r="E142">
        <f t="shared" ref="E142:E173" si="59">IF(RIGHT(D142,1)="B",VALUE(LEFT(D142,LEN(D142)-1))*1000,D142)</f>
        <v>675</v>
      </c>
      <c r="F142">
        <f t="shared" si="53"/>
        <v>37519286</v>
      </c>
      <c r="G142">
        <f t="shared" si="56"/>
        <v>3751.9286</v>
      </c>
      <c r="H142">
        <f t="shared" si="54"/>
        <v>67500</v>
      </c>
      <c r="I142">
        <f t="shared" si="48"/>
        <v>32400</v>
      </c>
      <c r="J142">
        <f t="shared" si="51"/>
        <v>7.99588776822672e-5</v>
      </c>
      <c r="K142">
        <f t="shared" si="55"/>
        <v>961301210</v>
      </c>
      <c r="L142">
        <f t="shared" ref="L142:L173" si="60">IF(E142&gt;E143,H142/K142,0)</f>
        <v>7.02173255352503e-5</v>
      </c>
      <c r="M142">
        <f t="shared" si="57"/>
        <v>82788555</v>
      </c>
      <c r="N142">
        <f t="shared" si="45"/>
        <v>1158456938</v>
      </c>
      <c r="O142">
        <f t="shared" si="58"/>
        <v>6.00580436969113e-5</v>
      </c>
    </row>
    <row r="143" ht="13.85" spans="1:15">
      <c r="A143" s="43">
        <v>39317</v>
      </c>
      <c r="B143" s="11">
        <v>90594722</v>
      </c>
      <c r="C143" s="11">
        <v>9308632</v>
      </c>
      <c r="D143" s="27">
        <v>615</v>
      </c>
      <c r="E143">
        <f t="shared" si="59"/>
        <v>615</v>
      </c>
      <c r="F143">
        <f t="shared" si="53"/>
        <v>45297361</v>
      </c>
      <c r="G143">
        <f t="shared" si="56"/>
        <v>4529.7361</v>
      </c>
      <c r="H143">
        <f t="shared" si="54"/>
        <v>61500</v>
      </c>
      <c r="I143">
        <f t="shared" si="48"/>
        <v>29520</v>
      </c>
      <c r="J143">
        <f t="shared" ref="J143:J174" si="61">IF(H143&gt;H144,(H143-H144)/B143,0)</f>
        <v>7.61633773764436e-5</v>
      </c>
      <c r="K143">
        <f t="shared" si="55"/>
        <v>870706488</v>
      </c>
      <c r="L143">
        <f t="shared" si="60"/>
        <v>7.06322978496055e-5</v>
      </c>
      <c r="M143">
        <f t="shared" si="57"/>
        <v>99903354</v>
      </c>
      <c r="N143">
        <f t="shared" si="45"/>
        <v>1075668383</v>
      </c>
      <c r="O143">
        <f t="shared" si="58"/>
        <v>0.00014103807003832</v>
      </c>
    </row>
    <row r="144" ht="13.85" spans="1:15">
      <c r="A144" s="43">
        <v>39225</v>
      </c>
      <c r="B144" s="11">
        <v>43971202</v>
      </c>
      <c r="C144" s="11">
        <v>4951759</v>
      </c>
      <c r="D144" s="11">
        <v>546</v>
      </c>
      <c r="E144">
        <f t="shared" si="59"/>
        <v>546</v>
      </c>
      <c r="F144">
        <f t="shared" si="53"/>
        <v>21985601</v>
      </c>
      <c r="G144">
        <f t="shared" si="56"/>
        <v>2198.5601</v>
      </c>
      <c r="H144">
        <f t="shared" si="54"/>
        <v>54600</v>
      </c>
      <c r="I144">
        <f t="shared" si="48"/>
        <v>26208</v>
      </c>
      <c r="J144">
        <f t="shared" si="61"/>
        <v>5.45811779264074e-5</v>
      </c>
      <c r="K144">
        <f t="shared" si="55"/>
        <v>826735286</v>
      </c>
      <c r="L144">
        <f t="shared" si="60"/>
        <v>6.60429050563108e-5</v>
      </c>
      <c r="M144">
        <f t="shared" si="57"/>
        <v>48922961</v>
      </c>
      <c r="N144">
        <f t="shared" si="45"/>
        <v>975765029</v>
      </c>
      <c r="O144">
        <f t="shared" si="58"/>
        <v>5.51978098613003e-5</v>
      </c>
    </row>
    <row r="145" ht="13.85" spans="1:15">
      <c r="A145" s="43">
        <v>39164</v>
      </c>
      <c r="B145" s="11">
        <v>39082756</v>
      </c>
      <c r="C145" s="11">
        <v>4397230</v>
      </c>
      <c r="D145" s="11">
        <v>522</v>
      </c>
      <c r="E145">
        <f t="shared" si="59"/>
        <v>522</v>
      </c>
      <c r="F145">
        <f t="shared" si="53"/>
        <v>19541378</v>
      </c>
      <c r="G145">
        <f t="shared" si="56"/>
        <v>1954.1378</v>
      </c>
      <c r="H145">
        <f t="shared" si="54"/>
        <v>52200</v>
      </c>
      <c r="I145">
        <f t="shared" si="48"/>
        <v>25056</v>
      </c>
      <c r="J145">
        <f t="shared" si="61"/>
        <v>7.42015225333648e-5</v>
      </c>
      <c r="K145">
        <f t="shared" si="55"/>
        <v>787652530</v>
      </c>
      <c r="L145">
        <f t="shared" si="60"/>
        <v>6.62728779656177e-5</v>
      </c>
      <c r="M145">
        <f t="shared" si="57"/>
        <v>43479986</v>
      </c>
      <c r="N145">
        <f t="shared" si="45"/>
        <v>926842068</v>
      </c>
      <c r="O145">
        <f t="shared" si="58"/>
        <v>5.30726016720066e-5</v>
      </c>
    </row>
    <row r="146" ht="13.85" spans="1:15">
      <c r="A146" s="43">
        <v>39105</v>
      </c>
      <c r="B146" s="11">
        <v>49162842</v>
      </c>
      <c r="C146" s="11">
        <v>5479288</v>
      </c>
      <c r="D146" s="11">
        <v>493</v>
      </c>
      <c r="E146">
        <f t="shared" si="59"/>
        <v>493</v>
      </c>
      <c r="F146">
        <f t="shared" si="53"/>
        <v>24581421</v>
      </c>
      <c r="G146">
        <f t="shared" si="56"/>
        <v>2458.1421</v>
      </c>
      <c r="H146">
        <f t="shared" si="54"/>
        <v>49300</v>
      </c>
      <c r="I146">
        <f t="shared" si="48"/>
        <v>23664</v>
      </c>
      <c r="J146">
        <f t="shared" si="61"/>
        <v>6.30557525539309e-5</v>
      </c>
      <c r="K146">
        <f t="shared" si="55"/>
        <v>738489688</v>
      </c>
      <c r="L146">
        <f t="shared" si="60"/>
        <v>6.67578719122209e-5</v>
      </c>
      <c r="M146">
        <f t="shared" si="57"/>
        <v>54642130</v>
      </c>
      <c r="N146">
        <f t="shared" si="45"/>
        <v>883362082</v>
      </c>
      <c r="O146">
        <f t="shared" si="58"/>
        <v>8.45085128014722e-5</v>
      </c>
    </row>
    <row r="147" ht="13.9" spans="1:15">
      <c r="A147" s="42" t="s">
        <v>108</v>
      </c>
      <c r="B147" s="11">
        <v>32878326</v>
      </c>
      <c r="C147" s="11">
        <v>3804369</v>
      </c>
      <c r="D147" s="11">
        <v>462</v>
      </c>
      <c r="E147">
        <f t="shared" si="59"/>
        <v>462</v>
      </c>
      <c r="F147">
        <f t="shared" si="53"/>
        <v>16439163</v>
      </c>
      <c r="G147">
        <f t="shared" si="56"/>
        <v>1643.9163</v>
      </c>
      <c r="H147">
        <f t="shared" si="54"/>
        <v>46200</v>
      </c>
      <c r="I147">
        <f t="shared" si="48"/>
        <v>22176</v>
      </c>
      <c r="J147">
        <f t="shared" si="61"/>
        <v>6.69133823905755e-5</v>
      </c>
      <c r="K147">
        <f t="shared" si="55"/>
        <v>705611362</v>
      </c>
      <c r="L147">
        <f t="shared" si="60"/>
        <v>6.54751361557582e-5</v>
      </c>
      <c r="M147">
        <f t="shared" si="57"/>
        <v>36682695</v>
      </c>
      <c r="N147">
        <f t="shared" si="45"/>
        <v>828719952</v>
      </c>
      <c r="O147">
        <f t="shared" si="58"/>
        <v>7.18981104424914e-5</v>
      </c>
    </row>
    <row r="148" ht="13.9" spans="1:15">
      <c r="A148" s="42" t="s">
        <v>109</v>
      </c>
      <c r="B148" s="11">
        <v>27417914</v>
      </c>
      <c r="C148" s="11">
        <v>3180943</v>
      </c>
      <c r="D148" s="11">
        <v>440</v>
      </c>
      <c r="E148">
        <f t="shared" si="59"/>
        <v>440</v>
      </c>
      <c r="F148">
        <f t="shared" si="53"/>
        <v>13708957</v>
      </c>
      <c r="G148">
        <f t="shared" si="56"/>
        <v>1370.8957</v>
      </c>
      <c r="H148">
        <f t="shared" si="54"/>
        <v>44000</v>
      </c>
      <c r="I148">
        <f t="shared" si="48"/>
        <v>21120</v>
      </c>
      <c r="J148">
        <f t="shared" si="61"/>
        <v>4.74142562413756e-5</v>
      </c>
      <c r="K148">
        <f t="shared" si="55"/>
        <v>678193448</v>
      </c>
      <c r="L148">
        <f t="shared" si="60"/>
        <v>6.48782440021449e-5</v>
      </c>
      <c r="M148">
        <f t="shared" si="57"/>
        <v>30598857</v>
      </c>
      <c r="N148">
        <f t="shared" si="45"/>
        <v>792037257</v>
      </c>
      <c r="O148">
        <f t="shared" si="58"/>
        <v>2.6792714434408e-5</v>
      </c>
    </row>
    <row r="149" ht="13.9" spans="1:15">
      <c r="A149" s="42" t="s">
        <v>110</v>
      </c>
      <c r="B149" s="11">
        <v>43684074</v>
      </c>
      <c r="C149" s="11">
        <v>4836579</v>
      </c>
      <c r="D149" s="11">
        <v>427</v>
      </c>
      <c r="E149">
        <f t="shared" si="59"/>
        <v>427</v>
      </c>
      <c r="F149">
        <f t="shared" si="53"/>
        <v>21842037</v>
      </c>
      <c r="G149">
        <f t="shared" si="56"/>
        <v>2184.2037</v>
      </c>
      <c r="H149">
        <f t="shared" si="54"/>
        <v>42700</v>
      </c>
      <c r="I149">
        <f t="shared" si="48"/>
        <v>20496</v>
      </c>
      <c r="J149">
        <f t="shared" si="61"/>
        <v>6.18074220824734e-5</v>
      </c>
      <c r="K149">
        <f t="shared" si="55"/>
        <v>634509374</v>
      </c>
      <c r="L149">
        <f t="shared" si="60"/>
        <v>6.72960900968502e-5</v>
      </c>
      <c r="M149">
        <f t="shared" si="57"/>
        <v>48520653</v>
      </c>
      <c r="N149">
        <f t="shared" si="45"/>
        <v>761438400</v>
      </c>
      <c r="O149">
        <f t="shared" si="58"/>
        <v>8.01379393573656e-5</v>
      </c>
    </row>
    <row r="150" ht="13.9" spans="1:15">
      <c r="A150" s="42" t="s">
        <v>111</v>
      </c>
      <c r="B150" s="11">
        <v>30202674</v>
      </c>
      <c r="C150" s="11">
        <v>3489233</v>
      </c>
      <c r="D150" s="11">
        <v>400</v>
      </c>
      <c r="E150">
        <f t="shared" si="59"/>
        <v>400</v>
      </c>
      <c r="F150">
        <f t="shared" si="53"/>
        <v>15101337</v>
      </c>
      <c r="G150">
        <f t="shared" si="56"/>
        <v>1510.1337</v>
      </c>
      <c r="H150">
        <f t="shared" si="54"/>
        <v>40000</v>
      </c>
      <c r="I150">
        <f t="shared" si="48"/>
        <v>19200</v>
      </c>
      <c r="J150">
        <f t="shared" si="61"/>
        <v>6.62193023041602e-5</v>
      </c>
      <c r="K150">
        <f t="shared" si="55"/>
        <v>604306700</v>
      </c>
      <c r="L150">
        <f t="shared" si="60"/>
        <v>6.61915547188208e-5</v>
      </c>
      <c r="M150">
        <f t="shared" si="57"/>
        <v>33691907</v>
      </c>
      <c r="N150">
        <f t="shared" si="45"/>
        <v>712917747</v>
      </c>
      <c r="O150">
        <f t="shared" si="58"/>
        <v>7.659931812053e-5</v>
      </c>
    </row>
    <row r="151" ht="13.9" spans="1:15">
      <c r="A151" s="42" t="s">
        <v>112</v>
      </c>
      <c r="B151" s="11">
        <v>23390724</v>
      </c>
      <c r="C151" s="11">
        <v>2719169</v>
      </c>
      <c r="D151" s="11">
        <v>380</v>
      </c>
      <c r="E151">
        <f t="shared" si="59"/>
        <v>380</v>
      </c>
      <c r="F151">
        <f t="shared" si="53"/>
        <v>11695362</v>
      </c>
      <c r="G151">
        <f t="shared" si="56"/>
        <v>1169.5362</v>
      </c>
      <c r="H151">
        <f t="shared" si="54"/>
        <v>38000</v>
      </c>
      <c r="I151">
        <f t="shared" si="48"/>
        <v>18240</v>
      </c>
      <c r="J151">
        <f t="shared" si="61"/>
        <v>5.98527860873396e-5</v>
      </c>
      <c r="K151">
        <f t="shared" si="55"/>
        <v>580915976</v>
      </c>
      <c r="L151">
        <f t="shared" si="60"/>
        <v>6.54139351815657e-5</v>
      </c>
      <c r="M151">
        <f t="shared" si="57"/>
        <v>26109893</v>
      </c>
      <c r="N151">
        <f t="shared" si="45"/>
        <v>679225840</v>
      </c>
      <c r="O151">
        <f t="shared" si="58"/>
        <v>3.32601752022492e-5</v>
      </c>
    </row>
    <row r="152" ht="13.9" spans="1:15">
      <c r="A152" s="42" t="s">
        <v>113</v>
      </c>
      <c r="B152" s="11">
        <v>37832746</v>
      </c>
      <c r="C152" s="11">
        <v>4259636</v>
      </c>
      <c r="D152" s="11">
        <v>366</v>
      </c>
      <c r="E152">
        <f t="shared" si="59"/>
        <v>366</v>
      </c>
      <c r="F152">
        <f t="shared" si="53"/>
        <v>18916373</v>
      </c>
      <c r="G152">
        <f t="shared" si="56"/>
        <v>1891.6373</v>
      </c>
      <c r="H152">
        <f t="shared" si="54"/>
        <v>36600</v>
      </c>
      <c r="I152">
        <f t="shared" si="48"/>
        <v>17568</v>
      </c>
      <c r="J152">
        <f t="shared" si="61"/>
        <v>6.87235338402346e-5</v>
      </c>
      <c r="K152">
        <f t="shared" si="55"/>
        <v>543083230</v>
      </c>
      <c r="L152">
        <f t="shared" si="60"/>
        <v>6.73929850494555e-5</v>
      </c>
      <c r="M152">
        <f t="shared" si="57"/>
        <v>42092382</v>
      </c>
      <c r="N152">
        <f t="shared" si="45"/>
        <v>653115947</v>
      </c>
      <c r="O152">
        <f t="shared" si="58"/>
        <v>8.96357739959449e-5</v>
      </c>
    </row>
    <row r="153" ht="13.9" spans="1:15">
      <c r="A153" s="42" t="s">
        <v>114</v>
      </c>
      <c r="B153" s="11">
        <v>25936844</v>
      </c>
      <c r="C153" s="11">
        <v>3069432</v>
      </c>
      <c r="D153" s="11">
        <v>340</v>
      </c>
      <c r="E153">
        <f t="shared" si="59"/>
        <v>340</v>
      </c>
      <c r="F153">
        <f t="shared" si="53"/>
        <v>12968422</v>
      </c>
      <c r="G153">
        <f t="shared" si="56"/>
        <v>1296.8422</v>
      </c>
      <c r="H153">
        <f t="shared" si="54"/>
        <v>34000</v>
      </c>
      <c r="I153">
        <f t="shared" si="48"/>
        <v>16320</v>
      </c>
      <c r="J153">
        <f t="shared" si="61"/>
        <v>6.16883071818607e-5</v>
      </c>
      <c r="K153">
        <f t="shared" si="55"/>
        <v>517146386</v>
      </c>
      <c r="L153">
        <f t="shared" si="60"/>
        <v>6.57454077229112e-5</v>
      </c>
      <c r="M153">
        <f t="shared" si="57"/>
        <v>29006276</v>
      </c>
      <c r="N153">
        <f t="shared" si="45"/>
        <v>611023565</v>
      </c>
      <c r="O153">
        <f t="shared" si="58"/>
        <v>6.54267613855344e-5</v>
      </c>
    </row>
    <row r="154" ht="13.85" spans="1:15">
      <c r="A154" s="43">
        <v>39074</v>
      </c>
      <c r="B154" s="11">
        <v>21843690</v>
      </c>
      <c r="C154" s="11">
        <v>2611135</v>
      </c>
      <c r="D154" s="11">
        <v>324</v>
      </c>
      <c r="E154">
        <f t="shared" si="59"/>
        <v>324</v>
      </c>
      <c r="F154">
        <f t="shared" si="53"/>
        <v>10921845</v>
      </c>
      <c r="G154">
        <f t="shared" si="56"/>
        <v>1092.1845</v>
      </c>
      <c r="H154">
        <f t="shared" si="54"/>
        <v>32400</v>
      </c>
      <c r="I154">
        <f t="shared" si="48"/>
        <v>15552</v>
      </c>
      <c r="J154">
        <f t="shared" si="61"/>
        <v>7.32476976188547e-5</v>
      </c>
      <c r="K154">
        <f t="shared" si="55"/>
        <v>495302696</v>
      </c>
      <c r="L154">
        <f t="shared" si="60"/>
        <v>6.54145439983634e-5</v>
      </c>
      <c r="M154">
        <f t="shared" si="57"/>
        <v>24454825</v>
      </c>
      <c r="N154">
        <f t="shared" si="45"/>
        <v>582017289</v>
      </c>
      <c r="O154">
        <f t="shared" si="58"/>
        <v>4.10103084280208e-5</v>
      </c>
    </row>
    <row r="155" ht="13.85" spans="1:15">
      <c r="A155" s="43">
        <v>39013</v>
      </c>
      <c r="B155" s="11">
        <v>35017240</v>
      </c>
      <c r="C155" s="11">
        <v>3997341</v>
      </c>
      <c r="D155" s="11">
        <v>308</v>
      </c>
      <c r="E155">
        <f t="shared" si="59"/>
        <v>308</v>
      </c>
      <c r="F155">
        <f t="shared" si="53"/>
        <v>17508620</v>
      </c>
      <c r="G155">
        <f t="shared" si="56"/>
        <v>1750.862</v>
      </c>
      <c r="H155">
        <f t="shared" si="54"/>
        <v>30800</v>
      </c>
      <c r="I155">
        <f t="shared" si="48"/>
        <v>14784</v>
      </c>
      <c r="J155">
        <f t="shared" si="61"/>
        <v>6.56819326708787e-5</v>
      </c>
      <c r="K155">
        <f t="shared" si="55"/>
        <v>460285456</v>
      </c>
      <c r="L155">
        <f t="shared" si="60"/>
        <v>6.69149972012151e-5</v>
      </c>
      <c r="M155">
        <f t="shared" si="57"/>
        <v>39014581</v>
      </c>
      <c r="N155">
        <f t="shared" si="45"/>
        <v>557562464</v>
      </c>
      <c r="O155">
        <f t="shared" si="58"/>
        <v>8.88357762528065e-5</v>
      </c>
    </row>
    <row r="156" ht="13.85" spans="1:15">
      <c r="A156" s="43">
        <v>38921</v>
      </c>
      <c r="B156" s="11">
        <v>23101890</v>
      </c>
      <c r="C156" s="11">
        <v>2788580</v>
      </c>
      <c r="D156" s="11">
        <v>285</v>
      </c>
      <c r="E156">
        <f t="shared" si="59"/>
        <v>285</v>
      </c>
      <c r="F156">
        <f t="shared" si="53"/>
        <v>11550945</v>
      </c>
      <c r="G156">
        <f t="shared" si="56"/>
        <v>1155.0945</v>
      </c>
      <c r="H156">
        <f t="shared" si="54"/>
        <v>28500</v>
      </c>
      <c r="I156">
        <f t="shared" si="48"/>
        <v>13680</v>
      </c>
      <c r="J156">
        <f t="shared" si="61"/>
        <v>6.92584026674874e-5</v>
      </c>
      <c r="K156">
        <f t="shared" si="55"/>
        <v>437183566</v>
      </c>
      <c r="L156">
        <f t="shared" si="60"/>
        <v>6.51900076225647e-5</v>
      </c>
      <c r="M156">
        <f t="shared" si="57"/>
        <v>25890470</v>
      </c>
      <c r="N156">
        <f t="shared" si="45"/>
        <v>518547883</v>
      </c>
      <c r="O156">
        <f t="shared" si="58"/>
        <v>7.18053378831589e-5</v>
      </c>
    </row>
    <row r="157" ht="13.85" spans="1:15">
      <c r="A157" s="43">
        <v>38860</v>
      </c>
      <c r="B157" s="11">
        <v>19859934</v>
      </c>
      <c r="C157" s="11">
        <v>2422532</v>
      </c>
      <c r="D157" s="11">
        <v>269</v>
      </c>
      <c r="E157">
        <f t="shared" si="59"/>
        <v>269</v>
      </c>
      <c r="F157">
        <f t="shared" si="53"/>
        <v>9929967</v>
      </c>
      <c r="G157">
        <f t="shared" si="56"/>
        <v>992.9967</v>
      </c>
      <c r="H157">
        <f t="shared" si="54"/>
        <v>26900</v>
      </c>
      <c r="I157">
        <f t="shared" si="48"/>
        <v>12912</v>
      </c>
      <c r="J157">
        <f t="shared" si="61"/>
        <v>3.5246844224155e-5</v>
      </c>
      <c r="K157">
        <f t="shared" si="55"/>
        <v>417323632</v>
      </c>
      <c r="L157">
        <f t="shared" si="60"/>
        <v>6.44583674092053e-5</v>
      </c>
      <c r="M157">
        <f t="shared" si="57"/>
        <v>22282466</v>
      </c>
      <c r="N157">
        <f t="shared" si="45"/>
        <v>492657413</v>
      </c>
      <c r="O157">
        <f t="shared" si="58"/>
        <v>1.91748839262098e-5</v>
      </c>
    </row>
    <row r="158" ht="13.85" spans="1:15">
      <c r="A158" s="43">
        <v>38799</v>
      </c>
      <c r="B158" s="11">
        <v>32669946</v>
      </c>
      <c r="C158" s="11">
        <v>3836142</v>
      </c>
      <c r="D158" s="11">
        <v>262</v>
      </c>
      <c r="E158">
        <f t="shared" si="59"/>
        <v>262</v>
      </c>
      <c r="F158">
        <f t="shared" si="53"/>
        <v>16334973</v>
      </c>
      <c r="G158">
        <f t="shared" si="56"/>
        <v>1633.4973</v>
      </c>
      <c r="H158">
        <f t="shared" si="54"/>
        <v>26200</v>
      </c>
      <c r="I158">
        <f t="shared" si="48"/>
        <v>12576</v>
      </c>
      <c r="J158">
        <f t="shared" si="61"/>
        <v>7.04010958573363e-5</v>
      </c>
      <c r="K158">
        <f t="shared" si="55"/>
        <v>384653686</v>
      </c>
      <c r="L158">
        <f t="shared" si="60"/>
        <v>6.81132170406395e-5</v>
      </c>
      <c r="M158">
        <f t="shared" si="57"/>
        <v>36506088</v>
      </c>
      <c r="N158">
        <f t="shared" si="45"/>
        <v>470374947</v>
      </c>
      <c r="O158">
        <f t="shared" si="58"/>
        <v>9.16754432617294e-5</v>
      </c>
    </row>
    <row r="159" ht="13.9" spans="1:15">
      <c r="A159" s="42" t="s">
        <v>115</v>
      </c>
      <c r="B159" s="11">
        <v>22340696</v>
      </c>
      <c r="C159" s="11">
        <v>2747811</v>
      </c>
      <c r="D159" s="11">
        <v>239</v>
      </c>
      <c r="E159">
        <f t="shared" si="59"/>
        <v>239</v>
      </c>
      <c r="F159">
        <f t="shared" si="53"/>
        <v>11170348</v>
      </c>
      <c r="G159">
        <f t="shared" si="56"/>
        <v>1117.0348</v>
      </c>
      <c r="H159">
        <f t="shared" si="54"/>
        <v>23900</v>
      </c>
      <c r="I159">
        <f t="shared" si="48"/>
        <v>11472</v>
      </c>
      <c r="J159">
        <f t="shared" si="61"/>
        <v>5.81897717063067e-5</v>
      </c>
      <c r="K159">
        <f t="shared" si="55"/>
        <v>362312990</v>
      </c>
      <c r="L159">
        <f t="shared" si="60"/>
        <v>6.59650651774865e-5</v>
      </c>
      <c r="M159">
        <f t="shared" si="57"/>
        <v>25088507</v>
      </c>
      <c r="N159">
        <f t="shared" si="45"/>
        <v>433868859</v>
      </c>
      <c r="O159">
        <f t="shared" si="58"/>
        <v>6.76199660121245e-5</v>
      </c>
    </row>
    <row r="160" ht="13.9" spans="1:15">
      <c r="A160" s="42" t="s">
        <v>116</v>
      </c>
      <c r="B160" s="11">
        <v>17085688</v>
      </c>
      <c r="C160" s="11">
        <v>2139403</v>
      </c>
      <c r="D160" s="11">
        <v>226</v>
      </c>
      <c r="E160">
        <f t="shared" si="59"/>
        <v>226</v>
      </c>
      <c r="F160">
        <f t="shared" si="53"/>
        <v>8542844</v>
      </c>
      <c r="G160">
        <f t="shared" si="56"/>
        <v>854.2844</v>
      </c>
      <c r="H160">
        <f t="shared" si="54"/>
        <v>22600</v>
      </c>
      <c r="I160">
        <f t="shared" si="48"/>
        <v>10848</v>
      </c>
      <c r="J160">
        <f t="shared" si="61"/>
        <v>8.77927772062793e-5</v>
      </c>
      <c r="K160">
        <f t="shared" si="55"/>
        <v>345227302</v>
      </c>
      <c r="L160">
        <f t="shared" si="60"/>
        <v>6.54641155814496e-5</v>
      </c>
      <c r="M160">
        <f t="shared" si="57"/>
        <v>19225091</v>
      </c>
      <c r="N160">
        <f t="shared" ref="N160:N223" si="62">IF(H160&lt;H161,M160+M161,M160+N161)</f>
        <v>408780352</v>
      </c>
      <c r="O160">
        <f t="shared" si="58"/>
        <v>4.41824327996243e-5</v>
      </c>
    </row>
    <row r="161" ht="13.9" spans="1:15">
      <c r="A161" s="42" t="s">
        <v>117</v>
      </c>
      <c r="B161" s="11">
        <v>30334250</v>
      </c>
      <c r="C161" s="11">
        <v>3615895</v>
      </c>
      <c r="D161" s="11">
        <v>211</v>
      </c>
      <c r="E161">
        <f t="shared" si="59"/>
        <v>211</v>
      </c>
      <c r="F161">
        <f t="shared" si="53"/>
        <v>15167125</v>
      </c>
      <c r="G161">
        <f t="shared" si="56"/>
        <v>1516.7125</v>
      </c>
      <c r="H161">
        <f t="shared" si="54"/>
        <v>21100</v>
      </c>
      <c r="I161">
        <f t="shared" si="48"/>
        <v>10128</v>
      </c>
      <c r="J161">
        <f t="shared" si="61"/>
        <v>6.92286771553607e-5</v>
      </c>
      <c r="K161">
        <f t="shared" si="55"/>
        <v>314893052</v>
      </c>
      <c r="L161">
        <f t="shared" si="60"/>
        <v>6.7006876988826e-5</v>
      </c>
      <c r="M161">
        <f t="shared" si="57"/>
        <v>33950145</v>
      </c>
      <c r="N161">
        <f t="shared" si="62"/>
        <v>389555261</v>
      </c>
      <c r="O161">
        <f t="shared" si="58"/>
        <v>9.20497305244139e-5</v>
      </c>
    </row>
    <row r="162" ht="13.9" spans="1:15">
      <c r="A162" s="42" t="s">
        <v>118</v>
      </c>
      <c r="B162" s="11">
        <v>20258334</v>
      </c>
      <c r="C162" s="11">
        <v>2555421</v>
      </c>
      <c r="D162" s="11">
        <v>190</v>
      </c>
      <c r="E162">
        <f t="shared" si="59"/>
        <v>190</v>
      </c>
      <c r="F162">
        <f t="shared" si="53"/>
        <v>10129167</v>
      </c>
      <c r="G162">
        <f t="shared" si="56"/>
        <v>1012.9167</v>
      </c>
      <c r="H162">
        <f t="shared" si="54"/>
        <v>19000</v>
      </c>
      <c r="I162">
        <f t="shared" si="48"/>
        <v>9120</v>
      </c>
      <c r="J162">
        <f t="shared" si="61"/>
        <v>5.42986407470624e-5</v>
      </c>
      <c r="K162">
        <f t="shared" si="55"/>
        <v>294634718</v>
      </c>
      <c r="L162">
        <f t="shared" si="60"/>
        <v>6.44866298478783e-5</v>
      </c>
      <c r="M162">
        <f t="shared" si="57"/>
        <v>22813755</v>
      </c>
      <c r="N162">
        <f t="shared" si="62"/>
        <v>355605116</v>
      </c>
      <c r="O162">
        <f t="shared" si="58"/>
        <v>5.73280938929945e-5</v>
      </c>
    </row>
    <row r="163" ht="13.9" spans="1:15">
      <c r="A163" s="42" t="s">
        <v>119</v>
      </c>
      <c r="B163" s="11">
        <v>17029294</v>
      </c>
      <c r="C163" s="11">
        <v>2158506</v>
      </c>
      <c r="D163" s="11">
        <v>179</v>
      </c>
      <c r="E163">
        <f t="shared" si="59"/>
        <v>179</v>
      </c>
      <c r="F163">
        <f t="shared" si="53"/>
        <v>8514647</v>
      </c>
      <c r="G163">
        <f t="shared" si="56"/>
        <v>851.4647</v>
      </c>
      <c r="H163">
        <f t="shared" si="54"/>
        <v>17900</v>
      </c>
      <c r="I163">
        <f t="shared" si="48"/>
        <v>8592</v>
      </c>
      <c r="J163">
        <f t="shared" si="61"/>
        <v>9.9827978775867e-5</v>
      </c>
      <c r="K163">
        <f t="shared" si="55"/>
        <v>277605424</v>
      </c>
      <c r="L163">
        <f t="shared" si="60"/>
        <v>6.44800081427804e-5</v>
      </c>
      <c r="M163">
        <f t="shared" si="57"/>
        <v>19187800</v>
      </c>
      <c r="N163">
        <f t="shared" si="62"/>
        <v>332791361</v>
      </c>
      <c r="O163">
        <f t="shared" si="58"/>
        <v>5.46013119795953e-5</v>
      </c>
    </row>
    <row r="164" ht="13.9" spans="1:15">
      <c r="A164" s="42" t="s">
        <v>120</v>
      </c>
      <c r="B164" s="11">
        <v>27743830</v>
      </c>
      <c r="C164" s="11">
        <v>3390953</v>
      </c>
      <c r="D164" s="11">
        <v>162</v>
      </c>
      <c r="E164">
        <f t="shared" si="59"/>
        <v>162</v>
      </c>
      <c r="F164">
        <f t="shared" si="53"/>
        <v>13871915</v>
      </c>
      <c r="G164">
        <f t="shared" si="56"/>
        <v>1387.1915</v>
      </c>
      <c r="H164">
        <f t="shared" si="54"/>
        <v>16200</v>
      </c>
      <c r="I164">
        <f t="shared" si="48"/>
        <v>7776</v>
      </c>
      <c r="J164">
        <f t="shared" si="61"/>
        <v>5.76704802473199e-5</v>
      </c>
      <c r="K164">
        <f t="shared" si="55"/>
        <v>249861594</v>
      </c>
      <c r="L164">
        <f t="shared" si="60"/>
        <v>6.48358947073715e-5</v>
      </c>
      <c r="M164">
        <f t="shared" si="57"/>
        <v>31134783</v>
      </c>
      <c r="N164">
        <f t="shared" si="62"/>
        <v>313603561</v>
      </c>
      <c r="O164">
        <f t="shared" si="58"/>
        <v>7.30834115135515e-5</v>
      </c>
    </row>
    <row r="165" ht="13.9" spans="1:15">
      <c r="A165" s="42" t="s">
        <v>121</v>
      </c>
      <c r="B165" s="11">
        <v>19388766</v>
      </c>
      <c r="C165" s="11">
        <v>2504027</v>
      </c>
      <c r="D165" s="11">
        <v>146</v>
      </c>
      <c r="E165">
        <f t="shared" si="59"/>
        <v>146</v>
      </c>
      <c r="F165">
        <f t="shared" si="53"/>
        <v>9694383</v>
      </c>
      <c r="G165">
        <f t="shared" si="56"/>
        <v>969.4383</v>
      </c>
      <c r="H165">
        <f t="shared" si="54"/>
        <v>14600</v>
      </c>
      <c r="I165">
        <f t="shared" si="48"/>
        <v>7008</v>
      </c>
      <c r="J165">
        <f t="shared" si="61"/>
        <v>5.67338839408346e-5</v>
      </c>
      <c r="K165">
        <f t="shared" si="55"/>
        <v>230472828</v>
      </c>
      <c r="L165">
        <f t="shared" si="60"/>
        <v>6.33480316386798e-5</v>
      </c>
      <c r="M165">
        <f t="shared" si="57"/>
        <v>21892793</v>
      </c>
      <c r="N165">
        <f t="shared" si="62"/>
        <v>282468778</v>
      </c>
      <c r="O165">
        <f t="shared" si="58"/>
        <v>5.92263445672428e-5</v>
      </c>
    </row>
    <row r="166" ht="13.9" spans="1:15">
      <c r="A166" s="42" t="s">
        <v>122</v>
      </c>
      <c r="B166" s="11">
        <v>16440602</v>
      </c>
      <c r="C166" s="11">
        <v>2132214</v>
      </c>
      <c r="D166" s="11">
        <v>135</v>
      </c>
      <c r="E166">
        <f t="shared" si="59"/>
        <v>135</v>
      </c>
      <c r="F166">
        <f t="shared" si="53"/>
        <v>8220301</v>
      </c>
      <c r="G166">
        <f t="shared" si="56"/>
        <v>822.0301</v>
      </c>
      <c r="H166">
        <f t="shared" si="54"/>
        <v>13500</v>
      </c>
      <c r="I166">
        <f t="shared" si="48"/>
        <v>6480</v>
      </c>
      <c r="J166">
        <f t="shared" si="61"/>
        <v>6.08250233172727e-5</v>
      </c>
      <c r="K166">
        <f t="shared" si="55"/>
        <v>214032226</v>
      </c>
      <c r="L166">
        <f t="shared" si="60"/>
        <v>6.30746138200703e-5</v>
      </c>
      <c r="M166">
        <f t="shared" si="57"/>
        <v>18572816</v>
      </c>
      <c r="N166">
        <f t="shared" si="62"/>
        <v>260575985</v>
      </c>
      <c r="O166">
        <f t="shared" si="58"/>
        <v>3.27985195797814e-5</v>
      </c>
    </row>
    <row r="167" ht="13.9" spans="1:15">
      <c r="A167" s="42" t="s">
        <v>123</v>
      </c>
      <c r="B167" s="11">
        <v>27114778</v>
      </c>
      <c r="C167" s="11">
        <v>3374403</v>
      </c>
      <c r="D167" s="11">
        <v>125</v>
      </c>
      <c r="E167">
        <f t="shared" si="59"/>
        <v>125</v>
      </c>
      <c r="F167">
        <f t="shared" si="53"/>
        <v>13557389</v>
      </c>
      <c r="G167">
        <f t="shared" si="56"/>
        <v>1355.7389</v>
      </c>
      <c r="H167">
        <f t="shared" si="54"/>
        <v>12500</v>
      </c>
      <c r="I167">
        <f t="shared" si="48"/>
        <v>6000</v>
      </c>
      <c r="J167">
        <f t="shared" si="61"/>
        <v>5.90084123130199e-5</v>
      </c>
      <c r="K167">
        <f t="shared" si="55"/>
        <v>186917448</v>
      </c>
      <c r="L167">
        <f t="shared" si="60"/>
        <v>6.68744418124091e-5</v>
      </c>
      <c r="M167">
        <f t="shared" si="57"/>
        <v>30489181</v>
      </c>
      <c r="N167">
        <f t="shared" si="62"/>
        <v>242003169</v>
      </c>
      <c r="O167">
        <f t="shared" si="58"/>
        <v>7.59094377634651e-5</v>
      </c>
    </row>
    <row r="168" ht="13.85" spans="1:15">
      <c r="A168" s="43">
        <v>38648</v>
      </c>
      <c r="B168" s="11">
        <v>18657734</v>
      </c>
      <c r="C168" s="11">
        <v>2420014</v>
      </c>
      <c r="D168" s="11">
        <v>109</v>
      </c>
      <c r="E168">
        <f t="shared" si="59"/>
        <v>109</v>
      </c>
      <c r="F168">
        <f t="shared" si="53"/>
        <v>9328867</v>
      </c>
      <c r="G168">
        <f t="shared" si="56"/>
        <v>932.8867</v>
      </c>
      <c r="H168">
        <f t="shared" si="54"/>
        <v>10900</v>
      </c>
      <c r="I168">
        <f t="shared" si="48"/>
        <v>5232</v>
      </c>
      <c r="J168">
        <f t="shared" si="61"/>
        <v>6.43164920241654e-5</v>
      </c>
      <c r="K168">
        <f t="shared" si="55"/>
        <v>168259714</v>
      </c>
      <c r="L168">
        <f t="shared" si="60"/>
        <v>6.47808066522685e-5</v>
      </c>
      <c r="M168">
        <f t="shared" si="57"/>
        <v>21077748</v>
      </c>
      <c r="N168">
        <f t="shared" si="62"/>
        <v>211513988</v>
      </c>
      <c r="O168">
        <f t="shared" si="58"/>
        <v>6.92274077076065e-5</v>
      </c>
    </row>
    <row r="169" ht="13.85" spans="1:15">
      <c r="A169" s="43">
        <v>38587</v>
      </c>
      <c r="B169" s="11">
        <v>15309084</v>
      </c>
      <c r="C169" s="11">
        <v>2025091</v>
      </c>
      <c r="D169" s="11">
        <v>97</v>
      </c>
      <c r="E169">
        <f t="shared" si="59"/>
        <v>97</v>
      </c>
      <c r="F169">
        <f t="shared" si="53"/>
        <v>7654542</v>
      </c>
      <c r="G169">
        <f t="shared" si="56"/>
        <v>765.4542</v>
      </c>
      <c r="H169">
        <f t="shared" si="54"/>
        <v>9700</v>
      </c>
      <c r="I169">
        <f t="shared" si="48"/>
        <v>4656</v>
      </c>
      <c r="J169">
        <f t="shared" si="61"/>
        <v>6.53206945627838e-5</v>
      </c>
      <c r="K169">
        <f t="shared" si="55"/>
        <v>152950630</v>
      </c>
      <c r="L169">
        <f t="shared" si="60"/>
        <v>6.34191568874218e-5</v>
      </c>
      <c r="M169">
        <f t="shared" si="57"/>
        <v>17334175</v>
      </c>
      <c r="N169">
        <f t="shared" si="62"/>
        <v>190436240</v>
      </c>
      <c r="O169">
        <f t="shared" ref="O169:O200" si="63">IF(H169&gt;H170,(H169-H170)/M170,H169/M170)</f>
        <v>3.59530550892844e-5</v>
      </c>
    </row>
    <row r="170" ht="13.85" spans="1:15">
      <c r="A170" s="43">
        <v>38526</v>
      </c>
      <c r="B170" s="11">
        <v>24668806</v>
      </c>
      <c r="C170" s="11">
        <v>3145242</v>
      </c>
      <c r="D170" s="11">
        <v>87</v>
      </c>
      <c r="E170">
        <f t="shared" si="59"/>
        <v>87</v>
      </c>
      <c r="F170">
        <f t="shared" si="53"/>
        <v>12334403</v>
      </c>
      <c r="G170">
        <f t="shared" si="56"/>
        <v>1233.4403</v>
      </c>
      <c r="H170">
        <f t="shared" si="54"/>
        <v>8700</v>
      </c>
      <c r="I170">
        <f t="shared" si="48"/>
        <v>4176</v>
      </c>
      <c r="J170">
        <f t="shared" si="61"/>
        <v>6.48592396405404e-5</v>
      </c>
      <c r="K170">
        <f t="shared" si="55"/>
        <v>128281824</v>
      </c>
      <c r="L170">
        <f t="shared" si="60"/>
        <v>6.78194285731391e-5</v>
      </c>
      <c r="M170">
        <f t="shared" si="57"/>
        <v>27814048</v>
      </c>
      <c r="N170">
        <f t="shared" si="62"/>
        <v>173102065</v>
      </c>
      <c r="O170">
        <f t="shared" si="63"/>
        <v>8.13954890314746e-5</v>
      </c>
    </row>
    <row r="171" ht="13.85" spans="1:15">
      <c r="A171" s="43">
        <v>38434</v>
      </c>
      <c r="B171" s="11">
        <v>17319518</v>
      </c>
      <c r="C171" s="11">
        <v>2337591</v>
      </c>
      <c r="D171" s="11">
        <v>71</v>
      </c>
      <c r="E171">
        <f t="shared" si="59"/>
        <v>71</v>
      </c>
      <c r="F171">
        <f t="shared" si="53"/>
        <v>8659759</v>
      </c>
      <c r="G171">
        <f t="shared" si="56"/>
        <v>865.9759</v>
      </c>
      <c r="H171">
        <f t="shared" si="54"/>
        <v>7100</v>
      </c>
      <c r="I171">
        <f t="shared" si="48"/>
        <v>3408</v>
      </c>
      <c r="J171">
        <f t="shared" si="61"/>
        <v>6.35121600959103e-5</v>
      </c>
      <c r="K171">
        <f t="shared" si="55"/>
        <v>110962306</v>
      </c>
      <c r="L171">
        <f t="shared" si="60"/>
        <v>6.39856925828488e-5</v>
      </c>
      <c r="M171">
        <f t="shared" si="57"/>
        <v>19657109</v>
      </c>
      <c r="N171">
        <f t="shared" si="62"/>
        <v>145288017</v>
      </c>
      <c r="O171">
        <f t="shared" si="63"/>
        <v>6.71447044070366e-5</v>
      </c>
    </row>
    <row r="172" ht="13.85" spans="1:15">
      <c r="A172" s="43">
        <v>38375</v>
      </c>
      <c r="B172" s="11">
        <v>14414700</v>
      </c>
      <c r="C172" s="11">
        <v>1967828</v>
      </c>
      <c r="D172" s="11">
        <v>60</v>
      </c>
      <c r="E172">
        <f t="shared" si="59"/>
        <v>60</v>
      </c>
      <c r="F172">
        <f t="shared" si="53"/>
        <v>7207350</v>
      </c>
      <c r="G172">
        <f t="shared" si="56"/>
        <v>720.735</v>
      </c>
      <c r="H172">
        <f t="shared" si="54"/>
        <v>6000</v>
      </c>
      <c r="I172">
        <f t="shared" ref="I172:I235" si="64">H172*0.48</f>
        <v>2880</v>
      </c>
      <c r="J172">
        <f t="shared" si="61"/>
        <v>6.24362629815397e-5</v>
      </c>
      <c r="K172">
        <f t="shared" si="55"/>
        <v>96547606</v>
      </c>
      <c r="L172">
        <f t="shared" si="60"/>
        <v>6.2145507781933e-5</v>
      </c>
      <c r="M172">
        <f t="shared" si="57"/>
        <v>16382528</v>
      </c>
      <c r="N172">
        <f t="shared" si="62"/>
        <v>125630908</v>
      </c>
      <c r="O172">
        <f t="shared" si="63"/>
        <v>3.44713064866458e-5</v>
      </c>
    </row>
    <row r="173" ht="13.9" spans="1:15">
      <c r="A173" s="42" t="s">
        <v>124</v>
      </c>
      <c r="B173" s="11">
        <v>23083576</v>
      </c>
      <c r="C173" s="11">
        <v>3025095</v>
      </c>
      <c r="D173" s="11">
        <v>51</v>
      </c>
      <c r="E173">
        <f t="shared" si="59"/>
        <v>51</v>
      </c>
      <c r="F173">
        <f t="shared" si="53"/>
        <v>11541788</v>
      </c>
      <c r="G173">
        <f t="shared" si="56"/>
        <v>1154.1788</v>
      </c>
      <c r="H173">
        <f t="shared" si="54"/>
        <v>5100</v>
      </c>
      <c r="I173">
        <f t="shared" si="64"/>
        <v>2448</v>
      </c>
      <c r="J173">
        <f t="shared" si="61"/>
        <v>6.06491819118494e-5</v>
      </c>
      <c r="K173">
        <f t="shared" si="55"/>
        <v>73464030</v>
      </c>
      <c r="L173">
        <f t="shared" si="60"/>
        <v>6.9421729246272e-5</v>
      </c>
      <c r="M173">
        <f t="shared" si="57"/>
        <v>26108671</v>
      </c>
      <c r="N173">
        <f t="shared" si="62"/>
        <v>109248380</v>
      </c>
      <c r="O173">
        <f t="shared" si="63"/>
        <v>7.97563148344068e-5</v>
      </c>
    </row>
    <row r="174" ht="13.9" spans="1:15">
      <c r="A174" s="42" t="s">
        <v>125</v>
      </c>
      <c r="B174" s="11">
        <v>15423526</v>
      </c>
      <c r="C174" s="11">
        <v>2129943</v>
      </c>
      <c r="D174" s="11">
        <v>37</v>
      </c>
      <c r="E174">
        <f t="shared" ref="E174:E205" si="65">IF(RIGHT(D174,1)="B",VALUE(LEFT(D174,LEN(D174)-1))*1000,D174)</f>
        <v>37</v>
      </c>
      <c r="F174">
        <f t="shared" si="53"/>
        <v>7711763</v>
      </c>
      <c r="G174">
        <f t="shared" si="56"/>
        <v>771.1763</v>
      </c>
      <c r="H174">
        <f t="shared" si="54"/>
        <v>3700</v>
      </c>
      <c r="I174">
        <f t="shared" si="64"/>
        <v>1776</v>
      </c>
      <c r="J174">
        <f t="shared" si="61"/>
        <v>5.83524156538524e-5</v>
      </c>
      <c r="K174">
        <f t="shared" si="55"/>
        <v>58040504</v>
      </c>
      <c r="L174">
        <f t="shared" ref="L174:L205" si="66">IF(E174&gt;E175,H174/K174,0)</f>
        <v>6.37485849537075e-5</v>
      </c>
      <c r="M174">
        <f t="shared" si="57"/>
        <v>17553469</v>
      </c>
      <c r="N174">
        <f t="shared" si="62"/>
        <v>83139709</v>
      </c>
      <c r="O174">
        <f t="shared" si="63"/>
        <v>6.20662731251175e-5</v>
      </c>
    </row>
    <row r="175" ht="13.9" spans="1:15">
      <c r="A175" s="42" t="s">
        <v>126</v>
      </c>
      <c r="B175" s="11">
        <v>12731852</v>
      </c>
      <c r="C175" s="11">
        <v>1768777</v>
      </c>
      <c r="D175" s="11">
        <v>28</v>
      </c>
      <c r="E175">
        <f t="shared" si="65"/>
        <v>28</v>
      </c>
      <c r="F175">
        <f t="shared" si="53"/>
        <v>6365926</v>
      </c>
      <c r="G175">
        <f t="shared" si="56"/>
        <v>636.5926</v>
      </c>
      <c r="H175">
        <f t="shared" si="54"/>
        <v>2800</v>
      </c>
      <c r="I175">
        <f t="shared" si="64"/>
        <v>1344</v>
      </c>
      <c r="J175">
        <f t="shared" ref="J175:J206" si="67">IF(H175&gt;H176,(H175-H176)/B175,0)</f>
        <v>6.28345349914529e-5</v>
      </c>
      <c r="K175">
        <f t="shared" si="55"/>
        <v>45308652</v>
      </c>
      <c r="L175">
        <f t="shared" si="66"/>
        <v>6.17983514495201e-5</v>
      </c>
      <c r="M175">
        <f t="shared" si="57"/>
        <v>14500629</v>
      </c>
      <c r="N175">
        <f t="shared" si="62"/>
        <v>65586240</v>
      </c>
      <c r="O175">
        <f t="shared" si="63"/>
        <v>3.33680221730507e-5</v>
      </c>
    </row>
    <row r="176" ht="13.9" spans="1:15">
      <c r="A176" s="42" t="s">
        <v>127</v>
      </c>
      <c r="B176" s="11">
        <v>21171482</v>
      </c>
      <c r="C176" s="11">
        <v>2803568</v>
      </c>
      <c r="D176" s="11">
        <v>20</v>
      </c>
      <c r="E176">
        <f t="shared" si="65"/>
        <v>20</v>
      </c>
      <c r="F176">
        <f t="shared" si="53"/>
        <v>10585741</v>
      </c>
      <c r="G176">
        <f t="shared" si="56"/>
        <v>1058.5741</v>
      </c>
      <c r="H176">
        <f t="shared" si="54"/>
        <v>2000</v>
      </c>
      <c r="I176">
        <f t="shared" si="64"/>
        <v>960</v>
      </c>
      <c r="J176">
        <f t="shared" si="67"/>
        <v>0</v>
      </c>
      <c r="K176">
        <f t="shared" si="55"/>
        <v>24137170</v>
      </c>
      <c r="L176">
        <f t="shared" si="66"/>
        <v>0</v>
      </c>
      <c r="M176">
        <f t="shared" si="57"/>
        <v>23975050</v>
      </c>
      <c r="N176">
        <f t="shared" si="62"/>
        <v>51085611</v>
      </c>
      <c r="O176">
        <f t="shared" si="63"/>
        <v>7.37719887094922e-5</v>
      </c>
    </row>
    <row r="177" ht="13.9" spans="1:15">
      <c r="A177" s="42" t="s">
        <v>128</v>
      </c>
      <c r="B177" s="11">
        <v>24137170</v>
      </c>
      <c r="C177" s="11">
        <v>2973391</v>
      </c>
      <c r="D177" s="11">
        <v>252.6</v>
      </c>
      <c r="E177">
        <f t="shared" si="65"/>
        <v>252.6</v>
      </c>
      <c r="F177">
        <f t="shared" si="53"/>
        <v>12068585</v>
      </c>
      <c r="G177">
        <f t="shared" si="56"/>
        <v>1206.8585</v>
      </c>
      <c r="H177">
        <f t="shared" si="54"/>
        <v>25260</v>
      </c>
      <c r="I177">
        <f t="shared" si="64"/>
        <v>12124.8</v>
      </c>
      <c r="J177">
        <f t="shared" si="67"/>
        <v>5.63446336086625e-5</v>
      </c>
      <c r="K177">
        <f t="shared" si="55"/>
        <v>407085582</v>
      </c>
      <c r="L177">
        <f t="shared" si="66"/>
        <v>6.20508343132624e-5</v>
      </c>
      <c r="M177">
        <f t="shared" si="57"/>
        <v>27110561</v>
      </c>
      <c r="N177">
        <f t="shared" si="62"/>
        <v>487603267</v>
      </c>
      <c r="O177">
        <f t="shared" si="63"/>
        <v>6.05778341428789e-5</v>
      </c>
    </row>
    <row r="178" ht="13.9" spans="1:15">
      <c r="A178" s="42" t="s">
        <v>129</v>
      </c>
      <c r="B178" s="11">
        <v>19958812</v>
      </c>
      <c r="C178" s="11">
        <v>2491644</v>
      </c>
      <c r="D178" s="11">
        <v>239</v>
      </c>
      <c r="E178">
        <f t="shared" si="65"/>
        <v>239</v>
      </c>
      <c r="F178">
        <f t="shared" si="53"/>
        <v>9979406</v>
      </c>
      <c r="G178">
        <f t="shared" si="56"/>
        <v>997.9406</v>
      </c>
      <c r="H178">
        <f t="shared" si="54"/>
        <v>23900</v>
      </c>
      <c r="I178">
        <f t="shared" si="64"/>
        <v>11472</v>
      </c>
      <c r="J178">
        <f t="shared" si="67"/>
        <v>0.000100206364988056</v>
      </c>
      <c r="K178">
        <f t="shared" si="55"/>
        <v>387126770</v>
      </c>
      <c r="L178">
        <f t="shared" si="66"/>
        <v>6.17368827270716e-5</v>
      </c>
      <c r="M178">
        <f t="shared" si="57"/>
        <v>22450456</v>
      </c>
      <c r="N178">
        <f t="shared" si="62"/>
        <v>460492706</v>
      </c>
      <c r="O178">
        <f t="shared" si="63"/>
        <v>5.82855894213287e-5</v>
      </c>
    </row>
    <row r="179" ht="13.9" spans="1:15">
      <c r="A179" s="42" t="s">
        <v>130</v>
      </c>
      <c r="B179" s="11">
        <v>30584908</v>
      </c>
      <c r="C179" s="11">
        <v>3728891</v>
      </c>
      <c r="D179" s="11">
        <v>219</v>
      </c>
      <c r="E179">
        <f t="shared" si="65"/>
        <v>219</v>
      </c>
      <c r="F179">
        <f t="shared" si="53"/>
        <v>15292454</v>
      </c>
      <c r="G179">
        <f t="shared" si="56"/>
        <v>1529.2454</v>
      </c>
      <c r="H179">
        <f t="shared" si="54"/>
        <v>21900</v>
      </c>
      <c r="I179">
        <f t="shared" si="64"/>
        <v>10512</v>
      </c>
      <c r="J179">
        <f t="shared" si="67"/>
        <v>5.55829692212904e-5</v>
      </c>
      <c r="K179">
        <f t="shared" si="55"/>
        <v>356541862</v>
      </c>
      <c r="L179">
        <f t="shared" si="66"/>
        <v>6.14233623988871e-5</v>
      </c>
      <c r="M179">
        <f t="shared" si="57"/>
        <v>34313799</v>
      </c>
      <c r="N179">
        <f t="shared" si="62"/>
        <v>438042250</v>
      </c>
      <c r="O179">
        <f t="shared" si="63"/>
        <v>7.12072037898652e-5</v>
      </c>
    </row>
    <row r="180" ht="13.85" spans="1:15">
      <c r="A180" s="43">
        <v>38344</v>
      </c>
      <c r="B180" s="11">
        <v>21150810</v>
      </c>
      <c r="C180" s="11">
        <v>2723179</v>
      </c>
      <c r="D180" s="11">
        <v>202</v>
      </c>
      <c r="E180">
        <f t="shared" si="65"/>
        <v>202</v>
      </c>
      <c r="F180">
        <f t="shared" si="53"/>
        <v>10575405</v>
      </c>
      <c r="G180">
        <f t="shared" si="56"/>
        <v>1057.5405</v>
      </c>
      <c r="H180">
        <f t="shared" si="54"/>
        <v>20200</v>
      </c>
      <c r="I180">
        <f t="shared" si="64"/>
        <v>9696</v>
      </c>
      <c r="J180">
        <f t="shared" si="67"/>
        <v>4.72795131723088e-5</v>
      </c>
      <c r="K180">
        <f t="shared" si="55"/>
        <v>335391052</v>
      </c>
      <c r="L180">
        <f t="shared" si="66"/>
        <v>6.02282019139855e-5</v>
      </c>
      <c r="M180">
        <f t="shared" si="57"/>
        <v>23873989</v>
      </c>
      <c r="N180">
        <f t="shared" si="62"/>
        <v>403728451</v>
      </c>
      <c r="O180">
        <f t="shared" si="63"/>
        <v>5.28548154330987e-5</v>
      </c>
    </row>
    <row r="181" ht="13.85" spans="1:15">
      <c r="A181" s="43">
        <v>38283</v>
      </c>
      <c r="B181" s="11">
        <v>16724846</v>
      </c>
      <c r="C181" s="11">
        <v>2194906</v>
      </c>
      <c r="D181" s="11">
        <v>192</v>
      </c>
      <c r="E181">
        <f t="shared" si="65"/>
        <v>192</v>
      </c>
      <c r="F181">
        <f t="shared" si="53"/>
        <v>8362423</v>
      </c>
      <c r="G181">
        <f t="shared" si="56"/>
        <v>836.2423</v>
      </c>
      <c r="H181">
        <f t="shared" si="54"/>
        <v>19200</v>
      </c>
      <c r="I181">
        <f t="shared" si="64"/>
        <v>9216</v>
      </c>
      <c r="J181">
        <f t="shared" si="67"/>
        <v>3.58747697886127e-5</v>
      </c>
      <c r="K181">
        <f t="shared" si="55"/>
        <v>318666206</v>
      </c>
      <c r="L181">
        <f t="shared" si="66"/>
        <v>6.0251133124546e-5</v>
      </c>
      <c r="M181">
        <f t="shared" si="57"/>
        <v>18919752</v>
      </c>
      <c r="N181">
        <f t="shared" si="62"/>
        <v>379854462</v>
      </c>
      <c r="O181">
        <f t="shared" si="63"/>
        <v>1.87727196839976e-5</v>
      </c>
    </row>
    <row r="182" ht="13.85" spans="1:15">
      <c r="A182" s="43">
        <v>38222</v>
      </c>
      <c r="B182" s="11">
        <v>28450002</v>
      </c>
      <c r="C182" s="11">
        <v>3511270</v>
      </c>
      <c r="D182" s="11">
        <v>186</v>
      </c>
      <c r="E182">
        <f t="shared" si="65"/>
        <v>186</v>
      </c>
      <c r="F182">
        <f t="shared" si="53"/>
        <v>14225001</v>
      </c>
      <c r="G182">
        <f t="shared" si="56"/>
        <v>1422.5001</v>
      </c>
      <c r="H182">
        <f t="shared" si="54"/>
        <v>18600</v>
      </c>
      <c r="I182">
        <f t="shared" si="64"/>
        <v>8928</v>
      </c>
      <c r="J182">
        <f t="shared" si="67"/>
        <v>5.62390118636898e-5</v>
      </c>
      <c r="K182">
        <f t="shared" si="55"/>
        <v>290216204</v>
      </c>
      <c r="L182">
        <f t="shared" si="66"/>
        <v>6.40901498387733e-5</v>
      </c>
      <c r="M182">
        <f t="shared" si="57"/>
        <v>31961272</v>
      </c>
      <c r="N182">
        <f t="shared" si="62"/>
        <v>360934710</v>
      </c>
      <c r="O182">
        <f t="shared" si="63"/>
        <v>7.34887801693834e-5</v>
      </c>
    </row>
    <row r="183" ht="13.85" spans="1:15">
      <c r="A183" s="43">
        <v>38130</v>
      </c>
      <c r="B183" s="11">
        <v>19226554</v>
      </c>
      <c r="C183" s="11">
        <v>2545477</v>
      </c>
      <c r="D183" s="11">
        <v>170</v>
      </c>
      <c r="E183">
        <f t="shared" si="65"/>
        <v>170</v>
      </c>
      <c r="F183">
        <f t="shared" si="53"/>
        <v>9613277</v>
      </c>
      <c r="G183">
        <f t="shared" si="56"/>
        <v>961.3277</v>
      </c>
      <c r="H183">
        <f t="shared" si="54"/>
        <v>17000</v>
      </c>
      <c r="I183">
        <f t="shared" si="64"/>
        <v>8160</v>
      </c>
      <c r="J183">
        <f t="shared" si="67"/>
        <v>5.72125405311841e-5</v>
      </c>
      <c r="K183">
        <f t="shared" si="55"/>
        <v>270989650</v>
      </c>
      <c r="L183">
        <f t="shared" si="66"/>
        <v>6.27330231984875e-5</v>
      </c>
      <c r="M183">
        <f t="shared" si="57"/>
        <v>21772031</v>
      </c>
      <c r="N183">
        <f t="shared" si="62"/>
        <v>328973438</v>
      </c>
      <c r="O183">
        <f t="shared" si="63"/>
        <v>5.81749964182712e-5</v>
      </c>
    </row>
    <row r="184" ht="13.85" spans="1:15">
      <c r="A184" s="43">
        <v>38069</v>
      </c>
      <c r="B184" s="11">
        <v>16677834</v>
      </c>
      <c r="C184" s="11">
        <v>2230633</v>
      </c>
      <c r="D184" s="11">
        <v>159</v>
      </c>
      <c r="E184">
        <f t="shared" si="65"/>
        <v>159</v>
      </c>
      <c r="F184">
        <f t="shared" si="53"/>
        <v>8338917</v>
      </c>
      <c r="G184">
        <f t="shared" si="56"/>
        <v>833.8917</v>
      </c>
      <c r="H184">
        <f t="shared" si="54"/>
        <v>15900</v>
      </c>
      <c r="I184">
        <f t="shared" si="64"/>
        <v>7632</v>
      </c>
      <c r="J184">
        <f t="shared" si="67"/>
        <v>7.1951789423015e-5</v>
      </c>
      <c r="K184">
        <f t="shared" si="55"/>
        <v>254311816</v>
      </c>
      <c r="L184">
        <f t="shared" si="66"/>
        <v>6.25216722136104e-5</v>
      </c>
      <c r="M184">
        <f t="shared" si="57"/>
        <v>18908467</v>
      </c>
      <c r="N184">
        <f t="shared" si="62"/>
        <v>307201407</v>
      </c>
      <c r="O184">
        <f t="shared" si="63"/>
        <v>3.90322855549968e-5</v>
      </c>
    </row>
    <row r="185" ht="13.85" spans="1:15">
      <c r="A185" s="43">
        <v>38009</v>
      </c>
      <c r="B185" s="11">
        <v>27266330</v>
      </c>
      <c r="C185" s="11">
        <v>3477450</v>
      </c>
      <c r="D185" s="11">
        <v>147</v>
      </c>
      <c r="E185">
        <f t="shared" si="65"/>
        <v>147</v>
      </c>
      <c r="F185">
        <f t="shared" si="53"/>
        <v>13633165</v>
      </c>
      <c r="G185">
        <f t="shared" si="56"/>
        <v>1363.3165</v>
      </c>
      <c r="H185">
        <f t="shared" si="54"/>
        <v>14700</v>
      </c>
      <c r="I185">
        <f t="shared" si="64"/>
        <v>7056</v>
      </c>
      <c r="J185">
        <f t="shared" si="67"/>
        <v>5.50129041935603e-5</v>
      </c>
      <c r="K185">
        <f t="shared" si="55"/>
        <v>227045486</v>
      </c>
      <c r="L185">
        <f t="shared" si="66"/>
        <v>6.47447357751037e-5</v>
      </c>
      <c r="M185">
        <f t="shared" si="57"/>
        <v>30743780</v>
      </c>
      <c r="N185">
        <f t="shared" si="62"/>
        <v>288292940</v>
      </c>
      <c r="O185">
        <f t="shared" si="63"/>
        <v>7.15913565368874e-5</v>
      </c>
    </row>
    <row r="186" ht="13.9" spans="1:15">
      <c r="A186" s="42" t="s">
        <v>131</v>
      </c>
      <c r="B186" s="11">
        <v>18486630</v>
      </c>
      <c r="C186" s="11">
        <v>2465620</v>
      </c>
      <c r="D186" s="11">
        <v>132</v>
      </c>
      <c r="E186">
        <f t="shared" si="65"/>
        <v>132</v>
      </c>
      <c r="F186">
        <f t="shared" si="53"/>
        <v>9243315</v>
      </c>
      <c r="G186">
        <f t="shared" si="56"/>
        <v>924.3315</v>
      </c>
      <c r="H186">
        <f t="shared" si="54"/>
        <v>13200</v>
      </c>
      <c r="I186">
        <f t="shared" si="64"/>
        <v>6336</v>
      </c>
      <c r="J186">
        <f t="shared" si="67"/>
        <v>5.40931473178183e-5</v>
      </c>
      <c r="K186">
        <f t="shared" si="55"/>
        <v>208558856</v>
      </c>
      <c r="L186">
        <f t="shared" si="66"/>
        <v>6.32914864089972e-5</v>
      </c>
      <c r="M186">
        <f t="shared" si="57"/>
        <v>20952250</v>
      </c>
      <c r="N186">
        <f t="shared" si="62"/>
        <v>257549160</v>
      </c>
      <c r="O186">
        <f t="shared" si="63"/>
        <v>5.61804159901374e-5</v>
      </c>
    </row>
    <row r="187" ht="13.9" spans="1:15">
      <c r="A187" s="42" t="s">
        <v>132</v>
      </c>
      <c r="B187" s="11">
        <v>15709262</v>
      </c>
      <c r="C187" s="11">
        <v>2090535</v>
      </c>
      <c r="D187" s="11">
        <v>122</v>
      </c>
      <c r="E187">
        <f t="shared" si="65"/>
        <v>122</v>
      </c>
      <c r="F187">
        <f t="shared" si="53"/>
        <v>7854631</v>
      </c>
      <c r="G187">
        <f t="shared" si="56"/>
        <v>785.4631</v>
      </c>
      <c r="H187">
        <f t="shared" si="54"/>
        <v>12200</v>
      </c>
      <c r="I187">
        <f t="shared" si="64"/>
        <v>5856</v>
      </c>
      <c r="J187">
        <f t="shared" si="67"/>
        <v>6.36567141091669e-5</v>
      </c>
      <c r="K187">
        <f t="shared" si="55"/>
        <v>192849594</v>
      </c>
      <c r="L187">
        <f t="shared" si="66"/>
        <v>6.3261735464167e-5</v>
      </c>
      <c r="M187">
        <f t="shared" si="57"/>
        <v>17799797</v>
      </c>
      <c r="N187">
        <f t="shared" si="62"/>
        <v>236596910</v>
      </c>
      <c r="O187">
        <f t="shared" si="63"/>
        <v>3.46234000656667e-5</v>
      </c>
    </row>
    <row r="188" ht="13.9" spans="1:15">
      <c r="A188" s="42" t="s">
        <v>133</v>
      </c>
      <c r="B188" s="11">
        <v>25602336</v>
      </c>
      <c r="C188" s="11">
        <v>3279865</v>
      </c>
      <c r="D188" s="11">
        <v>112</v>
      </c>
      <c r="E188">
        <f t="shared" si="65"/>
        <v>112</v>
      </c>
      <c r="F188">
        <f t="shared" si="53"/>
        <v>12801168</v>
      </c>
      <c r="G188">
        <f t="shared" si="56"/>
        <v>1280.1168</v>
      </c>
      <c r="H188">
        <f t="shared" si="54"/>
        <v>11200</v>
      </c>
      <c r="I188">
        <f t="shared" si="64"/>
        <v>5376</v>
      </c>
      <c r="J188">
        <f t="shared" si="67"/>
        <v>6.24942973953627e-5</v>
      </c>
      <c r="K188">
        <f t="shared" si="55"/>
        <v>167247258</v>
      </c>
      <c r="L188">
        <f t="shared" si="66"/>
        <v>6.69667182226689e-5</v>
      </c>
      <c r="M188">
        <f t="shared" si="57"/>
        <v>28882201</v>
      </c>
      <c r="N188">
        <f t="shared" si="62"/>
        <v>218797113</v>
      </c>
      <c r="O188">
        <f t="shared" si="63"/>
        <v>8.20453705771456e-5</v>
      </c>
    </row>
    <row r="189" ht="13.9" spans="1:15">
      <c r="A189" s="42" t="s">
        <v>134</v>
      </c>
      <c r="B189" s="11">
        <v>17140160</v>
      </c>
      <c r="C189" s="11">
        <v>2361245</v>
      </c>
      <c r="D189" s="11">
        <v>96</v>
      </c>
      <c r="E189">
        <f t="shared" si="65"/>
        <v>96</v>
      </c>
      <c r="F189">
        <f t="shared" si="53"/>
        <v>8570080</v>
      </c>
      <c r="G189">
        <f t="shared" si="56"/>
        <v>857.008</v>
      </c>
      <c r="H189">
        <f t="shared" si="54"/>
        <v>9600</v>
      </c>
      <c r="I189">
        <f t="shared" si="64"/>
        <v>4608</v>
      </c>
      <c r="J189">
        <f t="shared" si="67"/>
        <v>5.83425125553087e-5</v>
      </c>
      <c r="K189">
        <f t="shared" si="55"/>
        <v>150107098</v>
      </c>
      <c r="L189">
        <f t="shared" si="66"/>
        <v>6.39543374557811e-5</v>
      </c>
      <c r="M189">
        <f t="shared" si="57"/>
        <v>19501405</v>
      </c>
      <c r="N189">
        <f t="shared" si="62"/>
        <v>189914912</v>
      </c>
      <c r="O189">
        <f t="shared" si="63"/>
        <v>6.15834534621232e-5</v>
      </c>
    </row>
    <row r="190" ht="13.9" spans="1:15">
      <c r="A190" s="42" t="s">
        <v>135</v>
      </c>
      <c r="B190" s="11">
        <v>14260568</v>
      </c>
      <c r="C190" s="11">
        <v>1977560</v>
      </c>
      <c r="D190" s="11">
        <v>86</v>
      </c>
      <c r="E190">
        <f t="shared" si="65"/>
        <v>86</v>
      </c>
      <c r="F190">
        <f t="shared" si="53"/>
        <v>7130284</v>
      </c>
      <c r="G190">
        <f t="shared" si="56"/>
        <v>713.0284</v>
      </c>
      <c r="H190">
        <f t="shared" si="54"/>
        <v>8600</v>
      </c>
      <c r="I190">
        <f t="shared" si="64"/>
        <v>4128</v>
      </c>
      <c r="J190">
        <f t="shared" si="67"/>
        <v>5.6098747258875e-5</v>
      </c>
      <c r="K190">
        <f t="shared" si="55"/>
        <v>135846530</v>
      </c>
      <c r="L190">
        <f t="shared" si="66"/>
        <v>6.33067329728628e-5</v>
      </c>
      <c r="M190">
        <f t="shared" si="57"/>
        <v>16238128</v>
      </c>
      <c r="N190">
        <f t="shared" si="62"/>
        <v>170413507</v>
      </c>
      <c r="O190">
        <f t="shared" si="63"/>
        <v>2.97952226488981e-5</v>
      </c>
    </row>
    <row r="191" ht="13.9" spans="1:15">
      <c r="A191" s="42" t="s">
        <v>136</v>
      </c>
      <c r="B191" s="11">
        <v>23714174</v>
      </c>
      <c r="C191" s="11">
        <v>3135768</v>
      </c>
      <c r="D191" s="11">
        <v>78</v>
      </c>
      <c r="E191">
        <f t="shared" si="65"/>
        <v>78</v>
      </c>
      <c r="F191">
        <f t="shared" si="53"/>
        <v>11857087</v>
      </c>
      <c r="G191">
        <f t="shared" si="56"/>
        <v>1185.7087</v>
      </c>
      <c r="H191">
        <f t="shared" si="54"/>
        <v>7800</v>
      </c>
      <c r="I191">
        <f t="shared" si="64"/>
        <v>3744</v>
      </c>
      <c r="J191">
        <f t="shared" si="67"/>
        <v>6.32533100246292e-5</v>
      </c>
      <c r="K191">
        <f t="shared" si="55"/>
        <v>112132356</v>
      </c>
      <c r="L191">
        <f t="shared" si="66"/>
        <v>6.95606538401815e-5</v>
      </c>
      <c r="M191">
        <f t="shared" si="57"/>
        <v>26849942</v>
      </c>
      <c r="N191">
        <f t="shared" si="62"/>
        <v>154175379</v>
      </c>
      <c r="O191">
        <f t="shared" si="63"/>
        <v>8.08263992814425e-5</v>
      </c>
    </row>
    <row r="192" ht="13.9" spans="1:15">
      <c r="A192" s="42" t="s">
        <v>137</v>
      </c>
      <c r="B192" s="11">
        <v>16273664</v>
      </c>
      <c r="C192" s="11">
        <v>2284629</v>
      </c>
      <c r="D192" s="11">
        <v>63</v>
      </c>
      <c r="E192">
        <f t="shared" si="65"/>
        <v>63</v>
      </c>
      <c r="F192">
        <f t="shared" si="53"/>
        <v>8136832</v>
      </c>
      <c r="G192">
        <f t="shared" si="56"/>
        <v>813.6832</v>
      </c>
      <c r="H192">
        <f t="shared" si="54"/>
        <v>6300</v>
      </c>
      <c r="I192">
        <f t="shared" si="64"/>
        <v>3024</v>
      </c>
      <c r="J192">
        <f t="shared" si="67"/>
        <v>6.75938743727288e-5</v>
      </c>
      <c r="K192">
        <f t="shared" si="55"/>
        <v>95858692</v>
      </c>
      <c r="L192">
        <f t="shared" si="66"/>
        <v>6.57217396623772e-5</v>
      </c>
      <c r="M192">
        <f t="shared" si="57"/>
        <v>18558293</v>
      </c>
      <c r="N192">
        <f t="shared" si="62"/>
        <v>127325437</v>
      </c>
      <c r="O192">
        <f t="shared" si="63"/>
        <v>7.0992754285881e-5</v>
      </c>
    </row>
    <row r="193" ht="13.9" spans="1:15">
      <c r="A193" s="42" t="s">
        <v>138</v>
      </c>
      <c r="B193" s="11">
        <v>13588642</v>
      </c>
      <c r="C193" s="11">
        <v>1905897</v>
      </c>
      <c r="D193" s="11">
        <v>52</v>
      </c>
      <c r="E193">
        <f t="shared" si="65"/>
        <v>52</v>
      </c>
      <c r="F193">
        <f t="shared" si="53"/>
        <v>6794321</v>
      </c>
      <c r="G193">
        <f t="shared" si="56"/>
        <v>679.4321</v>
      </c>
      <c r="H193">
        <f t="shared" si="54"/>
        <v>5200</v>
      </c>
      <c r="I193">
        <f t="shared" si="64"/>
        <v>2496</v>
      </c>
      <c r="J193">
        <f t="shared" si="67"/>
        <v>5.15136096749035e-5</v>
      </c>
      <c r="K193">
        <f t="shared" si="55"/>
        <v>82270050</v>
      </c>
      <c r="L193">
        <f t="shared" si="66"/>
        <v>6.3206476719049e-5</v>
      </c>
      <c r="M193">
        <f t="shared" si="57"/>
        <v>15494539</v>
      </c>
      <c r="N193">
        <f t="shared" si="62"/>
        <v>108767144</v>
      </c>
      <c r="O193">
        <f t="shared" si="63"/>
        <v>2.68745456282178e-5</v>
      </c>
    </row>
    <row r="194" ht="13.85" spans="1:15">
      <c r="A194" s="43">
        <v>37948</v>
      </c>
      <c r="B194" s="11">
        <v>22974232</v>
      </c>
      <c r="C194" s="11">
        <v>3072720</v>
      </c>
      <c r="D194" s="11">
        <v>45</v>
      </c>
      <c r="E194">
        <f t="shared" si="65"/>
        <v>45</v>
      </c>
      <c r="F194">
        <f t="shared" ref="F194:F257" si="68">B194/2</f>
        <v>11487116</v>
      </c>
      <c r="G194">
        <f t="shared" si="56"/>
        <v>1148.7116</v>
      </c>
      <c r="H194">
        <f t="shared" si="54"/>
        <v>4500</v>
      </c>
      <c r="I194">
        <f t="shared" si="64"/>
        <v>2160</v>
      </c>
      <c r="J194">
        <f t="shared" si="67"/>
        <v>6.09378367903658e-5</v>
      </c>
      <c r="K194">
        <f t="shared" si="55"/>
        <v>59295818</v>
      </c>
      <c r="L194">
        <f t="shared" si="66"/>
        <v>7.58906808571222e-5</v>
      </c>
      <c r="M194">
        <f t="shared" si="57"/>
        <v>26046952</v>
      </c>
      <c r="N194">
        <f t="shared" si="62"/>
        <v>93272605</v>
      </c>
      <c r="O194">
        <f t="shared" si="63"/>
        <v>7.80002735581023e-5</v>
      </c>
    </row>
    <row r="195" ht="13.85" spans="1:15">
      <c r="A195" s="43">
        <v>37856</v>
      </c>
      <c r="B195" s="11">
        <v>15728942</v>
      </c>
      <c r="C195" s="11">
        <v>2219713</v>
      </c>
      <c r="D195" s="11">
        <v>31</v>
      </c>
      <c r="E195">
        <f t="shared" si="65"/>
        <v>31</v>
      </c>
      <c r="F195">
        <f t="shared" si="68"/>
        <v>7864471</v>
      </c>
      <c r="G195">
        <f t="shared" si="56"/>
        <v>786.4471</v>
      </c>
      <c r="H195">
        <f t="shared" ref="H195:H258" si="69">E195*100</f>
        <v>3100</v>
      </c>
      <c r="I195">
        <f t="shared" si="64"/>
        <v>1488</v>
      </c>
      <c r="J195">
        <f t="shared" si="67"/>
        <v>6.99347737438411e-5</v>
      </c>
      <c r="K195">
        <f t="shared" ref="K195:K258" si="70">IF(E195&gt;E196,B196+K196,B196)</f>
        <v>43566876</v>
      </c>
      <c r="L195">
        <f t="shared" si="66"/>
        <v>7.11549756287323e-5</v>
      </c>
      <c r="M195">
        <f t="shared" si="57"/>
        <v>17948655</v>
      </c>
      <c r="N195">
        <f t="shared" si="62"/>
        <v>67225653</v>
      </c>
      <c r="O195">
        <f t="shared" si="63"/>
        <v>7.3319431969032e-5</v>
      </c>
    </row>
    <row r="196" ht="13.85" spans="1:15">
      <c r="A196" s="43">
        <v>37795</v>
      </c>
      <c r="B196" s="11">
        <v>13136438</v>
      </c>
      <c r="C196" s="11">
        <v>1866406</v>
      </c>
      <c r="D196" s="11">
        <v>20</v>
      </c>
      <c r="E196">
        <f t="shared" si="65"/>
        <v>20</v>
      </c>
      <c r="F196">
        <f t="shared" si="68"/>
        <v>6568219</v>
      </c>
      <c r="G196">
        <f t="shared" ref="G196:G259" si="71">F196/10000</f>
        <v>656.8219</v>
      </c>
      <c r="H196">
        <f t="shared" si="69"/>
        <v>2000</v>
      </c>
      <c r="I196">
        <f t="shared" si="64"/>
        <v>960</v>
      </c>
      <c r="J196">
        <f t="shared" si="67"/>
        <v>0</v>
      </c>
      <c r="K196">
        <f t="shared" si="70"/>
        <v>30430438</v>
      </c>
      <c r="L196">
        <f t="shared" si="66"/>
        <v>0</v>
      </c>
      <c r="M196">
        <f t="shared" si="57"/>
        <v>15002844</v>
      </c>
      <c r="N196">
        <f t="shared" si="62"/>
        <v>49276998</v>
      </c>
      <c r="O196">
        <f t="shared" si="63"/>
        <v>5.83530085089773e-5</v>
      </c>
    </row>
    <row r="197" ht="13.85" spans="1:15">
      <c r="A197" s="43">
        <v>37734</v>
      </c>
      <c r="B197" s="11">
        <v>30430438</v>
      </c>
      <c r="C197" s="11">
        <v>3843716</v>
      </c>
      <c r="D197" s="11">
        <v>162.6</v>
      </c>
      <c r="E197">
        <f t="shared" si="65"/>
        <v>162.6</v>
      </c>
      <c r="F197">
        <f t="shared" si="68"/>
        <v>15215219</v>
      </c>
      <c r="G197">
        <f t="shared" si="71"/>
        <v>1521.5219</v>
      </c>
      <c r="H197">
        <f t="shared" si="69"/>
        <v>16260</v>
      </c>
      <c r="I197">
        <f t="shared" si="64"/>
        <v>7804.8</v>
      </c>
      <c r="J197">
        <f t="shared" si="67"/>
        <v>6.44091945045287e-5</v>
      </c>
      <c r="K197">
        <f t="shared" si="70"/>
        <v>288610470</v>
      </c>
      <c r="L197">
        <f t="shared" si="66"/>
        <v>5.63389124448604e-5</v>
      </c>
      <c r="M197">
        <f t="shared" si="57"/>
        <v>34274154</v>
      </c>
      <c r="N197">
        <f t="shared" si="62"/>
        <v>358736125</v>
      </c>
      <c r="O197">
        <f t="shared" si="63"/>
        <v>8.15248982654538e-5</v>
      </c>
    </row>
    <row r="198" ht="13.85" spans="1:15">
      <c r="A198" s="43">
        <v>37644</v>
      </c>
      <c r="B198" s="11">
        <v>21217054</v>
      </c>
      <c r="C198" s="11">
        <v>2824681</v>
      </c>
      <c r="D198" s="11">
        <v>143</v>
      </c>
      <c r="E198">
        <f t="shared" si="65"/>
        <v>143</v>
      </c>
      <c r="F198">
        <f t="shared" si="68"/>
        <v>10608527</v>
      </c>
      <c r="G198">
        <f t="shared" si="71"/>
        <v>1060.8527</v>
      </c>
      <c r="H198">
        <f t="shared" si="69"/>
        <v>14300</v>
      </c>
      <c r="I198">
        <f t="shared" si="64"/>
        <v>6864</v>
      </c>
      <c r="J198">
        <f t="shared" si="67"/>
        <v>5.6558276186694e-5</v>
      </c>
      <c r="K198">
        <f t="shared" si="70"/>
        <v>267393416</v>
      </c>
      <c r="L198">
        <f t="shared" si="66"/>
        <v>5.34792524584824e-5</v>
      </c>
      <c r="M198">
        <f t="shared" si="57"/>
        <v>24041735</v>
      </c>
      <c r="N198">
        <f t="shared" si="62"/>
        <v>324461971</v>
      </c>
      <c r="O198">
        <f t="shared" si="63"/>
        <v>5.87964916721384e-5</v>
      </c>
    </row>
    <row r="199" ht="13.9" spans="1:15">
      <c r="A199" s="42" t="s">
        <v>139</v>
      </c>
      <c r="B199" s="11">
        <v>17998308</v>
      </c>
      <c r="C199" s="11">
        <v>2411073</v>
      </c>
      <c r="D199" s="11">
        <v>131</v>
      </c>
      <c r="E199">
        <f t="shared" si="65"/>
        <v>131</v>
      </c>
      <c r="F199">
        <f t="shared" si="68"/>
        <v>8999154</v>
      </c>
      <c r="G199">
        <f t="shared" si="71"/>
        <v>899.9154</v>
      </c>
      <c r="H199">
        <f t="shared" si="69"/>
        <v>13100</v>
      </c>
      <c r="I199">
        <f t="shared" si="64"/>
        <v>6288</v>
      </c>
      <c r="J199">
        <f t="shared" si="67"/>
        <v>6.66729339224554e-5</v>
      </c>
      <c r="K199">
        <f t="shared" si="70"/>
        <v>249395108</v>
      </c>
      <c r="L199">
        <f t="shared" si="66"/>
        <v>5.25270928730487e-5</v>
      </c>
      <c r="M199">
        <f t="shared" si="57"/>
        <v>20409381</v>
      </c>
      <c r="N199">
        <f t="shared" si="62"/>
        <v>300420236</v>
      </c>
      <c r="O199">
        <f t="shared" si="63"/>
        <v>3.71779137911099e-5</v>
      </c>
    </row>
    <row r="200" ht="13.9" spans="1:15">
      <c r="A200" s="42" t="s">
        <v>140</v>
      </c>
      <c r="B200" s="11">
        <v>28585302</v>
      </c>
      <c r="C200" s="11">
        <v>3691926</v>
      </c>
      <c r="D200" s="11">
        <v>119</v>
      </c>
      <c r="E200">
        <f t="shared" si="65"/>
        <v>119</v>
      </c>
      <c r="F200">
        <f t="shared" si="68"/>
        <v>14292651</v>
      </c>
      <c r="G200">
        <f t="shared" si="71"/>
        <v>1429.2651</v>
      </c>
      <c r="H200">
        <f t="shared" si="69"/>
        <v>11900</v>
      </c>
      <c r="I200">
        <f t="shared" si="64"/>
        <v>5712</v>
      </c>
      <c r="J200">
        <f t="shared" si="67"/>
        <v>6.64677252666423e-5</v>
      </c>
      <c r="K200">
        <f t="shared" si="70"/>
        <v>220809806</v>
      </c>
      <c r="L200">
        <f t="shared" si="66"/>
        <v>5.3892534102403e-5</v>
      </c>
      <c r="M200">
        <f t="shared" ref="M200:M263" si="72">B200+C200</f>
        <v>32277228</v>
      </c>
      <c r="N200">
        <f t="shared" si="62"/>
        <v>280010855</v>
      </c>
      <c r="O200">
        <f t="shared" si="63"/>
        <v>8.27814425267615e-5</v>
      </c>
    </row>
    <row r="201" ht="13.9" spans="1:15">
      <c r="A201" s="42" t="s">
        <v>141</v>
      </c>
      <c r="B201" s="11">
        <v>20248448</v>
      </c>
      <c r="C201" s="11">
        <v>2703556</v>
      </c>
      <c r="D201" s="11">
        <v>100</v>
      </c>
      <c r="E201">
        <f t="shared" si="65"/>
        <v>100</v>
      </c>
      <c r="F201">
        <f t="shared" si="68"/>
        <v>10124224</v>
      </c>
      <c r="G201">
        <f t="shared" si="71"/>
        <v>1012.4224</v>
      </c>
      <c r="H201">
        <f t="shared" si="69"/>
        <v>10000</v>
      </c>
      <c r="I201">
        <f t="shared" si="64"/>
        <v>4800</v>
      </c>
      <c r="J201">
        <f t="shared" si="67"/>
        <v>6.42024514668976e-5</v>
      </c>
      <c r="K201">
        <f t="shared" si="70"/>
        <v>200561358</v>
      </c>
      <c r="L201">
        <f t="shared" si="66"/>
        <v>4.98600533009953e-5</v>
      </c>
      <c r="M201">
        <f t="shared" si="72"/>
        <v>22952004</v>
      </c>
      <c r="N201">
        <f t="shared" si="62"/>
        <v>247733627</v>
      </c>
      <c r="O201">
        <f t="shared" ref="O201:O232" si="73">IF(H201&gt;H202,(H201-H202)/M202,H201/M202)</f>
        <v>7.10683447324225e-5</v>
      </c>
    </row>
    <row r="202" ht="13.9" spans="1:15">
      <c r="A202" s="42" t="s">
        <v>142</v>
      </c>
      <c r="B202" s="11">
        <v>16078804</v>
      </c>
      <c r="C202" s="11">
        <v>2213447</v>
      </c>
      <c r="D202" s="11">
        <v>87</v>
      </c>
      <c r="E202">
        <f t="shared" si="65"/>
        <v>87</v>
      </c>
      <c r="F202">
        <f t="shared" si="68"/>
        <v>8039402</v>
      </c>
      <c r="G202">
        <f t="shared" si="71"/>
        <v>803.9402</v>
      </c>
      <c r="H202">
        <f t="shared" si="69"/>
        <v>8700</v>
      </c>
      <c r="I202">
        <f t="shared" si="64"/>
        <v>4176</v>
      </c>
      <c r="J202">
        <f t="shared" si="67"/>
        <v>8.70711528046489e-5</v>
      </c>
      <c r="K202">
        <f t="shared" si="70"/>
        <v>184482554</v>
      </c>
      <c r="L202">
        <f t="shared" si="66"/>
        <v>4.71589308114197e-5</v>
      </c>
      <c r="M202">
        <f t="shared" si="72"/>
        <v>18292251</v>
      </c>
      <c r="N202">
        <f t="shared" si="62"/>
        <v>224781623</v>
      </c>
      <c r="O202">
        <f t="shared" si="73"/>
        <v>4.71895218498104e-5</v>
      </c>
    </row>
    <row r="203" ht="13.9" spans="1:15">
      <c r="A203" s="42" t="s">
        <v>143</v>
      </c>
      <c r="B203" s="11">
        <v>26213678</v>
      </c>
      <c r="C203" s="11">
        <v>3453925</v>
      </c>
      <c r="D203" s="11">
        <v>73</v>
      </c>
      <c r="E203">
        <f t="shared" si="65"/>
        <v>73</v>
      </c>
      <c r="F203">
        <f t="shared" si="68"/>
        <v>13106839</v>
      </c>
      <c r="G203">
        <f t="shared" si="71"/>
        <v>1310.6839</v>
      </c>
      <c r="H203">
        <f t="shared" si="69"/>
        <v>7300</v>
      </c>
      <c r="I203">
        <f t="shared" si="64"/>
        <v>3504</v>
      </c>
      <c r="J203">
        <f t="shared" si="67"/>
        <v>6.10368373335478e-5</v>
      </c>
      <c r="K203">
        <f t="shared" si="70"/>
        <v>158268876</v>
      </c>
      <c r="L203">
        <f t="shared" si="66"/>
        <v>4.6124040206111e-5</v>
      </c>
      <c r="M203">
        <f t="shared" si="72"/>
        <v>29667603</v>
      </c>
      <c r="N203">
        <f t="shared" si="62"/>
        <v>206489372</v>
      </c>
      <c r="O203">
        <f t="shared" si="73"/>
        <v>7.77110331745001e-5</v>
      </c>
    </row>
    <row r="204" ht="13.9" spans="1:15">
      <c r="A204" s="42" t="s">
        <v>144</v>
      </c>
      <c r="B204" s="11">
        <v>18097494</v>
      </c>
      <c r="C204" s="11">
        <v>2491603</v>
      </c>
      <c r="D204" s="11">
        <v>57</v>
      </c>
      <c r="E204">
        <f t="shared" si="65"/>
        <v>57</v>
      </c>
      <c r="F204">
        <f t="shared" si="68"/>
        <v>9048747</v>
      </c>
      <c r="G204">
        <f t="shared" si="71"/>
        <v>904.8747</v>
      </c>
      <c r="H204">
        <f t="shared" si="69"/>
        <v>5700</v>
      </c>
      <c r="I204">
        <f t="shared" si="64"/>
        <v>2736</v>
      </c>
      <c r="J204">
        <f t="shared" si="67"/>
        <v>6.63075230194855e-5</v>
      </c>
      <c r="K204">
        <f t="shared" si="70"/>
        <v>140171382</v>
      </c>
      <c r="L204">
        <f t="shared" si="66"/>
        <v>4.06645059688432e-5</v>
      </c>
      <c r="M204">
        <f t="shared" si="72"/>
        <v>20589097</v>
      </c>
      <c r="N204">
        <f t="shared" si="62"/>
        <v>176821769</v>
      </c>
      <c r="O204">
        <f t="shared" si="73"/>
        <v>6.93292968276069e-5</v>
      </c>
    </row>
    <row r="205" ht="13.9" spans="1:15">
      <c r="A205" s="42" t="s">
        <v>145</v>
      </c>
      <c r="B205" s="11">
        <v>15201586</v>
      </c>
      <c r="C205" s="11">
        <v>2107114</v>
      </c>
      <c r="D205" s="11">
        <v>45</v>
      </c>
      <c r="E205">
        <f t="shared" si="65"/>
        <v>45</v>
      </c>
      <c r="F205">
        <f t="shared" si="68"/>
        <v>7600793</v>
      </c>
      <c r="G205">
        <f t="shared" si="71"/>
        <v>760.0793</v>
      </c>
      <c r="H205">
        <f t="shared" si="69"/>
        <v>4500</v>
      </c>
      <c r="I205">
        <f t="shared" si="64"/>
        <v>2160</v>
      </c>
      <c r="J205">
        <f t="shared" si="67"/>
        <v>7.23608707670371e-5</v>
      </c>
      <c r="K205">
        <f t="shared" si="70"/>
        <v>124969796</v>
      </c>
      <c r="L205">
        <f t="shared" si="66"/>
        <v>3.60087008544049e-5</v>
      </c>
      <c r="M205">
        <f t="shared" si="72"/>
        <v>17308700</v>
      </c>
      <c r="N205">
        <f t="shared" si="62"/>
        <v>156232672</v>
      </c>
      <c r="O205">
        <f t="shared" si="73"/>
        <v>3.79675383070026e-5</v>
      </c>
    </row>
    <row r="206" ht="13.85" spans="1:15">
      <c r="A206" s="43">
        <v>37583</v>
      </c>
      <c r="B206" s="11">
        <v>25614208</v>
      </c>
      <c r="C206" s="11">
        <v>3357910</v>
      </c>
      <c r="D206" s="11">
        <v>34</v>
      </c>
      <c r="E206">
        <f t="shared" ref="E206:E228" si="74">IF(RIGHT(D206,1)="B",VALUE(LEFT(D206,LEN(D206)-1))*1000,D206)</f>
        <v>34</v>
      </c>
      <c r="F206">
        <f t="shared" si="68"/>
        <v>12807104</v>
      </c>
      <c r="G206">
        <f t="shared" si="71"/>
        <v>1280.7104</v>
      </c>
      <c r="H206">
        <f t="shared" si="69"/>
        <v>3400</v>
      </c>
      <c r="I206">
        <f t="shared" si="64"/>
        <v>1632</v>
      </c>
      <c r="J206">
        <f t="shared" si="67"/>
        <v>5.46571652732733e-5</v>
      </c>
      <c r="K206">
        <f t="shared" si="70"/>
        <v>99355588</v>
      </c>
      <c r="L206">
        <f t="shared" ref="L206:L227" si="75">IF(E206&gt;E207,H206/K206,0)</f>
        <v>3.42205211447191e-5</v>
      </c>
      <c r="M206">
        <f t="shared" si="72"/>
        <v>28972118</v>
      </c>
      <c r="N206">
        <f t="shared" si="62"/>
        <v>138923972</v>
      </c>
      <c r="O206">
        <f t="shared" si="73"/>
        <v>6.25523401120857e-5</v>
      </c>
    </row>
    <row r="207" ht="13.85" spans="1:15">
      <c r="A207" s="43">
        <v>37491</v>
      </c>
      <c r="B207" s="11">
        <v>19769974</v>
      </c>
      <c r="C207" s="11">
        <v>2611283</v>
      </c>
      <c r="D207" s="11">
        <v>20</v>
      </c>
      <c r="E207">
        <f t="shared" si="74"/>
        <v>20</v>
      </c>
      <c r="F207">
        <f t="shared" si="68"/>
        <v>9884987</v>
      </c>
      <c r="G207">
        <f t="shared" si="71"/>
        <v>988.4987</v>
      </c>
      <c r="H207">
        <f t="shared" si="69"/>
        <v>2000</v>
      </c>
      <c r="I207">
        <f t="shared" si="64"/>
        <v>960</v>
      </c>
      <c r="J207">
        <f t="shared" ref="J207:J242" si="76">IF(H207&gt;H208,(H207-H208)/B207,0)</f>
        <v>0</v>
      </c>
      <c r="K207">
        <f t="shared" si="70"/>
        <v>79585614</v>
      </c>
      <c r="L207">
        <f t="shared" si="75"/>
        <v>0</v>
      </c>
      <c r="M207">
        <f t="shared" si="72"/>
        <v>22381257</v>
      </c>
      <c r="N207">
        <f t="shared" si="62"/>
        <v>109951854</v>
      </c>
      <c r="O207">
        <f t="shared" si="73"/>
        <v>2.28387160589987e-5</v>
      </c>
    </row>
    <row r="208" ht="13.85" spans="1:15">
      <c r="A208" s="43">
        <v>37430</v>
      </c>
      <c r="B208" s="11">
        <v>79585614</v>
      </c>
      <c r="C208" s="11">
        <v>7984983</v>
      </c>
      <c r="D208" s="11">
        <v>747</v>
      </c>
      <c r="E208">
        <f t="shared" si="74"/>
        <v>747</v>
      </c>
      <c r="F208">
        <f t="shared" si="68"/>
        <v>39792807</v>
      </c>
      <c r="G208">
        <f t="shared" si="71"/>
        <v>3979.2807</v>
      </c>
      <c r="H208">
        <f t="shared" si="69"/>
        <v>74700</v>
      </c>
      <c r="I208">
        <f t="shared" si="64"/>
        <v>35856</v>
      </c>
      <c r="J208">
        <f t="shared" si="76"/>
        <v>5.90558992231938e-5</v>
      </c>
      <c r="K208">
        <f t="shared" si="70"/>
        <v>1145323142</v>
      </c>
      <c r="L208">
        <f t="shared" si="75"/>
        <v>6.52217677794901e-5</v>
      </c>
      <c r="M208">
        <f t="shared" si="72"/>
        <v>87570597</v>
      </c>
      <c r="N208">
        <f t="shared" si="62"/>
        <v>1368024863</v>
      </c>
      <c r="O208">
        <f t="shared" si="73"/>
        <v>4.35613223578821e-5</v>
      </c>
    </row>
    <row r="209" ht="13.85" spans="1:15">
      <c r="A209" s="43">
        <v>37369</v>
      </c>
      <c r="B209" s="11">
        <v>97962628</v>
      </c>
      <c r="C209" s="11">
        <v>9931250</v>
      </c>
      <c r="D209" s="11">
        <v>700</v>
      </c>
      <c r="E209">
        <f t="shared" si="74"/>
        <v>700</v>
      </c>
      <c r="F209">
        <f t="shared" si="68"/>
        <v>48981314</v>
      </c>
      <c r="G209">
        <f t="shared" si="71"/>
        <v>4898.1314</v>
      </c>
      <c r="H209">
        <f t="shared" si="69"/>
        <v>70000</v>
      </c>
      <c r="I209">
        <f t="shared" si="64"/>
        <v>33600</v>
      </c>
      <c r="J209">
        <f t="shared" si="76"/>
        <v>4.79774797384978e-5</v>
      </c>
      <c r="K209">
        <f t="shared" si="70"/>
        <v>1047360514</v>
      </c>
      <c r="L209">
        <f t="shared" si="75"/>
        <v>6.6834675419127e-5</v>
      </c>
      <c r="M209">
        <f t="shared" si="72"/>
        <v>107893878</v>
      </c>
      <c r="N209">
        <f t="shared" si="62"/>
        <v>1280454266</v>
      </c>
      <c r="O209">
        <f t="shared" si="73"/>
        <v>6.8168908282766e-5</v>
      </c>
    </row>
    <row r="210" ht="13.85" spans="1:15">
      <c r="A210" s="43">
        <v>37279</v>
      </c>
      <c r="B210" s="11">
        <v>62431620</v>
      </c>
      <c r="C210" s="11">
        <v>6514768</v>
      </c>
      <c r="D210" s="11">
        <v>653</v>
      </c>
      <c r="E210">
        <f t="shared" si="74"/>
        <v>653</v>
      </c>
      <c r="F210">
        <f t="shared" si="68"/>
        <v>31215810</v>
      </c>
      <c r="G210">
        <f t="shared" si="71"/>
        <v>3121.581</v>
      </c>
      <c r="H210">
        <f t="shared" si="69"/>
        <v>65300</v>
      </c>
      <c r="I210">
        <f t="shared" si="64"/>
        <v>31344</v>
      </c>
      <c r="J210">
        <f t="shared" si="76"/>
        <v>6.40700978126148e-5</v>
      </c>
      <c r="K210">
        <f t="shared" si="70"/>
        <v>984928894</v>
      </c>
      <c r="L210">
        <f t="shared" si="75"/>
        <v>6.62992023056641e-5</v>
      </c>
      <c r="M210">
        <f t="shared" si="72"/>
        <v>68946388</v>
      </c>
      <c r="N210">
        <f t="shared" si="62"/>
        <v>1172560388</v>
      </c>
      <c r="O210">
        <f t="shared" si="73"/>
        <v>7.58820150765043e-5</v>
      </c>
    </row>
    <row r="211" ht="13.9" spans="1:15">
      <c r="A211" s="42" t="s">
        <v>146</v>
      </c>
      <c r="B211" s="11">
        <v>47533734</v>
      </c>
      <c r="C211" s="11">
        <v>5179679</v>
      </c>
      <c r="D211" s="11">
        <v>613</v>
      </c>
      <c r="E211">
        <f t="shared" si="74"/>
        <v>613</v>
      </c>
      <c r="F211">
        <f t="shared" si="68"/>
        <v>23766867</v>
      </c>
      <c r="G211">
        <f t="shared" si="71"/>
        <v>2376.6867</v>
      </c>
      <c r="H211">
        <f t="shared" si="69"/>
        <v>61300</v>
      </c>
      <c r="I211">
        <f t="shared" si="64"/>
        <v>29424</v>
      </c>
      <c r="J211">
        <f t="shared" si="76"/>
        <v>8.62545324127071e-5</v>
      </c>
      <c r="K211">
        <f t="shared" si="70"/>
        <v>937395160</v>
      </c>
      <c r="L211">
        <f t="shared" si="75"/>
        <v>6.53939796318129e-5</v>
      </c>
      <c r="M211">
        <f t="shared" si="72"/>
        <v>52713413</v>
      </c>
      <c r="N211">
        <f t="shared" si="62"/>
        <v>1103614000</v>
      </c>
      <c r="O211">
        <f t="shared" si="73"/>
        <v>5.42726142003686e-5</v>
      </c>
    </row>
    <row r="212" ht="13.9" spans="1:15">
      <c r="A212" s="42" t="s">
        <v>147</v>
      </c>
      <c r="B212" s="11">
        <v>68295498</v>
      </c>
      <c r="C212" s="11">
        <v>7249048</v>
      </c>
      <c r="D212" s="11">
        <v>572</v>
      </c>
      <c r="E212">
        <f t="shared" si="74"/>
        <v>572</v>
      </c>
      <c r="F212">
        <f t="shared" si="68"/>
        <v>34147749</v>
      </c>
      <c r="G212">
        <f t="shared" si="71"/>
        <v>3414.7749</v>
      </c>
      <c r="H212">
        <f t="shared" si="69"/>
        <v>57200</v>
      </c>
      <c r="I212">
        <f t="shared" si="64"/>
        <v>27456</v>
      </c>
      <c r="J212">
        <f t="shared" si="76"/>
        <v>6.7354366462047e-5</v>
      </c>
      <c r="K212">
        <f t="shared" si="70"/>
        <v>869099662</v>
      </c>
      <c r="L212">
        <f t="shared" si="75"/>
        <v>6.58152367340352e-5</v>
      </c>
      <c r="M212">
        <f t="shared" si="72"/>
        <v>75544546</v>
      </c>
      <c r="N212">
        <f t="shared" si="62"/>
        <v>1050900587</v>
      </c>
      <c r="O212">
        <f t="shared" si="73"/>
        <v>8.86061027260631e-5</v>
      </c>
    </row>
    <row r="213" ht="13.9" spans="1:15">
      <c r="A213" s="42" t="s">
        <v>148</v>
      </c>
      <c r="B213" s="11">
        <v>46745988</v>
      </c>
      <c r="C213" s="11">
        <v>5169172</v>
      </c>
      <c r="D213" s="11">
        <v>526</v>
      </c>
      <c r="E213">
        <f t="shared" si="74"/>
        <v>526</v>
      </c>
      <c r="F213">
        <f t="shared" si="68"/>
        <v>23372994</v>
      </c>
      <c r="G213">
        <f t="shared" si="71"/>
        <v>2337.2994</v>
      </c>
      <c r="H213">
        <f t="shared" si="69"/>
        <v>52600</v>
      </c>
      <c r="I213">
        <f t="shared" si="64"/>
        <v>25248</v>
      </c>
      <c r="J213">
        <f t="shared" si="76"/>
        <v>5.13413044131188e-5</v>
      </c>
      <c r="K213">
        <f t="shared" si="70"/>
        <v>822353674</v>
      </c>
      <c r="L213">
        <f t="shared" si="75"/>
        <v>6.39627470065878e-5</v>
      </c>
      <c r="M213">
        <f t="shared" si="72"/>
        <v>51915160</v>
      </c>
      <c r="N213">
        <f t="shared" si="62"/>
        <v>975356041</v>
      </c>
      <c r="O213">
        <f t="shared" si="73"/>
        <v>5.67244696102554e-5</v>
      </c>
    </row>
    <row r="214" ht="13.9" spans="1:15">
      <c r="A214" s="42" t="s">
        <v>149</v>
      </c>
      <c r="B214" s="11">
        <v>38015492</v>
      </c>
      <c r="C214" s="11">
        <v>4294291</v>
      </c>
      <c r="D214" s="11">
        <v>502</v>
      </c>
      <c r="E214">
        <f t="shared" si="74"/>
        <v>502</v>
      </c>
      <c r="F214">
        <f t="shared" si="68"/>
        <v>19007746</v>
      </c>
      <c r="G214">
        <f t="shared" si="71"/>
        <v>1900.7746</v>
      </c>
      <c r="H214">
        <f t="shared" si="69"/>
        <v>50200</v>
      </c>
      <c r="I214">
        <f t="shared" si="64"/>
        <v>24096</v>
      </c>
      <c r="J214">
        <f t="shared" si="76"/>
        <v>7.62846894103067e-5</v>
      </c>
      <c r="K214">
        <f t="shared" si="70"/>
        <v>784338182</v>
      </c>
      <c r="L214">
        <f t="shared" si="75"/>
        <v>6.40030042551212e-5</v>
      </c>
      <c r="M214">
        <f t="shared" si="72"/>
        <v>42309783</v>
      </c>
      <c r="N214">
        <f t="shared" si="62"/>
        <v>923440881</v>
      </c>
      <c r="O214">
        <f t="shared" si="73"/>
        <v>4.69910428104766e-5</v>
      </c>
    </row>
    <row r="215" ht="13.9" spans="1:15">
      <c r="A215" s="42" t="s">
        <v>150</v>
      </c>
      <c r="B215" s="11">
        <v>55592238</v>
      </c>
      <c r="C215" s="11">
        <v>6121651</v>
      </c>
      <c r="D215" s="11">
        <v>473</v>
      </c>
      <c r="E215">
        <f t="shared" si="74"/>
        <v>473</v>
      </c>
      <c r="F215">
        <f t="shared" si="68"/>
        <v>27796119</v>
      </c>
      <c r="G215">
        <f t="shared" si="71"/>
        <v>2779.6119</v>
      </c>
      <c r="H215">
        <f t="shared" si="69"/>
        <v>47300</v>
      </c>
      <c r="I215">
        <f t="shared" si="64"/>
        <v>22704</v>
      </c>
      <c r="J215">
        <f t="shared" si="76"/>
        <v>6.11596172832617e-5</v>
      </c>
      <c r="K215">
        <f t="shared" si="70"/>
        <v>728745944</v>
      </c>
      <c r="L215">
        <f t="shared" si="75"/>
        <v>6.49060216244579e-5</v>
      </c>
      <c r="M215">
        <f t="shared" si="72"/>
        <v>61713889</v>
      </c>
      <c r="N215">
        <f t="shared" si="62"/>
        <v>881131098</v>
      </c>
      <c r="O215">
        <f t="shared" si="73"/>
        <v>7.90005042091004e-5</v>
      </c>
    </row>
    <row r="216" ht="13.9" spans="1:15">
      <c r="A216" s="42" t="s">
        <v>151</v>
      </c>
      <c r="B216" s="11">
        <v>38598782</v>
      </c>
      <c r="C216" s="11">
        <v>4438918</v>
      </c>
      <c r="D216" s="11">
        <v>439</v>
      </c>
      <c r="E216">
        <f t="shared" si="74"/>
        <v>439</v>
      </c>
      <c r="F216">
        <f t="shared" si="68"/>
        <v>19299391</v>
      </c>
      <c r="G216">
        <f t="shared" si="71"/>
        <v>1929.9391</v>
      </c>
      <c r="H216">
        <f t="shared" si="69"/>
        <v>43900</v>
      </c>
      <c r="I216">
        <f t="shared" si="64"/>
        <v>21072</v>
      </c>
      <c r="J216">
        <f t="shared" si="76"/>
        <v>5.95873724720122e-5</v>
      </c>
      <c r="K216">
        <f t="shared" si="70"/>
        <v>690147162</v>
      </c>
      <c r="L216">
        <f t="shared" si="75"/>
        <v>6.3609621856273e-5</v>
      </c>
      <c r="M216">
        <f t="shared" si="72"/>
        <v>43037700</v>
      </c>
      <c r="N216">
        <f t="shared" si="62"/>
        <v>819417209</v>
      </c>
      <c r="O216">
        <f t="shared" si="73"/>
        <v>6.63607627852305e-5</v>
      </c>
    </row>
    <row r="217" ht="13.9" spans="1:15">
      <c r="A217" s="42" t="s">
        <v>152</v>
      </c>
      <c r="B217" s="11">
        <v>30965038</v>
      </c>
      <c r="C217" s="11">
        <v>3693997</v>
      </c>
      <c r="D217" s="11">
        <v>416</v>
      </c>
      <c r="E217">
        <f t="shared" si="74"/>
        <v>416</v>
      </c>
      <c r="F217">
        <f t="shared" si="68"/>
        <v>15482519</v>
      </c>
      <c r="G217">
        <f t="shared" si="71"/>
        <v>1548.2519</v>
      </c>
      <c r="H217">
        <f t="shared" si="69"/>
        <v>41600</v>
      </c>
      <c r="I217">
        <f t="shared" si="64"/>
        <v>19968</v>
      </c>
      <c r="J217">
        <f t="shared" si="76"/>
        <v>3.87533837355536e-5</v>
      </c>
      <c r="K217">
        <f t="shared" si="70"/>
        <v>659182124</v>
      </c>
      <c r="L217">
        <f t="shared" si="75"/>
        <v>6.31085074752422e-5</v>
      </c>
      <c r="M217">
        <f t="shared" si="72"/>
        <v>34659035</v>
      </c>
      <c r="N217">
        <f t="shared" si="62"/>
        <v>776379509</v>
      </c>
      <c r="O217">
        <f t="shared" si="73"/>
        <v>1.66010303429482e-5</v>
      </c>
    </row>
    <row r="218" ht="13.9" spans="1:15">
      <c r="A218" s="42" t="s">
        <v>153</v>
      </c>
      <c r="B218" s="11">
        <v>65100880</v>
      </c>
      <c r="C218" s="11">
        <v>7183790</v>
      </c>
      <c r="D218" s="11">
        <v>404</v>
      </c>
      <c r="E218">
        <f t="shared" si="74"/>
        <v>404</v>
      </c>
      <c r="F218">
        <f t="shared" si="68"/>
        <v>32550440</v>
      </c>
      <c r="G218">
        <f t="shared" si="71"/>
        <v>3255.044</v>
      </c>
      <c r="H218">
        <f t="shared" si="69"/>
        <v>40400</v>
      </c>
      <c r="I218">
        <f t="shared" si="64"/>
        <v>19392</v>
      </c>
      <c r="J218">
        <f t="shared" si="76"/>
        <v>6.75874120288389e-5</v>
      </c>
      <c r="K218">
        <f t="shared" si="70"/>
        <v>594081244</v>
      </c>
      <c r="L218">
        <f t="shared" si="75"/>
        <v>6.8004166783626e-5</v>
      </c>
      <c r="M218">
        <f t="shared" si="72"/>
        <v>72284670</v>
      </c>
      <c r="N218">
        <f t="shared" si="62"/>
        <v>741720474</v>
      </c>
      <c r="O218">
        <f t="shared" si="73"/>
        <v>9.71764327361959e-5</v>
      </c>
    </row>
    <row r="219" ht="13.85" spans="1:15">
      <c r="A219" s="43">
        <v>37218</v>
      </c>
      <c r="B219" s="11">
        <v>40515398</v>
      </c>
      <c r="C219" s="11">
        <v>4763070</v>
      </c>
      <c r="D219" s="11">
        <v>360</v>
      </c>
      <c r="E219">
        <f t="shared" si="74"/>
        <v>360</v>
      </c>
      <c r="F219">
        <f t="shared" si="68"/>
        <v>20257699</v>
      </c>
      <c r="G219">
        <f t="shared" si="71"/>
        <v>2025.7699</v>
      </c>
      <c r="H219">
        <f t="shared" si="69"/>
        <v>36000</v>
      </c>
      <c r="I219">
        <f t="shared" si="64"/>
        <v>17280</v>
      </c>
      <c r="J219">
        <f t="shared" si="76"/>
        <v>4.93639479982401e-5</v>
      </c>
      <c r="K219">
        <f t="shared" si="70"/>
        <v>553565846</v>
      </c>
      <c r="L219">
        <f t="shared" si="75"/>
        <v>6.50329138983766e-5</v>
      </c>
      <c r="M219">
        <f t="shared" si="72"/>
        <v>45278468</v>
      </c>
      <c r="N219">
        <f t="shared" si="62"/>
        <v>669435804</v>
      </c>
      <c r="O219">
        <f t="shared" si="73"/>
        <v>5.5676824318657e-5</v>
      </c>
    </row>
    <row r="220" ht="13.85" spans="1:15">
      <c r="A220" s="43">
        <v>37157</v>
      </c>
      <c r="B220" s="11">
        <v>32102758</v>
      </c>
      <c r="C220" s="11">
        <v>3818831</v>
      </c>
      <c r="D220" s="11">
        <v>340</v>
      </c>
      <c r="E220">
        <f t="shared" si="74"/>
        <v>340</v>
      </c>
      <c r="F220">
        <f t="shared" si="68"/>
        <v>16051379</v>
      </c>
      <c r="G220">
        <f t="shared" si="71"/>
        <v>1605.1379</v>
      </c>
      <c r="H220">
        <f t="shared" si="69"/>
        <v>34000</v>
      </c>
      <c r="I220">
        <f t="shared" si="64"/>
        <v>16320</v>
      </c>
      <c r="J220">
        <f t="shared" si="76"/>
        <v>4.67249574008563e-5</v>
      </c>
      <c r="K220">
        <f t="shared" si="70"/>
        <v>521463088</v>
      </c>
      <c r="L220">
        <f t="shared" si="75"/>
        <v>6.52011633851253e-5</v>
      </c>
      <c r="M220">
        <f t="shared" si="72"/>
        <v>35921589</v>
      </c>
      <c r="N220">
        <f t="shared" si="62"/>
        <v>624157336</v>
      </c>
      <c r="O220">
        <f t="shared" si="73"/>
        <v>2.61278445536778e-5</v>
      </c>
    </row>
    <row r="221" ht="13.85" spans="1:15">
      <c r="A221" s="43">
        <v>37095</v>
      </c>
      <c r="B221" s="11">
        <v>51567424</v>
      </c>
      <c r="C221" s="11">
        <v>5842593</v>
      </c>
      <c r="D221" s="11">
        <v>325</v>
      </c>
      <c r="E221">
        <f t="shared" si="74"/>
        <v>325</v>
      </c>
      <c r="F221">
        <f t="shared" si="68"/>
        <v>25783712</v>
      </c>
      <c r="G221">
        <f t="shared" si="71"/>
        <v>2578.3712</v>
      </c>
      <c r="H221">
        <f t="shared" si="69"/>
        <v>32500</v>
      </c>
      <c r="I221">
        <f t="shared" si="64"/>
        <v>15600</v>
      </c>
      <c r="J221">
        <f t="shared" si="76"/>
        <v>6.59330976082885e-5</v>
      </c>
      <c r="K221">
        <f t="shared" si="70"/>
        <v>469895664</v>
      </c>
      <c r="L221">
        <f t="shared" si="75"/>
        <v>6.91642900539725e-5</v>
      </c>
      <c r="M221">
        <f t="shared" si="72"/>
        <v>57410017</v>
      </c>
      <c r="N221">
        <f t="shared" si="62"/>
        <v>588235747</v>
      </c>
      <c r="O221">
        <f t="shared" si="73"/>
        <v>9.44579046958636e-5</v>
      </c>
    </row>
    <row r="222" ht="13.85" spans="1:15">
      <c r="A222" s="43">
        <v>37004</v>
      </c>
      <c r="B222" s="11">
        <v>32137216</v>
      </c>
      <c r="C222" s="11">
        <v>3857654</v>
      </c>
      <c r="D222" s="11">
        <v>291</v>
      </c>
      <c r="E222">
        <f t="shared" si="74"/>
        <v>291</v>
      </c>
      <c r="F222">
        <f t="shared" si="68"/>
        <v>16068608</v>
      </c>
      <c r="G222">
        <f t="shared" si="71"/>
        <v>1606.8608</v>
      </c>
      <c r="H222">
        <f t="shared" si="69"/>
        <v>29100</v>
      </c>
      <c r="I222">
        <f t="shared" si="64"/>
        <v>13968</v>
      </c>
      <c r="J222">
        <f t="shared" si="76"/>
        <v>8.09030875605404e-5</v>
      </c>
      <c r="K222">
        <f t="shared" si="70"/>
        <v>437758448</v>
      </c>
      <c r="L222">
        <f t="shared" si="75"/>
        <v>6.64750163770683e-5</v>
      </c>
      <c r="M222">
        <f t="shared" si="72"/>
        <v>35994870</v>
      </c>
      <c r="N222">
        <f t="shared" si="62"/>
        <v>530825730</v>
      </c>
      <c r="O222">
        <f t="shared" si="73"/>
        <v>9.78827730310071e-5</v>
      </c>
    </row>
    <row r="223" ht="13.85" spans="1:15">
      <c r="A223" s="44">
        <v>36945</v>
      </c>
      <c r="B223" s="15">
        <v>23626690</v>
      </c>
      <c r="C223" s="15">
        <v>2935696</v>
      </c>
      <c r="D223" s="15">
        <v>265</v>
      </c>
      <c r="E223">
        <f t="shared" si="74"/>
        <v>265</v>
      </c>
      <c r="F223">
        <f t="shared" si="68"/>
        <v>11813345</v>
      </c>
      <c r="G223">
        <f t="shared" si="71"/>
        <v>1181.3345</v>
      </c>
      <c r="H223">
        <f t="shared" si="69"/>
        <v>26500</v>
      </c>
      <c r="I223">
        <f t="shared" si="64"/>
        <v>12720</v>
      </c>
      <c r="J223">
        <f t="shared" si="76"/>
        <v>8.04175278043602e-5</v>
      </c>
      <c r="K223">
        <f t="shared" si="70"/>
        <v>414131758</v>
      </c>
      <c r="L223">
        <f t="shared" si="75"/>
        <v>6.39892968556157e-5</v>
      </c>
      <c r="M223">
        <f t="shared" si="72"/>
        <v>26562386</v>
      </c>
      <c r="N223">
        <f t="shared" si="62"/>
        <v>494830860</v>
      </c>
      <c r="O223">
        <f t="shared" si="73"/>
        <v>3.69791117453872e-5</v>
      </c>
    </row>
    <row r="224" ht="13.9" spans="1:15">
      <c r="A224" s="41" t="s">
        <v>154</v>
      </c>
      <c r="B224" s="13">
        <v>46016634</v>
      </c>
      <c r="C224" s="13">
        <v>5363724</v>
      </c>
      <c r="D224" s="13">
        <v>246</v>
      </c>
      <c r="E224">
        <f t="shared" si="74"/>
        <v>246</v>
      </c>
      <c r="F224">
        <f t="shared" si="68"/>
        <v>23008317</v>
      </c>
      <c r="G224">
        <f t="shared" si="71"/>
        <v>2300.8317</v>
      </c>
      <c r="H224">
        <f t="shared" si="69"/>
        <v>24600</v>
      </c>
      <c r="I224">
        <f t="shared" si="64"/>
        <v>11808</v>
      </c>
      <c r="J224">
        <f t="shared" si="76"/>
        <v>6.73669438751213e-5</v>
      </c>
      <c r="K224">
        <f t="shared" si="70"/>
        <v>368115124</v>
      </c>
      <c r="L224">
        <f t="shared" si="75"/>
        <v>6.6826920156641e-5</v>
      </c>
      <c r="M224">
        <f t="shared" si="72"/>
        <v>51380358</v>
      </c>
      <c r="N224">
        <f t="shared" ref="N224:N287" si="77">IF(H224&lt;H225,M224+M225,M224+N225)</f>
        <v>468268474</v>
      </c>
      <c r="O224">
        <f t="shared" si="73"/>
        <v>0.000102124260385634</v>
      </c>
    </row>
    <row r="225" ht="13.9" spans="1:15">
      <c r="A225" s="42" t="s">
        <v>155</v>
      </c>
      <c r="B225" s="11">
        <v>27020776</v>
      </c>
      <c r="C225" s="11">
        <v>3334401</v>
      </c>
      <c r="D225" s="11">
        <v>215</v>
      </c>
      <c r="E225">
        <f t="shared" si="74"/>
        <v>215</v>
      </c>
      <c r="F225">
        <f t="shared" si="68"/>
        <v>13510388</v>
      </c>
      <c r="G225">
        <f t="shared" si="71"/>
        <v>1351.0388</v>
      </c>
      <c r="H225">
        <f t="shared" si="69"/>
        <v>21500</v>
      </c>
      <c r="I225">
        <f t="shared" si="64"/>
        <v>10320</v>
      </c>
      <c r="J225">
        <f t="shared" si="76"/>
        <v>5.18119834900374e-5</v>
      </c>
      <c r="K225">
        <f t="shared" si="70"/>
        <v>341094348</v>
      </c>
      <c r="L225">
        <f t="shared" si="75"/>
        <v>6.30324135420737e-5</v>
      </c>
      <c r="M225">
        <f t="shared" si="72"/>
        <v>30355177</v>
      </c>
      <c r="N225">
        <f t="shared" si="77"/>
        <v>416888116</v>
      </c>
      <c r="O225">
        <f t="shared" si="73"/>
        <v>7.16426770309739e-5</v>
      </c>
    </row>
    <row r="226" ht="13.9" spans="1:15">
      <c r="A226" s="42" t="s">
        <v>156</v>
      </c>
      <c r="B226" s="11">
        <v>17275696</v>
      </c>
      <c r="C226" s="11">
        <v>2265729</v>
      </c>
      <c r="D226" s="11">
        <v>201</v>
      </c>
      <c r="E226">
        <f t="shared" si="74"/>
        <v>201</v>
      </c>
      <c r="F226">
        <f t="shared" si="68"/>
        <v>8637848</v>
      </c>
      <c r="G226">
        <f t="shared" si="71"/>
        <v>863.7848</v>
      </c>
      <c r="H226">
        <f t="shared" si="69"/>
        <v>20100</v>
      </c>
      <c r="I226">
        <f t="shared" si="64"/>
        <v>9648</v>
      </c>
      <c r="J226">
        <f t="shared" si="76"/>
        <v>8.68271819555056e-5</v>
      </c>
      <c r="K226">
        <f t="shared" si="70"/>
        <v>323818652</v>
      </c>
      <c r="L226">
        <f t="shared" si="75"/>
        <v>6.20717796082976e-5</v>
      </c>
      <c r="M226">
        <f t="shared" si="72"/>
        <v>19541425</v>
      </c>
      <c r="N226">
        <f t="shared" si="77"/>
        <v>386532939</v>
      </c>
      <c r="O226">
        <f t="shared" si="73"/>
        <v>4.13050922156836e-5</v>
      </c>
    </row>
    <row r="227" ht="13.9" spans="1:15">
      <c r="A227" s="42" t="s">
        <v>157</v>
      </c>
      <c r="B227" s="11">
        <v>32420758</v>
      </c>
      <c r="C227" s="11">
        <v>3894377</v>
      </c>
      <c r="D227" s="11">
        <v>186</v>
      </c>
      <c r="E227">
        <f t="shared" si="74"/>
        <v>186</v>
      </c>
      <c r="F227">
        <f t="shared" si="68"/>
        <v>16210379</v>
      </c>
      <c r="G227">
        <f t="shared" si="71"/>
        <v>1621.0379</v>
      </c>
      <c r="H227">
        <f t="shared" si="69"/>
        <v>18600</v>
      </c>
      <c r="I227">
        <f t="shared" si="64"/>
        <v>8928</v>
      </c>
      <c r="J227">
        <f t="shared" si="76"/>
        <v>4.93510978367625e-5</v>
      </c>
      <c r="K227">
        <f t="shared" si="70"/>
        <v>291397894</v>
      </c>
      <c r="L227">
        <f t="shared" si="75"/>
        <v>6.3830248546683e-5</v>
      </c>
      <c r="M227">
        <f t="shared" si="72"/>
        <v>36315135</v>
      </c>
      <c r="N227">
        <f t="shared" si="77"/>
        <v>366991514</v>
      </c>
      <c r="O227">
        <f t="shared" si="73"/>
        <v>6.82066477268174e-5</v>
      </c>
    </row>
    <row r="228" ht="13.9" spans="1:15">
      <c r="A228" s="42" t="s">
        <v>158</v>
      </c>
      <c r="B228" s="11">
        <v>20727660</v>
      </c>
      <c r="C228" s="11">
        <v>2730464</v>
      </c>
      <c r="D228" s="11">
        <v>170</v>
      </c>
      <c r="E228">
        <f t="shared" si="74"/>
        <v>170</v>
      </c>
      <c r="F228">
        <f t="shared" si="68"/>
        <v>10363830</v>
      </c>
      <c r="G228">
        <f t="shared" si="71"/>
        <v>1036.383</v>
      </c>
      <c r="H228">
        <f t="shared" si="69"/>
        <v>17000</v>
      </c>
      <c r="I228">
        <f t="shared" si="64"/>
        <v>8160</v>
      </c>
      <c r="J228">
        <f t="shared" si="76"/>
        <v>5.78936551448644e-5</v>
      </c>
      <c r="K228">
        <f t="shared" si="70"/>
        <v>270670234</v>
      </c>
      <c r="L228">
        <f t="shared" ref="L228:L245" si="78">IF(E228&gt;E229,H228/K228,0)</f>
        <v>6.28070539888032e-5</v>
      </c>
      <c r="M228">
        <f t="shared" si="72"/>
        <v>23458124</v>
      </c>
      <c r="N228">
        <f t="shared" si="77"/>
        <v>330676379</v>
      </c>
      <c r="O228">
        <f t="shared" si="73"/>
        <v>6.49371838269398e-5</v>
      </c>
    </row>
    <row r="229" ht="13.9" spans="1:15">
      <c r="A229" s="42" t="s">
        <v>159</v>
      </c>
      <c r="B229" s="11">
        <v>16293226</v>
      </c>
      <c r="C229" s="11">
        <v>2186171</v>
      </c>
      <c r="D229" s="11">
        <v>158</v>
      </c>
      <c r="E229">
        <f t="shared" ref="E229:E252" si="79">IF(RIGHT(D229,1)="B",VALUE(LEFT(D229,LEN(D229)-1))*1000,D229)</f>
        <v>158</v>
      </c>
      <c r="F229">
        <f t="shared" si="68"/>
        <v>8146613</v>
      </c>
      <c r="G229">
        <f t="shared" si="71"/>
        <v>814.6613</v>
      </c>
      <c r="H229">
        <f t="shared" si="69"/>
        <v>15800</v>
      </c>
      <c r="I229">
        <f t="shared" si="64"/>
        <v>7584</v>
      </c>
      <c r="J229">
        <f t="shared" si="76"/>
        <v>5.52376797572194e-5</v>
      </c>
      <c r="K229">
        <f t="shared" si="70"/>
        <v>254377008</v>
      </c>
      <c r="L229">
        <f t="shared" si="78"/>
        <v>6.21125318055475e-5</v>
      </c>
      <c r="M229">
        <f t="shared" si="72"/>
        <v>18479397</v>
      </c>
      <c r="N229">
        <f t="shared" si="77"/>
        <v>307218255</v>
      </c>
      <c r="O229">
        <f t="shared" si="73"/>
        <v>3.00107958836392e-5</v>
      </c>
    </row>
    <row r="230" ht="13.9" spans="1:15">
      <c r="A230" s="42" t="s">
        <v>160</v>
      </c>
      <c r="B230" s="11">
        <v>26568000</v>
      </c>
      <c r="C230" s="11">
        <v>3421208</v>
      </c>
      <c r="D230" s="11">
        <v>149</v>
      </c>
      <c r="E230">
        <f t="shared" si="79"/>
        <v>149</v>
      </c>
      <c r="F230">
        <f t="shared" si="68"/>
        <v>13284000</v>
      </c>
      <c r="G230">
        <f t="shared" si="71"/>
        <v>1328.4</v>
      </c>
      <c r="H230">
        <f t="shared" si="69"/>
        <v>14900</v>
      </c>
      <c r="I230">
        <f t="shared" si="64"/>
        <v>7152</v>
      </c>
      <c r="J230">
        <f t="shared" si="76"/>
        <v>5.64588979223126e-5</v>
      </c>
      <c r="K230">
        <f t="shared" si="70"/>
        <v>227809008</v>
      </c>
      <c r="L230">
        <f t="shared" si="78"/>
        <v>6.54056664870776e-5</v>
      </c>
      <c r="M230">
        <f t="shared" si="72"/>
        <v>29989208</v>
      </c>
      <c r="N230">
        <f t="shared" si="77"/>
        <v>288738858</v>
      </c>
      <c r="O230">
        <f t="shared" si="73"/>
        <v>7.05285764159493e-5</v>
      </c>
    </row>
    <row r="231" ht="13.9" spans="1:15">
      <c r="A231" s="42" t="s">
        <v>161</v>
      </c>
      <c r="B231" s="11">
        <v>18762858</v>
      </c>
      <c r="C231" s="11">
        <v>2505117</v>
      </c>
      <c r="D231" s="11">
        <v>134</v>
      </c>
      <c r="E231">
        <f t="shared" si="79"/>
        <v>134</v>
      </c>
      <c r="F231">
        <f t="shared" si="68"/>
        <v>9381429</v>
      </c>
      <c r="G231">
        <f t="shared" si="71"/>
        <v>938.1429</v>
      </c>
      <c r="H231">
        <f t="shared" si="69"/>
        <v>13400</v>
      </c>
      <c r="I231">
        <f t="shared" si="64"/>
        <v>6432</v>
      </c>
      <c r="J231">
        <f t="shared" si="76"/>
        <v>5.32967845303738e-5</v>
      </c>
      <c r="K231">
        <f t="shared" si="70"/>
        <v>209046150</v>
      </c>
      <c r="L231">
        <f t="shared" si="78"/>
        <v>6.41006782473631e-5</v>
      </c>
      <c r="M231">
        <f t="shared" si="72"/>
        <v>21267975</v>
      </c>
      <c r="N231">
        <f t="shared" si="77"/>
        <v>258749650</v>
      </c>
      <c r="O231">
        <f t="shared" si="73"/>
        <v>5.62270122888633e-5</v>
      </c>
    </row>
    <row r="232" ht="13.9" spans="1:15">
      <c r="A232" s="42" t="s">
        <v>162</v>
      </c>
      <c r="B232" s="11">
        <v>15666080</v>
      </c>
      <c r="C232" s="11">
        <v>2118966</v>
      </c>
      <c r="D232" s="11">
        <v>124</v>
      </c>
      <c r="E232">
        <f t="shared" si="79"/>
        <v>124</v>
      </c>
      <c r="F232">
        <f t="shared" si="68"/>
        <v>7833040</v>
      </c>
      <c r="G232">
        <f t="shared" si="71"/>
        <v>783.304</v>
      </c>
      <c r="H232">
        <f t="shared" si="69"/>
        <v>12400</v>
      </c>
      <c r="I232">
        <f t="shared" si="64"/>
        <v>5952</v>
      </c>
      <c r="J232">
        <f t="shared" si="76"/>
        <v>5.10657420362975e-5</v>
      </c>
      <c r="K232">
        <f t="shared" si="70"/>
        <v>193380070</v>
      </c>
      <c r="L232">
        <f t="shared" si="78"/>
        <v>6.41224299898123e-5</v>
      </c>
      <c r="M232">
        <f t="shared" si="72"/>
        <v>17785046</v>
      </c>
      <c r="N232">
        <f t="shared" si="77"/>
        <v>237481675</v>
      </c>
      <c r="O232">
        <f t="shared" si="73"/>
        <v>2.76476112878561e-5</v>
      </c>
    </row>
    <row r="233" ht="13.9" spans="1:15">
      <c r="A233" s="42" t="s">
        <v>163</v>
      </c>
      <c r="B233" s="11">
        <v>25613420</v>
      </c>
      <c r="C233" s="11">
        <v>3322172</v>
      </c>
      <c r="D233" s="11">
        <v>116</v>
      </c>
      <c r="E233">
        <f t="shared" si="79"/>
        <v>116</v>
      </c>
      <c r="F233">
        <f t="shared" si="68"/>
        <v>12806710</v>
      </c>
      <c r="G233">
        <f t="shared" si="71"/>
        <v>1280.671</v>
      </c>
      <c r="H233">
        <f t="shared" si="69"/>
        <v>11600</v>
      </c>
      <c r="I233">
        <f t="shared" si="64"/>
        <v>5568</v>
      </c>
      <c r="J233">
        <f t="shared" si="76"/>
        <v>6.24672534944572e-5</v>
      </c>
      <c r="K233">
        <f t="shared" si="70"/>
        <v>167766650</v>
      </c>
      <c r="L233">
        <f t="shared" si="78"/>
        <v>6.91436587665069e-5</v>
      </c>
      <c r="M233">
        <f t="shared" si="72"/>
        <v>28935592</v>
      </c>
      <c r="N233">
        <f t="shared" si="77"/>
        <v>219696629</v>
      </c>
      <c r="O233">
        <f t="shared" ref="O233:O253" si="80">IF(H233&gt;H234,(H233-H234)/M234,H233/M234)</f>
        <v>7.73836210794918e-5</v>
      </c>
    </row>
    <row r="234" ht="13.9" spans="1:15">
      <c r="A234" s="42" t="s">
        <v>164</v>
      </c>
      <c r="B234" s="11">
        <v>18196538</v>
      </c>
      <c r="C234" s="11">
        <v>2479672</v>
      </c>
      <c r="D234" s="11">
        <v>100</v>
      </c>
      <c r="E234">
        <f t="shared" si="79"/>
        <v>100</v>
      </c>
      <c r="F234">
        <f t="shared" si="68"/>
        <v>9098269</v>
      </c>
      <c r="G234">
        <f t="shared" si="71"/>
        <v>909.8269</v>
      </c>
      <c r="H234">
        <f t="shared" si="69"/>
        <v>10000</v>
      </c>
      <c r="I234">
        <f t="shared" si="64"/>
        <v>4800</v>
      </c>
      <c r="J234">
        <f t="shared" si="76"/>
        <v>6.04510594267987e-5</v>
      </c>
      <c r="K234">
        <f t="shared" si="70"/>
        <v>149570112</v>
      </c>
      <c r="L234">
        <f t="shared" si="78"/>
        <v>6.68582771402886e-5</v>
      </c>
      <c r="M234">
        <f t="shared" si="72"/>
        <v>20676210</v>
      </c>
      <c r="N234">
        <f t="shared" si="77"/>
        <v>190761037</v>
      </c>
      <c r="O234">
        <f t="shared" si="80"/>
        <v>6.72047445083338e-5</v>
      </c>
    </row>
    <row r="235" ht="13.9" spans="1:15">
      <c r="A235" s="42" t="s">
        <v>165</v>
      </c>
      <c r="B235" s="11">
        <v>14346430</v>
      </c>
      <c r="C235" s="11">
        <v>2021462</v>
      </c>
      <c r="D235" s="11">
        <v>89</v>
      </c>
      <c r="E235">
        <f t="shared" si="79"/>
        <v>89</v>
      </c>
      <c r="F235">
        <f t="shared" si="68"/>
        <v>7173215</v>
      </c>
      <c r="G235">
        <f t="shared" si="71"/>
        <v>717.3215</v>
      </c>
      <c r="H235">
        <f t="shared" si="69"/>
        <v>8900</v>
      </c>
      <c r="I235">
        <f t="shared" si="64"/>
        <v>4272</v>
      </c>
      <c r="J235">
        <f t="shared" si="76"/>
        <v>5.57630016666167e-5</v>
      </c>
      <c r="K235">
        <f t="shared" si="70"/>
        <v>135223682</v>
      </c>
      <c r="L235">
        <f t="shared" si="78"/>
        <v>6.58168737041194e-5</v>
      </c>
      <c r="M235">
        <f t="shared" si="72"/>
        <v>16367892</v>
      </c>
      <c r="N235">
        <f t="shared" si="77"/>
        <v>170084827</v>
      </c>
      <c r="O235">
        <f t="shared" si="80"/>
        <v>2.92356008635904e-5</v>
      </c>
    </row>
    <row r="236" ht="13.9" spans="1:15">
      <c r="A236" s="42" t="s">
        <v>166</v>
      </c>
      <c r="B236" s="11">
        <v>24121516</v>
      </c>
      <c r="C236" s="11">
        <v>3242382</v>
      </c>
      <c r="D236" s="11">
        <v>81</v>
      </c>
      <c r="E236">
        <f t="shared" si="79"/>
        <v>81</v>
      </c>
      <c r="F236">
        <f t="shared" si="68"/>
        <v>12060758</v>
      </c>
      <c r="G236">
        <f t="shared" si="71"/>
        <v>1206.0758</v>
      </c>
      <c r="H236">
        <f t="shared" si="69"/>
        <v>8100</v>
      </c>
      <c r="I236">
        <f t="shared" ref="I236:I299" si="81">H236*0.48</f>
        <v>3888</v>
      </c>
      <c r="J236">
        <f t="shared" si="76"/>
        <v>6.63308226564201e-5</v>
      </c>
      <c r="K236">
        <f t="shared" si="70"/>
        <v>111102166</v>
      </c>
      <c r="L236">
        <f t="shared" si="78"/>
        <v>7.29058693599187e-5</v>
      </c>
      <c r="M236">
        <f t="shared" si="72"/>
        <v>27363898</v>
      </c>
      <c r="N236">
        <f t="shared" si="77"/>
        <v>153716935</v>
      </c>
      <c r="O236">
        <f t="shared" si="80"/>
        <v>8.50996383797242e-5</v>
      </c>
    </row>
    <row r="237" ht="13.9" spans="1:15">
      <c r="A237" s="42" t="s">
        <v>167</v>
      </c>
      <c r="B237" s="11">
        <v>16470676</v>
      </c>
      <c r="C237" s="11">
        <v>2330814</v>
      </c>
      <c r="D237" s="11">
        <v>65</v>
      </c>
      <c r="E237">
        <f t="shared" si="79"/>
        <v>65</v>
      </c>
      <c r="F237">
        <f t="shared" si="68"/>
        <v>8235338</v>
      </c>
      <c r="G237">
        <f t="shared" si="71"/>
        <v>823.5338</v>
      </c>
      <c r="H237">
        <f t="shared" si="69"/>
        <v>6500</v>
      </c>
      <c r="I237">
        <f t="shared" si="81"/>
        <v>3120</v>
      </c>
      <c r="J237">
        <f t="shared" si="76"/>
        <v>5.46425659760413e-5</v>
      </c>
      <c r="K237">
        <f t="shared" si="70"/>
        <v>94631490</v>
      </c>
      <c r="L237">
        <f t="shared" si="78"/>
        <v>6.86874950399703e-5</v>
      </c>
      <c r="M237">
        <f t="shared" si="72"/>
        <v>18801490</v>
      </c>
      <c r="N237">
        <f t="shared" si="77"/>
        <v>126353037</v>
      </c>
      <c r="O237">
        <f t="shared" si="80"/>
        <v>5.61350669588435e-5</v>
      </c>
    </row>
    <row r="238" ht="13.9" spans="1:15">
      <c r="A238" s="42" t="s">
        <v>168</v>
      </c>
      <c r="B238" s="11">
        <v>14030532</v>
      </c>
      <c r="C238" s="11">
        <v>2002227</v>
      </c>
      <c r="D238" s="11">
        <v>56</v>
      </c>
      <c r="E238">
        <f t="shared" si="79"/>
        <v>56</v>
      </c>
      <c r="F238">
        <f t="shared" si="68"/>
        <v>7015266</v>
      </c>
      <c r="G238">
        <f t="shared" si="71"/>
        <v>701.5266</v>
      </c>
      <c r="H238">
        <f t="shared" si="69"/>
        <v>5600</v>
      </c>
      <c r="I238">
        <f t="shared" si="81"/>
        <v>2688</v>
      </c>
      <c r="J238">
        <f t="shared" si="76"/>
        <v>5.70185079225791e-5</v>
      </c>
      <c r="K238">
        <f t="shared" si="70"/>
        <v>80600958</v>
      </c>
      <c r="L238">
        <f t="shared" si="78"/>
        <v>6.94780823820977e-5</v>
      </c>
      <c r="M238">
        <f t="shared" si="72"/>
        <v>16032759</v>
      </c>
      <c r="N238">
        <f t="shared" si="77"/>
        <v>107551547</v>
      </c>
      <c r="O238">
        <f t="shared" si="80"/>
        <v>3.28563818798697e-5</v>
      </c>
    </row>
    <row r="239" ht="13.9" spans="1:15">
      <c r="A239" s="42" t="s">
        <v>169</v>
      </c>
      <c r="B239" s="11">
        <v>21448726</v>
      </c>
      <c r="C239" s="11">
        <v>2899664</v>
      </c>
      <c r="D239" s="11">
        <v>48</v>
      </c>
      <c r="E239">
        <f t="shared" si="79"/>
        <v>48</v>
      </c>
      <c r="F239">
        <f t="shared" si="68"/>
        <v>10724363</v>
      </c>
      <c r="G239">
        <f t="shared" si="71"/>
        <v>1072.4363</v>
      </c>
      <c r="H239">
        <f t="shared" si="69"/>
        <v>4800</v>
      </c>
      <c r="I239">
        <f t="shared" si="81"/>
        <v>2304</v>
      </c>
      <c r="J239">
        <f t="shared" si="76"/>
        <v>8.39210683189295e-5</v>
      </c>
      <c r="K239">
        <f t="shared" si="70"/>
        <v>59152232</v>
      </c>
      <c r="L239">
        <f t="shared" si="78"/>
        <v>8.11465575804477e-5</v>
      </c>
      <c r="M239">
        <f t="shared" si="72"/>
        <v>24348390</v>
      </c>
      <c r="N239">
        <f t="shared" si="77"/>
        <v>91518788</v>
      </c>
      <c r="O239">
        <f t="shared" si="80"/>
        <v>8.64441003222204e-5</v>
      </c>
    </row>
    <row r="240" ht="13.9" spans="1:15">
      <c r="A240" s="42" t="s">
        <v>170</v>
      </c>
      <c r="B240" s="11">
        <v>18305856</v>
      </c>
      <c r="C240" s="11">
        <v>2516849</v>
      </c>
      <c r="D240" s="11">
        <v>30</v>
      </c>
      <c r="E240">
        <f t="shared" si="79"/>
        <v>30</v>
      </c>
      <c r="F240">
        <f t="shared" si="68"/>
        <v>9152928</v>
      </c>
      <c r="G240">
        <f t="shared" si="71"/>
        <v>915.2928</v>
      </c>
      <c r="H240">
        <f t="shared" si="69"/>
        <v>3000</v>
      </c>
      <c r="I240">
        <f t="shared" si="81"/>
        <v>1440</v>
      </c>
      <c r="J240">
        <f t="shared" si="76"/>
        <v>5.462732799821e-5</v>
      </c>
      <c r="K240">
        <f t="shared" si="70"/>
        <v>40846376</v>
      </c>
      <c r="L240">
        <f t="shared" si="78"/>
        <v>7.34459282262887e-5</v>
      </c>
      <c r="M240">
        <f t="shared" si="72"/>
        <v>20822705</v>
      </c>
      <c r="N240">
        <f t="shared" si="77"/>
        <v>67170398</v>
      </c>
      <c r="O240">
        <f t="shared" si="80"/>
        <v>6.30207642074326e-5</v>
      </c>
    </row>
    <row r="241" ht="13.9" spans="1:15">
      <c r="A241" s="42" t="s">
        <v>171</v>
      </c>
      <c r="B241" s="11">
        <v>13911550</v>
      </c>
      <c r="C241" s="11">
        <v>1956236</v>
      </c>
      <c r="D241" s="11">
        <v>20</v>
      </c>
      <c r="E241">
        <f t="shared" si="79"/>
        <v>20</v>
      </c>
      <c r="F241">
        <f t="shared" si="68"/>
        <v>6955775</v>
      </c>
      <c r="G241">
        <f t="shared" si="71"/>
        <v>695.5775</v>
      </c>
      <c r="H241">
        <f t="shared" si="69"/>
        <v>2000</v>
      </c>
      <c r="I241">
        <f t="shared" si="81"/>
        <v>960</v>
      </c>
      <c r="J241">
        <f t="shared" si="76"/>
        <v>0</v>
      </c>
      <c r="K241">
        <f t="shared" si="70"/>
        <v>26934826</v>
      </c>
      <c r="L241">
        <f t="shared" si="78"/>
        <v>0</v>
      </c>
      <c r="M241">
        <f t="shared" si="72"/>
        <v>15867786</v>
      </c>
      <c r="N241">
        <f t="shared" si="77"/>
        <v>46347693</v>
      </c>
      <c r="O241">
        <f t="shared" si="80"/>
        <v>6.56169981096071e-5</v>
      </c>
    </row>
    <row r="242" ht="13.9" spans="1:15">
      <c r="A242" s="42" t="s">
        <v>172</v>
      </c>
      <c r="B242" s="11">
        <v>26934826</v>
      </c>
      <c r="C242" s="11">
        <v>3545081</v>
      </c>
      <c r="D242" s="27">
        <v>92.9</v>
      </c>
      <c r="E242">
        <f t="shared" si="79"/>
        <v>92.9</v>
      </c>
      <c r="F242">
        <f t="shared" si="68"/>
        <v>13467413</v>
      </c>
      <c r="G242">
        <f t="shared" si="71"/>
        <v>1346.7413</v>
      </c>
      <c r="H242">
        <f t="shared" si="69"/>
        <v>9290</v>
      </c>
      <c r="I242">
        <f t="shared" si="81"/>
        <v>4459.2</v>
      </c>
      <c r="J242">
        <f t="shared" si="76"/>
        <v>6.27440474276685e-5</v>
      </c>
      <c r="K242">
        <f t="shared" si="70"/>
        <v>664031046</v>
      </c>
      <c r="L242">
        <f t="shared" si="78"/>
        <v>1.39903097241631e-5</v>
      </c>
      <c r="M242">
        <f t="shared" si="72"/>
        <v>30479907</v>
      </c>
      <c r="N242">
        <f t="shared" si="77"/>
        <v>757885268</v>
      </c>
      <c r="O242">
        <f t="shared" si="80"/>
        <v>7.67915142196074e-5</v>
      </c>
    </row>
    <row r="243" ht="13.9" spans="1:15">
      <c r="A243" s="42" t="s">
        <v>173</v>
      </c>
      <c r="B243" s="11">
        <v>19322054</v>
      </c>
      <c r="C243" s="11">
        <v>2685586</v>
      </c>
      <c r="D243" s="11">
        <v>76</v>
      </c>
      <c r="E243">
        <f t="shared" si="79"/>
        <v>76</v>
      </c>
      <c r="F243">
        <f t="shared" si="68"/>
        <v>9661027</v>
      </c>
      <c r="G243">
        <f t="shared" si="71"/>
        <v>966.1027</v>
      </c>
      <c r="H243">
        <f t="shared" si="69"/>
        <v>7600</v>
      </c>
      <c r="I243">
        <f t="shared" si="81"/>
        <v>3648</v>
      </c>
      <c r="J243">
        <f t="shared" ref="J243:J274" si="82">IF(H243&gt;H244,(H243-H244)/B243,0)</f>
        <v>8.79823646078207e-5</v>
      </c>
      <c r="K243">
        <f t="shared" si="70"/>
        <v>644708992</v>
      </c>
      <c r="L243">
        <f t="shared" si="78"/>
        <v>1.17882643088682e-5</v>
      </c>
      <c r="M243">
        <f t="shared" si="72"/>
        <v>22007640</v>
      </c>
      <c r="N243">
        <f t="shared" si="77"/>
        <v>727405361</v>
      </c>
      <c r="O243">
        <f t="shared" si="80"/>
        <v>8.76441856409025e-5</v>
      </c>
    </row>
    <row r="244" ht="13.9" spans="1:15">
      <c r="A244" s="42" t="s">
        <v>174</v>
      </c>
      <c r="B244" s="11">
        <v>17015176</v>
      </c>
      <c r="C244" s="11">
        <v>2381433</v>
      </c>
      <c r="D244" s="11">
        <v>59</v>
      </c>
      <c r="E244">
        <f t="shared" si="79"/>
        <v>59</v>
      </c>
      <c r="F244">
        <f t="shared" si="68"/>
        <v>8507588</v>
      </c>
      <c r="G244">
        <f t="shared" si="71"/>
        <v>850.7588</v>
      </c>
      <c r="H244">
        <f t="shared" si="69"/>
        <v>5900</v>
      </c>
      <c r="I244">
        <f t="shared" si="81"/>
        <v>2832</v>
      </c>
      <c r="J244">
        <f t="shared" si="82"/>
        <v>7.05252769645169e-5</v>
      </c>
      <c r="K244">
        <f t="shared" si="70"/>
        <v>627693816</v>
      </c>
      <c r="L244">
        <f t="shared" si="78"/>
        <v>9.3994872175067e-6</v>
      </c>
      <c r="M244">
        <f t="shared" si="72"/>
        <v>19396609</v>
      </c>
      <c r="N244">
        <f t="shared" si="77"/>
        <v>705397721</v>
      </c>
      <c r="O244">
        <f t="shared" si="80"/>
        <v>3.56203127564384e-5</v>
      </c>
    </row>
    <row r="245" ht="13.9" spans="1:15">
      <c r="A245" s="42" t="s">
        <v>175</v>
      </c>
      <c r="B245" s="11">
        <v>29737456</v>
      </c>
      <c r="C245" s="11">
        <v>3951187</v>
      </c>
      <c r="D245" s="11">
        <v>47</v>
      </c>
      <c r="E245">
        <f t="shared" si="79"/>
        <v>47</v>
      </c>
      <c r="F245">
        <f t="shared" si="68"/>
        <v>14868728</v>
      </c>
      <c r="G245">
        <f t="shared" si="71"/>
        <v>1486.8728</v>
      </c>
      <c r="H245">
        <f t="shared" si="69"/>
        <v>4700</v>
      </c>
      <c r="I245">
        <f t="shared" si="81"/>
        <v>2256</v>
      </c>
      <c r="J245">
        <f t="shared" si="82"/>
        <v>9.07945857910643e-5</v>
      </c>
      <c r="K245">
        <f t="shared" si="70"/>
        <v>597956360</v>
      </c>
      <c r="L245">
        <f t="shared" si="78"/>
        <v>7.86010537625187e-6</v>
      </c>
      <c r="M245">
        <f t="shared" si="72"/>
        <v>33688643</v>
      </c>
      <c r="N245">
        <f t="shared" si="77"/>
        <v>686001112</v>
      </c>
      <c r="O245">
        <f t="shared" si="80"/>
        <v>5.21980219733567e-5</v>
      </c>
    </row>
    <row r="246" ht="13.9" spans="1:15">
      <c r="A246" s="42" t="s">
        <v>176</v>
      </c>
      <c r="B246" s="11">
        <v>46109504</v>
      </c>
      <c r="C246" s="11">
        <v>5616594</v>
      </c>
      <c r="D246" s="11">
        <v>20</v>
      </c>
      <c r="E246">
        <f t="shared" si="79"/>
        <v>20</v>
      </c>
      <c r="F246">
        <f t="shared" si="68"/>
        <v>23054752</v>
      </c>
      <c r="G246">
        <f t="shared" si="71"/>
        <v>2305.4752</v>
      </c>
      <c r="H246">
        <f t="shared" si="69"/>
        <v>2000</v>
      </c>
      <c r="I246">
        <f t="shared" si="81"/>
        <v>960</v>
      </c>
      <c r="J246">
        <f t="shared" si="82"/>
        <v>0</v>
      </c>
      <c r="K246">
        <f t="shared" si="70"/>
        <v>551846856</v>
      </c>
      <c r="L246">
        <f t="shared" ref="L246:L277" si="83">IF(E246&gt;E247,H246/K246,0)</f>
        <v>0</v>
      </c>
      <c r="M246">
        <f t="shared" si="72"/>
        <v>51726098</v>
      </c>
      <c r="N246">
        <f t="shared" si="77"/>
        <v>652312469</v>
      </c>
      <c r="O246">
        <f t="shared" si="80"/>
        <v>3.3300788971783e-6</v>
      </c>
    </row>
    <row r="247" ht="13.9" spans="1:15">
      <c r="A247" s="42" t="s">
        <v>177</v>
      </c>
      <c r="B247" s="11">
        <v>551846856</v>
      </c>
      <c r="C247" s="11">
        <v>48739515</v>
      </c>
      <c r="D247" s="11" t="s">
        <v>178</v>
      </c>
      <c r="E247">
        <f t="shared" si="79"/>
        <v>2040</v>
      </c>
      <c r="F247">
        <f t="shared" si="68"/>
        <v>275923428</v>
      </c>
      <c r="G247">
        <f t="shared" si="71"/>
        <v>27592.3428</v>
      </c>
      <c r="H247">
        <f t="shared" si="69"/>
        <v>204000</v>
      </c>
      <c r="I247">
        <f t="shared" si="81"/>
        <v>97920</v>
      </c>
      <c r="J247">
        <f t="shared" si="82"/>
        <v>7.97322654312631e-5</v>
      </c>
      <c r="K247">
        <f t="shared" si="70"/>
        <v>2435359746</v>
      </c>
      <c r="L247">
        <f t="shared" si="83"/>
        <v>8.37658585492609e-5</v>
      </c>
      <c r="M247">
        <f t="shared" si="72"/>
        <v>600586371</v>
      </c>
      <c r="N247">
        <f t="shared" si="77"/>
        <v>3282287148</v>
      </c>
      <c r="O247">
        <f t="shared" si="80"/>
        <v>7.23506061438411e-5</v>
      </c>
    </row>
    <row r="248" ht="13.9" spans="1:15">
      <c r="A248" s="42" t="s">
        <v>179</v>
      </c>
      <c r="B248" s="11">
        <v>558539942</v>
      </c>
      <c r="C248" s="11">
        <v>49609766</v>
      </c>
      <c r="D248" s="11" t="s">
        <v>180</v>
      </c>
      <c r="E248">
        <f t="shared" si="79"/>
        <v>1600</v>
      </c>
      <c r="F248">
        <f t="shared" si="68"/>
        <v>279269971</v>
      </c>
      <c r="G248">
        <f t="shared" si="71"/>
        <v>27926.9971</v>
      </c>
      <c r="H248">
        <f t="shared" si="69"/>
        <v>160000</v>
      </c>
      <c r="I248">
        <f t="shared" si="81"/>
        <v>76800</v>
      </c>
      <c r="J248">
        <f t="shared" si="82"/>
        <v>7.16152901380149e-5</v>
      </c>
      <c r="K248">
        <f t="shared" si="70"/>
        <v>1876819804</v>
      </c>
      <c r="L248">
        <f t="shared" si="83"/>
        <v>8.52505923365672e-5</v>
      </c>
      <c r="M248">
        <f t="shared" si="72"/>
        <v>608149708</v>
      </c>
      <c r="N248">
        <f t="shared" si="77"/>
        <v>2681700777</v>
      </c>
      <c r="O248">
        <f t="shared" si="80"/>
        <v>0.000100120258697833</v>
      </c>
    </row>
    <row r="249" ht="13.9" spans="1:15">
      <c r="A249" s="42" t="s">
        <v>181</v>
      </c>
      <c r="B249" s="11">
        <v>366180580</v>
      </c>
      <c r="C249" s="11">
        <v>33338963</v>
      </c>
      <c r="D249" s="11" t="s">
        <v>182</v>
      </c>
      <c r="E249">
        <f t="shared" si="79"/>
        <v>1200</v>
      </c>
      <c r="F249">
        <f t="shared" si="68"/>
        <v>183090290</v>
      </c>
      <c r="G249">
        <f t="shared" si="71"/>
        <v>18309.029</v>
      </c>
      <c r="H249">
        <f t="shared" si="69"/>
        <v>120000</v>
      </c>
      <c r="I249">
        <f t="shared" si="81"/>
        <v>57600</v>
      </c>
      <c r="J249">
        <f t="shared" si="82"/>
        <v>5.46178609471862e-5</v>
      </c>
      <c r="K249">
        <f t="shared" si="70"/>
        <v>1510639224</v>
      </c>
      <c r="L249">
        <f t="shared" si="83"/>
        <v>7.94365710180977e-5</v>
      </c>
      <c r="M249">
        <f t="shared" si="72"/>
        <v>399519543</v>
      </c>
      <c r="N249">
        <f t="shared" si="77"/>
        <v>2073551069</v>
      </c>
      <c r="O249">
        <f t="shared" si="80"/>
        <v>6.97036313469456e-5</v>
      </c>
    </row>
    <row r="250" ht="13.9" spans="1:15">
      <c r="A250" s="42" t="s">
        <v>183</v>
      </c>
      <c r="B250" s="11">
        <v>263321992</v>
      </c>
      <c r="C250" s="11">
        <v>23607105</v>
      </c>
      <c r="D250" s="11" t="s">
        <v>105</v>
      </c>
      <c r="E250">
        <f t="shared" si="79"/>
        <v>1000</v>
      </c>
      <c r="F250">
        <f t="shared" si="68"/>
        <v>131660996</v>
      </c>
      <c r="G250">
        <f t="shared" si="71"/>
        <v>13166.0996</v>
      </c>
      <c r="H250">
        <f t="shared" si="69"/>
        <v>100000</v>
      </c>
      <c r="I250">
        <f t="shared" si="81"/>
        <v>48000</v>
      </c>
      <c r="J250">
        <f t="shared" si="82"/>
        <v>6.64585584632825e-5</v>
      </c>
      <c r="K250">
        <f t="shared" si="70"/>
        <v>1247317232</v>
      </c>
      <c r="L250">
        <f t="shared" si="83"/>
        <v>8.01720664434787e-5</v>
      </c>
      <c r="M250">
        <f t="shared" si="72"/>
        <v>286929097</v>
      </c>
      <c r="N250">
        <f t="shared" si="77"/>
        <v>1674031526</v>
      </c>
      <c r="O250">
        <f t="shared" si="80"/>
        <v>8.13781076549684e-5</v>
      </c>
    </row>
    <row r="251" ht="13.9" spans="1:15">
      <c r="A251" s="42" t="s">
        <v>184</v>
      </c>
      <c r="B251" s="11">
        <v>197077702</v>
      </c>
      <c r="C251" s="11">
        <v>17967849</v>
      </c>
      <c r="D251" s="11">
        <v>825</v>
      </c>
      <c r="E251">
        <f t="shared" si="79"/>
        <v>825</v>
      </c>
      <c r="F251">
        <f t="shared" si="68"/>
        <v>98538851</v>
      </c>
      <c r="G251">
        <f t="shared" si="71"/>
        <v>9853.8851</v>
      </c>
      <c r="H251">
        <f t="shared" si="69"/>
        <v>82500</v>
      </c>
      <c r="I251">
        <f t="shared" si="81"/>
        <v>39600</v>
      </c>
      <c r="J251">
        <f t="shared" si="82"/>
        <v>6.34267594616056e-5</v>
      </c>
      <c r="K251">
        <f t="shared" si="70"/>
        <v>1050239530</v>
      </c>
      <c r="L251">
        <f t="shared" si="83"/>
        <v>7.85535086457848e-5</v>
      </c>
      <c r="M251">
        <f t="shared" si="72"/>
        <v>215045551</v>
      </c>
      <c r="N251">
        <f t="shared" si="77"/>
        <v>1387102429</v>
      </c>
      <c r="O251">
        <f t="shared" si="80"/>
        <v>0.000102471460796419</v>
      </c>
    </row>
    <row r="252" ht="13.9" spans="1:15">
      <c r="A252" s="42" t="s">
        <v>185</v>
      </c>
      <c r="B252" s="11">
        <v>111388660</v>
      </c>
      <c r="C252" s="11">
        <v>10596524</v>
      </c>
      <c r="D252" s="11">
        <v>700</v>
      </c>
      <c r="E252">
        <f t="shared" si="79"/>
        <v>700</v>
      </c>
      <c r="F252">
        <f t="shared" si="68"/>
        <v>55694330</v>
      </c>
      <c r="G252">
        <f t="shared" si="71"/>
        <v>5569.433</v>
      </c>
      <c r="H252">
        <f t="shared" si="69"/>
        <v>70000</v>
      </c>
      <c r="I252">
        <f t="shared" si="81"/>
        <v>33600</v>
      </c>
      <c r="J252">
        <f t="shared" si="82"/>
        <v>6.73318091805755e-5</v>
      </c>
      <c r="K252">
        <f t="shared" si="70"/>
        <v>938850870</v>
      </c>
      <c r="L252">
        <f t="shared" si="83"/>
        <v>7.4559232181358e-5</v>
      </c>
      <c r="M252">
        <f t="shared" si="72"/>
        <v>121985184</v>
      </c>
      <c r="N252">
        <f t="shared" si="77"/>
        <v>1172056878</v>
      </c>
      <c r="O252">
        <f t="shared" si="80"/>
        <v>0.000102197707187626</v>
      </c>
    </row>
    <row r="253" ht="13.9" spans="1:15">
      <c r="A253" s="42" t="s">
        <v>186</v>
      </c>
      <c r="B253" s="11">
        <v>66776572</v>
      </c>
      <c r="C253" s="11">
        <v>6610593</v>
      </c>
      <c r="D253" s="11">
        <v>625</v>
      </c>
      <c r="E253">
        <f t="shared" ref="E253:E284" si="84">IF(RIGHT(D253,1)="B",VALUE(LEFT(D253,LEN(D253)-1))*1000,D253)</f>
        <v>625</v>
      </c>
      <c r="F253">
        <f t="shared" si="68"/>
        <v>33388286</v>
      </c>
      <c r="G253">
        <f t="shared" si="71"/>
        <v>3338.8286</v>
      </c>
      <c r="H253">
        <f t="shared" si="69"/>
        <v>62500</v>
      </c>
      <c r="I253">
        <f t="shared" si="81"/>
        <v>30000</v>
      </c>
      <c r="J253">
        <f t="shared" si="82"/>
        <v>6.73889040006426e-5</v>
      </c>
      <c r="K253">
        <f t="shared" si="70"/>
        <v>872074298</v>
      </c>
      <c r="L253">
        <f t="shared" si="83"/>
        <v>7.1668205499619e-5</v>
      </c>
      <c r="M253">
        <f t="shared" si="72"/>
        <v>73387165</v>
      </c>
      <c r="N253">
        <f t="shared" si="77"/>
        <v>1050071694</v>
      </c>
      <c r="O253">
        <f t="shared" si="80"/>
        <v>5.79633995394718e-5</v>
      </c>
    </row>
    <row r="254" ht="13.9" spans="1:15">
      <c r="A254" s="42" t="s">
        <v>187</v>
      </c>
      <c r="B254" s="11">
        <v>70462566</v>
      </c>
      <c r="C254" s="11">
        <v>7172632</v>
      </c>
      <c r="D254" s="11">
        <v>580</v>
      </c>
      <c r="E254">
        <f t="shared" si="84"/>
        <v>580</v>
      </c>
      <c r="F254">
        <f t="shared" si="68"/>
        <v>35231283</v>
      </c>
      <c r="G254">
        <f t="shared" si="71"/>
        <v>3523.1283</v>
      </c>
      <c r="H254">
        <f t="shared" si="69"/>
        <v>58000</v>
      </c>
      <c r="I254">
        <f t="shared" si="81"/>
        <v>27840</v>
      </c>
      <c r="J254">
        <f t="shared" si="82"/>
        <v>0.00010218191599778</v>
      </c>
      <c r="K254">
        <f t="shared" si="70"/>
        <v>801611732</v>
      </c>
      <c r="L254">
        <f t="shared" si="83"/>
        <v>7.23542304642817e-5</v>
      </c>
      <c r="M254">
        <f t="shared" si="72"/>
        <v>77635198</v>
      </c>
      <c r="N254">
        <f t="shared" si="77"/>
        <v>976684529</v>
      </c>
      <c r="O254">
        <f t="shared" ref="O254:O317" si="85">IF(H254&gt;H255,(H254-H255)/M255,H254/M255)</f>
        <v>0.000141280710820931</v>
      </c>
    </row>
    <row r="255" ht="13.9" spans="1:15">
      <c r="A255" s="42" t="s">
        <v>188</v>
      </c>
      <c r="B255" s="11">
        <v>46034534</v>
      </c>
      <c r="C255" s="11">
        <v>4927837</v>
      </c>
      <c r="D255" s="11">
        <v>508</v>
      </c>
      <c r="E255">
        <f t="shared" si="84"/>
        <v>508</v>
      </c>
      <c r="F255">
        <f t="shared" si="68"/>
        <v>23017267</v>
      </c>
      <c r="G255">
        <f t="shared" si="71"/>
        <v>2301.7267</v>
      </c>
      <c r="H255">
        <f t="shared" si="69"/>
        <v>50800</v>
      </c>
      <c r="I255">
        <f t="shared" si="81"/>
        <v>24384</v>
      </c>
      <c r="J255">
        <f t="shared" si="82"/>
        <v>6.08239023338435e-5</v>
      </c>
      <c r="K255">
        <f t="shared" si="70"/>
        <v>755577198</v>
      </c>
      <c r="L255">
        <f t="shared" si="83"/>
        <v>6.72333682573624e-5</v>
      </c>
      <c r="M255">
        <f t="shared" si="72"/>
        <v>50962371</v>
      </c>
      <c r="N255">
        <f t="shared" si="77"/>
        <v>899049331</v>
      </c>
      <c r="O255">
        <f t="shared" si="85"/>
        <v>8.2644737869339e-5</v>
      </c>
    </row>
    <row r="256" ht="13.9" spans="1:15">
      <c r="A256" s="42" t="s">
        <v>189</v>
      </c>
      <c r="B256" s="11">
        <v>30460864</v>
      </c>
      <c r="C256" s="11">
        <v>3419091</v>
      </c>
      <c r="D256" s="11">
        <v>480</v>
      </c>
      <c r="E256">
        <f t="shared" si="84"/>
        <v>480</v>
      </c>
      <c r="F256">
        <f t="shared" si="68"/>
        <v>15230432</v>
      </c>
      <c r="G256">
        <f t="shared" si="71"/>
        <v>1523.0432</v>
      </c>
      <c r="H256">
        <f t="shared" si="69"/>
        <v>48000</v>
      </c>
      <c r="I256">
        <f t="shared" si="81"/>
        <v>23040</v>
      </c>
      <c r="J256">
        <f t="shared" si="82"/>
        <v>8.53554252433549e-5</v>
      </c>
      <c r="K256">
        <f t="shared" si="70"/>
        <v>725116334</v>
      </c>
      <c r="L256">
        <f t="shared" si="83"/>
        <v>6.61962746518409e-5</v>
      </c>
      <c r="M256">
        <f t="shared" si="72"/>
        <v>33879955</v>
      </c>
      <c r="N256">
        <f t="shared" si="77"/>
        <v>848086960</v>
      </c>
      <c r="O256">
        <f t="shared" si="85"/>
        <v>4.71204408617444e-5</v>
      </c>
    </row>
    <row r="257" ht="13.9" spans="1:15">
      <c r="A257" s="42" t="s">
        <v>190</v>
      </c>
      <c r="B257" s="11">
        <v>49827386</v>
      </c>
      <c r="C257" s="11">
        <v>5350366</v>
      </c>
      <c r="D257" s="11">
        <v>454</v>
      </c>
      <c r="E257">
        <f t="shared" si="84"/>
        <v>454</v>
      </c>
      <c r="F257">
        <f t="shared" si="68"/>
        <v>24913693</v>
      </c>
      <c r="G257">
        <f t="shared" si="71"/>
        <v>2491.3693</v>
      </c>
      <c r="H257">
        <f t="shared" si="69"/>
        <v>45400</v>
      </c>
      <c r="I257">
        <f t="shared" si="81"/>
        <v>21792</v>
      </c>
      <c r="J257">
        <f t="shared" si="82"/>
        <v>6.82355682876882e-5</v>
      </c>
      <c r="K257">
        <f t="shared" si="70"/>
        <v>675288948</v>
      </c>
      <c r="L257">
        <f t="shared" si="83"/>
        <v>6.72304798330566e-5</v>
      </c>
      <c r="M257">
        <f t="shared" si="72"/>
        <v>55177752</v>
      </c>
      <c r="N257">
        <f t="shared" si="77"/>
        <v>814207005</v>
      </c>
      <c r="O257">
        <f t="shared" si="85"/>
        <v>9.35493667024291e-5</v>
      </c>
    </row>
    <row r="258" ht="13.9" spans="1:15">
      <c r="A258" s="42" t="s">
        <v>191</v>
      </c>
      <c r="B258" s="11">
        <v>32674188</v>
      </c>
      <c r="C258" s="11">
        <v>3670259</v>
      </c>
      <c r="D258" s="11">
        <v>420</v>
      </c>
      <c r="E258">
        <f t="shared" si="84"/>
        <v>420</v>
      </c>
      <c r="F258">
        <f t="shared" ref="F258:F294" si="86">B258/2</f>
        <v>16337094</v>
      </c>
      <c r="G258">
        <f t="shared" si="71"/>
        <v>1633.7094</v>
      </c>
      <c r="H258">
        <f t="shared" si="69"/>
        <v>42000</v>
      </c>
      <c r="I258">
        <f t="shared" si="81"/>
        <v>20160</v>
      </c>
      <c r="J258">
        <f t="shared" si="82"/>
        <v>5.81498765937198e-5</v>
      </c>
      <c r="K258">
        <f t="shared" si="70"/>
        <v>642614760</v>
      </c>
      <c r="L258">
        <f t="shared" si="83"/>
        <v>6.53579759045684e-5</v>
      </c>
      <c r="M258">
        <f t="shared" si="72"/>
        <v>36344447</v>
      </c>
      <c r="N258">
        <f t="shared" si="77"/>
        <v>759029253</v>
      </c>
      <c r="O258">
        <f t="shared" si="85"/>
        <v>7.22537032875055e-5</v>
      </c>
    </row>
    <row r="259" ht="13.9" spans="1:15">
      <c r="A259" s="42" t="s">
        <v>192</v>
      </c>
      <c r="B259" s="11">
        <v>23585636</v>
      </c>
      <c r="C259" s="11">
        <v>2710594</v>
      </c>
      <c r="D259" s="11">
        <v>401</v>
      </c>
      <c r="E259">
        <f t="shared" si="84"/>
        <v>401</v>
      </c>
      <c r="F259">
        <f t="shared" si="86"/>
        <v>11792818</v>
      </c>
      <c r="G259">
        <f t="shared" si="71"/>
        <v>1179.2818</v>
      </c>
      <c r="H259">
        <f t="shared" ref="H259:H322" si="87">E259*100</f>
        <v>40100</v>
      </c>
      <c r="I259">
        <f t="shared" si="81"/>
        <v>19248</v>
      </c>
      <c r="J259">
        <f t="shared" si="82"/>
        <v>9.75169802501828e-5</v>
      </c>
      <c r="K259">
        <f t="shared" ref="K259:K322" si="88">IF(E259&gt;E260,B260+K260,B260)</f>
        <v>619029124</v>
      </c>
      <c r="L259">
        <f t="shared" si="83"/>
        <v>6.4778858449962e-5</v>
      </c>
      <c r="M259">
        <f t="shared" si="72"/>
        <v>26296230</v>
      </c>
      <c r="N259">
        <f t="shared" si="77"/>
        <v>722684806</v>
      </c>
      <c r="O259">
        <f t="shared" si="85"/>
        <v>5.40845333260782e-5</v>
      </c>
    </row>
    <row r="260" ht="13.9" spans="1:15">
      <c r="A260" s="42" t="s">
        <v>193</v>
      </c>
      <c r="B260" s="11">
        <v>38243704</v>
      </c>
      <c r="C260" s="11">
        <v>4282317</v>
      </c>
      <c r="D260" s="11">
        <v>378</v>
      </c>
      <c r="E260">
        <f t="shared" si="84"/>
        <v>378</v>
      </c>
      <c r="F260">
        <f t="shared" si="86"/>
        <v>19121852</v>
      </c>
      <c r="G260">
        <f t="shared" ref="G260:G323" si="89">F260/10000</f>
        <v>1912.1852</v>
      </c>
      <c r="H260">
        <f t="shared" si="87"/>
        <v>37800</v>
      </c>
      <c r="I260">
        <f t="shared" si="81"/>
        <v>18144</v>
      </c>
      <c r="J260">
        <f t="shared" si="82"/>
        <v>6.53702371506693e-5</v>
      </c>
      <c r="K260">
        <f t="shared" si="88"/>
        <v>580785420</v>
      </c>
      <c r="L260">
        <f t="shared" si="83"/>
        <v>6.50842784586431e-5</v>
      </c>
      <c r="M260">
        <f t="shared" si="72"/>
        <v>42526021</v>
      </c>
      <c r="N260">
        <f t="shared" si="77"/>
        <v>696388576</v>
      </c>
      <c r="O260">
        <f t="shared" si="85"/>
        <v>8.61498861219115e-5</v>
      </c>
    </row>
    <row r="261" ht="13.9" spans="1:15">
      <c r="A261" s="42" t="s">
        <v>194</v>
      </c>
      <c r="B261" s="11">
        <v>25942898</v>
      </c>
      <c r="C261" s="11">
        <v>3076293</v>
      </c>
      <c r="D261" s="11">
        <v>353</v>
      </c>
      <c r="E261">
        <f t="shared" si="84"/>
        <v>353</v>
      </c>
      <c r="F261">
        <f t="shared" si="86"/>
        <v>12971449</v>
      </c>
      <c r="G261">
        <f t="shared" si="89"/>
        <v>1297.1449</v>
      </c>
      <c r="H261">
        <f t="shared" si="87"/>
        <v>35300</v>
      </c>
      <c r="I261">
        <f t="shared" si="81"/>
        <v>16944</v>
      </c>
      <c r="J261">
        <f t="shared" si="82"/>
        <v>6.55285311610137e-5</v>
      </c>
      <c r="K261">
        <f t="shared" si="88"/>
        <v>554842522</v>
      </c>
      <c r="L261">
        <f t="shared" si="83"/>
        <v>6.36216558758991e-5</v>
      </c>
      <c r="M261">
        <f t="shared" si="72"/>
        <v>29019191</v>
      </c>
      <c r="N261">
        <f t="shared" si="77"/>
        <v>653862555</v>
      </c>
      <c r="O261">
        <f t="shared" si="85"/>
        <v>7.56781204760065e-5</v>
      </c>
    </row>
    <row r="262" ht="13.9" spans="1:15">
      <c r="A262" s="42" t="s">
        <v>195</v>
      </c>
      <c r="B262" s="11">
        <v>20032578</v>
      </c>
      <c r="C262" s="11">
        <v>2430982</v>
      </c>
      <c r="D262" s="11">
        <v>336</v>
      </c>
      <c r="E262">
        <f t="shared" si="84"/>
        <v>336</v>
      </c>
      <c r="F262">
        <f t="shared" si="86"/>
        <v>10016289</v>
      </c>
      <c r="G262">
        <f t="shared" si="89"/>
        <v>1001.6289</v>
      </c>
      <c r="H262">
        <f t="shared" si="87"/>
        <v>33600</v>
      </c>
      <c r="I262">
        <f t="shared" si="81"/>
        <v>16128</v>
      </c>
      <c r="J262">
        <f t="shared" si="82"/>
        <v>6.98861624300177e-5</v>
      </c>
      <c r="K262">
        <f t="shared" si="88"/>
        <v>534809944</v>
      </c>
      <c r="L262">
        <f t="shared" si="83"/>
        <v>6.28260569515514e-5</v>
      </c>
      <c r="M262">
        <f t="shared" si="72"/>
        <v>22463560</v>
      </c>
      <c r="N262">
        <f t="shared" si="77"/>
        <v>624843364</v>
      </c>
      <c r="O262">
        <f t="shared" si="85"/>
        <v>3.6174611334808e-5</v>
      </c>
    </row>
    <row r="263" ht="13.9" spans="1:15">
      <c r="A263" s="42" t="s">
        <v>196</v>
      </c>
      <c r="B263" s="11">
        <v>34701906</v>
      </c>
      <c r="C263" s="11">
        <v>3999270</v>
      </c>
      <c r="D263" s="11">
        <v>322</v>
      </c>
      <c r="E263">
        <f t="shared" si="84"/>
        <v>322</v>
      </c>
      <c r="F263">
        <f t="shared" si="86"/>
        <v>17350953</v>
      </c>
      <c r="G263">
        <f t="shared" si="89"/>
        <v>1735.0953</v>
      </c>
      <c r="H263">
        <f t="shared" si="87"/>
        <v>32200</v>
      </c>
      <c r="I263">
        <f t="shared" si="81"/>
        <v>15456</v>
      </c>
      <c r="J263">
        <f t="shared" si="82"/>
        <v>6.33970940962148e-5</v>
      </c>
      <c r="K263">
        <f t="shared" si="88"/>
        <v>500108038</v>
      </c>
      <c r="L263">
        <f t="shared" si="83"/>
        <v>6.43860877117116e-5</v>
      </c>
      <c r="M263">
        <f t="shared" si="72"/>
        <v>38701176</v>
      </c>
      <c r="N263">
        <f t="shared" si="77"/>
        <v>602379804</v>
      </c>
      <c r="O263">
        <f t="shared" si="85"/>
        <v>8.42321703563484e-5</v>
      </c>
    </row>
    <row r="264" ht="13.9" spans="1:15">
      <c r="A264" s="42" t="s">
        <v>197</v>
      </c>
      <c r="B264" s="11">
        <v>23334696</v>
      </c>
      <c r="C264" s="11">
        <v>2783591</v>
      </c>
      <c r="D264" s="11">
        <v>300</v>
      </c>
      <c r="E264">
        <f t="shared" si="84"/>
        <v>300</v>
      </c>
      <c r="F264">
        <f t="shared" si="86"/>
        <v>11667348</v>
      </c>
      <c r="G264">
        <f t="shared" si="89"/>
        <v>1166.7348</v>
      </c>
      <c r="H264">
        <f t="shared" si="87"/>
        <v>30000</v>
      </c>
      <c r="I264">
        <f t="shared" si="81"/>
        <v>14400</v>
      </c>
      <c r="J264">
        <f t="shared" si="82"/>
        <v>6.42819602192375e-5</v>
      </c>
      <c r="K264">
        <f t="shared" si="88"/>
        <v>476773342</v>
      </c>
      <c r="L264">
        <f t="shared" si="83"/>
        <v>6.29229811259036e-5</v>
      </c>
      <c r="M264">
        <f t="shared" ref="M264:M327" si="90">B264+C264</f>
        <v>26118287</v>
      </c>
      <c r="N264">
        <f t="shared" si="77"/>
        <v>563678628</v>
      </c>
      <c r="O264">
        <f t="shared" si="85"/>
        <v>7.52134482447738e-5</v>
      </c>
    </row>
    <row r="265" ht="13.9" spans="1:15">
      <c r="A265" s="42" t="s">
        <v>198</v>
      </c>
      <c r="B265" s="11">
        <v>17775150</v>
      </c>
      <c r="C265" s="11">
        <v>2168092</v>
      </c>
      <c r="D265" s="11">
        <v>285</v>
      </c>
      <c r="E265">
        <f t="shared" si="84"/>
        <v>285</v>
      </c>
      <c r="F265">
        <f t="shared" si="86"/>
        <v>8887575</v>
      </c>
      <c r="G265">
        <f t="shared" si="89"/>
        <v>888.7575</v>
      </c>
      <c r="H265">
        <f t="shared" si="87"/>
        <v>28500</v>
      </c>
      <c r="I265">
        <f t="shared" si="81"/>
        <v>13680</v>
      </c>
      <c r="J265">
        <f t="shared" si="82"/>
        <v>8.43874735234302e-5</v>
      </c>
      <c r="K265">
        <f t="shared" si="88"/>
        <v>458998192</v>
      </c>
      <c r="L265">
        <f t="shared" si="83"/>
        <v>6.20917478472333e-5</v>
      </c>
      <c r="M265">
        <f t="shared" si="90"/>
        <v>19943242</v>
      </c>
      <c r="N265">
        <f t="shared" si="77"/>
        <v>537560341</v>
      </c>
      <c r="O265">
        <f t="shared" si="85"/>
        <v>4.39946909553339e-5</v>
      </c>
    </row>
    <row r="266" ht="13.9" spans="1:15">
      <c r="A266" s="42" t="s">
        <v>199</v>
      </c>
      <c r="B266" s="11">
        <v>30561306</v>
      </c>
      <c r="C266" s="11">
        <v>3533717</v>
      </c>
      <c r="D266" s="11">
        <v>270</v>
      </c>
      <c r="E266">
        <f t="shared" si="84"/>
        <v>270</v>
      </c>
      <c r="F266">
        <f t="shared" si="86"/>
        <v>15280653</v>
      </c>
      <c r="G266">
        <f t="shared" si="89"/>
        <v>1528.0653</v>
      </c>
      <c r="H266">
        <f t="shared" si="87"/>
        <v>27000</v>
      </c>
      <c r="I266">
        <f t="shared" si="81"/>
        <v>12960</v>
      </c>
      <c r="J266">
        <f t="shared" si="82"/>
        <v>6.21701179916853e-5</v>
      </c>
      <c r="K266">
        <f t="shared" si="88"/>
        <v>428436886</v>
      </c>
      <c r="L266">
        <f t="shared" si="83"/>
        <v>6.30197839688341e-5</v>
      </c>
      <c r="M266">
        <f t="shared" si="90"/>
        <v>34095023</v>
      </c>
      <c r="N266">
        <f t="shared" si="77"/>
        <v>517617099</v>
      </c>
      <c r="O266">
        <f t="shared" si="85"/>
        <v>7.97387925028748e-5</v>
      </c>
    </row>
    <row r="267" ht="13.9" spans="1:15">
      <c r="A267" s="42" t="s">
        <v>200</v>
      </c>
      <c r="B267" s="11">
        <v>21247448</v>
      </c>
      <c r="C267" s="11">
        <v>2580352</v>
      </c>
      <c r="D267" s="11">
        <v>251</v>
      </c>
      <c r="E267">
        <f t="shared" si="84"/>
        <v>251</v>
      </c>
      <c r="F267">
        <f t="shared" si="86"/>
        <v>10623724</v>
      </c>
      <c r="G267">
        <f t="shared" si="89"/>
        <v>1062.3724</v>
      </c>
      <c r="H267">
        <f t="shared" si="87"/>
        <v>25100</v>
      </c>
      <c r="I267">
        <f t="shared" si="81"/>
        <v>12048</v>
      </c>
      <c r="J267">
        <f t="shared" si="82"/>
        <v>6.11838184049209e-5</v>
      </c>
      <c r="K267">
        <f t="shared" si="88"/>
        <v>407189438</v>
      </c>
      <c r="L267">
        <f t="shared" si="83"/>
        <v>6.1642070391816e-5</v>
      </c>
      <c r="M267">
        <f t="shared" si="90"/>
        <v>23827800</v>
      </c>
      <c r="N267">
        <f t="shared" si="77"/>
        <v>483522076</v>
      </c>
      <c r="O267">
        <f t="shared" si="85"/>
        <v>7.01815266781847e-5</v>
      </c>
    </row>
    <row r="268" ht="13.9" spans="1:15">
      <c r="A268" s="42" t="s">
        <v>201</v>
      </c>
      <c r="B268" s="11">
        <v>16524030</v>
      </c>
      <c r="C268" s="11">
        <v>1999363</v>
      </c>
      <c r="D268" s="11">
        <v>238</v>
      </c>
      <c r="E268">
        <f t="shared" si="84"/>
        <v>238</v>
      </c>
      <c r="F268">
        <f t="shared" si="86"/>
        <v>8262015</v>
      </c>
      <c r="G268">
        <f t="shared" si="89"/>
        <v>826.2015</v>
      </c>
      <c r="H268">
        <f t="shared" si="87"/>
        <v>23800</v>
      </c>
      <c r="I268">
        <f t="shared" si="81"/>
        <v>11424</v>
      </c>
      <c r="J268">
        <f t="shared" si="82"/>
        <v>7.8673301851909e-5</v>
      </c>
      <c r="K268">
        <f t="shared" si="88"/>
        <v>390665408</v>
      </c>
      <c r="L268">
        <f t="shared" si="83"/>
        <v>6.09216979866311e-5</v>
      </c>
      <c r="M268">
        <f t="shared" si="90"/>
        <v>18523393</v>
      </c>
      <c r="N268">
        <f t="shared" si="77"/>
        <v>459694276</v>
      </c>
      <c r="O268">
        <f t="shared" si="85"/>
        <v>3.97605862178492e-5</v>
      </c>
    </row>
    <row r="269" ht="13.9" spans="1:15">
      <c r="A269" s="42" t="s">
        <v>202</v>
      </c>
      <c r="B269" s="11">
        <v>29253624</v>
      </c>
      <c r="C269" s="11">
        <v>3442071</v>
      </c>
      <c r="D269" s="11">
        <v>225</v>
      </c>
      <c r="E269">
        <f t="shared" si="84"/>
        <v>225</v>
      </c>
      <c r="F269">
        <f t="shared" si="86"/>
        <v>14626812</v>
      </c>
      <c r="G269">
        <f t="shared" si="89"/>
        <v>1462.6812</v>
      </c>
      <c r="H269">
        <f t="shared" si="87"/>
        <v>22500</v>
      </c>
      <c r="I269">
        <f t="shared" si="81"/>
        <v>10800</v>
      </c>
      <c r="J269">
        <f t="shared" si="82"/>
        <v>6.49492179157017e-5</v>
      </c>
      <c r="K269">
        <f t="shared" si="88"/>
        <v>361411784</v>
      </c>
      <c r="L269">
        <f t="shared" si="83"/>
        <v>6.22558560514452e-5</v>
      </c>
      <c r="M269">
        <f t="shared" si="90"/>
        <v>32695695</v>
      </c>
      <c r="N269">
        <f t="shared" si="77"/>
        <v>441170883</v>
      </c>
      <c r="O269">
        <f t="shared" si="85"/>
        <v>8.39618912000602e-5</v>
      </c>
    </row>
    <row r="270" ht="13.9" spans="1:15">
      <c r="A270" s="42" t="s">
        <v>203</v>
      </c>
      <c r="B270" s="11">
        <v>20099106</v>
      </c>
      <c r="C270" s="11">
        <v>2530208</v>
      </c>
      <c r="D270" s="11">
        <v>206</v>
      </c>
      <c r="E270">
        <f t="shared" si="84"/>
        <v>206</v>
      </c>
      <c r="F270">
        <f t="shared" si="86"/>
        <v>10049553</v>
      </c>
      <c r="G270">
        <f t="shared" si="89"/>
        <v>1004.9553</v>
      </c>
      <c r="H270">
        <f t="shared" si="87"/>
        <v>20600</v>
      </c>
      <c r="I270">
        <f t="shared" si="81"/>
        <v>9888</v>
      </c>
      <c r="J270">
        <f t="shared" si="82"/>
        <v>6.46794937048444e-5</v>
      </c>
      <c r="K270">
        <f t="shared" si="88"/>
        <v>341312678</v>
      </c>
      <c r="L270">
        <f t="shared" si="83"/>
        <v>6.03552148156653e-5</v>
      </c>
      <c r="M270">
        <f t="shared" si="90"/>
        <v>22629314</v>
      </c>
      <c r="N270">
        <f t="shared" si="77"/>
        <v>408475188</v>
      </c>
      <c r="O270">
        <f t="shared" si="85"/>
        <v>7.45967058209474e-5</v>
      </c>
    </row>
    <row r="271" ht="13.9" spans="1:15">
      <c r="A271" s="42" t="s">
        <v>204</v>
      </c>
      <c r="B271" s="11">
        <v>15453836</v>
      </c>
      <c r="C271" s="11">
        <v>1973207</v>
      </c>
      <c r="D271" s="11">
        <v>193</v>
      </c>
      <c r="E271">
        <f t="shared" si="84"/>
        <v>193</v>
      </c>
      <c r="F271">
        <f t="shared" si="86"/>
        <v>7726918</v>
      </c>
      <c r="G271">
        <f t="shared" si="89"/>
        <v>772.6918</v>
      </c>
      <c r="H271">
        <f t="shared" si="87"/>
        <v>19300</v>
      </c>
      <c r="I271">
        <f t="shared" si="81"/>
        <v>9264</v>
      </c>
      <c r="J271">
        <f t="shared" si="82"/>
        <v>4.52961970089498e-5</v>
      </c>
      <c r="K271">
        <f t="shared" si="88"/>
        <v>325858842</v>
      </c>
      <c r="L271">
        <f t="shared" si="83"/>
        <v>5.92280997549239e-5</v>
      </c>
      <c r="M271">
        <f t="shared" si="90"/>
        <v>17427043</v>
      </c>
      <c r="N271">
        <f t="shared" si="77"/>
        <v>385845874</v>
      </c>
      <c r="O271">
        <f t="shared" si="85"/>
        <v>2.3286638964881e-5</v>
      </c>
    </row>
    <row r="272" ht="13.9" spans="1:15">
      <c r="A272" s="42" t="s">
        <v>205</v>
      </c>
      <c r="B272" s="11">
        <v>26779216</v>
      </c>
      <c r="C272" s="11">
        <v>3280940</v>
      </c>
      <c r="D272" s="11">
        <v>186</v>
      </c>
      <c r="E272">
        <f t="shared" si="84"/>
        <v>186</v>
      </c>
      <c r="F272">
        <f t="shared" si="86"/>
        <v>13389608</v>
      </c>
      <c r="G272">
        <f t="shared" si="89"/>
        <v>1338.9608</v>
      </c>
      <c r="H272">
        <f t="shared" si="87"/>
        <v>18600</v>
      </c>
      <c r="I272">
        <f t="shared" si="81"/>
        <v>8928</v>
      </c>
      <c r="J272">
        <f t="shared" si="82"/>
        <v>5.97478283158103e-5</v>
      </c>
      <c r="K272">
        <f t="shared" si="88"/>
        <v>299079626</v>
      </c>
      <c r="L272">
        <f t="shared" si="83"/>
        <v>6.21907959721736e-5</v>
      </c>
      <c r="M272">
        <f t="shared" si="90"/>
        <v>30060156</v>
      </c>
      <c r="N272">
        <f t="shared" si="77"/>
        <v>368418831</v>
      </c>
      <c r="O272">
        <f t="shared" si="85"/>
        <v>7.60735402913997e-5</v>
      </c>
    </row>
    <row r="273" ht="13.9" spans="1:15">
      <c r="A273" s="42" t="s">
        <v>206</v>
      </c>
      <c r="B273" s="11">
        <v>18623166</v>
      </c>
      <c r="C273" s="11">
        <v>2409114</v>
      </c>
      <c r="D273" s="11">
        <v>170</v>
      </c>
      <c r="E273">
        <f t="shared" si="84"/>
        <v>170</v>
      </c>
      <c r="F273">
        <f t="shared" si="86"/>
        <v>9311583</v>
      </c>
      <c r="G273">
        <f t="shared" si="89"/>
        <v>931.1583</v>
      </c>
      <c r="H273">
        <f t="shared" si="87"/>
        <v>17000</v>
      </c>
      <c r="I273">
        <f t="shared" si="81"/>
        <v>8160</v>
      </c>
      <c r="J273">
        <f t="shared" si="82"/>
        <v>5.90662189232486e-5</v>
      </c>
      <c r="K273">
        <f t="shared" si="88"/>
        <v>280456460</v>
      </c>
      <c r="L273">
        <f t="shared" si="83"/>
        <v>6.06154695099553e-5</v>
      </c>
      <c r="M273">
        <f t="shared" si="90"/>
        <v>21032280</v>
      </c>
      <c r="N273">
        <f t="shared" si="77"/>
        <v>338358675</v>
      </c>
      <c r="O273">
        <f t="shared" si="85"/>
        <v>7.06304337678197e-5</v>
      </c>
    </row>
    <row r="274" ht="13.9" spans="1:15">
      <c r="A274" s="42" t="s">
        <v>207</v>
      </c>
      <c r="B274" s="11">
        <v>13764518</v>
      </c>
      <c r="C274" s="11">
        <v>1809505</v>
      </c>
      <c r="D274" s="11">
        <v>159</v>
      </c>
      <c r="E274">
        <f t="shared" si="84"/>
        <v>159</v>
      </c>
      <c r="F274">
        <f t="shared" si="86"/>
        <v>6882259</v>
      </c>
      <c r="G274">
        <f t="shared" si="89"/>
        <v>688.2259</v>
      </c>
      <c r="H274">
        <f t="shared" si="87"/>
        <v>15900</v>
      </c>
      <c r="I274">
        <f t="shared" si="81"/>
        <v>7632</v>
      </c>
      <c r="J274">
        <f t="shared" si="82"/>
        <v>7.99156207286009e-5</v>
      </c>
      <c r="K274">
        <f t="shared" si="88"/>
        <v>266691942</v>
      </c>
      <c r="L274">
        <f t="shared" si="83"/>
        <v>5.96193491290412e-5</v>
      </c>
      <c r="M274">
        <f t="shared" si="90"/>
        <v>15574023</v>
      </c>
      <c r="N274">
        <f t="shared" si="77"/>
        <v>317326395</v>
      </c>
      <c r="O274">
        <f t="shared" si="85"/>
        <v>3.7070239240203e-5</v>
      </c>
    </row>
    <row r="275" ht="13.9" spans="1:15">
      <c r="A275" s="42" t="s">
        <v>208</v>
      </c>
      <c r="B275" s="11">
        <v>26367498</v>
      </c>
      <c r="C275" s="11">
        <v>3305901</v>
      </c>
      <c r="D275" s="11">
        <v>148</v>
      </c>
      <c r="E275">
        <f t="shared" si="84"/>
        <v>148</v>
      </c>
      <c r="F275">
        <f t="shared" si="86"/>
        <v>13183749</v>
      </c>
      <c r="G275">
        <f t="shared" si="89"/>
        <v>1318.3749</v>
      </c>
      <c r="H275">
        <f t="shared" si="87"/>
        <v>14800</v>
      </c>
      <c r="I275">
        <f t="shared" si="81"/>
        <v>7104</v>
      </c>
      <c r="J275">
        <f t="shared" ref="J275:J306" si="91">IF(H275&gt;H276,(H275-H276)/B275,0)</f>
        <v>5.30956710416741e-5</v>
      </c>
      <c r="K275">
        <f t="shared" si="88"/>
        <v>240324444</v>
      </c>
      <c r="L275">
        <f t="shared" si="83"/>
        <v>6.15834151269273e-5</v>
      </c>
      <c r="M275">
        <f t="shared" si="90"/>
        <v>29673399</v>
      </c>
      <c r="N275">
        <f t="shared" si="77"/>
        <v>301752372</v>
      </c>
      <c r="O275">
        <f t="shared" si="85"/>
        <v>6.83556501510953e-5</v>
      </c>
    </row>
    <row r="276" ht="13.9" spans="1:15">
      <c r="A276" s="42" t="s">
        <v>209</v>
      </c>
      <c r="B276" s="11">
        <v>18108202</v>
      </c>
      <c r="C276" s="11">
        <v>2372914</v>
      </c>
      <c r="D276" s="11">
        <v>134</v>
      </c>
      <c r="E276">
        <f t="shared" si="84"/>
        <v>134</v>
      </c>
      <c r="F276">
        <f t="shared" si="86"/>
        <v>9054101</v>
      </c>
      <c r="G276">
        <f t="shared" si="89"/>
        <v>905.4101</v>
      </c>
      <c r="H276">
        <f t="shared" si="87"/>
        <v>13400</v>
      </c>
      <c r="I276">
        <f t="shared" si="81"/>
        <v>6432</v>
      </c>
      <c r="J276">
        <f t="shared" si="91"/>
        <v>5.52235942585575e-5</v>
      </c>
      <c r="K276">
        <f t="shared" si="88"/>
        <v>222216242</v>
      </c>
      <c r="L276">
        <f t="shared" si="83"/>
        <v>6.03016227769705e-5</v>
      </c>
      <c r="M276">
        <f t="shared" si="90"/>
        <v>20481116</v>
      </c>
      <c r="N276">
        <f t="shared" si="77"/>
        <v>272078973</v>
      </c>
      <c r="O276">
        <f t="shared" si="85"/>
        <v>6.18677234663718e-5</v>
      </c>
    </row>
    <row r="277" ht="13.9" spans="1:15">
      <c r="A277" s="42" t="s">
        <v>210</v>
      </c>
      <c r="B277" s="11">
        <v>14280724</v>
      </c>
      <c r="C277" s="11">
        <v>1882793</v>
      </c>
      <c r="D277" s="11">
        <v>124</v>
      </c>
      <c r="E277">
        <f t="shared" si="84"/>
        <v>124</v>
      </c>
      <c r="F277">
        <f t="shared" si="86"/>
        <v>7140362</v>
      </c>
      <c r="G277">
        <f t="shared" si="89"/>
        <v>714.0362</v>
      </c>
      <c r="H277">
        <f t="shared" si="87"/>
        <v>12400</v>
      </c>
      <c r="I277">
        <f t="shared" si="81"/>
        <v>5952</v>
      </c>
      <c r="J277">
        <f t="shared" si="91"/>
        <v>6.30220148502275e-5</v>
      </c>
      <c r="K277">
        <f t="shared" si="88"/>
        <v>207935518</v>
      </c>
      <c r="L277">
        <f t="shared" si="83"/>
        <v>5.96338716890108e-5</v>
      </c>
      <c r="M277">
        <f t="shared" si="90"/>
        <v>16163517</v>
      </c>
      <c r="N277">
        <f t="shared" si="77"/>
        <v>251597857</v>
      </c>
      <c r="O277">
        <f t="shared" si="85"/>
        <v>3.22210564962215e-5</v>
      </c>
    </row>
    <row r="278" ht="13.9" spans="1:15">
      <c r="A278" s="42" t="s">
        <v>211</v>
      </c>
      <c r="B278" s="11">
        <v>24781010</v>
      </c>
      <c r="C278" s="11">
        <v>3151035</v>
      </c>
      <c r="D278" s="11">
        <v>115</v>
      </c>
      <c r="E278">
        <f t="shared" si="84"/>
        <v>115</v>
      </c>
      <c r="F278">
        <f t="shared" si="86"/>
        <v>12390505</v>
      </c>
      <c r="G278">
        <f t="shared" si="89"/>
        <v>1239.0505</v>
      </c>
      <c r="H278">
        <f t="shared" si="87"/>
        <v>11500</v>
      </c>
      <c r="I278">
        <f t="shared" si="81"/>
        <v>5520</v>
      </c>
      <c r="J278">
        <f t="shared" si="91"/>
        <v>6.05302205196641e-5</v>
      </c>
      <c r="K278">
        <f t="shared" si="88"/>
        <v>183154508</v>
      </c>
      <c r="L278">
        <f t="shared" ref="L278:L297" si="92">IF(E278&gt;E279,H278/K278,0)</f>
        <v>6.2788517332044e-5</v>
      </c>
      <c r="M278">
        <f t="shared" si="90"/>
        <v>27932045</v>
      </c>
      <c r="N278">
        <f t="shared" si="77"/>
        <v>235434340</v>
      </c>
      <c r="O278">
        <f t="shared" si="85"/>
        <v>7.51290416419242e-5</v>
      </c>
    </row>
    <row r="279" ht="13.9" spans="1:15">
      <c r="A279" s="42" t="s">
        <v>212</v>
      </c>
      <c r="B279" s="11">
        <v>17630936</v>
      </c>
      <c r="C279" s="11">
        <v>2334712</v>
      </c>
      <c r="D279" s="11">
        <v>100</v>
      </c>
      <c r="E279">
        <f t="shared" si="84"/>
        <v>100</v>
      </c>
      <c r="F279">
        <f t="shared" si="86"/>
        <v>8815468</v>
      </c>
      <c r="G279">
        <f t="shared" si="89"/>
        <v>881.5468</v>
      </c>
      <c r="H279">
        <f t="shared" si="87"/>
        <v>10000</v>
      </c>
      <c r="I279">
        <f t="shared" si="81"/>
        <v>4800</v>
      </c>
      <c r="J279">
        <f t="shared" si="91"/>
        <v>5.67184861881411e-5</v>
      </c>
      <c r="K279">
        <f t="shared" si="88"/>
        <v>165523572</v>
      </c>
      <c r="L279">
        <f t="shared" si="92"/>
        <v>6.04143559685868e-5</v>
      </c>
      <c r="M279">
        <f t="shared" si="90"/>
        <v>19965648</v>
      </c>
      <c r="N279">
        <f t="shared" si="77"/>
        <v>207502295</v>
      </c>
      <c r="O279">
        <f t="shared" si="85"/>
        <v>6.58804797653706e-5</v>
      </c>
    </row>
    <row r="280" ht="13.9" spans="1:15">
      <c r="A280" s="42" t="s">
        <v>213</v>
      </c>
      <c r="B280" s="11">
        <v>13363952</v>
      </c>
      <c r="C280" s="11">
        <v>1815051</v>
      </c>
      <c r="D280" s="11">
        <v>90</v>
      </c>
      <c r="E280">
        <f t="shared" si="84"/>
        <v>90</v>
      </c>
      <c r="F280">
        <f t="shared" si="86"/>
        <v>6681976</v>
      </c>
      <c r="G280">
        <f t="shared" si="89"/>
        <v>668.1976</v>
      </c>
      <c r="H280">
        <f t="shared" si="87"/>
        <v>9000</v>
      </c>
      <c r="I280">
        <f t="shared" si="81"/>
        <v>4320</v>
      </c>
      <c r="J280">
        <f t="shared" si="91"/>
        <v>7.48281646028061e-5</v>
      </c>
      <c r="K280">
        <f t="shared" si="88"/>
        <v>152159620</v>
      </c>
      <c r="L280">
        <f t="shared" si="92"/>
        <v>5.91484126997688e-5</v>
      </c>
      <c r="M280">
        <f t="shared" si="90"/>
        <v>15179003</v>
      </c>
      <c r="N280">
        <f t="shared" si="77"/>
        <v>187536647</v>
      </c>
      <c r="O280">
        <f t="shared" si="85"/>
        <v>3.81674654799129e-5</v>
      </c>
    </row>
    <row r="281" ht="13.9" spans="1:15">
      <c r="A281" s="42" t="s">
        <v>214</v>
      </c>
      <c r="B281" s="11">
        <v>23170068</v>
      </c>
      <c r="C281" s="11">
        <v>3030257</v>
      </c>
      <c r="D281" s="11">
        <v>80</v>
      </c>
      <c r="E281">
        <f t="shared" si="84"/>
        <v>80</v>
      </c>
      <c r="F281">
        <f t="shared" si="86"/>
        <v>11585034</v>
      </c>
      <c r="G281">
        <f t="shared" si="89"/>
        <v>1158.5034</v>
      </c>
      <c r="H281">
        <f t="shared" si="87"/>
        <v>8000</v>
      </c>
      <c r="I281">
        <f t="shared" si="81"/>
        <v>3840</v>
      </c>
      <c r="J281">
        <f t="shared" si="91"/>
        <v>6.04227833945071e-5</v>
      </c>
      <c r="K281">
        <f t="shared" si="88"/>
        <v>128989552</v>
      </c>
      <c r="L281">
        <f t="shared" si="92"/>
        <v>6.20205270578814e-5</v>
      </c>
      <c r="M281">
        <f t="shared" si="90"/>
        <v>26200325</v>
      </c>
      <c r="N281">
        <f t="shared" si="77"/>
        <v>172357644</v>
      </c>
      <c r="O281">
        <f t="shared" si="85"/>
        <v>7.63250283888217e-5</v>
      </c>
    </row>
    <row r="282" ht="13.9" spans="1:15">
      <c r="A282" s="42" t="s">
        <v>215</v>
      </c>
      <c r="B282" s="11">
        <v>16122758</v>
      </c>
      <c r="C282" s="11">
        <v>2219849</v>
      </c>
      <c r="D282" s="11">
        <v>66</v>
      </c>
      <c r="E282">
        <f t="shared" si="84"/>
        <v>66</v>
      </c>
      <c r="F282">
        <f t="shared" si="86"/>
        <v>8061379</v>
      </c>
      <c r="G282">
        <f t="shared" si="89"/>
        <v>806.1379</v>
      </c>
      <c r="H282">
        <f t="shared" si="87"/>
        <v>6600</v>
      </c>
      <c r="I282">
        <f t="shared" si="81"/>
        <v>3168</v>
      </c>
      <c r="J282">
        <f t="shared" si="91"/>
        <v>6.2024127633746e-5</v>
      </c>
      <c r="K282">
        <f t="shared" si="88"/>
        <v>112866794</v>
      </c>
      <c r="L282">
        <f t="shared" si="92"/>
        <v>5.84760119969386e-5</v>
      </c>
      <c r="M282">
        <f t="shared" si="90"/>
        <v>18342607</v>
      </c>
      <c r="N282">
        <f t="shared" si="77"/>
        <v>146157319</v>
      </c>
      <c r="O282">
        <f t="shared" si="85"/>
        <v>6.85731793426589e-5</v>
      </c>
    </row>
    <row r="283" ht="13.9" spans="1:15">
      <c r="A283" s="42" t="s">
        <v>216</v>
      </c>
      <c r="B283" s="11">
        <v>12790442</v>
      </c>
      <c r="C283" s="11">
        <v>1792519</v>
      </c>
      <c r="D283" s="11">
        <v>56</v>
      </c>
      <c r="E283">
        <f t="shared" si="84"/>
        <v>56</v>
      </c>
      <c r="F283">
        <f t="shared" si="86"/>
        <v>6395221</v>
      </c>
      <c r="G283">
        <f t="shared" si="89"/>
        <v>639.5221</v>
      </c>
      <c r="H283">
        <f t="shared" si="87"/>
        <v>5600</v>
      </c>
      <c r="I283">
        <f t="shared" si="81"/>
        <v>2688</v>
      </c>
      <c r="J283">
        <f t="shared" si="91"/>
        <v>6.25467047972228e-5</v>
      </c>
      <c r="K283">
        <f t="shared" si="88"/>
        <v>100076352</v>
      </c>
      <c r="L283">
        <f t="shared" si="92"/>
        <v>5.59572755010095e-5</v>
      </c>
      <c r="M283">
        <f t="shared" si="90"/>
        <v>14582961</v>
      </c>
      <c r="N283">
        <f t="shared" si="77"/>
        <v>127814712</v>
      </c>
      <c r="O283">
        <f t="shared" si="85"/>
        <v>3.19093175486449e-5</v>
      </c>
    </row>
    <row r="284" ht="13.9" spans="1:15">
      <c r="A284" s="42" t="s">
        <v>217</v>
      </c>
      <c r="B284" s="11">
        <v>22148946</v>
      </c>
      <c r="C284" s="11">
        <v>2922101</v>
      </c>
      <c r="D284" s="11">
        <v>48</v>
      </c>
      <c r="E284">
        <f t="shared" si="84"/>
        <v>48</v>
      </c>
      <c r="F284">
        <f t="shared" si="86"/>
        <v>11074473</v>
      </c>
      <c r="G284">
        <f t="shared" si="89"/>
        <v>1107.4473</v>
      </c>
      <c r="H284">
        <f t="shared" si="87"/>
        <v>4800</v>
      </c>
      <c r="I284">
        <f t="shared" si="81"/>
        <v>2304</v>
      </c>
      <c r="J284">
        <f t="shared" si="91"/>
        <v>5.86935378324549e-5</v>
      </c>
      <c r="K284">
        <f t="shared" si="88"/>
        <v>77927406</v>
      </c>
      <c r="L284">
        <f t="shared" si="92"/>
        <v>6.15957882647858e-5</v>
      </c>
      <c r="M284">
        <f t="shared" si="90"/>
        <v>25071047</v>
      </c>
      <c r="N284">
        <f t="shared" si="77"/>
        <v>113231751</v>
      </c>
      <c r="O284">
        <f t="shared" si="85"/>
        <v>7.37914590927113e-5</v>
      </c>
    </row>
    <row r="285" ht="13.9" spans="1:15">
      <c r="A285" s="42" t="s">
        <v>218</v>
      </c>
      <c r="B285" s="11">
        <v>15466484</v>
      </c>
      <c r="C285" s="11">
        <v>2150731</v>
      </c>
      <c r="D285" s="11">
        <v>35</v>
      </c>
      <c r="E285">
        <f t="shared" ref="E285:E316" si="93">IF(RIGHT(D285,1)="B",VALUE(LEFT(D285,LEN(D285)-1))*1000,D285)</f>
        <v>35</v>
      </c>
      <c r="F285">
        <f t="shared" si="86"/>
        <v>7733242</v>
      </c>
      <c r="G285">
        <f t="shared" si="89"/>
        <v>773.3242</v>
      </c>
      <c r="H285">
        <f t="shared" si="87"/>
        <v>3500</v>
      </c>
      <c r="I285">
        <f t="shared" si="81"/>
        <v>1680</v>
      </c>
      <c r="J285">
        <f t="shared" si="91"/>
        <v>5.81903424204234e-5</v>
      </c>
      <c r="K285">
        <f t="shared" si="88"/>
        <v>62460922</v>
      </c>
      <c r="L285">
        <f t="shared" si="92"/>
        <v>5.60350357940602e-5</v>
      </c>
      <c r="M285">
        <f t="shared" si="90"/>
        <v>17617215</v>
      </c>
      <c r="N285">
        <f t="shared" si="77"/>
        <v>88160704</v>
      </c>
      <c r="O285">
        <f t="shared" si="85"/>
        <v>6.38318832738976e-5</v>
      </c>
    </row>
    <row r="286" ht="13.9" spans="1:15">
      <c r="A286" s="42" t="s">
        <v>219</v>
      </c>
      <c r="B286" s="11">
        <v>12372578</v>
      </c>
      <c r="C286" s="11">
        <v>1726959</v>
      </c>
      <c r="D286" s="11">
        <v>26</v>
      </c>
      <c r="E286">
        <f t="shared" si="93"/>
        <v>26</v>
      </c>
      <c r="F286">
        <f t="shared" si="86"/>
        <v>6186289</v>
      </c>
      <c r="G286">
        <f t="shared" si="89"/>
        <v>618.6289</v>
      </c>
      <c r="H286">
        <f t="shared" si="87"/>
        <v>2600</v>
      </c>
      <c r="I286">
        <f t="shared" si="81"/>
        <v>1248</v>
      </c>
      <c r="J286">
        <f t="shared" si="91"/>
        <v>4.8494339659851e-5</v>
      </c>
      <c r="K286">
        <f t="shared" si="88"/>
        <v>50088344</v>
      </c>
      <c r="L286">
        <f t="shared" si="92"/>
        <v>5.19082842906525e-5</v>
      </c>
      <c r="M286">
        <f t="shared" si="90"/>
        <v>14099537</v>
      </c>
      <c r="N286">
        <f t="shared" si="77"/>
        <v>70543489</v>
      </c>
      <c r="O286">
        <f t="shared" si="85"/>
        <v>2.3653569816468e-5</v>
      </c>
    </row>
    <row r="287" ht="13.9" spans="1:15">
      <c r="A287" s="42" t="s">
        <v>220</v>
      </c>
      <c r="B287" s="11">
        <v>22404882</v>
      </c>
      <c r="C287" s="11">
        <v>2961268</v>
      </c>
      <c r="D287" s="11">
        <v>20</v>
      </c>
      <c r="E287">
        <f t="shared" si="93"/>
        <v>20</v>
      </c>
      <c r="F287">
        <f t="shared" si="86"/>
        <v>11202441</v>
      </c>
      <c r="G287">
        <f t="shared" si="89"/>
        <v>1120.2441</v>
      </c>
      <c r="H287">
        <f t="shared" si="87"/>
        <v>2000</v>
      </c>
      <c r="I287">
        <f t="shared" si="81"/>
        <v>960</v>
      </c>
      <c r="J287">
        <f t="shared" si="91"/>
        <v>0</v>
      </c>
      <c r="K287">
        <f t="shared" si="88"/>
        <v>27683462</v>
      </c>
      <c r="L287">
        <f t="shared" si="92"/>
        <v>0</v>
      </c>
      <c r="M287">
        <f t="shared" si="90"/>
        <v>25366150</v>
      </c>
      <c r="N287">
        <f t="shared" si="77"/>
        <v>56443952</v>
      </c>
      <c r="O287">
        <f t="shared" si="85"/>
        <v>6.43546155548581e-5</v>
      </c>
    </row>
    <row r="288" ht="13.9" spans="1:15">
      <c r="A288" s="42" t="s">
        <v>221</v>
      </c>
      <c r="B288" s="11">
        <v>27683462</v>
      </c>
      <c r="C288" s="11">
        <v>3394340</v>
      </c>
      <c r="D288" s="11">
        <v>206.9</v>
      </c>
      <c r="E288">
        <f t="shared" si="93"/>
        <v>206.9</v>
      </c>
      <c r="F288">
        <f t="shared" si="86"/>
        <v>13841731</v>
      </c>
      <c r="G288">
        <f t="shared" si="89"/>
        <v>1384.1731</v>
      </c>
      <c r="H288">
        <f t="shared" si="87"/>
        <v>20690</v>
      </c>
      <c r="I288">
        <f t="shared" si="81"/>
        <v>9931.2</v>
      </c>
      <c r="J288">
        <f t="shared" si="91"/>
        <v>7.1884072880769e-5</v>
      </c>
      <c r="K288">
        <f t="shared" si="88"/>
        <v>365356946</v>
      </c>
      <c r="L288">
        <f t="shared" si="92"/>
        <v>5.66295515290409e-5</v>
      </c>
      <c r="M288">
        <f t="shared" si="90"/>
        <v>31077802</v>
      </c>
      <c r="N288">
        <f t="shared" ref="N288:N351" si="94">IF(H288&lt;H289,M288+M289,M288+N289)</f>
        <v>440964977</v>
      </c>
      <c r="O288">
        <f t="shared" si="85"/>
        <v>8.18415517125304e-5</v>
      </c>
    </row>
    <row r="289" ht="13.9" spans="1:15">
      <c r="A289" s="42" t="s">
        <v>222</v>
      </c>
      <c r="B289" s="11">
        <v>21600466</v>
      </c>
      <c r="C289" s="11">
        <v>2714811</v>
      </c>
      <c r="D289" s="11">
        <v>187</v>
      </c>
      <c r="E289">
        <f t="shared" si="93"/>
        <v>187</v>
      </c>
      <c r="F289">
        <f t="shared" si="86"/>
        <v>10800233</v>
      </c>
      <c r="G289">
        <f t="shared" si="89"/>
        <v>1080.0233</v>
      </c>
      <c r="H289">
        <f t="shared" si="87"/>
        <v>18700</v>
      </c>
      <c r="I289">
        <f t="shared" si="81"/>
        <v>8976</v>
      </c>
      <c r="J289">
        <f t="shared" si="91"/>
        <v>7.87020057808012e-5</v>
      </c>
      <c r="K289">
        <f t="shared" si="88"/>
        <v>343756480</v>
      </c>
      <c r="L289">
        <f t="shared" si="92"/>
        <v>5.43989745298765e-5</v>
      </c>
      <c r="M289">
        <f t="shared" si="90"/>
        <v>24315277</v>
      </c>
      <c r="N289">
        <f t="shared" si="94"/>
        <v>409887175</v>
      </c>
      <c r="O289">
        <f t="shared" si="85"/>
        <v>2.88341116903903e-5</v>
      </c>
    </row>
    <row r="290" ht="13.9" spans="1:15">
      <c r="A290" s="42" t="s">
        <v>223</v>
      </c>
      <c r="B290" s="11">
        <v>53015030</v>
      </c>
      <c r="C290" s="11">
        <v>5942916</v>
      </c>
      <c r="D290" s="11">
        <v>170</v>
      </c>
      <c r="E290">
        <f t="shared" si="93"/>
        <v>170</v>
      </c>
      <c r="F290">
        <f t="shared" si="86"/>
        <v>26507515</v>
      </c>
      <c r="G290">
        <f t="shared" si="89"/>
        <v>2650.7515</v>
      </c>
      <c r="H290">
        <f t="shared" si="87"/>
        <v>17000</v>
      </c>
      <c r="I290">
        <f t="shared" si="81"/>
        <v>8160</v>
      </c>
      <c r="J290">
        <f t="shared" si="91"/>
        <v>4.71564384666009e-5</v>
      </c>
      <c r="K290">
        <f t="shared" si="88"/>
        <v>290741450</v>
      </c>
      <c r="L290">
        <f t="shared" si="92"/>
        <v>5.84711949396964e-5</v>
      </c>
      <c r="M290">
        <f t="shared" si="90"/>
        <v>58957946</v>
      </c>
      <c r="N290">
        <f t="shared" si="94"/>
        <v>385571898</v>
      </c>
      <c r="O290">
        <f t="shared" si="85"/>
        <v>6.54881317692462e-5</v>
      </c>
    </row>
    <row r="291" ht="13.9" spans="1:15">
      <c r="A291" s="42" t="s">
        <v>224</v>
      </c>
      <c r="B291" s="11">
        <v>34218290</v>
      </c>
      <c r="C291" s="11">
        <v>3956566</v>
      </c>
      <c r="D291" s="11">
        <v>145</v>
      </c>
      <c r="E291">
        <f t="shared" si="93"/>
        <v>145</v>
      </c>
      <c r="F291">
        <f t="shared" si="86"/>
        <v>17109145</v>
      </c>
      <c r="G291">
        <f t="shared" si="89"/>
        <v>1710.9145</v>
      </c>
      <c r="H291">
        <f t="shared" si="87"/>
        <v>14500</v>
      </c>
      <c r="I291">
        <f t="shared" si="81"/>
        <v>6960</v>
      </c>
      <c r="J291">
        <f t="shared" si="91"/>
        <v>4.38362057250669e-5</v>
      </c>
      <c r="K291">
        <f t="shared" si="88"/>
        <v>256523160</v>
      </c>
      <c r="L291">
        <f t="shared" si="92"/>
        <v>5.65251106371838e-5</v>
      </c>
      <c r="M291">
        <f t="shared" si="90"/>
        <v>38174856</v>
      </c>
      <c r="N291">
        <f t="shared" si="94"/>
        <v>326613952</v>
      </c>
      <c r="O291">
        <f t="shared" si="85"/>
        <v>6.18763151037321e-5</v>
      </c>
    </row>
    <row r="292" ht="13.9" spans="1:15">
      <c r="A292" s="42" t="s">
        <v>225</v>
      </c>
      <c r="B292" s="11">
        <v>21625480</v>
      </c>
      <c r="C292" s="11">
        <v>2616429</v>
      </c>
      <c r="D292" s="11">
        <v>130</v>
      </c>
      <c r="E292">
        <f t="shared" si="93"/>
        <v>130</v>
      </c>
      <c r="F292">
        <f t="shared" si="86"/>
        <v>10812740</v>
      </c>
      <c r="G292">
        <f t="shared" si="89"/>
        <v>1081.274</v>
      </c>
      <c r="H292">
        <f t="shared" si="87"/>
        <v>13000</v>
      </c>
      <c r="I292">
        <f t="shared" si="81"/>
        <v>6240</v>
      </c>
      <c r="J292">
        <f t="shared" si="91"/>
        <v>5.08659229760449e-5</v>
      </c>
      <c r="K292">
        <f t="shared" si="88"/>
        <v>234897680</v>
      </c>
      <c r="L292">
        <f t="shared" si="92"/>
        <v>5.53432456208167e-5</v>
      </c>
      <c r="M292">
        <f t="shared" si="90"/>
        <v>24241909</v>
      </c>
      <c r="N292">
        <f t="shared" si="94"/>
        <v>288439096</v>
      </c>
      <c r="O292">
        <f t="shared" si="85"/>
        <v>2.714315571757e-5</v>
      </c>
    </row>
    <row r="293" ht="13.9" spans="1:15">
      <c r="A293" s="42" t="s">
        <v>226</v>
      </c>
      <c r="B293" s="11">
        <v>36297290</v>
      </c>
      <c r="C293" s="11">
        <v>4228580</v>
      </c>
      <c r="D293" s="11">
        <v>119</v>
      </c>
      <c r="E293">
        <f t="shared" si="93"/>
        <v>119</v>
      </c>
      <c r="F293">
        <f t="shared" si="86"/>
        <v>18148645</v>
      </c>
      <c r="G293">
        <f t="shared" si="89"/>
        <v>1814.8645</v>
      </c>
      <c r="H293">
        <f t="shared" si="87"/>
        <v>11900</v>
      </c>
      <c r="I293">
        <f t="shared" si="81"/>
        <v>5712</v>
      </c>
      <c r="J293">
        <f t="shared" si="91"/>
        <v>4.9590479068823e-5</v>
      </c>
      <c r="K293">
        <f t="shared" si="88"/>
        <v>198600390</v>
      </c>
      <c r="L293">
        <f t="shared" si="92"/>
        <v>5.99193183860314e-5</v>
      </c>
      <c r="M293">
        <f t="shared" si="90"/>
        <v>40525870</v>
      </c>
      <c r="N293">
        <f t="shared" si="94"/>
        <v>264197187</v>
      </c>
      <c r="O293">
        <f t="shared" si="85"/>
        <v>6.81715614605257e-5</v>
      </c>
    </row>
    <row r="294" ht="13.9" spans="1:15">
      <c r="A294" s="42" t="s">
        <v>227</v>
      </c>
      <c r="B294" s="11">
        <v>23515852</v>
      </c>
      <c r="C294" s="11">
        <v>2888120</v>
      </c>
      <c r="D294" s="11">
        <v>101</v>
      </c>
      <c r="E294">
        <f t="shared" si="93"/>
        <v>101</v>
      </c>
      <c r="F294">
        <f t="shared" si="86"/>
        <v>11757926</v>
      </c>
      <c r="G294">
        <f t="shared" si="89"/>
        <v>1175.7926</v>
      </c>
      <c r="H294">
        <f t="shared" si="87"/>
        <v>10100</v>
      </c>
      <c r="I294">
        <f t="shared" si="81"/>
        <v>4848</v>
      </c>
      <c r="J294">
        <f t="shared" si="91"/>
        <v>5.1029407737385e-5</v>
      </c>
      <c r="K294">
        <f t="shared" si="88"/>
        <v>175084538</v>
      </c>
      <c r="L294">
        <f t="shared" si="92"/>
        <v>5.76864188886856e-5</v>
      </c>
      <c r="M294">
        <f t="shared" si="90"/>
        <v>26403972</v>
      </c>
      <c r="N294">
        <f t="shared" si="94"/>
        <v>223671317</v>
      </c>
      <c r="O294">
        <f t="shared" si="85"/>
        <v>6.9458814540624e-5</v>
      </c>
    </row>
    <row r="295" ht="13.9" spans="1:15">
      <c r="A295" s="42" t="s">
        <v>228</v>
      </c>
      <c r="B295" s="11">
        <v>15301166</v>
      </c>
      <c r="C295" s="11">
        <v>1975259</v>
      </c>
      <c r="D295" s="11">
        <v>89</v>
      </c>
      <c r="E295">
        <f t="shared" si="93"/>
        <v>89</v>
      </c>
      <c r="F295">
        <f t="shared" ref="F295:F358" si="95">B295/2</f>
        <v>7650583</v>
      </c>
      <c r="G295">
        <f t="shared" si="89"/>
        <v>765.0583</v>
      </c>
      <c r="H295">
        <f t="shared" si="87"/>
        <v>8900</v>
      </c>
      <c r="I295">
        <f t="shared" si="81"/>
        <v>4272</v>
      </c>
      <c r="J295">
        <f t="shared" si="91"/>
        <v>4.57481475594736e-5</v>
      </c>
      <c r="K295">
        <f t="shared" si="88"/>
        <v>159783372</v>
      </c>
      <c r="L295">
        <f t="shared" si="92"/>
        <v>5.57004141832731e-5</v>
      </c>
      <c r="M295">
        <f t="shared" si="90"/>
        <v>17276425</v>
      </c>
      <c r="N295">
        <f t="shared" si="94"/>
        <v>197267345</v>
      </c>
      <c r="O295">
        <f t="shared" si="85"/>
        <v>2.39594332567202e-5</v>
      </c>
    </row>
    <row r="296" ht="13.9" spans="1:15">
      <c r="A296" s="42" t="s">
        <v>229</v>
      </c>
      <c r="B296" s="11">
        <v>25983100</v>
      </c>
      <c r="C296" s="11">
        <v>3232950</v>
      </c>
      <c r="D296" s="11">
        <v>82</v>
      </c>
      <c r="E296">
        <f t="shared" si="93"/>
        <v>82</v>
      </c>
      <c r="F296">
        <f t="shared" si="95"/>
        <v>12991550</v>
      </c>
      <c r="G296">
        <f t="shared" si="89"/>
        <v>1299.155</v>
      </c>
      <c r="H296">
        <f t="shared" si="87"/>
        <v>8200</v>
      </c>
      <c r="I296">
        <f t="shared" si="81"/>
        <v>3936</v>
      </c>
      <c r="J296">
        <f t="shared" si="91"/>
        <v>6.15784875553725e-5</v>
      </c>
      <c r="K296">
        <f t="shared" si="88"/>
        <v>133800272</v>
      </c>
      <c r="L296">
        <f t="shared" si="92"/>
        <v>6.12853761612682e-5</v>
      </c>
      <c r="M296">
        <f t="shared" si="90"/>
        <v>29216050</v>
      </c>
      <c r="N296">
        <f t="shared" si="94"/>
        <v>179990920</v>
      </c>
      <c r="O296">
        <f t="shared" si="85"/>
        <v>8.26892486870369e-5</v>
      </c>
    </row>
    <row r="297" ht="13.9" spans="1:15">
      <c r="A297" s="42" t="s">
        <v>230</v>
      </c>
      <c r="B297" s="11">
        <v>17096590</v>
      </c>
      <c r="C297" s="11">
        <v>2252963</v>
      </c>
      <c r="D297" s="11">
        <v>66</v>
      </c>
      <c r="E297">
        <f t="shared" si="93"/>
        <v>66</v>
      </c>
      <c r="F297">
        <f t="shared" si="95"/>
        <v>8548295</v>
      </c>
      <c r="G297">
        <f t="shared" si="89"/>
        <v>854.8295</v>
      </c>
      <c r="H297">
        <f t="shared" si="87"/>
        <v>6600</v>
      </c>
      <c r="I297">
        <f t="shared" si="81"/>
        <v>3168</v>
      </c>
      <c r="J297">
        <f t="shared" si="91"/>
        <v>5.84911961976043e-5</v>
      </c>
      <c r="K297">
        <f t="shared" si="88"/>
        <v>116703682</v>
      </c>
      <c r="L297">
        <f t="shared" si="92"/>
        <v>5.65534856046787e-5</v>
      </c>
      <c r="M297">
        <f t="shared" si="90"/>
        <v>19349553</v>
      </c>
      <c r="N297">
        <f t="shared" si="94"/>
        <v>150774870</v>
      </c>
      <c r="O297">
        <f t="shared" si="85"/>
        <v>6.77874140599638e-5</v>
      </c>
    </row>
    <row r="298" ht="13.9" spans="1:15">
      <c r="A298" s="42" t="s">
        <v>231</v>
      </c>
      <c r="B298" s="11">
        <v>13007094</v>
      </c>
      <c r="C298" s="11">
        <v>1744907</v>
      </c>
      <c r="D298" s="11">
        <v>56</v>
      </c>
      <c r="E298">
        <f t="shared" si="93"/>
        <v>56</v>
      </c>
      <c r="F298">
        <f t="shared" si="95"/>
        <v>6503547</v>
      </c>
      <c r="G298">
        <f t="shared" si="89"/>
        <v>650.3547</v>
      </c>
      <c r="H298">
        <f t="shared" si="87"/>
        <v>5600</v>
      </c>
      <c r="I298">
        <f t="shared" si="81"/>
        <v>2688</v>
      </c>
      <c r="J298">
        <f t="shared" si="91"/>
        <v>6.15048987883074e-5</v>
      </c>
      <c r="K298">
        <f t="shared" si="88"/>
        <v>103696588</v>
      </c>
      <c r="L298">
        <f t="shared" ref="L298:L303" si="96">IF(E298&gt;E299,H298/K298,0)</f>
        <v>5.40037055028271e-5</v>
      </c>
      <c r="M298">
        <f t="shared" si="90"/>
        <v>14752001</v>
      </c>
      <c r="N298">
        <f t="shared" si="94"/>
        <v>131425317</v>
      </c>
      <c r="O298">
        <f t="shared" si="85"/>
        <v>3.12697060221584e-5</v>
      </c>
    </row>
    <row r="299" ht="13.9" spans="1:15">
      <c r="A299" s="42" t="s">
        <v>232</v>
      </c>
      <c r="B299" s="11">
        <v>22680930</v>
      </c>
      <c r="C299" s="11">
        <v>2902937</v>
      </c>
      <c r="D299" s="11">
        <v>48</v>
      </c>
      <c r="E299">
        <f t="shared" si="93"/>
        <v>48</v>
      </c>
      <c r="F299">
        <f t="shared" si="95"/>
        <v>11340465</v>
      </c>
      <c r="G299">
        <f t="shared" si="89"/>
        <v>1134.0465</v>
      </c>
      <c r="H299">
        <f t="shared" si="87"/>
        <v>4800</v>
      </c>
      <c r="I299">
        <f t="shared" si="81"/>
        <v>2304</v>
      </c>
      <c r="J299">
        <f t="shared" si="91"/>
        <v>5.73168736908054e-5</v>
      </c>
      <c r="K299">
        <f t="shared" si="88"/>
        <v>81015658</v>
      </c>
      <c r="L299">
        <f t="shared" si="96"/>
        <v>5.92478061463131e-5</v>
      </c>
      <c r="M299">
        <f t="shared" si="90"/>
        <v>25583867</v>
      </c>
      <c r="N299">
        <f t="shared" si="94"/>
        <v>116673316</v>
      </c>
      <c r="O299">
        <f t="shared" si="85"/>
        <v>7.46567583748372e-5</v>
      </c>
    </row>
    <row r="300" ht="13.9" spans="1:15">
      <c r="A300" s="42" t="s">
        <v>233</v>
      </c>
      <c r="B300" s="11">
        <v>15338120</v>
      </c>
      <c r="C300" s="11">
        <v>2074905</v>
      </c>
      <c r="D300" s="11">
        <v>35</v>
      </c>
      <c r="E300">
        <f t="shared" si="93"/>
        <v>35</v>
      </c>
      <c r="F300">
        <f t="shared" si="95"/>
        <v>7669060</v>
      </c>
      <c r="G300">
        <f t="shared" si="89"/>
        <v>766.906</v>
      </c>
      <c r="H300">
        <f t="shared" si="87"/>
        <v>3500</v>
      </c>
      <c r="I300">
        <f t="shared" ref="I300:I363" si="97">H300*0.48</f>
        <v>1680</v>
      </c>
      <c r="J300">
        <f t="shared" si="91"/>
        <v>5.86773346407513e-5</v>
      </c>
      <c r="K300">
        <f t="shared" si="88"/>
        <v>65677538</v>
      </c>
      <c r="L300">
        <f t="shared" si="96"/>
        <v>5.32906699395462e-5</v>
      </c>
      <c r="M300">
        <f t="shared" si="90"/>
        <v>17413025</v>
      </c>
      <c r="N300">
        <f t="shared" si="94"/>
        <v>91089449</v>
      </c>
      <c r="O300">
        <f t="shared" si="85"/>
        <v>7.2586733080839e-5</v>
      </c>
    </row>
    <row r="301" ht="13.9" spans="1:15">
      <c r="A301" s="42" t="s">
        <v>234</v>
      </c>
      <c r="B301" s="11">
        <v>10904828</v>
      </c>
      <c r="C301" s="11">
        <v>1494132</v>
      </c>
      <c r="D301" s="11">
        <v>26</v>
      </c>
      <c r="E301">
        <f t="shared" si="93"/>
        <v>26</v>
      </c>
      <c r="F301">
        <f t="shared" si="95"/>
        <v>5452414</v>
      </c>
      <c r="G301">
        <f t="shared" si="89"/>
        <v>545.2414</v>
      </c>
      <c r="H301">
        <f t="shared" si="87"/>
        <v>2600</v>
      </c>
      <c r="I301">
        <f t="shared" si="97"/>
        <v>1248</v>
      </c>
      <c r="J301">
        <f t="shared" si="91"/>
        <v>5.50215005683721e-5</v>
      </c>
      <c r="K301">
        <f t="shared" si="88"/>
        <v>54772710</v>
      </c>
      <c r="L301">
        <f t="shared" si="96"/>
        <v>4.74688946374937e-5</v>
      </c>
      <c r="M301">
        <f t="shared" si="90"/>
        <v>12398960</v>
      </c>
      <c r="N301">
        <f t="shared" si="94"/>
        <v>73676424</v>
      </c>
      <c r="O301">
        <f t="shared" si="85"/>
        <v>2.28186918401461e-5</v>
      </c>
    </row>
    <row r="302" ht="13.9" spans="1:15">
      <c r="A302" s="42" t="s">
        <v>235</v>
      </c>
      <c r="B302" s="11">
        <v>23334880</v>
      </c>
      <c r="C302" s="11">
        <v>2959353</v>
      </c>
      <c r="D302" s="11">
        <v>20</v>
      </c>
      <c r="E302">
        <f t="shared" si="93"/>
        <v>20</v>
      </c>
      <c r="F302">
        <f t="shared" si="95"/>
        <v>11667440</v>
      </c>
      <c r="G302">
        <f t="shared" si="89"/>
        <v>1166.744</v>
      </c>
      <c r="H302">
        <f t="shared" si="87"/>
        <v>2000</v>
      </c>
      <c r="I302">
        <f t="shared" si="97"/>
        <v>960</v>
      </c>
      <c r="J302">
        <f t="shared" si="91"/>
        <v>0</v>
      </c>
      <c r="K302">
        <f t="shared" si="88"/>
        <v>31437830</v>
      </c>
      <c r="L302">
        <f t="shared" si="96"/>
        <v>0</v>
      </c>
      <c r="M302">
        <f t="shared" si="90"/>
        <v>26294233</v>
      </c>
      <c r="N302">
        <f t="shared" si="94"/>
        <v>61277464</v>
      </c>
      <c r="O302">
        <f t="shared" si="85"/>
        <v>5.71702482254998e-5</v>
      </c>
    </row>
    <row r="303" ht="13.9" spans="1:15">
      <c r="A303" s="42" t="s">
        <v>236</v>
      </c>
      <c r="B303" s="11">
        <v>31437830</v>
      </c>
      <c r="C303" s="11">
        <v>3545401</v>
      </c>
      <c r="D303" s="11">
        <v>365</v>
      </c>
      <c r="E303">
        <f t="shared" si="93"/>
        <v>365</v>
      </c>
      <c r="F303">
        <f t="shared" si="95"/>
        <v>15718915</v>
      </c>
      <c r="G303">
        <f t="shared" si="89"/>
        <v>1571.8915</v>
      </c>
      <c r="H303">
        <f t="shared" si="87"/>
        <v>36500</v>
      </c>
      <c r="I303">
        <f t="shared" si="97"/>
        <v>17520</v>
      </c>
      <c r="J303">
        <f t="shared" si="91"/>
        <v>6.04367413399716e-5</v>
      </c>
      <c r="K303">
        <f t="shared" si="88"/>
        <v>655570124</v>
      </c>
      <c r="L303">
        <f t="shared" si="96"/>
        <v>5.56767287949199e-5</v>
      </c>
      <c r="M303">
        <f t="shared" si="90"/>
        <v>34983231</v>
      </c>
      <c r="N303">
        <f t="shared" si="94"/>
        <v>768706423</v>
      </c>
      <c r="O303">
        <f t="shared" si="85"/>
        <v>6.90788366222252e-5</v>
      </c>
    </row>
    <row r="304" ht="13.9" spans="1:15">
      <c r="A304" s="42" t="s">
        <v>237</v>
      </c>
      <c r="B304" s="11">
        <v>24691360</v>
      </c>
      <c r="C304" s="11">
        <v>2813446</v>
      </c>
      <c r="D304" s="11">
        <v>346</v>
      </c>
      <c r="E304">
        <f t="shared" si="93"/>
        <v>346</v>
      </c>
      <c r="F304">
        <f t="shared" si="95"/>
        <v>12345680</v>
      </c>
      <c r="G304">
        <f t="shared" si="89"/>
        <v>1234.568</v>
      </c>
      <c r="H304">
        <f t="shared" si="87"/>
        <v>34600</v>
      </c>
      <c r="I304">
        <f t="shared" si="97"/>
        <v>16608</v>
      </c>
      <c r="J304">
        <f t="shared" si="91"/>
        <v>4.45499964360003e-5</v>
      </c>
      <c r="K304">
        <f t="shared" si="88"/>
        <v>630878764</v>
      </c>
      <c r="L304">
        <f t="shared" ref="L304:L340" si="98">IF(E304&gt;E305,H304/K304,0)</f>
        <v>5.48441348391939e-5</v>
      </c>
      <c r="M304">
        <f t="shared" si="90"/>
        <v>27504806</v>
      </c>
      <c r="N304">
        <f t="shared" si="94"/>
        <v>733723192</v>
      </c>
      <c r="O304">
        <f t="shared" si="85"/>
        <v>2.42748704488783e-5</v>
      </c>
    </row>
    <row r="305" ht="13.9" spans="1:15">
      <c r="A305" s="42" t="s">
        <v>238</v>
      </c>
      <c r="B305" s="11">
        <v>40843168</v>
      </c>
      <c r="C305" s="11">
        <v>4471183</v>
      </c>
      <c r="D305" s="11">
        <v>335</v>
      </c>
      <c r="E305">
        <f t="shared" si="93"/>
        <v>335</v>
      </c>
      <c r="F305">
        <f t="shared" si="95"/>
        <v>20421584</v>
      </c>
      <c r="G305">
        <f t="shared" si="89"/>
        <v>2042.1584</v>
      </c>
      <c r="H305">
        <f t="shared" si="87"/>
        <v>33500</v>
      </c>
      <c r="I305">
        <f t="shared" si="97"/>
        <v>16080</v>
      </c>
      <c r="J305">
        <f t="shared" si="91"/>
        <v>5.63129676914386e-5</v>
      </c>
      <c r="K305">
        <f t="shared" si="88"/>
        <v>590035596</v>
      </c>
      <c r="L305">
        <f t="shared" si="98"/>
        <v>5.67762355815563e-5</v>
      </c>
      <c r="M305">
        <f t="shared" si="90"/>
        <v>45314351</v>
      </c>
      <c r="N305">
        <f t="shared" si="94"/>
        <v>706218386</v>
      </c>
      <c r="O305">
        <f t="shared" si="85"/>
        <v>7.26546387649267e-5</v>
      </c>
    </row>
    <row r="306" ht="13.9" spans="1:15">
      <c r="A306" s="42" t="s">
        <v>239</v>
      </c>
      <c r="B306" s="11">
        <v>28408512</v>
      </c>
      <c r="C306" s="11">
        <v>3248104</v>
      </c>
      <c r="D306" s="11">
        <v>312</v>
      </c>
      <c r="E306">
        <f t="shared" si="93"/>
        <v>312</v>
      </c>
      <c r="F306">
        <f t="shared" si="95"/>
        <v>14204256</v>
      </c>
      <c r="G306">
        <f t="shared" si="89"/>
        <v>1420.4256</v>
      </c>
      <c r="H306">
        <f t="shared" si="87"/>
        <v>31200</v>
      </c>
      <c r="I306">
        <f t="shared" si="97"/>
        <v>14976</v>
      </c>
      <c r="J306">
        <f t="shared" si="91"/>
        <v>5.63211476898192e-5</v>
      </c>
      <c r="K306">
        <f t="shared" si="88"/>
        <v>561627084</v>
      </c>
      <c r="L306">
        <f t="shared" si="98"/>
        <v>5.55528764349976e-5</v>
      </c>
      <c r="M306">
        <f t="shared" si="90"/>
        <v>31656616</v>
      </c>
      <c r="N306">
        <f t="shared" si="94"/>
        <v>660904035</v>
      </c>
      <c r="O306">
        <f t="shared" si="85"/>
        <v>6.87387622864093e-5</v>
      </c>
    </row>
    <row r="307" ht="13.9" spans="1:15">
      <c r="A307" s="42" t="s">
        <v>240</v>
      </c>
      <c r="B307" s="11">
        <v>20871942</v>
      </c>
      <c r="C307" s="11">
        <v>2404590</v>
      </c>
      <c r="D307" s="11">
        <v>296</v>
      </c>
      <c r="E307">
        <f t="shared" si="93"/>
        <v>296</v>
      </c>
      <c r="F307">
        <f t="shared" si="95"/>
        <v>10435971</v>
      </c>
      <c r="G307">
        <f t="shared" si="89"/>
        <v>1043.5971</v>
      </c>
      <c r="H307">
        <f t="shared" si="87"/>
        <v>29600</v>
      </c>
      <c r="I307">
        <f t="shared" si="97"/>
        <v>14208</v>
      </c>
      <c r="J307">
        <f t="shared" ref="J307:J338" si="99">IF(H307&gt;H308,(H307-H308)/B307,0)</f>
        <v>8.14490573038196e-5</v>
      </c>
      <c r="K307">
        <f t="shared" si="88"/>
        <v>540755142</v>
      </c>
      <c r="L307">
        <f t="shared" si="98"/>
        <v>5.47382682123437e-5</v>
      </c>
      <c r="M307">
        <f t="shared" si="90"/>
        <v>23276532</v>
      </c>
      <c r="N307">
        <f t="shared" si="94"/>
        <v>629247419</v>
      </c>
      <c r="O307">
        <f t="shared" si="85"/>
        <v>4.35167982776768e-5</v>
      </c>
    </row>
    <row r="308" ht="13.9" spans="1:15">
      <c r="A308" s="42" t="s">
        <v>241</v>
      </c>
      <c r="B308" s="11">
        <v>35111100</v>
      </c>
      <c r="C308" s="11">
        <v>3954274</v>
      </c>
      <c r="D308" s="11">
        <v>279</v>
      </c>
      <c r="E308">
        <f t="shared" si="93"/>
        <v>279</v>
      </c>
      <c r="F308">
        <f t="shared" si="95"/>
        <v>17555550</v>
      </c>
      <c r="G308">
        <f t="shared" si="89"/>
        <v>1755.555</v>
      </c>
      <c r="H308">
        <f t="shared" si="87"/>
        <v>27900</v>
      </c>
      <c r="I308">
        <f t="shared" si="97"/>
        <v>13392</v>
      </c>
      <c r="J308">
        <f t="shared" si="99"/>
        <v>5.98101455095397e-5</v>
      </c>
      <c r="K308">
        <f t="shared" si="88"/>
        <v>505644042</v>
      </c>
      <c r="L308">
        <f t="shared" si="98"/>
        <v>5.51771556323411e-5</v>
      </c>
      <c r="M308">
        <f t="shared" si="90"/>
        <v>39065374</v>
      </c>
      <c r="N308">
        <f t="shared" si="94"/>
        <v>605970887</v>
      </c>
      <c r="O308">
        <f t="shared" si="85"/>
        <v>7.67612540771192e-5</v>
      </c>
    </row>
    <row r="309" ht="13.9" spans="1:15">
      <c r="A309" s="42" t="s">
        <v>242</v>
      </c>
      <c r="B309" s="11">
        <v>24460132</v>
      </c>
      <c r="C309" s="11">
        <v>2897420</v>
      </c>
      <c r="D309" s="11">
        <v>258</v>
      </c>
      <c r="E309">
        <f t="shared" si="93"/>
        <v>258</v>
      </c>
      <c r="F309">
        <f t="shared" si="95"/>
        <v>12230066</v>
      </c>
      <c r="G309">
        <f t="shared" si="89"/>
        <v>1223.0066</v>
      </c>
      <c r="H309">
        <f t="shared" si="87"/>
        <v>25800</v>
      </c>
      <c r="I309">
        <f t="shared" si="97"/>
        <v>12384</v>
      </c>
      <c r="J309">
        <f t="shared" si="99"/>
        <v>6.1324280670276e-5</v>
      </c>
      <c r="K309">
        <f t="shared" si="88"/>
        <v>481183910</v>
      </c>
      <c r="L309">
        <f t="shared" si="98"/>
        <v>5.36177529294361e-5</v>
      </c>
      <c r="M309">
        <f t="shared" si="90"/>
        <v>27357552</v>
      </c>
      <c r="N309">
        <f t="shared" si="94"/>
        <v>566905513</v>
      </c>
      <c r="O309">
        <f t="shared" si="85"/>
        <v>6.8594062260178e-5</v>
      </c>
    </row>
    <row r="310" ht="13.9" spans="1:15">
      <c r="A310" s="42" t="s">
        <v>243</v>
      </c>
      <c r="B310" s="11">
        <v>19540502</v>
      </c>
      <c r="C310" s="11">
        <v>2327280</v>
      </c>
      <c r="D310" s="11">
        <v>243</v>
      </c>
      <c r="E310">
        <f t="shared" si="93"/>
        <v>243</v>
      </c>
      <c r="F310">
        <f t="shared" si="95"/>
        <v>9770251</v>
      </c>
      <c r="G310">
        <f t="shared" si="89"/>
        <v>977.0251</v>
      </c>
      <c r="H310">
        <f t="shared" si="87"/>
        <v>24300</v>
      </c>
      <c r="I310">
        <f t="shared" si="97"/>
        <v>11664</v>
      </c>
      <c r="J310">
        <f t="shared" si="99"/>
        <v>7.16460610889116e-5</v>
      </c>
      <c r="K310">
        <f t="shared" si="88"/>
        <v>461643408</v>
      </c>
      <c r="L310">
        <f t="shared" si="98"/>
        <v>5.26380309539696e-5</v>
      </c>
      <c r="M310">
        <f t="shared" si="90"/>
        <v>21867782</v>
      </c>
      <c r="N310">
        <f t="shared" si="94"/>
        <v>539547961</v>
      </c>
      <c r="O310">
        <f t="shared" si="85"/>
        <v>3.76503999010332e-5</v>
      </c>
    </row>
    <row r="311" ht="13.9" spans="1:15">
      <c r="A311" s="42" t="s">
        <v>244</v>
      </c>
      <c r="B311" s="11">
        <v>33343086</v>
      </c>
      <c r="C311" s="11">
        <v>3841114</v>
      </c>
      <c r="D311" s="11">
        <v>229</v>
      </c>
      <c r="E311">
        <f t="shared" si="93"/>
        <v>229</v>
      </c>
      <c r="F311">
        <f t="shared" si="95"/>
        <v>16671543</v>
      </c>
      <c r="G311">
        <f t="shared" si="89"/>
        <v>1667.1543</v>
      </c>
      <c r="H311">
        <f t="shared" si="87"/>
        <v>22900</v>
      </c>
      <c r="I311">
        <f t="shared" si="97"/>
        <v>10992</v>
      </c>
      <c r="J311">
        <f t="shared" si="99"/>
        <v>5.6983327817947e-5</v>
      </c>
      <c r="K311">
        <f t="shared" si="88"/>
        <v>428300322</v>
      </c>
      <c r="L311">
        <f t="shared" si="98"/>
        <v>5.34671556936163e-5</v>
      </c>
      <c r="M311">
        <f t="shared" si="90"/>
        <v>37184200</v>
      </c>
      <c r="N311">
        <f t="shared" si="94"/>
        <v>517680179</v>
      </c>
      <c r="O311">
        <f t="shared" si="85"/>
        <v>7.43482262743658e-5</v>
      </c>
    </row>
    <row r="312" ht="13.9" spans="1:15">
      <c r="A312" s="42" t="s">
        <v>245</v>
      </c>
      <c r="B312" s="11">
        <v>22792674</v>
      </c>
      <c r="C312" s="11">
        <v>2762744</v>
      </c>
      <c r="D312" s="11">
        <v>210</v>
      </c>
      <c r="E312">
        <f t="shared" si="93"/>
        <v>210</v>
      </c>
      <c r="F312">
        <f t="shared" si="95"/>
        <v>11396337</v>
      </c>
      <c r="G312">
        <f t="shared" si="89"/>
        <v>1139.6337</v>
      </c>
      <c r="H312">
        <f t="shared" si="87"/>
        <v>21000</v>
      </c>
      <c r="I312">
        <f t="shared" si="97"/>
        <v>10080</v>
      </c>
      <c r="J312">
        <f t="shared" si="99"/>
        <v>5.26484957403418e-5</v>
      </c>
      <c r="K312">
        <f t="shared" si="88"/>
        <v>405507648</v>
      </c>
      <c r="L312">
        <f t="shared" si="98"/>
        <v>5.17869394167382e-5</v>
      </c>
      <c r="M312">
        <f t="shared" si="90"/>
        <v>25555418</v>
      </c>
      <c r="N312">
        <f t="shared" si="94"/>
        <v>480495979</v>
      </c>
      <c r="O312">
        <f t="shared" si="85"/>
        <v>6.07527908693011e-5</v>
      </c>
    </row>
    <row r="313" ht="13.9" spans="1:15">
      <c r="A313" s="42" t="s">
        <v>246</v>
      </c>
      <c r="B313" s="11">
        <v>17588148</v>
      </c>
      <c r="C313" s="11">
        <v>2164031</v>
      </c>
      <c r="D313" s="11">
        <v>198</v>
      </c>
      <c r="E313">
        <f t="shared" si="93"/>
        <v>198</v>
      </c>
      <c r="F313">
        <f t="shared" si="95"/>
        <v>8794074</v>
      </c>
      <c r="G313">
        <f t="shared" si="89"/>
        <v>879.4074</v>
      </c>
      <c r="H313">
        <f t="shared" si="87"/>
        <v>19800</v>
      </c>
      <c r="I313">
        <f t="shared" si="97"/>
        <v>9504</v>
      </c>
      <c r="J313">
        <f t="shared" si="99"/>
        <v>7.95990572742508e-5</v>
      </c>
      <c r="K313">
        <f t="shared" si="88"/>
        <v>387919500</v>
      </c>
      <c r="L313">
        <f t="shared" si="98"/>
        <v>5.10415176344577e-5</v>
      </c>
      <c r="M313">
        <f t="shared" si="90"/>
        <v>19752179</v>
      </c>
      <c r="N313">
        <f t="shared" si="94"/>
        <v>454940561</v>
      </c>
      <c r="O313">
        <f t="shared" si="85"/>
        <v>4.19737785607953e-5</v>
      </c>
    </row>
    <row r="314" ht="13.9" spans="1:15">
      <c r="A314" s="42" t="s">
        <v>247</v>
      </c>
      <c r="B314" s="11">
        <v>29820522</v>
      </c>
      <c r="C314" s="11">
        <v>3533635</v>
      </c>
      <c r="D314" s="11">
        <v>184</v>
      </c>
      <c r="E314">
        <f t="shared" si="93"/>
        <v>184</v>
      </c>
      <c r="F314">
        <f t="shared" si="95"/>
        <v>14910261</v>
      </c>
      <c r="G314">
        <f t="shared" si="89"/>
        <v>1491.0261</v>
      </c>
      <c r="H314">
        <f t="shared" si="87"/>
        <v>18400</v>
      </c>
      <c r="I314">
        <f t="shared" si="97"/>
        <v>8832</v>
      </c>
      <c r="J314">
        <f t="shared" si="99"/>
        <v>5.36543257022798e-5</v>
      </c>
      <c r="K314">
        <f t="shared" si="88"/>
        <v>358098978</v>
      </c>
      <c r="L314">
        <f t="shared" si="98"/>
        <v>5.13824420911919e-5</v>
      </c>
      <c r="M314">
        <f t="shared" si="90"/>
        <v>33354157</v>
      </c>
      <c r="N314">
        <f t="shared" si="94"/>
        <v>435188382</v>
      </c>
      <c r="O314">
        <f t="shared" si="85"/>
        <v>6.91062497359925e-5</v>
      </c>
    </row>
    <row r="315" ht="13.9" spans="1:15">
      <c r="A315" s="42" t="s">
        <v>248</v>
      </c>
      <c r="B315" s="11">
        <v>20580864</v>
      </c>
      <c r="C315" s="11">
        <v>2571890</v>
      </c>
      <c r="D315" s="11">
        <v>168</v>
      </c>
      <c r="E315">
        <f t="shared" si="93"/>
        <v>168</v>
      </c>
      <c r="F315">
        <f t="shared" si="95"/>
        <v>10290432</v>
      </c>
      <c r="G315">
        <f t="shared" si="89"/>
        <v>1029.0432</v>
      </c>
      <c r="H315">
        <f t="shared" si="87"/>
        <v>16800</v>
      </c>
      <c r="I315">
        <f t="shared" si="97"/>
        <v>8064</v>
      </c>
      <c r="J315">
        <f t="shared" si="99"/>
        <v>5.34477075403637e-5</v>
      </c>
      <c r="K315">
        <f t="shared" si="88"/>
        <v>337518114</v>
      </c>
      <c r="L315">
        <f t="shared" si="98"/>
        <v>4.97751062925174e-5</v>
      </c>
      <c r="M315">
        <f t="shared" si="90"/>
        <v>23152754</v>
      </c>
      <c r="N315">
        <f t="shared" si="94"/>
        <v>401834225</v>
      </c>
      <c r="O315">
        <f t="shared" si="85"/>
        <v>6.66501132021877e-5</v>
      </c>
    </row>
    <row r="316" ht="13.9" spans="1:15">
      <c r="A316" s="42" t="s">
        <v>249</v>
      </c>
      <c r="B316" s="11">
        <v>14662632</v>
      </c>
      <c r="C316" s="11">
        <v>1841466</v>
      </c>
      <c r="D316" s="11">
        <v>157</v>
      </c>
      <c r="E316">
        <f t="shared" si="93"/>
        <v>157</v>
      </c>
      <c r="F316">
        <f t="shared" si="95"/>
        <v>7331316</v>
      </c>
      <c r="G316">
        <f t="shared" si="89"/>
        <v>733.1316</v>
      </c>
      <c r="H316">
        <f t="shared" si="87"/>
        <v>15700</v>
      </c>
      <c r="I316">
        <f t="shared" si="97"/>
        <v>7536</v>
      </c>
      <c r="J316">
        <f t="shared" si="99"/>
        <v>4.77404056788713e-5</v>
      </c>
      <c r="K316">
        <f t="shared" si="88"/>
        <v>322855482</v>
      </c>
      <c r="L316">
        <f t="shared" si="98"/>
        <v>4.8628568741478e-5</v>
      </c>
      <c r="M316">
        <f t="shared" si="90"/>
        <v>16504098</v>
      </c>
      <c r="N316">
        <f t="shared" si="94"/>
        <v>378681471</v>
      </c>
      <c r="O316">
        <f t="shared" si="85"/>
        <v>2.22695453595962e-5</v>
      </c>
    </row>
    <row r="317" ht="13.9" spans="1:15">
      <c r="A317" s="42" t="s">
        <v>250</v>
      </c>
      <c r="B317" s="11">
        <v>28064636</v>
      </c>
      <c r="C317" s="11">
        <v>3368426</v>
      </c>
      <c r="D317" s="11">
        <v>150</v>
      </c>
      <c r="E317">
        <f t="shared" ref="E317:E341" si="100">IF(RIGHT(D317,1)="B",VALUE(LEFT(D317,LEN(D317)-1))*1000,D317)</f>
        <v>150</v>
      </c>
      <c r="F317">
        <f t="shared" si="95"/>
        <v>14032318</v>
      </c>
      <c r="G317">
        <f t="shared" si="89"/>
        <v>1403.2318</v>
      </c>
      <c r="H317">
        <f t="shared" si="87"/>
        <v>15000</v>
      </c>
      <c r="I317">
        <f t="shared" si="97"/>
        <v>7200</v>
      </c>
      <c r="J317">
        <f t="shared" si="99"/>
        <v>5.34480475713278e-5</v>
      </c>
      <c r="K317">
        <f t="shared" si="88"/>
        <v>294790846</v>
      </c>
      <c r="L317">
        <f t="shared" si="98"/>
        <v>5.08835338801531e-5</v>
      </c>
      <c r="M317">
        <f t="shared" si="90"/>
        <v>31433062</v>
      </c>
      <c r="N317">
        <f t="shared" si="94"/>
        <v>362177373</v>
      </c>
      <c r="O317">
        <f t="shared" si="85"/>
        <v>6.86278869693211e-5</v>
      </c>
    </row>
    <row r="318" ht="13.9" spans="1:15">
      <c r="A318" s="42" t="s">
        <v>251</v>
      </c>
      <c r="B318" s="11">
        <v>19412468</v>
      </c>
      <c r="C318" s="11">
        <v>2444536</v>
      </c>
      <c r="D318" s="11">
        <v>135</v>
      </c>
      <c r="E318">
        <f t="shared" si="100"/>
        <v>135</v>
      </c>
      <c r="F318">
        <f t="shared" si="95"/>
        <v>9706234</v>
      </c>
      <c r="G318">
        <f t="shared" si="89"/>
        <v>970.6234</v>
      </c>
      <c r="H318">
        <f t="shared" si="87"/>
        <v>13500</v>
      </c>
      <c r="I318">
        <f t="shared" si="97"/>
        <v>6480</v>
      </c>
      <c r="J318">
        <f t="shared" si="99"/>
        <v>5.15132851732196e-5</v>
      </c>
      <c r="K318">
        <f t="shared" si="88"/>
        <v>275378378</v>
      </c>
      <c r="L318">
        <f t="shared" si="98"/>
        <v>4.90234567363165e-5</v>
      </c>
      <c r="M318">
        <f t="shared" si="90"/>
        <v>21857004</v>
      </c>
      <c r="N318">
        <f t="shared" si="94"/>
        <v>330744311</v>
      </c>
      <c r="O318">
        <f t="shared" ref="O318:O381" si="101">IF(H318&gt;H319,(H318-H319)/M319,H318/M319)</f>
        <v>5.74713271238629e-5</v>
      </c>
    </row>
    <row r="319" ht="13.9" spans="1:15">
      <c r="A319" s="42" t="s">
        <v>252</v>
      </c>
      <c r="B319" s="11">
        <v>15446688</v>
      </c>
      <c r="C319" s="11">
        <v>1953293</v>
      </c>
      <c r="D319" s="11">
        <v>125</v>
      </c>
      <c r="E319">
        <f t="shared" si="100"/>
        <v>125</v>
      </c>
      <c r="F319">
        <f t="shared" si="95"/>
        <v>7723344</v>
      </c>
      <c r="G319">
        <f t="shared" si="89"/>
        <v>772.3344</v>
      </c>
      <c r="H319">
        <f t="shared" si="87"/>
        <v>12500</v>
      </c>
      <c r="I319">
        <f t="shared" si="97"/>
        <v>6000</v>
      </c>
      <c r="J319">
        <f t="shared" si="99"/>
        <v>5.17910376645142e-5</v>
      </c>
      <c r="K319">
        <f t="shared" si="88"/>
        <v>259931690</v>
      </c>
      <c r="L319">
        <f t="shared" si="98"/>
        <v>4.80895576834052e-5</v>
      </c>
      <c r="M319">
        <f t="shared" si="90"/>
        <v>17399981</v>
      </c>
      <c r="N319">
        <f t="shared" si="94"/>
        <v>308887307</v>
      </c>
      <c r="O319">
        <f t="shared" si="101"/>
        <v>2.67332752953927e-5</v>
      </c>
    </row>
    <row r="320" ht="13.9" spans="1:15">
      <c r="A320" s="42" t="s">
        <v>253</v>
      </c>
      <c r="B320" s="11">
        <v>26657476</v>
      </c>
      <c r="C320" s="11">
        <v>3267776</v>
      </c>
      <c r="D320" s="11">
        <v>117</v>
      </c>
      <c r="E320">
        <f t="shared" si="100"/>
        <v>117</v>
      </c>
      <c r="F320">
        <f t="shared" si="95"/>
        <v>13328738</v>
      </c>
      <c r="G320">
        <f t="shared" si="89"/>
        <v>1332.8738</v>
      </c>
      <c r="H320">
        <f t="shared" si="87"/>
        <v>11700</v>
      </c>
      <c r="I320">
        <f t="shared" si="97"/>
        <v>5616</v>
      </c>
      <c r="J320">
        <f t="shared" si="99"/>
        <v>6.00206861294745e-5</v>
      </c>
      <c r="K320">
        <f t="shared" si="88"/>
        <v>233274214</v>
      </c>
      <c r="L320">
        <f t="shared" si="98"/>
        <v>5.0155564986707e-5</v>
      </c>
      <c r="M320">
        <f t="shared" si="90"/>
        <v>29925252</v>
      </c>
      <c r="N320">
        <f t="shared" si="94"/>
        <v>291487326</v>
      </c>
      <c r="O320">
        <f t="shared" si="101"/>
        <v>7.44827498882293e-5</v>
      </c>
    </row>
    <row r="321" ht="13.9" spans="1:15">
      <c r="A321" s="42" t="s">
        <v>254</v>
      </c>
      <c r="B321" s="11">
        <v>19029508</v>
      </c>
      <c r="C321" s="11">
        <v>2451976</v>
      </c>
      <c r="D321" s="11">
        <v>101</v>
      </c>
      <c r="E321">
        <f t="shared" si="100"/>
        <v>101</v>
      </c>
      <c r="F321">
        <f t="shared" si="95"/>
        <v>9514754</v>
      </c>
      <c r="G321">
        <f t="shared" si="89"/>
        <v>951.4754</v>
      </c>
      <c r="H321">
        <f t="shared" si="87"/>
        <v>10100</v>
      </c>
      <c r="I321">
        <f t="shared" si="97"/>
        <v>4848</v>
      </c>
      <c r="J321">
        <f t="shared" si="99"/>
        <v>5.78049626926771e-5</v>
      </c>
      <c r="K321">
        <f t="shared" si="88"/>
        <v>214244706</v>
      </c>
      <c r="L321">
        <f t="shared" si="98"/>
        <v>4.71423550601059e-5</v>
      </c>
      <c r="M321">
        <f t="shared" si="90"/>
        <v>21481484</v>
      </c>
      <c r="N321">
        <f t="shared" si="94"/>
        <v>261562074</v>
      </c>
      <c r="O321">
        <f t="shared" si="101"/>
        <v>6.84129039673141e-5</v>
      </c>
    </row>
    <row r="322" ht="13.9" spans="1:15">
      <c r="A322" s="42" t="s">
        <v>255</v>
      </c>
      <c r="B322" s="11">
        <v>14207704</v>
      </c>
      <c r="C322" s="11">
        <v>1871134</v>
      </c>
      <c r="D322" s="11">
        <v>90</v>
      </c>
      <c r="E322">
        <f t="shared" si="100"/>
        <v>90</v>
      </c>
      <c r="F322">
        <f t="shared" si="95"/>
        <v>7103852</v>
      </c>
      <c r="G322">
        <f t="shared" si="89"/>
        <v>710.3852</v>
      </c>
      <c r="H322">
        <f t="shared" si="87"/>
        <v>9000</v>
      </c>
      <c r="I322">
        <f t="shared" si="97"/>
        <v>4320</v>
      </c>
      <c r="J322">
        <f t="shared" si="99"/>
        <v>4.92690444564442e-5</v>
      </c>
      <c r="K322">
        <f t="shared" si="88"/>
        <v>200037002</v>
      </c>
      <c r="L322">
        <f t="shared" si="98"/>
        <v>4.49916760900066e-5</v>
      </c>
      <c r="M322">
        <f t="shared" si="90"/>
        <v>16078838</v>
      </c>
      <c r="N322">
        <f t="shared" si="94"/>
        <v>240080590</v>
      </c>
      <c r="O322">
        <f t="shared" si="101"/>
        <v>2.48450247216869e-5</v>
      </c>
    </row>
    <row r="323" ht="13.9" spans="1:15">
      <c r="A323" s="42" t="s">
        <v>256</v>
      </c>
      <c r="B323" s="11">
        <v>25021656</v>
      </c>
      <c r="C323" s="11">
        <v>3152999</v>
      </c>
      <c r="D323" s="11">
        <v>83</v>
      </c>
      <c r="E323">
        <f t="shared" si="100"/>
        <v>83</v>
      </c>
      <c r="F323">
        <f t="shared" si="95"/>
        <v>12510828</v>
      </c>
      <c r="G323">
        <f t="shared" si="89"/>
        <v>1251.0828</v>
      </c>
      <c r="H323">
        <f t="shared" ref="H323:H386" si="102">E323*100</f>
        <v>8300</v>
      </c>
      <c r="I323">
        <f t="shared" si="97"/>
        <v>3984</v>
      </c>
      <c r="J323">
        <f t="shared" si="99"/>
        <v>5.99480705833379e-5</v>
      </c>
      <c r="K323">
        <f t="shared" ref="K323:K386" si="103">IF(E323&gt;E324,B324+K324,B324)</f>
        <v>175015346</v>
      </c>
      <c r="L323">
        <f t="shared" si="98"/>
        <v>4.74244127140714e-5</v>
      </c>
      <c r="M323">
        <f t="shared" si="90"/>
        <v>28174655</v>
      </c>
      <c r="N323">
        <f t="shared" si="94"/>
        <v>224001752</v>
      </c>
      <c r="O323">
        <f t="shared" si="101"/>
        <v>7.80891521985688e-5</v>
      </c>
    </row>
    <row r="324" ht="13.9" spans="1:15">
      <c r="A324" s="42" t="s">
        <v>257</v>
      </c>
      <c r="B324" s="11">
        <v>16948102</v>
      </c>
      <c r="C324" s="11">
        <v>2260712</v>
      </c>
      <c r="D324" s="11">
        <v>68</v>
      </c>
      <c r="E324">
        <f t="shared" si="100"/>
        <v>68</v>
      </c>
      <c r="F324">
        <f t="shared" si="95"/>
        <v>8474051</v>
      </c>
      <c r="G324">
        <f t="shared" ref="G324:G387" si="104">F324/10000</f>
        <v>847.4051</v>
      </c>
      <c r="H324">
        <f t="shared" si="102"/>
        <v>6800</v>
      </c>
      <c r="I324">
        <f t="shared" si="97"/>
        <v>3264</v>
      </c>
      <c r="J324">
        <f t="shared" si="99"/>
        <v>5.31032914482105e-5</v>
      </c>
      <c r="K324">
        <f t="shared" si="103"/>
        <v>158067244</v>
      </c>
      <c r="L324">
        <f t="shared" si="98"/>
        <v>4.301966573163e-5</v>
      </c>
      <c r="M324">
        <f t="shared" si="90"/>
        <v>19208814</v>
      </c>
      <c r="N324">
        <f t="shared" si="94"/>
        <v>195827097</v>
      </c>
      <c r="O324">
        <f t="shared" si="101"/>
        <v>6.01318491011291e-5</v>
      </c>
    </row>
    <row r="325" ht="13.9" spans="1:15">
      <c r="A325" s="42" t="s">
        <v>258</v>
      </c>
      <c r="B325" s="11">
        <v>13200086</v>
      </c>
      <c r="C325" s="11">
        <v>1767024</v>
      </c>
      <c r="D325" s="11">
        <v>59</v>
      </c>
      <c r="E325">
        <f t="shared" si="100"/>
        <v>59</v>
      </c>
      <c r="F325">
        <f t="shared" si="95"/>
        <v>6600043</v>
      </c>
      <c r="G325">
        <f t="shared" si="104"/>
        <v>660.0043</v>
      </c>
      <c r="H325">
        <f t="shared" si="102"/>
        <v>5900</v>
      </c>
      <c r="I325">
        <f t="shared" si="97"/>
        <v>2832</v>
      </c>
      <c r="J325">
        <f t="shared" si="99"/>
        <v>6.06056657509656e-5</v>
      </c>
      <c r="K325">
        <f t="shared" si="103"/>
        <v>144867158</v>
      </c>
      <c r="L325">
        <f t="shared" si="98"/>
        <v>4.07269672536822e-5</v>
      </c>
      <c r="M325">
        <f t="shared" si="90"/>
        <v>14967110</v>
      </c>
      <c r="N325">
        <f t="shared" si="94"/>
        <v>176618283</v>
      </c>
      <c r="O325">
        <f t="shared" si="101"/>
        <v>3.04375597051757e-5</v>
      </c>
    </row>
    <row r="326" ht="13.9" spans="1:15">
      <c r="A326" s="42" t="s">
        <v>259</v>
      </c>
      <c r="B326" s="11">
        <v>23286238</v>
      </c>
      <c r="C326" s="11">
        <v>2997078</v>
      </c>
      <c r="D326" s="11">
        <v>51</v>
      </c>
      <c r="E326">
        <f t="shared" si="100"/>
        <v>51</v>
      </c>
      <c r="F326">
        <f t="shared" si="95"/>
        <v>11643119</v>
      </c>
      <c r="G326">
        <f t="shared" si="104"/>
        <v>1164.3119</v>
      </c>
      <c r="H326">
        <f t="shared" si="102"/>
        <v>5100</v>
      </c>
      <c r="I326">
        <f t="shared" si="97"/>
        <v>2448</v>
      </c>
      <c r="J326">
        <f t="shared" si="99"/>
        <v>6.01213472094548e-5</v>
      </c>
      <c r="K326">
        <f t="shared" si="103"/>
        <v>121580920</v>
      </c>
      <c r="L326">
        <f t="shared" si="98"/>
        <v>4.19473713474121e-5</v>
      </c>
      <c r="M326">
        <f t="shared" si="90"/>
        <v>26283316</v>
      </c>
      <c r="N326">
        <f t="shared" si="94"/>
        <v>161651173</v>
      </c>
      <c r="O326">
        <f t="shared" si="101"/>
        <v>7.54549759888792e-5</v>
      </c>
    </row>
    <row r="327" ht="13.9" spans="1:15">
      <c r="A327" s="42" t="s">
        <v>260</v>
      </c>
      <c r="B327" s="11">
        <v>16331888</v>
      </c>
      <c r="C327" s="11">
        <v>2222223</v>
      </c>
      <c r="D327" s="11">
        <v>37</v>
      </c>
      <c r="E327">
        <f t="shared" si="100"/>
        <v>37</v>
      </c>
      <c r="F327">
        <f t="shared" si="95"/>
        <v>8165944</v>
      </c>
      <c r="G327">
        <f t="shared" si="104"/>
        <v>816.5944</v>
      </c>
      <c r="H327">
        <f t="shared" si="102"/>
        <v>3700</v>
      </c>
      <c r="I327">
        <f t="shared" si="97"/>
        <v>1776</v>
      </c>
      <c r="J327">
        <f t="shared" si="99"/>
        <v>6.1229908017983e-5</v>
      </c>
      <c r="K327">
        <f t="shared" si="103"/>
        <v>105249032</v>
      </c>
      <c r="L327">
        <f t="shared" si="98"/>
        <v>3.51547176224861e-5</v>
      </c>
      <c r="M327">
        <f t="shared" si="90"/>
        <v>18554111</v>
      </c>
      <c r="N327">
        <f t="shared" si="94"/>
        <v>135367857</v>
      </c>
      <c r="O327">
        <f t="shared" si="101"/>
        <v>7.00174889683945e-5</v>
      </c>
    </row>
    <row r="328" ht="13.9" spans="1:15">
      <c r="A328" s="42" t="s">
        <v>261</v>
      </c>
      <c r="B328" s="11">
        <v>12559790</v>
      </c>
      <c r="C328" s="11">
        <v>1722356</v>
      </c>
      <c r="D328" s="11">
        <v>27</v>
      </c>
      <c r="E328">
        <f t="shared" si="100"/>
        <v>27</v>
      </c>
      <c r="F328">
        <f t="shared" si="95"/>
        <v>6279895</v>
      </c>
      <c r="G328">
        <f t="shared" si="104"/>
        <v>627.9895</v>
      </c>
      <c r="H328">
        <f t="shared" si="102"/>
        <v>2700</v>
      </c>
      <c r="I328">
        <f t="shared" si="97"/>
        <v>1296</v>
      </c>
      <c r="J328">
        <f t="shared" si="99"/>
        <v>5.57334159249478e-5</v>
      </c>
      <c r="K328">
        <f t="shared" si="103"/>
        <v>92689242</v>
      </c>
      <c r="L328">
        <f t="shared" si="98"/>
        <v>2.9129594133481e-5</v>
      </c>
      <c r="M328">
        <f t="shared" ref="M328:M391" si="105">B328+C328</f>
        <v>14282146</v>
      </c>
      <c r="N328">
        <f t="shared" si="94"/>
        <v>116813746</v>
      </c>
      <c r="O328">
        <f t="shared" si="101"/>
        <v>2.57812453962062e-5</v>
      </c>
    </row>
    <row r="329" ht="13.9" spans="1:15">
      <c r="A329" s="42" t="s">
        <v>262</v>
      </c>
      <c r="B329" s="11">
        <v>24084248</v>
      </c>
      <c r="C329" s="11">
        <v>3067272</v>
      </c>
      <c r="D329" s="11">
        <v>20</v>
      </c>
      <c r="E329">
        <f t="shared" si="100"/>
        <v>20</v>
      </c>
      <c r="F329">
        <f t="shared" si="95"/>
        <v>12042124</v>
      </c>
      <c r="G329">
        <f t="shared" si="104"/>
        <v>1204.2124</v>
      </c>
      <c r="H329">
        <f t="shared" si="102"/>
        <v>2000</v>
      </c>
      <c r="I329">
        <f t="shared" si="97"/>
        <v>960</v>
      </c>
      <c r="J329">
        <f t="shared" si="99"/>
        <v>0</v>
      </c>
      <c r="K329">
        <f t="shared" si="103"/>
        <v>68604994</v>
      </c>
      <c r="L329">
        <f t="shared" si="98"/>
        <v>0</v>
      </c>
      <c r="M329">
        <f t="shared" si="105"/>
        <v>27151520</v>
      </c>
      <c r="N329">
        <f t="shared" si="94"/>
        <v>102531600</v>
      </c>
      <c r="O329">
        <f t="shared" si="101"/>
        <v>2.65322085091977e-5</v>
      </c>
    </row>
    <row r="330" ht="13.9" spans="1:15">
      <c r="A330" s="42" t="s">
        <v>263</v>
      </c>
      <c r="B330" s="11">
        <v>68604994</v>
      </c>
      <c r="C330" s="11">
        <v>6775086</v>
      </c>
      <c r="D330" s="27">
        <v>473.1</v>
      </c>
      <c r="E330">
        <f t="shared" si="100"/>
        <v>473.1</v>
      </c>
      <c r="F330">
        <f t="shared" si="95"/>
        <v>34302497</v>
      </c>
      <c r="G330">
        <f t="shared" si="104"/>
        <v>3430.2497</v>
      </c>
      <c r="H330">
        <f t="shared" si="102"/>
        <v>47310</v>
      </c>
      <c r="I330">
        <f t="shared" si="97"/>
        <v>22708.8</v>
      </c>
      <c r="J330">
        <f t="shared" si="99"/>
        <v>7.59419933773334e-5</v>
      </c>
      <c r="K330">
        <f t="shared" si="103"/>
        <v>793858932</v>
      </c>
      <c r="L330">
        <f t="shared" si="98"/>
        <v>5.95949709614151e-5</v>
      </c>
      <c r="M330">
        <f t="shared" si="105"/>
        <v>75380080</v>
      </c>
      <c r="N330">
        <f t="shared" si="94"/>
        <v>962213102</v>
      </c>
      <c r="O330">
        <f t="shared" si="101"/>
        <v>0.000103351068125354</v>
      </c>
    </row>
    <row r="331" ht="13.9" spans="1:15">
      <c r="A331" s="42" t="s">
        <v>264</v>
      </c>
      <c r="B331" s="11">
        <v>45811120</v>
      </c>
      <c r="C331" s="11">
        <v>4599583</v>
      </c>
      <c r="D331" s="11">
        <v>421</v>
      </c>
      <c r="E331">
        <f t="shared" si="100"/>
        <v>421</v>
      </c>
      <c r="F331">
        <f t="shared" si="95"/>
        <v>22905560</v>
      </c>
      <c r="G331">
        <f t="shared" si="104"/>
        <v>2290.556</v>
      </c>
      <c r="H331">
        <f t="shared" si="102"/>
        <v>42100</v>
      </c>
      <c r="I331">
        <f t="shared" si="97"/>
        <v>20208</v>
      </c>
      <c r="J331">
        <f t="shared" si="99"/>
        <v>4.5840398575717e-5</v>
      </c>
      <c r="K331">
        <f t="shared" si="103"/>
        <v>748047812</v>
      </c>
      <c r="L331">
        <f t="shared" si="98"/>
        <v>5.62798250655133e-5</v>
      </c>
      <c r="M331">
        <f t="shared" si="105"/>
        <v>50410703</v>
      </c>
      <c r="N331">
        <f t="shared" si="94"/>
        <v>886833022</v>
      </c>
      <c r="O331">
        <f t="shared" si="101"/>
        <v>3.09540274469361e-5</v>
      </c>
    </row>
    <row r="332" ht="13.9" spans="1:15">
      <c r="A332" s="42" t="s">
        <v>265</v>
      </c>
      <c r="B332" s="11">
        <v>61617186</v>
      </c>
      <c r="C332" s="11">
        <v>6225359</v>
      </c>
      <c r="D332" s="11">
        <v>400</v>
      </c>
      <c r="E332">
        <f t="shared" si="100"/>
        <v>400</v>
      </c>
      <c r="F332">
        <f t="shared" si="95"/>
        <v>30808593</v>
      </c>
      <c r="G332">
        <f t="shared" si="104"/>
        <v>3080.8593</v>
      </c>
      <c r="H332">
        <f t="shared" si="102"/>
        <v>40000</v>
      </c>
      <c r="I332">
        <f t="shared" si="97"/>
        <v>19200</v>
      </c>
      <c r="J332">
        <f t="shared" si="99"/>
        <v>4.86877151449273e-5</v>
      </c>
      <c r="K332">
        <f t="shared" si="103"/>
        <v>686430626</v>
      </c>
      <c r="L332">
        <f t="shared" si="98"/>
        <v>5.82724582571291e-5</v>
      </c>
      <c r="M332">
        <f t="shared" si="105"/>
        <v>67842545</v>
      </c>
      <c r="N332">
        <f t="shared" si="94"/>
        <v>836422319</v>
      </c>
      <c r="O332">
        <f t="shared" si="101"/>
        <v>7.40402221532442e-5</v>
      </c>
    </row>
    <row r="333" ht="13.9" spans="1:15">
      <c r="A333" s="42" t="s">
        <v>266</v>
      </c>
      <c r="B333" s="11">
        <v>36541778</v>
      </c>
      <c r="C333" s="11">
        <v>3976739</v>
      </c>
      <c r="D333" s="11">
        <v>370</v>
      </c>
      <c r="E333">
        <f t="shared" si="100"/>
        <v>370</v>
      </c>
      <c r="F333">
        <f t="shared" si="95"/>
        <v>18270889</v>
      </c>
      <c r="G333">
        <f t="shared" si="104"/>
        <v>1827.0889</v>
      </c>
      <c r="H333">
        <f t="shared" si="102"/>
        <v>37000</v>
      </c>
      <c r="I333">
        <f t="shared" si="97"/>
        <v>17760</v>
      </c>
      <c r="J333">
        <f t="shared" si="99"/>
        <v>6.02050617241449e-5</v>
      </c>
      <c r="K333">
        <f t="shared" si="103"/>
        <v>649888848</v>
      </c>
      <c r="L333">
        <f t="shared" si="98"/>
        <v>5.6932812609211e-5</v>
      </c>
      <c r="M333">
        <f t="shared" si="105"/>
        <v>40518517</v>
      </c>
      <c r="N333">
        <f t="shared" si="94"/>
        <v>768579774</v>
      </c>
      <c r="O333">
        <f t="shared" si="101"/>
        <v>7.39229278210485e-5</v>
      </c>
    </row>
    <row r="334" ht="13.9" spans="1:15">
      <c r="A334" s="42" t="s">
        <v>267</v>
      </c>
      <c r="B334" s="11">
        <v>26791842</v>
      </c>
      <c r="C334" s="11">
        <v>2968884</v>
      </c>
      <c r="D334" s="11">
        <v>348</v>
      </c>
      <c r="E334">
        <f t="shared" si="100"/>
        <v>348</v>
      </c>
      <c r="F334">
        <f t="shared" si="95"/>
        <v>13395921</v>
      </c>
      <c r="G334">
        <f t="shared" si="104"/>
        <v>1339.5921</v>
      </c>
      <c r="H334">
        <f t="shared" si="102"/>
        <v>34800</v>
      </c>
      <c r="I334">
        <f t="shared" si="97"/>
        <v>16704</v>
      </c>
      <c r="J334">
        <f t="shared" si="99"/>
        <v>8.58470276138535e-5</v>
      </c>
      <c r="K334">
        <f t="shared" si="103"/>
        <v>623097006</v>
      </c>
      <c r="L334">
        <f t="shared" si="98"/>
        <v>5.58500517012595e-5</v>
      </c>
      <c r="M334">
        <f t="shared" si="105"/>
        <v>29760726</v>
      </c>
      <c r="N334">
        <f t="shared" si="94"/>
        <v>728061257</v>
      </c>
      <c r="O334">
        <f t="shared" si="101"/>
        <v>4.55690498500441e-5</v>
      </c>
    </row>
    <row r="335" ht="13.9" spans="1:15">
      <c r="A335" s="42" t="s">
        <v>268</v>
      </c>
      <c r="B335" s="11">
        <v>45678386</v>
      </c>
      <c r="C335" s="11">
        <v>4794468</v>
      </c>
      <c r="D335" s="11">
        <v>325</v>
      </c>
      <c r="E335">
        <f t="shared" si="100"/>
        <v>325</v>
      </c>
      <c r="F335">
        <f t="shared" si="95"/>
        <v>22839193</v>
      </c>
      <c r="G335">
        <f t="shared" si="104"/>
        <v>2283.9193</v>
      </c>
      <c r="H335">
        <f t="shared" si="102"/>
        <v>32500</v>
      </c>
      <c r="I335">
        <f t="shared" si="97"/>
        <v>15600</v>
      </c>
      <c r="J335">
        <f t="shared" si="99"/>
        <v>5.03520417731047e-5</v>
      </c>
      <c r="K335">
        <f t="shared" si="103"/>
        <v>577418620</v>
      </c>
      <c r="L335">
        <f t="shared" si="98"/>
        <v>5.62849878308393e-5</v>
      </c>
      <c r="M335">
        <f t="shared" si="105"/>
        <v>50472854</v>
      </c>
      <c r="N335">
        <f t="shared" si="94"/>
        <v>698300531</v>
      </c>
      <c r="O335">
        <f t="shared" si="101"/>
        <v>6.74047506399348e-5</v>
      </c>
    </row>
    <row r="336" ht="13.9" spans="1:15">
      <c r="A336" s="42" t="s">
        <v>269</v>
      </c>
      <c r="B336" s="11">
        <v>30713438</v>
      </c>
      <c r="C336" s="11">
        <v>3408786</v>
      </c>
      <c r="D336" s="11">
        <v>302</v>
      </c>
      <c r="E336">
        <f t="shared" si="100"/>
        <v>302</v>
      </c>
      <c r="F336">
        <f t="shared" si="95"/>
        <v>15356719</v>
      </c>
      <c r="G336">
        <f t="shared" si="104"/>
        <v>1535.6719</v>
      </c>
      <c r="H336">
        <f t="shared" si="102"/>
        <v>30200</v>
      </c>
      <c r="I336">
        <f t="shared" si="97"/>
        <v>14496</v>
      </c>
      <c r="J336">
        <f t="shared" si="99"/>
        <v>4.55826534300719e-5</v>
      </c>
      <c r="K336">
        <f t="shared" si="103"/>
        <v>546705182</v>
      </c>
      <c r="L336">
        <f t="shared" si="98"/>
        <v>5.52400105108204e-5</v>
      </c>
      <c r="M336">
        <f t="shared" si="105"/>
        <v>34122224</v>
      </c>
      <c r="N336">
        <f t="shared" si="94"/>
        <v>647827677</v>
      </c>
      <c r="O336">
        <f t="shared" si="101"/>
        <v>5.73976747054023e-5</v>
      </c>
    </row>
    <row r="337" ht="13.9" spans="1:15">
      <c r="A337" s="42" t="s">
        <v>270</v>
      </c>
      <c r="B337" s="11">
        <v>21902222</v>
      </c>
      <c r="C337" s="11">
        <v>2489010</v>
      </c>
      <c r="D337" s="11">
        <v>288</v>
      </c>
      <c r="E337">
        <f t="shared" si="100"/>
        <v>288</v>
      </c>
      <c r="F337">
        <f t="shared" si="95"/>
        <v>10951111</v>
      </c>
      <c r="G337">
        <f t="shared" si="104"/>
        <v>1095.1111</v>
      </c>
      <c r="H337">
        <f t="shared" si="102"/>
        <v>28800</v>
      </c>
      <c r="I337">
        <f t="shared" si="97"/>
        <v>13824</v>
      </c>
      <c r="J337">
        <f t="shared" si="99"/>
        <v>9.13149359914259e-5</v>
      </c>
      <c r="K337">
        <f t="shared" si="103"/>
        <v>524802960</v>
      </c>
      <c r="L337">
        <f t="shared" si="98"/>
        <v>5.48777392566536e-5</v>
      </c>
      <c r="M337">
        <f t="shared" si="105"/>
        <v>24391232</v>
      </c>
      <c r="N337">
        <f t="shared" si="94"/>
        <v>613705453</v>
      </c>
      <c r="O337">
        <f t="shared" si="101"/>
        <v>4.75224864525272e-5</v>
      </c>
    </row>
    <row r="338" ht="13.9" spans="1:15">
      <c r="A338" s="42" t="s">
        <v>271</v>
      </c>
      <c r="B338" s="11">
        <v>37933870</v>
      </c>
      <c r="C338" s="11">
        <v>4151470</v>
      </c>
      <c r="D338" s="11">
        <v>268</v>
      </c>
      <c r="E338">
        <f t="shared" si="100"/>
        <v>268</v>
      </c>
      <c r="F338">
        <f t="shared" si="95"/>
        <v>18966935</v>
      </c>
      <c r="G338">
        <f t="shared" si="104"/>
        <v>1896.6935</v>
      </c>
      <c r="H338">
        <f t="shared" si="102"/>
        <v>26800</v>
      </c>
      <c r="I338">
        <f t="shared" si="97"/>
        <v>12864</v>
      </c>
      <c r="J338">
        <f t="shared" si="99"/>
        <v>5.79956645604574e-5</v>
      </c>
      <c r="K338">
        <f t="shared" si="103"/>
        <v>486869090</v>
      </c>
      <c r="L338">
        <f t="shared" si="98"/>
        <v>5.50455975753154e-5</v>
      </c>
      <c r="M338">
        <f t="shared" si="105"/>
        <v>42085340</v>
      </c>
      <c r="N338">
        <f t="shared" si="94"/>
        <v>589314221</v>
      </c>
      <c r="O338">
        <f t="shared" si="101"/>
        <v>7.36890228778625e-5</v>
      </c>
    </row>
    <row r="339" ht="13.9" spans="1:15">
      <c r="A339" s="42" t="s">
        <v>272</v>
      </c>
      <c r="B339" s="11">
        <v>26789786</v>
      </c>
      <c r="C339" s="11">
        <v>3065407</v>
      </c>
      <c r="D339" s="11">
        <v>246</v>
      </c>
      <c r="E339">
        <f t="shared" si="100"/>
        <v>246</v>
      </c>
      <c r="F339">
        <f t="shared" si="95"/>
        <v>13394893</v>
      </c>
      <c r="G339">
        <f t="shared" si="104"/>
        <v>1339.4893</v>
      </c>
      <c r="H339">
        <f t="shared" si="102"/>
        <v>24600</v>
      </c>
      <c r="I339">
        <f t="shared" si="97"/>
        <v>11808</v>
      </c>
      <c r="J339">
        <f t="shared" ref="J339:J379" si="106">IF(H339&gt;H340,(H339-H340)/B339,0)</f>
        <v>5.59914886964756e-5</v>
      </c>
      <c r="K339">
        <f t="shared" si="103"/>
        <v>460079304</v>
      </c>
      <c r="L339">
        <f t="shared" si="98"/>
        <v>5.34690428065854e-5</v>
      </c>
      <c r="M339">
        <f t="shared" si="105"/>
        <v>29855193</v>
      </c>
      <c r="N339">
        <f t="shared" si="94"/>
        <v>547228881</v>
      </c>
      <c r="O339">
        <f t="shared" si="101"/>
        <v>6.33934219857939e-5</v>
      </c>
    </row>
    <row r="340" ht="13.9" spans="1:15">
      <c r="A340" s="42" t="s">
        <v>273</v>
      </c>
      <c r="B340" s="11">
        <v>21203762</v>
      </c>
      <c r="C340" s="11">
        <v>2457999</v>
      </c>
      <c r="D340" s="11">
        <v>231</v>
      </c>
      <c r="E340">
        <f t="shared" si="100"/>
        <v>231</v>
      </c>
      <c r="F340">
        <f t="shared" si="95"/>
        <v>10601881</v>
      </c>
      <c r="G340">
        <f t="shared" si="104"/>
        <v>1060.1881</v>
      </c>
      <c r="H340">
        <f t="shared" si="102"/>
        <v>23100</v>
      </c>
      <c r="I340">
        <f t="shared" si="97"/>
        <v>11088</v>
      </c>
      <c r="J340">
        <f t="shared" si="106"/>
        <v>4.24452981503943e-5</v>
      </c>
      <c r="K340">
        <f t="shared" si="103"/>
        <v>438875542</v>
      </c>
      <c r="L340">
        <f t="shared" si="98"/>
        <v>5.26345120412292e-5</v>
      </c>
      <c r="M340">
        <f t="shared" si="105"/>
        <v>23661761</v>
      </c>
      <c r="N340">
        <f t="shared" si="94"/>
        <v>517373688</v>
      </c>
      <c r="O340">
        <f t="shared" si="101"/>
        <v>2.13903875496156e-5</v>
      </c>
    </row>
    <row r="341" ht="13.9" spans="1:15">
      <c r="A341" s="42" t="s">
        <v>274</v>
      </c>
      <c r="B341" s="11">
        <v>37842638</v>
      </c>
      <c r="C341" s="11">
        <v>4232336</v>
      </c>
      <c r="D341" s="11">
        <v>222</v>
      </c>
      <c r="E341">
        <f t="shared" si="100"/>
        <v>222</v>
      </c>
      <c r="F341">
        <f t="shared" si="95"/>
        <v>18921319</v>
      </c>
      <c r="G341">
        <f t="shared" si="104"/>
        <v>1892.1319</v>
      </c>
      <c r="H341">
        <f t="shared" si="102"/>
        <v>22200</v>
      </c>
      <c r="I341">
        <f t="shared" si="97"/>
        <v>10656</v>
      </c>
      <c r="J341">
        <f t="shared" si="106"/>
        <v>4.22803505400443e-5</v>
      </c>
      <c r="K341">
        <f t="shared" si="103"/>
        <v>401032904</v>
      </c>
      <c r="L341">
        <f t="shared" ref="L341:L374" si="107">IF(E341&gt;E342,H341/K341,0)</f>
        <v>5.53570536945268e-5</v>
      </c>
      <c r="M341">
        <f t="shared" si="105"/>
        <v>42074974</v>
      </c>
      <c r="N341">
        <f t="shared" si="94"/>
        <v>493711927</v>
      </c>
      <c r="O341">
        <f t="shared" si="101"/>
        <v>5.88838723918769e-5</v>
      </c>
    </row>
    <row r="342" ht="13.9" spans="1:15">
      <c r="A342" s="42" t="s">
        <v>275</v>
      </c>
      <c r="B342" s="11">
        <v>24333820</v>
      </c>
      <c r="C342" s="11">
        <v>2838306</v>
      </c>
      <c r="D342" s="11">
        <v>206</v>
      </c>
      <c r="E342">
        <f t="shared" ref="E342:E384" si="108">IF(RIGHT(D342,1)="B",VALUE(LEFT(D342,LEN(D342)-1))*1000,D342)</f>
        <v>206</v>
      </c>
      <c r="F342">
        <f t="shared" si="95"/>
        <v>12166910</v>
      </c>
      <c r="G342">
        <f t="shared" si="104"/>
        <v>1216.691</v>
      </c>
      <c r="H342">
        <f t="shared" si="102"/>
        <v>20600</v>
      </c>
      <c r="I342">
        <f t="shared" si="97"/>
        <v>9888</v>
      </c>
      <c r="J342">
        <f t="shared" si="106"/>
        <v>4.52045753605476e-5</v>
      </c>
      <c r="K342">
        <f t="shared" si="103"/>
        <v>376699084</v>
      </c>
      <c r="L342">
        <f t="shared" si="107"/>
        <v>5.46855590442583e-5</v>
      </c>
      <c r="M342">
        <f t="shared" si="105"/>
        <v>27172126</v>
      </c>
      <c r="N342">
        <f t="shared" si="94"/>
        <v>451636953</v>
      </c>
      <c r="O342">
        <f t="shared" si="101"/>
        <v>5.46668981892634e-5</v>
      </c>
    </row>
    <row r="343" ht="13.9" spans="1:15">
      <c r="A343" s="42" t="s">
        <v>276</v>
      </c>
      <c r="B343" s="11">
        <v>17967912</v>
      </c>
      <c r="C343" s="11">
        <v>2153954</v>
      </c>
      <c r="D343" s="11">
        <v>195</v>
      </c>
      <c r="E343">
        <f t="shared" si="108"/>
        <v>195</v>
      </c>
      <c r="F343">
        <f t="shared" si="95"/>
        <v>8983956</v>
      </c>
      <c r="G343">
        <f t="shared" si="104"/>
        <v>898.3956</v>
      </c>
      <c r="H343">
        <f t="shared" si="102"/>
        <v>19500</v>
      </c>
      <c r="I343">
        <f t="shared" si="97"/>
        <v>9360</v>
      </c>
      <c r="J343">
        <f t="shared" si="106"/>
        <v>7.79166772410729e-5</v>
      </c>
      <c r="K343">
        <f t="shared" si="103"/>
        <v>358731172</v>
      </c>
      <c r="L343">
        <f t="shared" si="107"/>
        <v>5.43582535392269e-5</v>
      </c>
      <c r="M343">
        <f t="shared" si="105"/>
        <v>20121866</v>
      </c>
      <c r="N343">
        <f t="shared" si="94"/>
        <v>424464827</v>
      </c>
      <c r="O343">
        <f t="shared" si="101"/>
        <v>4.03824040597008e-5</v>
      </c>
    </row>
    <row r="344" ht="13.9" spans="1:15">
      <c r="A344" s="42" t="s">
        <v>277</v>
      </c>
      <c r="B344" s="11">
        <v>31071596</v>
      </c>
      <c r="C344" s="11">
        <v>3596969</v>
      </c>
      <c r="D344" s="11">
        <v>181</v>
      </c>
      <c r="E344">
        <f t="shared" si="108"/>
        <v>181</v>
      </c>
      <c r="F344">
        <f t="shared" si="95"/>
        <v>15535798</v>
      </c>
      <c r="G344">
        <f t="shared" si="104"/>
        <v>1553.5798</v>
      </c>
      <c r="H344">
        <f t="shared" si="102"/>
        <v>18100</v>
      </c>
      <c r="I344">
        <f t="shared" si="97"/>
        <v>8688</v>
      </c>
      <c r="J344">
        <f t="shared" si="106"/>
        <v>4.50572284732332e-5</v>
      </c>
      <c r="K344">
        <f t="shared" si="103"/>
        <v>327659576</v>
      </c>
      <c r="L344">
        <f t="shared" si="107"/>
        <v>5.52402594819936e-5</v>
      </c>
      <c r="M344">
        <f t="shared" si="105"/>
        <v>34668565</v>
      </c>
      <c r="N344">
        <f t="shared" si="94"/>
        <v>404342961</v>
      </c>
      <c r="O344">
        <f t="shared" si="101"/>
        <v>5.78349240071819e-5</v>
      </c>
    </row>
    <row r="345" ht="13.9" spans="1:15">
      <c r="A345" s="42" t="s">
        <v>278</v>
      </c>
      <c r="B345" s="11">
        <v>21578640</v>
      </c>
      <c r="C345" s="11">
        <v>2628187</v>
      </c>
      <c r="D345" s="11">
        <v>167</v>
      </c>
      <c r="E345">
        <f t="shared" si="108"/>
        <v>167</v>
      </c>
      <c r="F345">
        <f t="shared" si="95"/>
        <v>10789320</v>
      </c>
      <c r="G345">
        <f t="shared" si="104"/>
        <v>1078.932</v>
      </c>
      <c r="H345">
        <f t="shared" si="102"/>
        <v>16700</v>
      </c>
      <c r="I345">
        <f t="shared" si="97"/>
        <v>8016</v>
      </c>
      <c r="J345">
        <f t="shared" si="106"/>
        <v>5.09763358580522e-5</v>
      </c>
      <c r="K345">
        <f t="shared" si="103"/>
        <v>306080936</v>
      </c>
      <c r="L345">
        <f t="shared" si="107"/>
        <v>5.45607322633122e-5</v>
      </c>
      <c r="M345">
        <f t="shared" si="105"/>
        <v>24206827</v>
      </c>
      <c r="N345">
        <f t="shared" si="94"/>
        <v>369674396</v>
      </c>
      <c r="O345">
        <f t="shared" si="101"/>
        <v>5.74473159804489e-5</v>
      </c>
    </row>
    <row r="346" ht="13.9" spans="1:15">
      <c r="A346" s="42" t="s">
        <v>279</v>
      </c>
      <c r="B346" s="11">
        <v>17073024</v>
      </c>
      <c r="C346" s="11">
        <v>2074955</v>
      </c>
      <c r="D346" s="11">
        <v>156</v>
      </c>
      <c r="E346">
        <f t="shared" si="108"/>
        <v>156</v>
      </c>
      <c r="F346">
        <f t="shared" si="95"/>
        <v>8536512</v>
      </c>
      <c r="G346">
        <f t="shared" si="104"/>
        <v>853.6512</v>
      </c>
      <c r="H346">
        <f t="shared" si="102"/>
        <v>15600</v>
      </c>
      <c r="I346">
        <f t="shared" si="97"/>
        <v>7488</v>
      </c>
      <c r="J346">
        <f t="shared" si="106"/>
        <v>5.2714738759812e-5</v>
      </c>
      <c r="K346">
        <f t="shared" si="103"/>
        <v>289007912</v>
      </c>
      <c r="L346">
        <f t="shared" si="107"/>
        <v>5.39777609963841e-5</v>
      </c>
      <c r="M346">
        <f t="shared" si="105"/>
        <v>19147979</v>
      </c>
      <c r="N346">
        <f t="shared" si="94"/>
        <v>345467569</v>
      </c>
      <c r="O346">
        <f t="shared" si="101"/>
        <v>2.71568309704225e-5</v>
      </c>
    </row>
    <row r="347" ht="13.9" spans="1:15">
      <c r="A347" s="42" t="s">
        <v>280</v>
      </c>
      <c r="B347" s="11">
        <v>29622396</v>
      </c>
      <c r="C347" s="11">
        <v>3518437</v>
      </c>
      <c r="D347" s="11">
        <v>147</v>
      </c>
      <c r="E347">
        <f t="shared" si="108"/>
        <v>147</v>
      </c>
      <c r="F347">
        <f t="shared" si="95"/>
        <v>14811198</v>
      </c>
      <c r="G347">
        <f t="shared" si="104"/>
        <v>1481.1198</v>
      </c>
      <c r="H347">
        <f t="shared" si="102"/>
        <v>14700</v>
      </c>
      <c r="I347">
        <f t="shared" si="97"/>
        <v>7056</v>
      </c>
      <c r="J347">
        <f t="shared" si="106"/>
        <v>4.72615381956274e-5</v>
      </c>
      <c r="K347">
        <f t="shared" si="103"/>
        <v>259385516</v>
      </c>
      <c r="L347">
        <f t="shared" si="107"/>
        <v>5.66724010912005e-5</v>
      </c>
      <c r="M347">
        <f t="shared" si="105"/>
        <v>33140833</v>
      </c>
      <c r="N347">
        <f t="shared" si="94"/>
        <v>326319590</v>
      </c>
      <c r="O347">
        <f t="shared" si="101"/>
        <v>6.0285207594696e-5</v>
      </c>
    </row>
    <row r="348" ht="13.9" spans="1:15">
      <c r="A348" s="42" t="s">
        <v>281</v>
      </c>
      <c r="B348" s="11">
        <v>20641968</v>
      </c>
      <c r="C348" s="11">
        <v>2580976</v>
      </c>
      <c r="D348" s="11">
        <v>133</v>
      </c>
      <c r="E348">
        <f t="shared" si="108"/>
        <v>133</v>
      </c>
      <c r="F348">
        <f t="shared" si="95"/>
        <v>10320984</v>
      </c>
      <c r="G348">
        <f t="shared" si="104"/>
        <v>1032.0984</v>
      </c>
      <c r="H348">
        <f t="shared" si="102"/>
        <v>13300</v>
      </c>
      <c r="I348">
        <f t="shared" si="97"/>
        <v>6384</v>
      </c>
      <c r="J348">
        <f t="shared" si="106"/>
        <v>4.3600493906395e-5</v>
      </c>
      <c r="K348">
        <f t="shared" si="103"/>
        <v>238743548</v>
      </c>
      <c r="L348">
        <f t="shared" si="107"/>
        <v>5.57083117488059e-5</v>
      </c>
      <c r="M348">
        <f t="shared" si="105"/>
        <v>23222944</v>
      </c>
      <c r="N348">
        <f t="shared" si="94"/>
        <v>293178757</v>
      </c>
      <c r="O348">
        <f t="shared" si="101"/>
        <v>5.06570386773245e-5</v>
      </c>
    </row>
    <row r="349" ht="13.9" spans="1:15">
      <c r="A349" s="42" t="s">
        <v>282</v>
      </c>
      <c r="B349" s="11">
        <v>15783550</v>
      </c>
      <c r="C349" s="11">
        <v>1982984</v>
      </c>
      <c r="D349" s="11">
        <v>124</v>
      </c>
      <c r="E349">
        <f t="shared" si="108"/>
        <v>124</v>
      </c>
      <c r="F349">
        <f t="shared" si="95"/>
        <v>7891775</v>
      </c>
      <c r="G349">
        <f t="shared" si="104"/>
        <v>789.1775</v>
      </c>
      <c r="H349">
        <f t="shared" si="102"/>
        <v>12400</v>
      </c>
      <c r="I349">
        <f t="shared" si="97"/>
        <v>5952</v>
      </c>
      <c r="J349">
        <f t="shared" si="106"/>
        <v>7.60285233676834e-5</v>
      </c>
      <c r="K349">
        <f t="shared" si="103"/>
        <v>222959998</v>
      </c>
      <c r="L349">
        <f t="shared" si="107"/>
        <v>5.56153575135931e-5</v>
      </c>
      <c r="M349">
        <f t="shared" si="105"/>
        <v>17766534</v>
      </c>
      <c r="N349">
        <f t="shared" si="94"/>
        <v>269955813</v>
      </c>
      <c r="O349">
        <f t="shared" si="101"/>
        <v>3.91562647233674e-5</v>
      </c>
    </row>
    <row r="350" ht="13.9" spans="1:15">
      <c r="A350" s="42" t="s">
        <v>283</v>
      </c>
      <c r="B350" s="11">
        <v>27316848</v>
      </c>
      <c r="C350" s="11">
        <v>3329589</v>
      </c>
      <c r="D350" s="11">
        <v>112</v>
      </c>
      <c r="E350">
        <f t="shared" si="108"/>
        <v>112</v>
      </c>
      <c r="F350">
        <f t="shared" si="95"/>
        <v>13658424</v>
      </c>
      <c r="G350">
        <f t="shared" si="104"/>
        <v>1365.8424</v>
      </c>
      <c r="H350">
        <f t="shared" si="102"/>
        <v>11200</v>
      </c>
      <c r="I350">
        <f t="shared" si="97"/>
        <v>5376</v>
      </c>
      <c r="J350">
        <f t="shared" si="106"/>
        <v>4.75896779892029e-5</v>
      </c>
      <c r="K350">
        <f t="shared" si="103"/>
        <v>195643150</v>
      </c>
      <c r="L350">
        <f t="shared" si="107"/>
        <v>5.72470848072115e-5</v>
      </c>
      <c r="M350">
        <f t="shared" si="105"/>
        <v>30646437</v>
      </c>
      <c r="N350">
        <f t="shared" si="94"/>
        <v>252189279</v>
      </c>
      <c r="O350">
        <f t="shared" si="101"/>
        <v>6.42297123289526e-5</v>
      </c>
    </row>
    <row r="351" ht="13.9" spans="1:15">
      <c r="A351" s="42" t="s">
        <v>284</v>
      </c>
      <c r="B351" s="11">
        <v>17876472</v>
      </c>
      <c r="C351" s="11">
        <v>2363382</v>
      </c>
      <c r="D351" s="11">
        <v>99</v>
      </c>
      <c r="E351">
        <f t="shared" si="108"/>
        <v>99</v>
      </c>
      <c r="F351">
        <f t="shared" si="95"/>
        <v>8938236</v>
      </c>
      <c r="G351">
        <f t="shared" si="104"/>
        <v>893.8236</v>
      </c>
      <c r="H351">
        <f t="shared" si="102"/>
        <v>9900</v>
      </c>
      <c r="I351">
        <f t="shared" si="97"/>
        <v>4752</v>
      </c>
      <c r="J351">
        <f t="shared" si="106"/>
        <v>5.03455044149651e-5</v>
      </c>
      <c r="K351">
        <f t="shared" si="103"/>
        <v>177766678</v>
      </c>
      <c r="L351">
        <f t="shared" si="107"/>
        <v>5.56909771357712e-5</v>
      </c>
      <c r="M351">
        <f t="shared" si="105"/>
        <v>20239854</v>
      </c>
      <c r="N351">
        <f t="shared" si="94"/>
        <v>221542842</v>
      </c>
      <c r="O351">
        <f t="shared" si="101"/>
        <v>5.82801074063526e-5</v>
      </c>
    </row>
    <row r="352" ht="13.9" spans="1:15">
      <c r="A352" s="42" t="s">
        <v>285</v>
      </c>
      <c r="B352" s="11">
        <v>13618306</v>
      </c>
      <c r="C352" s="11">
        <v>1824356</v>
      </c>
      <c r="D352" s="11">
        <v>90</v>
      </c>
      <c r="E352">
        <f t="shared" si="108"/>
        <v>90</v>
      </c>
      <c r="F352">
        <f t="shared" si="95"/>
        <v>6809153</v>
      </c>
      <c r="G352">
        <f t="shared" si="104"/>
        <v>680.9153</v>
      </c>
      <c r="H352">
        <f t="shared" si="102"/>
        <v>9000</v>
      </c>
      <c r="I352">
        <f t="shared" si="97"/>
        <v>4320</v>
      </c>
      <c r="J352">
        <f t="shared" si="106"/>
        <v>3.67152860274986e-5</v>
      </c>
      <c r="K352">
        <f t="shared" si="103"/>
        <v>164148372</v>
      </c>
      <c r="L352">
        <f t="shared" si="107"/>
        <v>5.48284450850356e-5</v>
      </c>
      <c r="M352">
        <f t="shared" si="105"/>
        <v>15442662</v>
      </c>
      <c r="N352">
        <f t="shared" ref="N352:N378" si="109">IF(H352&lt;H353,M352+M353,M352+N353)</f>
        <v>201302988</v>
      </c>
      <c r="O352">
        <f t="shared" si="101"/>
        <v>1.80543896431933e-5</v>
      </c>
    </row>
    <row r="353" ht="13.9" spans="1:15">
      <c r="A353" s="42" t="s">
        <v>286</v>
      </c>
      <c r="B353" s="11">
        <v>24524232</v>
      </c>
      <c r="C353" s="11">
        <v>3169864</v>
      </c>
      <c r="D353" s="11">
        <v>85</v>
      </c>
      <c r="E353">
        <f t="shared" si="108"/>
        <v>85</v>
      </c>
      <c r="F353">
        <f t="shared" si="95"/>
        <v>12262116</v>
      </c>
      <c r="G353">
        <f t="shared" si="104"/>
        <v>1226.2116</v>
      </c>
      <c r="H353">
        <f t="shared" si="102"/>
        <v>8500</v>
      </c>
      <c r="I353">
        <f t="shared" si="97"/>
        <v>4080</v>
      </c>
      <c r="J353">
        <f t="shared" si="106"/>
        <v>4.89311958882137e-5</v>
      </c>
      <c r="K353">
        <f t="shared" si="103"/>
        <v>139624140</v>
      </c>
      <c r="L353">
        <f t="shared" si="107"/>
        <v>6.0877725012308e-5</v>
      </c>
      <c r="M353">
        <f t="shared" si="105"/>
        <v>27694096</v>
      </c>
      <c r="N353">
        <f t="shared" si="109"/>
        <v>185860326</v>
      </c>
      <c r="O353">
        <f t="shared" si="101"/>
        <v>6.1756970367719e-5</v>
      </c>
    </row>
    <row r="354" ht="13.9" spans="1:15">
      <c r="A354" s="42" t="s">
        <v>287</v>
      </c>
      <c r="B354" s="11">
        <v>17112584</v>
      </c>
      <c r="C354" s="11">
        <v>2318421</v>
      </c>
      <c r="D354" s="11">
        <v>73</v>
      </c>
      <c r="E354">
        <f t="shared" si="108"/>
        <v>73</v>
      </c>
      <c r="F354">
        <f t="shared" si="95"/>
        <v>8556292</v>
      </c>
      <c r="G354">
        <f t="shared" si="104"/>
        <v>855.6292</v>
      </c>
      <c r="H354">
        <f t="shared" si="102"/>
        <v>7300</v>
      </c>
      <c r="I354">
        <f t="shared" si="97"/>
        <v>3504</v>
      </c>
      <c r="J354">
        <f t="shared" si="106"/>
        <v>4.67492226772999e-5</v>
      </c>
      <c r="K354">
        <f t="shared" si="103"/>
        <v>122511556</v>
      </c>
      <c r="L354">
        <f t="shared" si="107"/>
        <v>5.95862156872777e-5</v>
      </c>
      <c r="M354">
        <f t="shared" si="105"/>
        <v>19431005</v>
      </c>
      <c r="N354">
        <f t="shared" si="109"/>
        <v>158166230</v>
      </c>
      <c r="O354">
        <f t="shared" si="101"/>
        <v>5.37519824403024e-5</v>
      </c>
    </row>
    <row r="355" ht="13.9" spans="1:15">
      <c r="A355" s="42" t="s">
        <v>288</v>
      </c>
      <c r="B355" s="11">
        <v>13091210</v>
      </c>
      <c r="C355" s="11">
        <v>1791962</v>
      </c>
      <c r="D355" s="11">
        <v>65</v>
      </c>
      <c r="E355">
        <f t="shared" si="108"/>
        <v>65</v>
      </c>
      <c r="F355">
        <f t="shared" si="95"/>
        <v>6545605</v>
      </c>
      <c r="G355">
        <f t="shared" si="104"/>
        <v>654.5605</v>
      </c>
      <c r="H355">
        <f t="shared" si="102"/>
        <v>6500</v>
      </c>
      <c r="I355">
        <f t="shared" si="97"/>
        <v>3120</v>
      </c>
      <c r="J355">
        <f t="shared" si="106"/>
        <v>5.34709931320329e-5</v>
      </c>
      <c r="K355">
        <f t="shared" si="103"/>
        <v>109420346</v>
      </c>
      <c r="L355">
        <f t="shared" si="107"/>
        <v>5.94039430290231e-5</v>
      </c>
      <c r="M355">
        <f t="shared" si="105"/>
        <v>14883172</v>
      </c>
      <c r="N355">
        <f t="shared" si="109"/>
        <v>138735225</v>
      </c>
      <c r="O355">
        <f t="shared" si="101"/>
        <v>2.69254360055085e-5</v>
      </c>
    </row>
    <row r="356" ht="13.9" spans="1:15">
      <c r="A356" s="42" t="s">
        <v>289</v>
      </c>
      <c r="B356" s="11">
        <v>22978302</v>
      </c>
      <c r="C356" s="11">
        <v>3019420</v>
      </c>
      <c r="D356" s="11">
        <v>58</v>
      </c>
      <c r="E356">
        <f t="shared" si="108"/>
        <v>58</v>
      </c>
      <c r="F356">
        <f t="shared" si="95"/>
        <v>11489151</v>
      </c>
      <c r="G356">
        <f t="shared" si="104"/>
        <v>1148.9151</v>
      </c>
      <c r="H356">
        <f t="shared" si="102"/>
        <v>5800</v>
      </c>
      <c r="I356">
        <f t="shared" si="97"/>
        <v>2784</v>
      </c>
      <c r="J356">
        <f t="shared" si="106"/>
        <v>5.65751115987596e-5</v>
      </c>
      <c r="K356">
        <f t="shared" si="103"/>
        <v>86442044</v>
      </c>
      <c r="L356">
        <f t="shared" si="107"/>
        <v>6.70969788729198e-5</v>
      </c>
      <c r="M356">
        <f t="shared" si="105"/>
        <v>25997722</v>
      </c>
      <c r="N356">
        <f t="shared" si="109"/>
        <v>123852053</v>
      </c>
      <c r="O356">
        <f t="shared" si="101"/>
        <v>6.74618866287427e-5</v>
      </c>
    </row>
    <row r="357" ht="13.9" spans="1:15">
      <c r="A357" s="42" t="s">
        <v>290</v>
      </c>
      <c r="B357" s="11">
        <v>16994224</v>
      </c>
      <c r="C357" s="11">
        <v>2275916</v>
      </c>
      <c r="D357" s="11">
        <v>45</v>
      </c>
      <c r="E357">
        <f t="shared" si="108"/>
        <v>45</v>
      </c>
      <c r="F357">
        <f t="shared" si="95"/>
        <v>8497112</v>
      </c>
      <c r="G357">
        <f t="shared" si="104"/>
        <v>849.7112</v>
      </c>
      <c r="H357">
        <f t="shared" si="102"/>
        <v>4500</v>
      </c>
      <c r="I357">
        <f t="shared" si="97"/>
        <v>2160</v>
      </c>
      <c r="J357">
        <f t="shared" si="106"/>
        <v>4.7074817891067e-5</v>
      </c>
      <c r="K357">
        <f t="shared" si="103"/>
        <v>69447820</v>
      </c>
      <c r="L357">
        <f t="shared" si="107"/>
        <v>6.4796850354698e-5</v>
      </c>
      <c r="M357">
        <f t="shared" si="105"/>
        <v>19270140</v>
      </c>
      <c r="N357">
        <f t="shared" si="109"/>
        <v>97854331</v>
      </c>
      <c r="O357">
        <f t="shared" si="101"/>
        <v>5.65633694629499e-5</v>
      </c>
    </row>
    <row r="358" ht="13.9" spans="1:15">
      <c r="A358" s="42" t="s">
        <v>291</v>
      </c>
      <c r="B358" s="11">
        <v>12436190</v>
      </c>
      <c r="C358" s="11">
        <v>1707239</v>
      </c>
      <c r="D358" s="11">
        <v>37</v>
      </c>
      <c r="E358">
        <f t="shared" si="108"/>
        <v>37</v>
      </c>
      <c r="F358">
        <f t="shared" si="95"/>
        <v>6218095</v>
      </c>
      <c r="G358">
        <f t="shared" si="104"/>
        <v>621.8095</v>
      </c>
      <c r="H358">
        <f t="shared" si="102"/>
        <v>3700</v>
      </c>
      <c r="I358">
        <f t="shared" si="97"/>
        <v>1776</v>
      </c>
      <c r="J358">
        <f t="shared" si="106"/>
        <v>4.82462876491916e-5</v>
      </c>
      <c r="K358">
        <f t="shared" si="103"/>
        <v>57011630</v>
      </c>
      <c r="L358">
        <f t="shared" si="107"/>
        <v>6.48990390206349e-5</v>
      </c>
      <c r="M358">
        <f t="shared" si="105"/>
        <v>14143429</v>
      </c>
      <c r="N358">
        <f t="shared" si="109"/>
        <v>78584191</v>
      </c>
      <c r="O358">
        <f t="shared" si="101"/>
        <v>2.3750012122402e-5</v>
      </c>
    </row>
    <row r="359" ht="13.9" spans="1:15">
      <c r="A359" s="42" t="s">
        <v>292</v>
      </c>
      <c r="B359" s="11">
        <v>22308852</v>
      </c>
      <c r="C359" s="11">
        <v>2954293</v>
      </c>
      <c r="D359" s="11">
        <v>31</v>
      </c>
      <c r="E359">
        <f t="shared" si="108"/>
        <v>31</v>
      </c>
      <c r="F359">
        <f t="shared" ref="F359:F422" si="110">B359/2</f>
        <v>11154426</v>
      </c>
      <c r="G359">
        <f t="shared" si="104"/>
        <v>1115.4426</v>
      </c>
      <c r="H359">
        <f t="shared" si="102"/>
        <v>3100</v>
      </c>
      <c r="I359">
        <f t="shared" si="97"/>
        <v>1488</v>
      </c>
      <c r="J359">
        <f t="shared" si="106"/>
        <v>4.93077815030554e-5</v>
      </c>
      <c r="K359">
        <f t="shared" si="103"/>
        <v>34702778</v>
      </c>
      <c r="L359">
        <f t="shared" si="107"/>
        <v>8.93300242418633e-5</v>
      </c>
      <c r="M359">
        <f t="shared" si="105"/>
        <v>25263145</v>
      </c>
      <c r="N359">
        <f t="shared" si="109"/>
        <v>64440762</v>
      </c>
      <c r="O359">
        <f t="shared" si="101"/>
        <v>6.00736688862795e-5</v>
      </c>
    </row>
    <row r="360" ht="13.9" spans="1:15">
      <c r="A360" s="42" t="s">
        <v>293</v>
      </c>
      <c r="B360" s="11">
        <v>16104444</v>
      </c>
      <c r="C360" s="11">
        <v>2206407</v>
      </c>
      <c r="D360" s="11">
        <v>20</v>
      </c>
      <c r="E360">
        <f t="shared" si="108"/>
        <v>20</v>
      </c>
      <c r="F360">
        <f t="shared" si="110"/>
        <v>8052222</v>
      </c>
      <c r="G360">
        <f t="shared" si="104"/>
        <v>805.2222</v>
      </c>
      <c r="H360">
        <f t="shared" si="102"/>
        <v>2000</v>
      </c>
      <c r="I360">
        <f t="shared" si="97"/>
        <v>960</v>
      </c>
      <c r="J360">
        <f t="shared" si="106"/>
        <v>0</v>
      </c>
      <c r="K360">
        <f t="shared" si="103"/>
        <v>18598334</v>
      </c>
      <c r="L360">
        <f t="shared" si="107"/>
        <v>0</v>
      </c>
      <c r="M360">
        <f t="shared" si="105"/>
        <v>18310851</v>
      </c>
      <c r="N360">
        <f t="shared" si="109"/>
        <v>39177617</v>
      </c>
      <c r="O360">
        <f t="shared" si="101"/>
        <v>9.58461891028059e-5</v>
      </c>
    </row>
    <row r="361" ht="13.9" spans="1:15">
      <c r="A361" s="42" t="s">
        <v>294</v>
      </c>
      <c r="B361" s="11">
        <v>18598334</v>
      </c>
      <c r="C361" s="11">
        <v>2268432</v>
      </c>
      <c r="D361" s="11">
        <v>185.3</v>
      </c>
      <c r="E361">
        <f t="shared" si="108"/>
        <v>185.3</v>
      </c>
      <c r="F361">
        <f t="shared" si="110"/>
        <v>9299167</v>
      </c>
      <c r="G361">
        <f t="shared" si="104"/>
        <v>929.9167</v>
      </c>
      <c r="H361">
        <f t="shared" si="102"/>
        <v>18530</v>
      </c>
      <c r="I361">
        <f t="shared" si="97"/>
        <v>8894.4</v>
      </c>
      <c r="J361">
        <f t="shared" si="106"/>
        <v>7.15117816466787e-5</v>
      </c>
      <c r="K361">
        <f t="shared" si="103"/>
        <v>499049526</v>
      </c>
      <c r="L361">
        <f t="shared" si="107"/>
        <v>3.71305833080783e-5</v>
      </c>
      <c r="M361">
        <f t="shared" si="105"/>
        <v>20866766</v>
      </c>
      <c r="N361">
        <f t="shared" si="109"/>
        <v>577275453</v>
      </c>
      <c r="O361">
        <f t="shared" si="101"/>
        <v>3.55332559883889e-5</v>
      </c>
    </row>
    <row r="362" ht="13.9" spans="1:15">
      <c r="A362" s="42" t="s">
        <v>295</v>
      </c>
      <c r="B362" s="11">
        <v>33514002</v>
      </c>
      <c r="C362" s="11">
        <v>3915723</v>
      </c>
      <c r="D362" s="11">
        <v>172</v>
      </c>
      <c r="E362">
        <f t="shared" si="108"/>
        <v>172</v>
      </c>
      <c r="F362">
        <f t="shared" si="110"/>
        <v>16757001</v>
      </c>
      <c r="G362">
        <f t="shared" si="104"/>
        <v>1675.7001</v>
      </c>
      <c r="H362">
        <f t="shared" si="102"/>
        <v>17200</v>
      </c>
      <c r="I362">
        <f t="shared" si="97"/>
        <v>8256</v>
      </c>
      <c r="J362">
        <f t="shared" si="106"/>
        <v>4.17735846647022e-5</v>
      </c>
      <c r="K362">
        <f t="shared" si="103"/>
        <v>465535524</v>
      </c>
      <c r="L362">
        <f t="shared" si="107"/>
        <v>3.69466971117762e-5</v>
      </c>
      <c r="M362">
        <f t="shared" si="105"/>
        <v>37429725</v>
      </c>
      <c r="N362">
        <f t="shared" si="109"/>
        <v>556408687</v>
      </c>
      <c r="O362">
        <f t="shared" si="101"/>
        <v>5.34577871347573e-5</v>
      </c>
    </row>
    <row r="363" ht="13.9" spans="1:15">
      <c r="A363" s="42" t="s">
        <v>296</v>
      </c>
      <c r="B363" s="11">
        <v>23326354</v>
      </c>
      <c r="C363" s="11">
        <v>2862534</v>
      </c>
      <c r="D363" s="11">
        <v>158</v>
      </c>
      <c r="E363">
        <f t="shared" si="108"/>
        <v>158</v>
      </c>
      <c r="F363">
        <f t="shared" si="110"/>
        <v>11663177</v>
      </c>
      <c r="G363">
        <f t="shared" si="104"/>
        <v>1166.3177</v>
      </c>
      <c r="H363">
        <f t="shared" si="102"/>
        <v>15800</v>
      </c>
      <c r="I363">
        <f t="shared" si="97"/>
        <v>7584</v>
      </c>
      <c r="J363">
        <f t="shared" si="106"/>
        <v>4.7156962464001e-5</v>
      </c>
      <c r="K363">
        <f t="shared" si="103"/>
        <v>442209170</v>
      </c>
      <c r="L363">
        <f t="shared" si="107"/>
        <v>3.57296977808036e-5</v>
      </c>
      <c r="M363">
        <f t="shared" si="105"/>
        <v>26188888</v>
      </c>
      <c r="N363">
        <f t="shared" si="109"/>
        <v>518978962</v>
      </c>
      <c r="O363">
        <f t="shared" si="101"/>
        <v>5.4726713944909e-5</v>
      </c>
    </row>
    <row r="364" ht="13.9" spans="1:15">
      <c r="A364" s="42" t="s">
        <v>297</v>
      </c>
      <c r="B364" s="11">
        <v>17885522</v>
      </c>
      <c r="C364" s="11">
        <v>2214351</v>
      </c>
      <c r="D364" s="11">
        <v>147</v>
      </c>
      <c r="E364">
        <f t="shared" si="108"/>
        <v>147</v>
      </c>
      <c r="F364">
        <f t="shared" si="110"/>
        <v>8942761</v>
      </c>
      <c r="G364">
        <f t="shared" si="104"/>
        <v>894.2761</v>
      </c>
      <c r="H364">
        <f t="shared" si="102"/>
        <v>14700</v>
      </c>
      <c r="I364">
        <f t="shared" ref="I364:I427" si="111">H364*0.48</f>
        <v>7056</v>
      </c>
      <c r="J364">
        <f t="shared" si="106"/>
        <v>5.59111442204482e-5</v>
      </c>
      <c r="K364">
        <f t="shared" si="103"/>
        <v>424323648</v>
      </c>
      <c r="L364">
        <f t="shared" si="107"/>
        <v>3.46433673194665e-5</v>
      </c>
      <c r="M364">
        <f t="shared" si="105"/>
        <v>20099873</v>
      </c>
      <c r="N364">
        <f t="shared" si="109"/>
        <v>492790074</v>
      </c>
      <c r="O364">
        <f t="shared" si="101"/>
        <v>2.95864465671734e-5</v>
      </c>
    </row>
    <row r="365" ht="13.9" spans="1:15">
      <c r="A365" s="42" t="s">
        <v>298</v>
      </c>
      <c r="B365" s="11">
        <v>30181282</v>
      </c>
      <c r="C365" s="11">
        <v>3617978</v>
      </c>
      <c r="D365" s="11">
        <v>137</v>
      </c>
      <c r="E365">
        <f t="shared" si="108"/>
        <v>137</v>
      </c>
      <c r="F365">
        <f t="shared" si="110"/>
        <v>15090641</v>
      </c>
      <c r="G365">
        <f t="shared" si="104"/>
        <v>1509.0641</v>
      </c>
      <c r="H365">
        <f t="shared" si="102"/>
        <v>13700</v>
      </c>
      <c r="I365">
        <f t="shared" si="111"/>
        <v>6576</v>
      </c>
      <c r="J365">
        <f t="shared" si="106"/>
        <v>4.63863662252651e-5</v>
      </c>
      <c r="K365">
        <f t="shared" si="103"/>
        <v>394142366</v>
      </c>
      <c r="L365">
        <f t="shared" si="107"/>
        <v>3.47590139548713e-5</v>
      </c>
      <c r="M365">
        <f t="shared" si="105"/>
        <v>33799260</v>
      </c>
      <c r="N365">
        <f t="shared" si="109"/>
        <v>472690201</v>
      </c>
      <c r="O365">
        <f t="shared" si="101"/>
        <v>5.420533927238e-5</v>
      </c>
    </row>
    <row r="366" ht="13.9" spans="1:15">
      <c r="A366" s="42" t="s">
        <v>299</v>
      </c>
      <c r="B366" s="11">
        <v>22991996</v>
      </c>
      <c r="C366" s="11">
        <v>2835718</v>
      </c>
      <c r="D366" s="11">
        <v>123</v>
      </c>
      <c r="E366">
        <f t="shared" si="108"/>
        <v>123</v>
      </c>
      <c r="F366">
        <f t="shared" si="110"/>
        <v>11495998</v>
      </c>
      <c r="G366">
        <f t="shared" si="104"/>
        <v>1149.5998</v>
      </c>
      <c r="H366">
        <f t="shared" si="102"/>
        <v>12300</v>
      </c>
      <c r="I366">
        <f t="shared" si="111"/>
        <v>5904</v>
      </c>
      <c r="J366">
        <f t="shared" si="106"/>
        <v>4.34933965715721e-5</v>
      </c>
      <c r="K366">
        <f t="shared" si="103"/>
        <v>371150370</v>
      </c>
      <c r="L366">
        <f t="shared" si="107"/>
        <v>3.31402067577085e-5</v>
      </c>
      <c r="M366">
        <f t="shared" si="105"/>
        <v>25827714</v>
      </c>
      <c r="N366">
        <f t="shared" si="109"/>
        <v>438890941</v>
      </c>
      <c r="O366">
        <f t="shared" si="101"/>
        <v>5.325795415534e-5</v>
      </c>
    </row>
    <row r="367" ht="13.9" spans="1:15">
      <c r="A367" s="42" t="s">
        <v>300</v>
      </c>
      <c r="B367" s="11">
        <v>16666730</v>
      </c>
      <c r="C367" s="11">
        <v>2109808</v>
      </c>
      <c r="D367" s="11">
        <v>113</v>
      </c>
      <c r="E367">
        <f t="shared" si="108"/>
        <v>113</v>
      </c>
      <c r="F367">
        <f t="shared" si="110"/>
        <v>8333365</v>
      </c>
      <c r="G367">
        <f t="shared" si="104"/>
        <v>833.3365</v>
      </c>
      <c r="H367">
        <f t="shared" si="102"/>
        <v>11300</v>
      </c>
      <c r="I367">
        <f t="shared" si="111"/>
        <v>5424</v>
      </c>
      <c r="J367">
        <f t="shared" si="106"/>
        <v>5.39997948007798e-5</v>
      </c>
      <c r="K367">
        <f t="shared" si="103"/>
        <v>354483640</v>
      </c>
      <c r="L367">
        <f t="shared" si="107"/>
        <v>3.18773526473605e-5</v>
      </c>
      <c r="M367">
        <f t="shared" si="105"/>
        <v>18776538</v>
      </c>
      <c r="N367">
        <f t="shared" si="109"/>
        <v>413063227</v>
      </c>
      <c r="O367">
        <f t="shared" si="101"/>
        <v>2.84277322509401e-5</v>
      </c>
    </row>
    <row r="368" ht="13.9" spans="1:15">
      <c r="A368" s="42" t="s">
        <v>301</v>
      </c>
      <c r="B368" s="11">
        <v>28184708</v>
      </c>
      <c r="C368" s="11">
        <v>3474518</v>
      </c>
      <c r="D368" s="11">
        <v>104</v>
      </c>
      <c r="E368">
        <f t="shared" si="108"/>
        <v>104</v>
      </c>
      <c r="F368">
        <f t="shared" si="110"/>
        <v>14092354</v>
      </c>
      <c r="G368">
        <f t="shared" si="104"/>
        <v>1409.2354</v>
      </c>
      <c r="H368">
        <f t="shared" si="102"/>
        <v>10400</v>
      </c>
      <c r="I368">
        <f t="shared" si="111"/>
        <v>4992</v>
      </c>
      <c r="J368">
        <f t="shared" si="106"/>
        <v>4.61243025828048e-5</v>
      </c>
      <c r="K368">
        <f t="shared" si="103"/>
        <v>326298932</v>
      </c>
      <c r="L368">
        <f t="shared" si="107"/>
        <v>3.18726142811893e-5</v>
      </c>
      <c r="M368">
        <f t="shared" si="105"/>
        <v>31659226</v>
      </c>
      <c r="N368">
        <f t="shared" si="109"/>
        <v>394286689</v>
      </c>
      <c r="O368">
        <f t="shared" si="101"/>
        <v>6.07204840412789e-5</v>
      </c>
    </row>
    <row r="369" ht="13.9" spans="1:15">
      <c r="A369" s="42" t="s">
        <v>302</v>
      </c>
      <c r="B369" s="11">
        <v>18927136</v>
      </c>
      <c r="C369" s="11">
        <v>2482443</v>
      </c>
      <c r="D369" s="11">
        <v>91</v>
      </c>
      <c r="E369">
        <f t="shared" si="108"/>
        <v>91</v>
      </c>
      <c r="F369">
        <f t="shared" si="110"/>
        <v>9463568</v>
      </c>
      <c r="G369">
        <f t="shared" si="104"/>
        <v>946.3568</v>
      </c>
      <c r="H369">
        <f t="shared" si="102"/>
        <v>9100</v>
      </c>
      <c r="I369">
        <f t="shared" si="111"/>
        <v>4368</v>
      </c>
      <c r="J369">
        <f t="shared" si="106"/>
        <v>4.75507757750565e-5</v>
      </c>
      <c r="K369">
        <f t="shared" si="103"/>
        <v>307371796</v>
      </c>
      <c r="L369">
        <f t="shared" si="107"/>
        <v>2.96058393073905e-5</v>
      </c>
      <c r="M369">
        <f t="shared" si="105"/>
        <v>21409579</v>
      </c>
      <c r="N369">
        <f t="shared" si="109"/>
        <v>362627463</v>
      </c>
      <c r="O369">
        <f t="shared" si="101"/>
        <v>5.67519711851325e-5</v>
      </c>
    </row>
    <row r="370" ht="13.9" spans="1:15">
      <c r="A370" s="42" t="s">
        <v>303</v>
      </c>
      <c r="B370" s="11">
        <v>13998672</v>
      </c>
      <c r="C370" s="11">
        <v>1859808</v>
      </c>
      <c r="D370" s="11">
        <v>82</v>
      </c>
      <c r="E370">
        <f t="shared" si="108"/>
        <v>82</v>
      </c>
      <c r="F370">
        <f t="shared" si="110"/>
        <v>6999336</v>
      </c>
      <c r="G370">
        <f t="shared" si="104"/>
        <v>699.9336</v>
      </c>
      <c r="H370">
        <f t="shared" si="102"/>
        <v>8200</v>
      </c>
      <c r="I370">
        <f t="shared" si="111"/>
        <v>3936</v>
      </c>
      <c r="J370">
        <f t="shared" si="106"/>
        <v>4.28612085489252e-5</v>
      </c>
      <c r="K370">
        <f t="shared" si="103"/>
        <v>293373124</v>
      </c>
      <c r="L370">
        <f t="shared" si="107"/>
        <v>2.79507539347742e-5</v>
      </c>
      <c r="M370">
        <f t="shared" si="105"/>
        <v>15858480</v>
      </c>
      <c r="N370">
        <f t="shared" si="109"/>
        <v>341217884</v>
      </c>
      <c r="O370">
        <f t="shared" si="101"/>
        <v>2.10410803949523e-5</v>
      </c>
    </row>
    <row r="371" ht="13.9" spans="1:15">
      <c r="A371" s="42" t="s">
        <v>304</v>
      </c>
      <c r="B371" s="11">
        <v>25291710</v>
      </c>
      <c r="C371" s="11">
        <v>3223936</v>
      </c>
      <c r="D371" s="11">
        <v>76</v>
      </c>
      <c r="E371">
        <f t="shared" si="108"/>
        <v>76</v>
      </c>
      <c r="F371">
        <f t="shared" si="110"/>
        <v>12645855</v>
      </c>
      <c r="G371">
        <f t="shared" si="104"/>
        <v>1264.5855</v>
      </c>
      <c r="H371">
        <f t="shared" si="102"/>
        <v>7600</v>
      </c>
      <c r="I371">
        <f t="shared" si="111"/>
        <v>3648</v>
      </c>
      <c r="J371">
        <f t="shared" si="106"/>
        <v>5.53541061478247e-5</v>
      </c>
      <c r="K371">
        <f t="shared" si="103"/>
        <v>268081414</v>
      </c>
      <c r="L371">
        <f t="shared" si="107"/>
        <v>2.83495968131532e-5</v>
      </c>
      <c r="M371">
        <f t="shared" si="105"/>
        <v>28515646</v>
      </c>
      <c r="N371">
        <f t="shared" si="109"/>
        <v>325359404</v>
      </c>
      <c r="O371">
        <f t="shared" si="101"/>
        <v>6.77983634056203e-5</v>
      </c>
    </row>
    <row r="372" ht="13.9" spans="1:15">
      <c r="A372" s="42" t="s">
        <v>305</v>
      </c>
      <c r="B372" s="11">
        <v>18225484</v>
      </c>
      <c r="C372" s="11">
        <v>2423982</v>
      </c>
      <c r="D372" s="11">
        <v>62</v>
      </c>
      <c r="E372">
        <f t="shared" si="108"/>
        <v>62</v>
      </c>
      <c r="F372">
        <f t="shared" si="110"/>
        <v>9112742</v>
      </c>
      <c r="G372">
        <f t="shared" si="104"/>
        <v>911.2742</v>
      </c>
      <c r="H372">
        <f t="shared" si="102"/>
        <v>6200</v>
      </c>
      <c r="I372">
        <f t="shared" si="111"/>
        <v>2976</v>
      </c>
      <c r="J372">
        <f t="shared" si="106"/>
        <v>4.93814046310101e-5</v>
      </c>
      <c r="K372">
        <f t="shared" si="103"/>
        <v>249855930</v>
      </c>
      <c r="L372">
        <f t="shared" si="107"/>
        <v>2.48142999847952e-5</v>
      </c>
      <c r="M372">
        <f t="shared" si="105"/>
        <v>20649466</v>
      </c>
      <c r="N372">
        <f t="shared" si="109"/>
        <v>296843758</v>
      </c>
      <c r="O372">
        <f t="shared" si="101"/>
        <v>6.10238210553744e-5</v>
      </c>
    </row>
    <row r="373" ht="13.9" spans="1:15">
      <c r="A373" s="42" t="s">
        <v>306</v>
      </c>
      <c r="B373" s="11">
        <v>13001464</v>
      </c>
      <c r="C373" s="11">
        <v>1746875</v>
      </c>
      <c r="D373" s="11">
        <v>53</v>
      </c>
      <c r="E373">
        <f t="shared" si="108"/>
        <v>53</v>
      </c>
      <c r="F373">
        <f t="shared" si="110"/>
        <v>6500732</v>
      </c>
      <c r="G373">
        <f t="shared" si="104"/>
        <v>650.0732</v>
      </c>
      <c r="H373">
        <f t="shared" si="102"/>
        <v>5300</v>
      </c>
      <c r="I373">
        <f t="shared" si="111"/>
        <v>2544</v>
      </c>
      <c r="J373">
        <f t="shared" si="106"/>
        <v>3.84572075883147e-5</v>
      </c>
      <c r="K373">
        <f t="shared" si="103"/>
        <v>236854466</v>
      </c>
      <c r="L373">
        <f t="shared" si="107"/>
        <v>2.23766099474772e-5</v>
      </c>
      <c r="M373">
        <f t="shared" si="105"/>
        <v>14748339</v>
      </c>
      <c r="N373">
        <f t="shared" si="109"/>
        <v>276194292</v>
      </c>
      <c r="O373">
        <f t="shared" si="101"/>
        <v>1.73167963469595e-5</v>
      </c>
    </row>
    <row r="374" ht="13.9" spans="1:15">
      <c r="A374" s="42" t="s">
        <v>307</v>
      </c>
      <c r="B374" s="11">
        <v>25588194</v>
      </c>
      <c r="C374" s="11">
        <v>3285507</v>
      </c>
      <c r="D374" s="11">
        <v>48</v>
      </c>
      <c r="E374">
        <f t="shared" si="108"/>
        <v>48</v>
      </c>
      <c r="F374">
        <f t="shared" si="110"/>
        <v>12794097</v>
      </c>
      <c r="G374">
        <f t="shared" si="104"/>
        <v>1279.4097</v>
      </c>
      <c r="H374">
        <f t="shared" si="102"/>
        <v>4800</v>
      </c>
      <c r="I374">
        <f t="shared" si="111"/>
        <v>2304</v>
      </c>
      <c r="J374">
        <f t="shared" si="106"/>
        <v>3.90805228379932e-5</v>
      </c>
      <c r="K374">
        <f t="shared" si="103"/>
        <v>211266272</v>
      </c>
      <c r="L374">
        <f t="shared" si="107"/>
        <v>2.27201434216627e-5</v>
      </c>
      <c r="M374">
        <f t="shared" si="105"/>
        <v>28873701</v>
      </c>
      <c r="N374">
        <f t="shared" si="109"/>
        <v>261445953</v>
      </c>
      <c r="O374">
        <f t="shared" si="101"/>
        <v>4.94610476938045e-5</v>
      </c>
    </row>
    <row r="375" ht="13.9" spans="1:15">
      <c r="A375" s="42" t="s">
        <v>308</v>
      </c>
      <c r="B375" s="11">
        <v>17831644</v>
      </c>
      <c r="C375" s="11">
        <v>2386286</v>
      </c>
      <c r="D375" s="11">
        <v>38</v>
      </c>
      <c r="E375">
        <f t="shared" si="108"/>
        <v>38</v>
      </c>
      <c r="F375">
        <f t="shared" si="110"/>
        <v>8915822</v>
      </c>
      <c r="G375">
        <f t="shared" si="104"/>
        <v>891.5822</v>
      </c>
      <c r="H375">
        <f t="shared" si="102"/>
        <v>3800</v>
      </c>
      <c r="I375">
        <f t="shared" si="111"/>
        <v>1824</v>
      </c>
      <c r="J375">
        <f t="shared" si="106"/>
        <v>6.16880866396839e-5</v>
      </c>
      <c r="K375">
        <f t="shared" si="103"/>
        <v>193434628</v>
      </c>
      <c r="L375">
        <f t="shared" ref="L375:L406" si="112">IF(E375&gt;E376,H375/K375,0)</f>
        <v>1.96448797161592e-5</v>
      </c>
      <c r="M375">
        <f t="shared" si="105"/>
        <v>20217930</v>
      </c>
      <c r="N375">
        <f t="shared" si="109"/>
        <v>232572252</v>
      </c>
      <c r="O375">
        <f t="shared" si="101"/>
        <v>7.02838573314369e-5</v>
      </c>
    </row>
    <row r="376" ht="13.9" spans="1:15">
      <c r="A376" s="42" t="s">
        <v>309</v>
      </c>
      <c r="B376" s="11">
        <v>13776000</v>
      </c>
      <c r="C376" s="11">
        <v>1874820</v>
      </c>
      <c r="D376" s="11">
        <v>27</v>
      </c>
      <c r="E376">
        <f t="shared" si="108"/>
        <v>27</v>
      </c>
      <c r="F376">
        <f t="shared" si="110"/>
        <v>6888000</v>
      </c>
      <c r="G376">
        <f t="shared" si="104"/>
        <v>688.8</v>
      </c>
      <c r="H376">
        <f t="shared" si="102"/>
        <v>2700</v>
      </c>
      <c r="I376">
        <f t="shared" si="111"/>
        <v>1296</v>
      </c>
      <c r="J376">
        <f t="shared" si="106"/>
        <v>5.08130081300813e-5</v>
      </c>
      <c r="K376">
        <f t="shared" si="103"/>
        <v>179658628</v>
      </c>
      <c r="L376">
        <f t="shared" si="112"/>
        <v>1.50285017204963e-5</v>
      </c>
      <c r="M376">
        <f t="shared" si="105"/>
        <v>15650820</v>
      </c>
      <c r="N376">
        <f t="shared" si="109"/>
        <v>212354322</v>
      </c>
      <c r="O376">
        <f t="shared" si="101"/>
        <v>2.22194261014265e-5</v>
      </c>
    </row>
    <row r="377" ht="13.9" spans="1:15">
      <c r="A377" s="42" t="s">
        <v>310</v>
      </c>
      <c r="B377" s="11">
        <v>28043620</v>
      </c>
      <c r="C377" s="11">
        <v>3460344</v>
      </c>
      <c r="D377" s="11">
        <v>20</v>
      </c>
      <c r="E377">
        <f t="shared" si="108"/>
        <v>20</v>
      </c>
      <c r="F377">
        <f t="shared" si="110"/>
        <v>14021810</v>
      </c>
      <c r="G377">
        <f t="shared" si="104"/>
        <v>1402.181</v>
      </c>
      <c r="H377">
        <f t="shared" si="102"/>
        <v>2000</v>
      </c>
      <c r="I377">
        <f t="shared" si="111"/>
        <v>960</v>
      </c>
      <c r="J377">
        <f t="shared" si="106"/>
        <v>0</v>
      </c>
      <c r="K377">
        <f t="shared" si="103"/>
        <v>151615008</v>
      </c>
      <c r="L377">
        <f t="shared" si="112"/>
        <v>0</v>
      </c>
      <c r="M377">
        <f t="shared" si="105"/>
        <v>31503964</v>
      </c>
      <c r="N377">
        <f t="shared" si="109"/>
        <v>196703502</v>
      </c>
      <c r="O377">
        <f t="shared" si="101"/>
        <v>1.2106571387627e-5</v>
      </c>
    </row>
    <row r="378" ht="13.9" spans="1:15">
      <c r="A378" s="42" t="s">
        <v>311</v>
      </c>
      <c r="B378" s="11">
        <v>151615008</v>
      </c>
      <c r="C378" s="11">
        <v>13584530</v>
      </c>
      <c r="D378" s="27">
        <v>632.6</v>
      </c>
      <c r="E378">
        <f t="shared" si="108"/>
        <v>632.6</v>
      </c>
      <c r="F378">
        <f t="shared" si="110"/>
        <v>75807504</v>
      </c>
      <c r="G378">
        <f t="shared" si="104"/>
        <v>7580.7504</v>
      </c>
      <c r="H378">
        <f t="shared" si="102"/>
        <v>63260</v>
      </c>
      <c r="I378">
        <f t="shared" si="111"/>
        <v>30364.8</v>
      </c>
      <c r="J378">
        <f t="shared" si="106"/>
        <v>6.10757478573625e-5</v>
      </c>
      <c r="K378">
        <f t="shared" si="103"/>
        <v>1387150688</v>
      </c>
      <c r="L378">
        <f t="shared" si="112"/>
        <v>4.56042739604654e-5</v>
      </c>
      <c r="M378">
        <f t="shared" si="105"/>
        <v>165199538</v>
      </c>
      <c r="N378" t="e">
        <f t="shared" si="109"/>
        <v>#REF!</v>
      </c>
      <c r="O378">
        <f t="shared" si="101"/>
        <v>8.90423913901585e-5</v>
      </c>
    </row>
    <row r="379" ht="13.9" spans="1:15">
      <c r="A379" s="42" t="s">
        <v>312</v>
      </c>
      <c r="B379" s="11">
        <v>95189636</v>
      </c>
      <c r="C379" s="11">
        <v>8805774</v>
      </c>
      <c r="D379" s="11">
        <v>540</v>
      </c>
      <c r="E379">
        <f t="shared" si="108"/>
        <v>540</v>
      </c>
      <c r="F379">
        <f t="shared" si="110"/>
        <v>47594818</v>
      </c>
      <c r="G379">
        <f t="shared" si="104"/>
        <v>4759.4818</v>
      </c>
      <c r="H379">
        <f t="shared" si="102"/>
        <v>54000</v>
      </c>
      <c r="I379">
        <f t="shared" si="111"/>
        <v>25920</v>
      </c>
      <c r="J379">
        <f t="shared" si="106"/>
        <v>4.20213814033284e-5</v>
      </c>
      <c r="K379">
        <f t="shared" si="103"/>
        <v>1291961052</v>
      </c>
      <c r="L379">
        <f t="shared" si="112"/>
        <v>4.17969256243492e-5</v>
      </c>
      <c r="M379">
        <f t="shared" si="105"/>
        <v>103995410</v>
      </c>
      <c r="N379" t="e">
        <f>IF(H379&lt;#REF!,M379+#REF!,M379+#REF!)</f>
        <v>#REF!</v>
      </c>
      <c r="O379" t="e">
        <f>IF(H379&gt;#REF!,(H379-#REF!)/(M380+#REF!),H379/#REF!)</f>
        <v>#REF!</v>
      </c>
    </row>
    <row r="380" ht="13.9" spans="1:15">
      <c r="A380" s="41" t="s">
        <v>313</v>
      </c>
      <c r="B380" s="13">
        <v>127637060</v>
      </c>
      <c r="C380" s="13">
        <v>11855003</v>
      </c>
      <c r="D380" s="30">
        <v>500</v>
      </c>
      <c r="E380">
        <f t="shared" si="108"/>
        <v>500</v>
      </c>
      <c r="F380">
        <f t="shared" si="110"/>
        <v>63818530</v>
      </c>
      <c r="G380">
        <f t="shared" si="104"/>
        <v>6381.853</v>
      </c>
      <c r="H380">
        <f t="shared" si="102"/>
        <v>50000</v>
      </c>
      <c r="I380">
        <f t="shared" si="111"/>
        <v>24000</v>
      </c>
      <c r="J380">
        <f t="shared" ref="J380:J443" si="113">IF(H380&gt;H381,(H380-H381)/B380,0)</f>
        <v>4.62248190298335e-5</v>
      </c>
      <c r="K380">
        <f t="shared" ref="K380:K397" si="114">IF(E380&gt;E381,B381+K381,B381)</f>
        <v>1164323992</v>
      </c>
      <c r="L380">
        <f t="shared" si="112"/>
        <v>4.29433734454902e-5</v>
      </c>
      <c r="M380">
        <f t="shared" si="105"/>
        <v>139492063</v>
      </c>
      <c r="N380">
        <f t="shared" ref="N380:N414" si="115">IF(H380&lt;H381,M380+M381,M380+N381)</f>
        <v>1434269946</v>
      </c>
      <c r="O380">
        <f>IF(H380&gt;H381,(H380-H381)/M381,H380/M381)</f>
        <v>7.31673156194187e-5</v>
      </c>
    </row>
    <row r="381" ht="13.9" spans="1:15">
      <c r="A381" s="42" t="s">
        <v>314</v>
      </c>
      <c r="B381" s="11">
        <v>73366878</v>
      </c>
      <c r="C381" s="11">
        <v>7270220</v>
      </c>
      <c r="D381" s="11">
        <v>441</v>
      </c>
      <c r="E381">
        <f t="shared" si="108"/>
        <v>441</v>
      </c>
      <c r="F381">
        <f t="shared" si="110"/>
        <v>36683439</v>
      </c>
      <c r="G381">
        <f t="shared" si="104"/>
        <v>3668.3439</v>
      </c>
      <c r="H381">
        <f t="shared" si="102"/>
        <v>44100</v>
      </c>
      <c r="I381">
        <f t="shared" si="111"/>
        <v>21168</v>
      </c>
      <c r="J381">
        <f t="shared" si="113"/>
        <v>3.40753221092494e-5</v>
      </c>
      <c r="K381">
        <f t="shared" si="114"/>
        <v>1090957114</v>
      </c>
      <c r="L381">
        <f t="shared" si="112"/>
        <v>4.04232205226722e-5</v>
      </c>
      <c r="M381">
        <f t="shared" si="105"/>
        <v>80637098</v>
      </c>
      <c r="N381">
        <f t="shared" si="115"/>
        <v>1294777883</v>
      </c>
      <c r="O381">
        <f t="shared" ref="O381:O444" si="116">IF(H381&gt;H382,(H381-H382)/M382,H381/M382)</f>
        <v>4.98051026722231e-5</v>
      </c>
    </row>
    <row r="382" ht="13.9" spans="1:15">
      <c r="A382" s="42" t="s">
        <v>315</v>
      </c>
      <c r="B382" s="11">
        <v>45567044</v>
      </c>
      <c r="C382" s="11">
        <v>4628616</v>
      </c>
      <c r="D382" s="11">
        <v>416</v>
      </c>
      <c r="E382">
        <f t="shared" si="108"/>
        <v>416</v>
      </c>
      <c r="F382">
        <f t="shared" si="110"/>
        <v>22783522</v>
      </c>
      <c r="G382">
        <f t="shared" si="104"/>
        <v>2278.3522</v>
      </c>
      <c r="H382">
        <f t="shared" si="102"/>
        <v>41600</v>
      </c>
      <c r="I382">
        <f t="shared" si="111"/>
        <v>19968</v>
      </c>
      <c r="J382">
        <f t="shared" si="113"/>
        <v>3.51130962104981e-5</v>
      </c>
      <c r="K382">
        <f t="shared" si="114"/>
        <v>1045390070</v>
      </c>
      <c r="L382">
        <f t="shared" si="112"/>
        <v>3.97937585154219e-5</v>
      </c>
      <c r="M382">
        <f t="shared" si="105"/>
        <v>50195660</v>
      </c>
      <c r="N382">
        <f t="shared" si="115"/>
        <v>1214140785</v>
      </c>
      <c r="O382">
        <f t="shared" si="116"/>
        <v>2.32503068749879e-5</v>
      </c>
    </row>
    <row r="383" ht="13.9" spans="1:15">
      <c r="A383" s="42" t="s">
        <v>316</v>
      </c>
      <c r="B383" s="11">
        <v>62764096</v>
      </c>
      <c r="C383" s="11">
        <v>6052200</v>
      </c>
      <c r="D383" s="11">
        <v>400</v>
      </c>
      <c r="E383">
        <f t="shared" si="108"/>
        <v>400</v>
      </c>
      <c r="F383">
        <f t="shared" si="110"/>
        <v>31382048</v>
      </c>
      <c r="G383">
        <f t="shared" si="104"/>
        <v>3138.2048</v>
      </c>
      <c r="H383">
        <f t="shared" si="102"/>
        <v>40000</v>
      </c>
      <c r="I383">
        <f t="shared" si="111"/>
        <v>19200</v>
      </c>
      <c r="J383">
        <f t="shared" si="113"/>
        <v>3.50518869896573e-5</v>
      </c>
      <c r="K383">
        <f t="shared" si="114"/>
        <v>982625974</v>
      </c>
      <c r="L383">
        <f t="shared" si="112"/>
        <v>4.07072487990227e-5</v>
      </c>
      <c r="M383">
        <f t="shared" si="105"/>
        <v>68816296</v>
      </c>
      <c r="N383">
        <f t="shared" si="115"/>
        <v>1163945125</v>
      </c>
      <c r="O383">
        <f t="shared" si="116"/>
        <v>5.32320221487798e-5</v>
      </c>
    </row>
    <row r="384" ht="13.9" spans="1:15">
      <c r="A384" s="42" t="s">
        <v>317</v>
      </c>
      <c r="B384" s="11">
        <v>37322970</v>
      </c>
      <c r="C384" s="11">
        <v>4005537</v>
      </c>
      <c r="D384" s="11">
        <v>378</v>
      </c>
      <c r="E384">
        <f t="shared" ref="E384:E415" si="117">IF(RIGHT(D384,1)="B",VALUE(LEFT(D384,LEN(D384)-1))*1000,D384)</f>
        <v>378</v>
      </c>
      <c r="F384">
        <f t="shared" si="110"/>
        <v>18661485</v>
      </c>
      <c r="G384">
        <f t="shared" si="104"/>
        <v>1866.1485</v>
      </c>
      <c r="H384">
        <f t="shared" si="102"/>
        <v>37800</v>
      </c>
      <c r="I384">
        <f t="shared" si="111"/>
        <v>18144</v>
      </c>
      <c r="J384">
        <f t="shared" si="113"/>
        <v>4.01897276663674e-5</v>
      </c>
      <c r="K384">
        <f t="shared" si="114"/>
        <v>945303004</v>
      </c>
      <c r="L384">
        <f t="shared" si="112"/>
        <v>3.99871785449229e-5</v>
      </c>
      <c r="M384">
        <f t="shared" si="105"/>
        <v>41328507</v>
      </c>
      <c r="N384">
        <f t="shared" si="115"/>
        <v>1095128829</v>
      </c>
      <c r="O384">
        <f t="shared" si="116"/>
        <v>5.0144010254517e-5</v>
      </c>
    </row>
    <row r="385" ht="13.9" spans="1:15">
      <c r="A385" s="42" t="s">
        <v>318</v>
      </c>
      <c r="B385" s="11">
        <v>26999222</v>
      </c>
      <c r="C385" s="11">
        <v>2914620</v>
      </c>
      <c r="D385" s="11">
        <v>363</v>
      </c>
      <c r="E385">
        <f t="shared" si="117"/>
        <v>363</v>
      </c>
      <c r="F385">
        <f t="shared" si="110"/>
        <v>13499611</v>
      </c>
      <c r="G385">
        <f t="shared" si="104"/>
        <v>1349.9611</v>
      </c>
      <c r="H385">
        <f t="shared" si="102"/>
        <v>36300</v>
      </c>
      <c r="I385">
        <f t="shared" si="111"/>
        <v>17424</v>
      </c>
      <c r="J385">
        <f t="shared" si="113"/>
        <v>3.7038104283153e-5</v>
      </c>
      <c r="K385">
        <f t="shared" si="114"/>
        <v>918303782</v>
      </c>
      <c r="L385">
        <f t="shared" si="112"/>
        <v>3.95294027004236e-5</v>
      </c>
      <c r="M385">
        <f t="shared" si="105"/>
        <v>29913842</v>
      </c>
      <c r="N385">
        <f t="shared" si="115"/>
        <v>1053800322</v>
      </c>
      <c r="O385">
        <f t="shared" si="116"/>
        <v>1.92369916576862e-5</v>
      </c>
    </row>
    <row r="386" ht="13.9" spans="1:15">
      <c r="A386" s="42" t="s">
        <v>319</v>
      </c>
      <c r="B386" s="11">
        <v>47019810</v>
      </c>
      <c r="C386" s="11">
        <v>4963370</v>
      </c>
      <c r="D386" s="11">
        <v>353</v>
      </c>
      <c r="E386">
        <f t="shared" si="117"/>
        <v>353</v>
      </c>
      <c r="F386">
        <f t="shared" si="110"/>
        <v>23509905</v>
      </c>
      <c r="G386">
        <f t="shared" si="104"/>
        <v>2350.9905</v>
      </c>
      <c r="H386">
        <f t="shared" si="102"/>
        <v>35300</v>
      </c>
      <c r="I386">
        <f t="shared" si="111"/>
        <v>16944</v>
      </c>
      <c r="J386">
        <f t="shared" si="113"/>
        <v>4.25352633283716e-5</v>
      </c>
      <c r="K386">
        <f t="shared" si="114"/>
        <v>871283972</v>
      </c>
      <c r="L386">
        <f t="shared" si="112"/>
        <v>4.05149195146677e-5</v>
      </c>
      <c r="M386">
        <f t="shared" si="105"/>
        <v>51983180</v>
      </c>
      <c r="N386">
        <f t="shared" si="115"/>
        <v>1023886480</v>
      </c>
      <c r="O386">
        <f t="shared" si="116"/>
        <v>5.34295863769942e-5</v>
      </c>
    </row>
    <row r="387" ht="13.9" spans="1:15">
      <c r="A387" s="42" t="s">
        <v>320</v>
      </c>
      <c r="B387" s="11">
        <v>33712302</v>
      </c>
      <c r="C387" s="11">
        <v>3720142</v>
      </c>
      <c r="D387" s="11">
        <v>333</v>
      </c>
      <c r="E387">
        <f t="shared" si="117"/>
        <v>333</v>
      </c>
      <c r="F387">
        <f t="shared" si="110"/>
        <v>16856151</v>
      </c>
      <c r="G387">
        <f t="shared" si="104"/>
        <v>1685.6151</v>
      </c>
      <c r="H387">
        <f t="shared" ref="H387:H450" si="118">E387*100</f>
        <v>33300</v>
      </c>
      <c r="I387">
        <f t="shared" si="111"/>
        <v>15984</v>
      </c>
      <c r="J387">
        <f t="shared" si="113"/>
        <v>3.85615909586951e-5</v>
      </c>
      <c r="K387">
        <f t="shared" si="114"/>
        <v>837571670</v>
      </c>
      <c r="L387">
        <f t="shared" si="112"/>
        <v>3.975779171232e-5</v>
      </c>
      <c r="M387">
        <f t="shared" si="105"/>
        <v>37432444</v>
      </c>
      <c r="N387">
        <f t="shared" si="115"/>
        <v>971903300</v>
      </c>
      <c r="O387">
        <f t="shared" si="116"/>
        <v>4.7872399580461e-5</v>
      </c>
    </row>
    <row r="388" ht="13.9" spans="1:15">
      <c r="A388" s="42" t="s">
        <v>321</v>
      </c>
      <c r="B388" s="11">
        <v>24453952</v>
      </c>
      <c r="C388" s="11">
        <v>2701570</v>
      </c>
      <c r="D388" s="11">
        <v>320</v>
      </c>
      <c r="E388">
        <f t="shared" si="117"/>
        <v>320</v>
      </c>
      <c r="F388">
        <f t="shared" si="110"/>
        <v>12226976</v>
      </c>
      <c r="G388">
        <f t="shared" ref="G388:G451" si="119">F388/10000</f>
        <v>1222.6976</v>
      </c>
      <c r="H388">
        <f t="shared" si="118"/>
        <v>32000</v>
      </c>
      <c r="I388">
        <f t="shared" si="111"/>
        <v>15360</v>
      </c>
      <c r="J388">
        <f t="shared" si="113"/>
        <v>5.31611413975132e-5</v>
      </c>
      <c r="K388">
        <f t="shared" si="114"/>
        <v>813117718</v>
      </c>
      <c r="L388">
        <f t="shared" si="112"/>
        <v>3.93546952570526e-5</v>
      </c>
      <c r="M388">
        <f t="shared" si="105"/>
        <v>27155522</v>
      </c>
      <c r="N388">
        <f t="shared" si="115"/>
        <v>934470856</v>
      </c>
      <c r="O388">
        <f t="shared" si="116"/>
        <v>2.74639296142581e-5</v>
      </c>
    </row>
    <row r="389" ht="13.9" spans="1:15">
      <c r="A389" s="42" t="s">
        <v>322</v>
      </c>
      <c r="B389" s="11">
        <v>42746648</v>
      </c>
      <c r="C389" s="11">
        <v>4588166</v>
      </c>
      <c r="D389" s="11">
        <v>307</v>
      </c>
      <c r="E389">
        <f t="shared" si="117"/>
        <v>307</v>
      </c>
      <c r="F389">
        <f t="shared" si="110"/>
        <v>21373324</v>
      </c>
      <c r="G389">
        <f t="shared" si="119"/>
        <v>2137.3324</v>
      </c>
      <c r="H389">
        <f t="shared" si="118"/>
        <v>30700</v>
      </c>
      <c r="I389">
        <f t="shared" si="111"/>
        <v>14736</v>
      </c>
      <c r="J389">
        <f t="shared" si="113"/>
        <v>3.7429835434114e-5</v>
      </c>
      <c r="K389">
        <f t="shared" si="114"/>
        <v>770371070</v>
      </c>
      <c r="L389">
        <f t="shared" si="112"/>
        <v>3.98509253469241e-5</v>
      </c>
      <c r="M389">
        <f t="shared" si="105"/>
        <v>47334814</v>
      </c>
      <c r="N389">
        <f t="shared" si="115"/>
        <v>907315334</v>
      </c>
      <c r="O389">
        <f t="shared" si="116"/>
        <v>5.10771614697517e-5</v>
      </c>
    </row>
    <row r="390" ht="13.9" spans="1:15">
      <c r="A390" s="42" t="s">
        <v>323</v>
      </c>
      <c r="B390" s="11">
        <v>28124210</v>
      </c>
      <c r="C390" s="11">
        <v>3200945</v>
      </c>
      <c r="D390" s="11">
        <v>291</v>
      </c>
      <c r="E390">
        <f t="shared" si="117"/>
        <v>291</v>
      </c>
      <c r="F390">
        <f t="shared" si="110"/>
        <v>14062105</v>
      </c>
      <c r="G390">
        <f t="shared" si="119"/>
        <v>1406.2105</v>
      </c>
      <c r="H390">
        <f t="shared" si="118"/>
        <v>29100</v>
      </c>
      <c r="I390">
        <f t="shared" si="111"/>
        <v>13968</v>
      </c>
      <c r="J390">
        <f t="shared" si="113"/>
        <v>3.91122097296244e-5</v>
      </c>
      <c r="K390">
        <f t="shared" si="114"/>
        <v>742246860</v>
      </c>
      <c r="L390">
        <f t="shared" si="112"/>
        <v>3.92052854221573e-5</v>
      </c>
      <c r="M390">
        <f t="shared" si="105"/>
        <v>31325155</v>
      </c>
      <c r="N390">
        <f t="shared" si="115"/>
        <v>859980520</v>
      </c>
      <c r="O390">
        <f t="shared" si="116"/>
        <v>4.66373693538893e-5</v>
      </c>
    </row>
    <row r="391" ht="13.9" spans="1:15">
      <c r="A391" s="42" t="s">
        <v>324</v>
      </c>
      <c r="B391" s="11">
        <v>21183058</v>
      </c>
      <c r="C391" s="11">
        <v>2403178</v>
      </c>
      <c r="D391" s="11">
        <v>280</v>
      </c>
      <c r="E391">
        <f t="shared" si="117"/>
        <v>280</v>
      </c>
      <c r="F391">
        <f t="shared" si="110"/>
        <v>10591529</v>
      </c>
      <c r="G391">
        <f t="shared" si="119"/>
        <v>1059.1529</v>
      </c>
      <c r="H391">
        <f t="shared" si="118"/>
        <v>28000</v>
      </c>
      <c r="I391">
        <f t="shared" si="111"/>
        <v>13440</v>
      </c>
      <c r="J391">
        <f t="shared" si="113"/>
        <v>9.44150745373968e-6</v>
      </c>
      <c r="K391">
        <f t="shared" si="114"/>
        <v>721063802</v>
      </c>
      <c r="L391">
        <f t="shared" si="112"/>
        <v>3.883151521729e-5</v>
      </c>
      <c r="M391">
        <f t="shared" ref="M391:M454" si="120">B391+C391</f>
        <v>23586236</v>
      </c>
      <c r="N391">
        <f t="shared" si="115"/>
        <v>828655365</v>
      </c>
      <c r="O391">
        <f t="shared" si="116"/>
        <v>4.70944845812422e-6</v>
      </c>
    </row>
    <row r="392" ht="13.9" spans="1:15">
      <c r="A392" s="42" t="s">
        <v>325</v>
      </c>
      <c r="B392" s="11">
        <v>38231854</v>
      </c>
      <c r="C392" s="11">
        <v>4235964</v>
      </c>
      <c r="D392" s="11">
        <v>278</v>
      </c>
      <c r="E392">
        <f t="shared" si="117"/>
        <v>278</v>
      </c>
      <c r="F392">
        <f t="shared" si="110"/>
        <v>19115927</v>
      </c>
      <c r="G392">
        <f t="shared" si="119"/>
        <v>1911.5927</v>
      </c>
      <c r="H392">
        <f t="shared" si="118"/>
        <v>27800</v>
      </c>
      <c r="I392">
        <f t="shared" si="111"/>
        <v>13344</v>
      </c>
      <c r="J392">
        <f t="shared" si="113"/>
        <v>3.66186792824643e-5</v>
      </c>
      <c r="K392">
        <f t="shared" si="114"/>
        <v>682831948</v>
      </c>
      <c r="L392">
        <f t="shared" si="112"/>
        <v>4.07127992201091e-5</v>
      </c>
      <c r="M392">
        <f t="shared" si="120"/>
        <v>42467818</v>
      </c>
      <c r="N392">
        <f t="shared" si="115"/>
        <v>805069129</v>
      </c>
      <c r="O392">
        <f t="shared" si="116"/>
        <v>4.59332594988996e-5</v>
      </c>
    </row>
    <row r="393" ht="13.9" spans="1:15">
      <c r="A393" s="42" t="s">
        <v>326</v>
      </c>
      <c r="B393" s="11">
        <v>27334776</v>
      </c>
      <c r="C393" s="11">
        <v>3144228</v>
      </c>
      <c r="D393" s="11">
        <v>264</v>
      </c>
      <c r="E393">
        <f t="shared" si="117"/>
        <v>264</v>
      </c>
      <c r="F393">
        <f t="shared" si="110"/>
        <v>13667388</v>
      </c>
      <c r="G393">
        <f t="shared" si="119"/>
        <v>1366.7388</v>
      </c>
      <c r="H393">
        <f t="shared" si="118"/>
        <v>26400</v>
      </c>
      <c r="I393">
        <f t="shared" si="111"/>
        <v>12672</v>
      </c>
      <c r="J393">
        <f t="shared" si="113"/>
        <v>4.02417784583272e-5</v>
      </c>
      <c r="K393">
        <f t="shared" si="114"/>
        <v>655497172</v>
      </c>
      <c r="L393">
        <f t="shared" si="112"/>
        <v>4.02747732983354e-5</v>
      </c>
      <c r="M393">
        <f t="shared" si="120"/>
        <v>30479004</v>
      </c>
      <c r="N393">
        <f t="shared" si="115"/>
        <v>762601311</v>
      </c>
      <c r="O393">
        <f t="shared" si="116"/>
        <v>4.85275805621805e-5</v>
      </c>
    </row>
    <row r="394" ht="13.9" spans="1:15">
      <c r="A394" s="42" t="s">
        <v>327</v>
      </c>
      <c r="B394" s="11">
        <v>20327170</v>
      </c>
      <c r="C394" s="11">
        <v>2340352</v>
      </c>
      <c r="D394" s="11">
        <v>253</v>
      </c>
      <c r="E394">
        <f t="shared" si="117"/>
        <v>253</v>
      </c>
      <c r="F394">
        <f t="shared" si="110"/>
        <v>10163585</v>
      </c>
      <c r="G394">
        <f t="shared" si="119"/>
        <v>1016.3585</v>
      </c>
      <c r="H394">
        <f t="shared" si="118"/>
        <v>25300</v>
      </c>
      <c r="I394">
        <f t="shared" si="111"/>
        <v>12144</v>
      </c>
      <c r="J394">
        <f t="shared" si="113"/>
        <v>4.91952396718284e-5</v>
      </c>
      <c r="K394">
        <f t="shared" si="114"/>
        <v>635170002</v>
      </c>
      <c r="L394">
        <f t="shared" si="112"/>
        <v>3.98318559131198e-5</v>
      </c>
      <c r="M394">
        <f t="shared" si="120"/>
        <v>22667522</v>
      </c>
      <c r="N394">
        <f t="shared" si="115"/>
        <v>732122307</v>
      </c>
      <c r="O394">
        <f t="shared" si="116"/>
        <v>2.71951762719259e-5</v>
      </c>
    </row>
    <row r="395" ht="13.9" spans="1:15">
      <c r="A395" s="42" t="s">
        <v>328</v>
      </c>
      <c r="B395" s="11">
        <v>33010232</v>
      </c>
      <c r="C395" s="11">
        <v>3760995</v>
      </c>
      <c r="D395" s="11">
        <v>243</v>
      </c>
      <c r="E395">
        <f t="shared" si="117"/>
        <v>243</v>
      </c>
      <c r="F395">
        <f t="shared" si="110"/>
        <v>16505116</v>
      </c>
      <c r="G395">
        <f t="shared" si="119"/>
        <v>1650.5116</v>
      </c>
      <c r="H395">
        <f t="shared" si="118"/>
        <v>24300</v>
      </c>
      <c r="I395">
        <f t="shared" si="111"/>
        <v>11664</v>
      </c>
      <c r="J395">
        <f t="shared" si="113"/>
        <v>5.75579111349475e-5</v>
      </c>
      <c r="K395">
        <f t="shared" si="114"/>
        <v>602159770</v>
      </c>
      <c r="L395">
        <f t="shared" si="112"/>
        <v>4.03547384110367e-5</v>
      </c>
      <c r="M395">
        <f t="shared" si="120"/>
        <v>36771227</v>
      </c>
      <c r="N395">
        <f t="shared" si="115"/>
        <v>709454785</v>
      </c>
      <c r="O395">
        <f t="shared" si="116"/>
        <v>6.07866950081966e-5</v>
      </c>
    </row>
    <row r="396" ht="13.9" spans="1:15">
      <c r="A396" s="42" t="s">
        <v>329</v>
      </c>
      <c r="B396" s="11">
        <v>28030492</v>
      </c>
      <c r="C396" s="11">
        <v>3226348</v>
      </c>
      <c r="D396" s="11">
        <v>224</v>
      </c>
      <c r="E396">
        <f t="shared" si="117"/>
        <v>224</v>
      </c>
      <c r="F396">
        <f t="shared" si="110"/>
        <v>14015246</v>
      </c>
      <c r="G396">
        <f t="shared" si="119"/>
        <v>1401.5246</v>
      </c>
      <c r="H396">
        <f t="shared" si="118"/>
        <v>22400</v>
      </c>
      <c r="I396">
        <f t="shared" si="111"/>
        <v>10752</v>
      </c>
      <c r="J396">
        <f t="shared" si="113"/>
        <v>3.92429786819297e-5</v>
      </c>
      <c r="K396">
        <f t="shared" si="114"/>
        <v>574129278</v>
      </c>
      <c r="L396">
        <f t="shared" si="112"/>
        <v>3.90156030328765e-5</v>
      </c>
      <c r="M396">
        <f t="shared" si="120"/>
        <v>31256840</v>
      </c>
      <c r="N396">
        <f t="shared" si="115"/>
        <v>672683558</v>
      </c>
      <c r="O396">
        <f t="shared" si="116"/>
        <v>5.13198485299336e-5</v>
      </c>
    </row>
    <row r="397" ht="13.9" spans="1:15">
      <c r="A397" s="42" t="s">
        <v>330</v>
      </c>
      <c r="B397" s="11">
        <v>19186948</v>
      </c>
      <c r="C397" s="11">
        <v>2247254</v>
      </c>
      <c r="D397" s="11">
        <v>213</v>
      </c>
      <c r="E397">
        <f t="shared" si="117"/>
        <v>213</v>
      </c>
      <c r="F397">
        <f t="shared" si="110"/>
        <v>9593474</v>
      </c>
      <c r="G397">
        <f t="shared" si="119"/>
        <v>959.3474</v>
      </c>
      <c r="H397">
        <f t="shared" si="118"/>
        <v>21300</v>
      </c>
      <c r="I397">
        <f t="shared" si="111"/>
        <v>10224</v>
      </c>
      <c r="J397">
        <f t="shared" si="113"/>
        <v>4.16950105874056e-5</v>
      </c>
      <c r="K397">
        <f t="shared" si="114"/>
        <v>554942330</v>
      </c>
      <c r="L397">
        <f t="shared" si="112"/>
        <v>3.83823666866429e-5</v>
      </c>
      <c r="M397">
        <f t="shared" si="120"/>
        <v>21434202</v>
      </c>
      <c r="N397">
        <f t="shared" si="115"/>
        <v>641426718</v>
      </c>
      <c r="O397">
        <f t="shared" si="116"/>
        <v>2.0684533432295e-5</v>
      </c>
    </row>
    <row r="398" ht="13.9" spans="1:15">
      <c r="A398" s="42" t="s">
        <v>331</v>
      </c>
      <c r="B398" s="11">
        <v>34749910</v>
      </c>
      <c r="C398" s="11">
        <v>3926331</v>
      </c>
      <c r="D398" s="11">
        <v>205</v>
      </c>
      <c r="E398">
        <f t="shared" si="117"/>
        <v>205</v>
      </c>
      <c r="F398">
        <f t="shared" si="110"/>
        <v>17374955</v>
      </c>
      <c r="G398">
        <f t="shared" si="119"/>
        <v>1737.4955</v>
      </c>
      <c r="H398">
        <f t="shared" si="118"/>
        <v>20500</v>
      </c>
      <c r="I398">
        <f t="shared" si="111"/>
        <v>9840</v>
      </c>
      <c r="J398">
        <f t="shared" si="113"/>
        <v>4.31655794216445e-5</v>
      </c>
      <c r="K398">
        <f t="shared" ref="K398:K429" si="121">IF(E398&gt;E399,B399+K399,B399)</f>
        <v>520192420</v>
      </c>
      <c r="L398">
        <f t="shared" si="112"/>
        <v>3.94084942644877e-5</v>
      </c>
      <c r="M398">
        <f t="shared" si="120"/>
        <v>38676241</v>
      </c>
      <c r="N398">
        <f t="shared" si="115"/>
        <v>619992516</v>
      </c>
      <c r="O398">
        <f t="shared" si="116"/>
        <v>5.68986092955713e-5</v>
      </c>
    </row>
    <row r="399" ht="13.9" spans="1:15">
      <c r="A399" s="42" t="s">
        <v>332</v>
      </c>
      <c r="B399" s="11">
        <v>23540840</v>
      </c>
      <c r="C399" s="11">
        <v>2821843</v>
      </c>
      <c r="D399" s="11">
        <v>190</v>
      </c>
      <c r="E399">
        <f t="shared" si="117"/>
        <v>190</v>
      </c>
      <c r="F399">
        <f t="shared" si="110"/>
        <v>11770420</v>
      </c>
      <c r="G399">
        <f t="shared" si="119"/>
        <v>1177.042</v>
      </c>
      <c r="H399">
        <f t="shared" si="118"/>
        <v>19000</v>
      </c>
      <c r="I399">
        <f t="shared" si="111"/>
        <v>9120</v>
      </c>
      <c r="J399">
        <f t="shared" si="113"/>
        <v>4.24793677710736e-5</v>
      </c>
      <c r="K399">
        <f t="shared" si="121"/>
        <v>496651580</v>
      </c>
      <c r="L399">
        <f t="shared" si="112"/>
        <v>3.82561956210831e-5</v>
      </c>
      <c r="M399">
        <f t="shared" si="120"/>
        <v>26362683</v>
      </c>
      <c r="N399">
        <f t="shared" si="115"/>
        <v>581316275</v>
      </c>
      <c r="O399">
        <f t="shared" si="116"/>
        <v>5.11174295661884e-5</v>
      </c>
    </row>
    <row r="400" ht="13.9" spans="1:15">
      <c r="A400" s="42" t="s">
        <v>333</v>
      </c>
      <c r="B400" s="11">
        <v>17452546</v>
      </c>
      <c r="C400" s="11">
        <v>2110253</v>
      </c>
      <c r="D400" s="11">
        <v>180</v>
      </c>
      <c r="E400">
        <f t="shared" si="117"/>
        <v>180</v>
      </c>
      <c r="F400">
        <f t="shared" si="110"/>
        <v>8726273</v>
      </c>
      <c r="G400">
        <f t="shared" si="119"/>
        <v>872.6273</v>
      </c>
      <c r="H400">
        <f t="shared" si="118"/>
        <v>18000</v>
      </c>
      <c r="I400">
        <f t="shared" si="111"/>
        <v>8640</v>
      </c>
      <c r="J400">
        <f t="shared" si="113"/>
        <v>4.01087612088231e-5</v>
      </c>
      <c r="K400">
        <f t="shared" si="121"/>
        <v>479199034</v>
      </c>
      <c r="L400">
        <f t="shared" si="112"/>
        <v>3.75626800616631e-5</v>
      </c>
      <c r="M400">
        <f t="shared" si="120"/>
        <v>19562799</v>
      </c>
      <c r="N400">
        <f t="shared" si="115"/>
        <v>554953592</v>
      </c>
      <c r="O400">
        <f t="shared" si="116"/>
        <v>1.94709557733095e-5</v>
      </c>
    </row>
    <row r="401" ht="13.9" spans="1:15">
      <c r="A401" s="42" t="s">
        <v>334</v>
      </c>
      <c r="B401" s="11">
        <v>32196454</v>
      </c>
      <c r="C401" s="11">
        <v>3754529</v>
      </c>
      <c r="D401" s="11">
        <v>173</v>
      </c>
      <c r="E401">
        <f t="shared" si="117"/>
        <v>173</v>
      </c>
      <c r="F401">
        <f t="shared" si="110"/>
        <v>16098227</v>
      </c>
      <c r="G401">
        <f t="shared" si="119"/>
        <v>1609.8227</v>
      </c>
      <c r="H401">
        <f t="shared" si="118"/>
        <v>17300</v>
      </c>
      <c r="I401">
        <f t="shared" si="111"/>
        <v>8304</v>
      </c>
      <c r="J401">
        <f t="shared" si="113"/>
        <v>4.03771173061481e-5</v>
      </c>
      <c r="K401">
        <f t="shared" si="121"/>
        <v>447002580</v>
      </c>
      <c r="L401">
        <f t="shared" si="112"/>
        <v>3.87022374680701e-5</v>
      </c>
      <c r="M401">
        <f t="shared" si="120"/>
        <v>35950983</v>
      </c>
      <c r="N401">
        <f t="shared" si="115"/>
        <v>535390793</v>
      </c>
      <c r="O401">
        <f t="shared" si="116"/>
        <v>5.12897498026824e-5</v>
      </c>
    </row>
    <row r="402" ht="13.9" spans="1:15">
      <c r="A402" s="42" t="s">
        <v>335</v>
      </c>
      <c r="B402" s="11">
        <v>22583956</v>
      </c>
      <c r="C402" s="11">
        <v>2762239</v>
      </c>
      <c r="D402" s="11">
        <v>160</v>
      </c>
      <c r="E402">
        <f t="shared" si="117"/>
        <v>160</v>
      </c>
      <c r="F402">
        <f t="shared" si="110"/>
        <v>11291978</v>
      </c>
      <c r="G402">
        <f t="shared" si="119"/>
        <v>1129.1978</v>
      </c>
      <c r="H402">
        <f t="shared" si="118"/>
        <v>16000</v>
      </c>
      <c r="I402">
        <f t="shared" si="111"/>
        <v>7680</v>
      </c>
      <c r="J402">
        <f t="shared" si="113"/>
        <v>3.98512997457133e-5</v>
      </c>
      <c r="K402">
        <f t="shared" si="121"/>
        <v>424418624</v>
      </c>
      <c r="L402">
        <f t="shared" si="112"/>
        <v>3.7698628418342e-5</v>
      </c>
      <c r="M402">
        <f t="shared" si="120"/>
        <v>25346195</v>
      </c>
      <c r="N402">
        <f t="shared" si="115"/>
        <v>499439810</v>
      </c>
      <c r="O402">
        <f t="shared" si="116"/>
        <v>4.77014752635255e-5</v>
      </c>
    </row>
    <row r="403" ht="13.9" spans="1:15">
      <c r="A403" s="42" t="s">
        <v>336</v>
      </c>
      <c r="B403" s="11">
        <v>16818412</v>
      </c>
      <c r="C403" s="11">
        <v>2048929</v>
      </c>
      <c r="D403" s="11">
        <v>151</v>
      </c>
      <c r="E403">
        <f t="shared" si="117"/>
        <v>151</v>
      </c>
      <c r="F403">
        <f t="shared" si="110"/>
        <v>8409206</v>
      </c>
      <c r="G403">
        <f t="shared" si="119"/>
        <v>840.9206</v>
      </c>
      <c r="H403">
        <f t="shared" si="118"/>
        <v>15100</v>
      </c>
      <c r="I403">
        <f t="shared" si="111"/>
        <v>7248</v>
      </c>
      <c r="J403">
        <f t="shared" si="113"/>
        <v>2.97293228397544e-5</v>
      </c>
      <c r="K403">
        <f t="shared" si="121"/>
        <v>407600212</v>
      </c>
      <c r="L403">
        <f t="shared" si="112"/>
        <v>3.7046104382301e-5</v>
      </c>
      <c r="M403">
        <f t="shared" si="120"/>
        <v>18867341</v>
      </c>
      <c r="N403">
        <f t="shared" si="115"/>
        <v>474093615</v>
      </c>
      <c r="O403">
        <f t="shared" si="116"/>
        <v>1.44709967940954e-5</v>
      </c>
    </row>
    <row r="404" ht="13.9" spans="1:15">
      <c r="A404" s="42" t="s">
        <v>337</v>
      </c>
      <c r="B404" s="11">
        <v>30888254</v>
      </c>
      <c r="C404" s="11">
        <v>3663616</v>
      </c>
      <c r="D404" s="11">
        <v>146</v>
      </c>
      <c r="E404">
        <f t="shared" si="117"/>
        <v>146</v>
      </c>
      <c r="F404">
        <f t="shared" si="110"/>
        <v>15444127</v>
      </c>
      <c r="G404">
        <f t="shared" si="119"/>
        <v>1544.4127</v>
      </c>
      <c r="H404">
        <f t="shared" si="118"/>
        <v>14600</v>
      </c>
      <c r="I404">
        <f t="shared" si="111"/>
        <v>7008</v>
      </c>
      <c r="J404">
        <f t="shared" si="113"/>
        <v>4.53246726085586e-5</v>
      </c>
      <c r="K404">
        <f t="shared" si="121"/>
        <v>376711958</v>
      </c>
      <c r="L404">
        <f t="shared" si="112"/>
        <v>3.87564017811189e-5</v>
      </c>
      <c r="M404">
        <f t="shared" si="120"/>
        <v>34551870</v>
      </c>
      <c r="N404">
        <f t="shared" si="115"/>
        <v>455226274</v>
      </c>
      <c r="O404">
        <f t="shared" si="116"/>
        <v>5.72570299976942e-5</v>
      </c>
    </row>
    <row r="405" ht="13.9" spans="1:15">
      <c r="A405" s="42" t="s">
        <v>338</v>
      </c>
      <c r="B405" s="11">
        <v>21734132</v>
      </c>
      <c r="C405" s="11">
        <v>2717014</v>
      </c>
      <c r="D405" s="11">
        <v>132</v>
      </c>
      <c r="E405">
        <f t="shared" si="117"/>
        <v>132</v>
      </c>
      <c r="F405">
        <f t="shared" si="110"/>
        <v>10867066</v>
      </c>
      <c r="G405">
        <f t="shared" si="119"/>
        <v>1086.7066</v>
      </c>
      <c r="H405">
        <f t="shared" si="118"/>
        <v>13200</v>
      </c>
      <c r="I405">
        <f t="shared" si="111"/>
        <v>6336</v>
      </c>
      <c r="J405">
        <f t="shared" si="113"/>
        <v>4.14095212083924e-5</v>
      </c>
      <c r="K405">
        <f t="shared" si="121"/>
        <v>354977826</v>
      </c>
      <c r="L405">
        <f t="shared" si="112"/>
        <v>3.7185421266285e-5</v>
      </c>
      <c r="M405">
        <f t="shared" si="120"/>
        <v>24451146</v>
      </c>
      <c r="N405">
        <f t="shared" si="115"/>
        <v>420674404</v>
      </c>
      <c r="O405">
        <f t="shared" si="116"/>
        <v>4.97737011027308e-5</v>
      </c>
    </row>
    <row r="406" ht="13.9" spans="1:15">
      <c r="A406" s="42" t="s">
        <v>339</v>
      </c>
      <c r="B406" s="11">
        <v>16069378</v>
      </c>
      <c r="C406" s="11">
        <v>2012460</v>
      </c>
      <c r="D406" s="11">
        <v>123</v>
      </c>
      <c r="E406">
        <f t="shared" si="117"/>
        <v>123</v>
      </c>
      <c r="F406">
        <f t="shared" si="110"/>
        <v>8034689</v>
      </c>
      <c r="G406">
        <f t="shared" si="119"/>
        <v>803.4689</v>
      </c>
      <c r="H406">
        <f t="shared" si="118"/>
        <v>12300</v>
      </c>
      <c r="I406">
        <f t="shared" si="111"/>
        <v>5904</v>
      </c>
      <c r="J406">
        <f t="shared" si="113"/>
        <v>4.35611135664367e-5</v>
      </c>
      <c r="K406">
        <f t="shared" si="121"/>
        <v>338908448</v>
      </c>
      <c r="L406">
        <f t="shared" si="112"/>
        <v>3.62929873025768e-5</v>
      </c>
      <c r="M406">
        <f t="shared" si="120"/>
        <v>18081838</v>
      </c>
      <c r="N406">
        <f t="shared" si="115"/>
        <v>396223258</v>
      </c>
      <c r="O406">
        <f t="shared" si="116"/>
        <v>2.09217320097688e-5</v>
      </c>
    </row>
    <row r="407" ht="13.9" spans="1:15">
      <c r="A407" s="42" t="s">
        <v>340</v>
      </c>
      <c r="B407" s="11">
        <v>29842334</v>
      </c>
      <c r="C407" s="11">
        <v>3615699</v>
      </c>
      <c r="D407" s="11">
        <v>116</v>
      </c>
      <c r="E407">
        <f t="shared" si="117"/>
        <v>116</v>
      </c>
      <c r="F407">
        <f t="shared" si="110"/>
        <v>14921167</v>
      </c>
      <c r="G407">
        <f t="shared" si="119"/>
        <v>1492.1167</v>
      </c>
      <c r="H407">
        <f t="shared" si="118"/>
        <v>11600</v>
      </c>
      <c r="I407">
        <f t="shared" si="111"/>
        <v>5568</v>
      </c>
      <c r="J407">
        <f t="shared" si="113"/>
        <v>4.69132206616279e-5</v>
      </c>
      <c r="K407">
        <f t="shared" si="121"/>
        <v>309066114</v>
      </c>
      <c r="L407">
        <f t="shared" ref="L407:L425" si="122">IF(E407&gt;E408,H407/K407,0)</f>
        <v>3.75324225935684e-5</v>
      </c>
      <c r="M407">
        <f t="shared" si="120"/>
        <v>33458033</v>
      </c>
      <c r="N407">
        <f t="shared" si="115"/>
        <v>378141420</v>
      </c>
      <c r="O407">
        <f t="shared" si="116"/>
        <v>6.08077607381402e-5</v>
      </c>
    </row>
    <row r="408" ht="13.9" spans="1:15">
      <c r="A408" s="42" t="s">
        <v>341</v>
      </c>
      <c r="B408" s="11">
        <v>20441000</v>
      </c>
      <c r="C408" s="11">
        <v>2582377</v>
      </c>
      <c r="D408" s="11">
        <v>102</v>
      </c>
      <c r="E408">
        <f t="shared" si="117"/>
        <v>102</v>
      </c>
      <c r="F408">
        <f t="shared" si="110"/>
        <v>10220500</v>
      </c>
      <c r="G408">
        <f t="shared" si="119"/>
        <v>1022.05</v>
      </c>
      <c r="H408">
        <f t="shared" si="118"/>
        <v>10200</v>
      </c>
      <c r="I408">
        <f t="shared" si="111"/>
        <v>4896</v>
      </c>
      <c r="J408">
        <f t="shared" si="113"/>
        <v>4.40291570862482e-5</v>
      </c>
      <c r="K408">
        <f t="shared" si="121"/>
        <v>288625114</v>
      </c>
      <c r="L408">
        <f t="shared" si="122"/>
        <v>3.53399600562826e-5</v>
      </c>
      <c r="M408">
        <f t="shared" si="120"/>
        <v>23023377</v>
      </c>
      <c r="N408">
        <f t="shared" si="115"/>
        <v>344683387</v>
      </c>
      <c r="O408">
        <f t="shared" si="116"/>
        <v>5.58380720726813e-5</v>
      </c>
    </row>
    <row r="409" ht="13.9" spans="1:15">
      <c r="A409" s="42" t="s">
        <v>342</v>
      </c>
      <c r="B409" s="11">
        <v>14271568</v>
      </c>
      <c r="C409" s="11">
        <v>1846467</v>
      </c>
      <c r="D409" s="11">
        <v>93</v>
      </c>
      <c r="E409">
        <f t="shared" si="117"/>
        <v>93</v>
      </c>
      <c r="F409">
        <f t="shared" si="110"/>
        <v>7135784</v>
      </c>
      <c r="G409">
        <f t="shared" si="119"/>
        <v>713.5784</v>
      </c>
      <c r="H409">
        <f t="shared" si="118"/>
        <v>9300</v>
      </c>
      <c r="I409">
        <f t="shared" si="111"/>
        <v>4464</v>
      </c>
      <c r="J409">
        <f t="shared" si="113"/>
        <v>4.9048569855814e-5</v>
      </c>
      <c r="K409">
        <f t="shared" si="121"/>
        <v>274353546</v>
      </c>
      <c r="L409">
        <f t="shared" si="122"/>
        <v>3.3897866951572e-5</v>
      </c>
      <c r="M409">
        <f t="shared" si="120"/>
        <v>16118035</v>
      </c>
      <c r="N409">
        <f t="shared" si="115"/>
        <v>321660010</v>
      </c>
      <c r="O409">
        <f t="shared" si="116"/>
        <v>2.39657995714847e-5</v>
      </c>
    </row>
    <row r="410" ht="13.9" spans="1:15">
      <c r="A410" s="42" t="s">
        <v>343</v>
      </c>
      <c r="B410" s="11">
        <v>25920970</v>
      </c>
      <c r="C410" s="11">
        <v>3287319</v>
      </c>
      <c r="D410" s="11">
        <v>86</v>
      </c>
      <c r="E410">
        <f t="shared" si="117"/>
        <v>86</v>
      </c>
      <c r="F410">
        <f t="shared" si="110"/>
        <v>12960485</v>
      </c>
      <c r="G410">
        <f t="shared" si="119"/>
        <v>1296.0485</v>
      </c>
      <c r="H410">
        <f t="shared" si="118"/>
        <v>8600</v>
      </c>
      <c r="I410">
        <f t="shared" si="111"/>
        <v>4128</v>
      </c>
      <c r="J410">
        <f t="shared" si="113"/>
        <v>5.01524441407864e-5</v>
      </c>
      <c r="K410">
        <f t="shared" si="121"/>
        <v>248432576</v>
      </c>
      <c r="L410">
        <f t="shared" si="122"/>
        <v>3.46170383066028e-5</v>
      </c>
      <c r="M410">
        <f t="shared" si="120"/>
        <v>29208289</v>
      </c>
      <c r="N410">
        <f t="shared" si="115"/>
        <v>305541975</v>
      </c>
      <c r="O410">
        <f t="shared" si="116"/>
        <v>6.37052731402789e-5</v>
      </c>
    </row>
    <row r="411" ht="13.9" spans="1:15">
      <c r="A411" s="42" t="s">
        <v>344</v>
      </c>
      <c r="B411" s="11">
        <v>17993180</v>
      </c>
      <c r="C411" s="11">
        <v>2413294</v>
      </c>
      <c r="D411" s="11">
        <v>73</v>
      </c>
      <c r="E411">
        <f t="shared" si="117"/>
        <v>73</v>
      </c>
      <c r="F411">
        <f t="shared" si="110"/>
        <v>8996590</v>
      </c>
      <c r="G411">
        <f t="shared" si="119"/>
        <v>899.659</v>
      </c>
      <c r="H411">
        <f t="shared" si="118"/>
        <v>7300</v>
      </c>
      <c r="I411">
        <f t="shared" si="111"/>
        <v>3504</v>
      </c>
      <c r="J411">
        <f t="shared" si="113"/>
        <v>4.44612903333374e-5</v>
      </c>
      <c r="K411">
        <f t="shared" si="121"/>
        <v>230439396</v>
      </c>
      <c r="L411">
        <f t="shared" si="122"/>
        <v>3.16786110652711e-5</v>
      </c>
      <c r="M411">
        <f t="shared" si="120"/>
        <v>20406474</v>
      </c>
      <c r="N411">
        <f t="shared" si="115"/>
        <v>276333686</v>
      </c>
      <c r="O411">
        <f t="shared" si="116"/>
        <v>5.33419427228888e-5</v>
      </c>
    </row>
    <row r="412" ht="13.9" spans="1:15">
      <c r="A412" s="42" t="s">
        <v>345</v>
      </c>
      <c r="B412" s="11">
        <v>13223386</v>
      </c>
      <c r="C412" s="11">
        <v>1774193</v>
      </c>
      <c r="D412" s="11">
        <v>65</v>
      </c>
      <c r="E412">
        <f t="shared" si="117"/>
        <v>65</v>
      </c>
      <c r="F412">
        <f t="shared" si="110"/>
        <v>6611693</v>
      </c>
      <c r="G412">
        <f t="shared" si="119"/>
        <v>661.1693</v>
      </c>
      <c r="H412">
        <f t="shared" si="118"/>
        <v>6500</v>
      </c>
      <c r="I412">
        <f t="shared" si="111"/>
        <v>3120</v>
      </c>
      <c r="J412">
        <f t="shared" si="113"/>
        <v>3.78117979767058e-5</v>
      </c>
      <c r="K412">
        <f t="shared" si="121"/>
        <v>217216010</v>
      </c>
      <c r="L412">
        <f t="shared" si="122"/>
        <v>2.99241294414716e-5</v>
      </c>
      <c r="M412">
        <f t="shared" si="120"/>
        <v>14997579</v>
      </c>
      <c r="N412">
        <f t="shared" si="115"/>
        <v>255927212</v>
      </c>
      <c r="O412">
        <f t="shared" si="116"/>
        <v>1.77040295575147e-5</v>
      </c>
    </row>
    <row r="413" ht="13.9" spans="1:15">
      <c r="A413" s="42" t="s">
        <v>346</v>
      </c>
      <c r="B413" s="11">
        <v>25018054</v>
      </c>
      <c r="C413" s="11">
        <v>3224104</v>
      </c>
      <c r="D413" s="11">
        <v>60</v>
      </c>
      <c r="E413">
        <f t="shared" si="117"/>
        <v>60</v>
      </c>
      <c r="F413">
        <f t="shared" si="110"/>
        <v>12509027</v>
      </c>
      <c r="G413">
        <f t="shared" si="119"/>
        <v>1250.9027</v>
      </c>
      <c r="H413">
        <f t="shared" si="118"/>
        <v>6000</v>
      </c>
      <c r="I413">
        <f t="shared" si="111"/>
        <v>2880</v>
      </c>
      <c r="J413">
        <f t="shared" si="113"/>
        <v>3.99711344455488e-5</v>
      </c>
      <c r="K413">
        <f t="shared" si="121"/>
        <v>192197956</v>
      </c>
      <c r="L413">
        <f t="shared" si="122"/>
        <v>3.1217813783618e-5</v>
      </c>
      <c r="M413">
        <f t="shared" si="120"/>
        <v>28242158</v>
      </c>
      <c r="N413">
        <f t="shared" si="115"/>
        <v>240929633</v>
      </c>
      <c r="O413">
        <f t="shared" si="116"/>
        <v>5.04081649935861e-5</v>
      </c>
    </row>
    <row r="414" ht="13.9" spans="1:15">
      <c r="A414" s="42" t="s">
        <v>347</v>
      </c>
      <c r="B414" s="11">
        <v>17463970</v>
      </c>
      <c r="C414" s="11">
        <v>2374086</v>
      </c>
      <c r="D414" s="11">
        <v>50</v>
      </c>
      <c r="E414">
        <f t="shared" si="117"/>
        <v>50</v>
      </c>
      <c r="F414">
        <f t="shared" si="110"/>
        <v>8731985</v>
      </c>
      <c r="G414">
        <f t="shared" si="119"/>
        <v>873.1985</v>
      </c>
      <c r="H414">
        <f t="shared" si="118"/>
        <v>5000</v>
      </c>
      <c r="I414">
        <f t="shared" si="111"/>
        <v>2400</v>
      </c>
      <c r="J414">
        <f t="shared" si="113"/>
        <v>6.87128986135455e-5</v>
      </c>
      <c r="K414">
        <f t="shared" si="121"/>
        <v>174733986</v>
      </c>
      <c r="L414">
        <f t="shared" si="122"/>
        <v>2.86149255474547e-5</v>
      </c>
      <c r="M414">
        <f t="shared" si="120"/>
        <v>19838056</v>
      </c>
      <c r="N414">
        <f t="shared" si="115"/>
        <v>212687475</v>
      </c>
      <c r="O414">
        <f t="shared" si="116"/>
        <v>8.2226304605975e-5</v>
      </c>
    </row>
    <row r="415" ht="13.9" spans="1:15">
      <c r="A415" s="42" t="s">
        <v>348</v>
      </c>
      <c r="B415" s="11">
        <v>12853798</v>
      </c>
      <c r="C415" s="11">
        <v>1740072</v>
      </c>
      <c r="D415" s="11">
        <v>38</v>
      </c>
      <c r="E415">
        <f t="shared" si="117"/>
        <v>38</v>
      </c>
      <c r="F415">
        <f t="shared" si="110"/>
        <v>6426899</v>
      </c>
      <c r="G415">
        <f t="shared" si="119"/>
        <v>642.6899</v>
      </c>
      <c r="H415">
        <f t="shared" si="118"/>
        <v>3800</v>
      </c>
      <c r="I415">
        <f t="shared" si="111"/>
        <v>1824</v>
      </c>
      <c r="J415">
        <f t="shared" si="113"/>
        <v>5.44586121549444e-5</v>
      </c>
      <c r="K415">
        <f t="shared" si="121"/>
        <v>161880188</v>
      </c>
      <c r="L415">
        <f t="shared" si="122"/>
        <v>2.34741511419544e-5</v>
      </c>
      <c r="M415">
        <f t="shared" si="120"/>
        <v>14593870</v>
      </c>
      <c r="N415">
        <f t="shared" ref="N415:N478" si="123">IF(H415&lt;H416,M415+M416,M415+N416)</f>
        <v>192849419</v>
      </c>
      <c r="O415">
        <f t="shared" si="116"/>
        <v>2.47400649730655e-5</v>
      </c>
    </row>
    <row r="416" ht="13.9" spans="1:15">
      <c r="A416" s="42" t="s">
        <v>349</v>
      </c>
      <c r="B416" s="11">
        <v>25014678</v>
      </c>
      <c r="C416" s="11">
        <v>3279508</v>
      </c>
      <c r="D416" s="11">
        <v>31</v>
      </c>
      <c r="E416">
        <f t="shared" ref="E416:E447" si="124">IF(RIGHT(D416,1)="B",VALUE(LEFT(D416,LEN(D416)-1))*1000,D416)</f>
        <v>31</v>
      </c>
      <c r="F416">
        <f t="shared" si="110"/>
        <v>12507339</v>
      </c>
      <c r="G416">
        <f t="shared" si="119"/>
        <v>1250.7339</v>
      </c>
      <c r="H416">
        <f t="shared" si="118"/>
        <v>3100</v>
      </c>
      <c r="I416">
        <f t="shared" si="111"/>
        <v>1488</v>
      </c>
      <c r="J416">
        <f t="shared" si="113"/>
        <v>4.39741818783356e-5</v>
      </c>
      <c r="K416">
        <f t="shared" si="121"/>
        <v>136865510</v>
      </c>
      <c r="L416">
        <f t="shared" si="122"/>
        <v>2.26499722245583e-5</v>
      </c>
      <c r="M416">
        <f t="shared" si="120"/>
        <v>28294186</v>
      </c>
      <c r="N416">
        <f t="shared" si="123"/>
        <v>178255549</v>
      </c>
      <c r="O416">
        <f t="shared" si="116"/>
        <v>4.37822585691034e-5</v>
      </c>
    </row>
    <row r="417" ht="13.9" spans="1:15">
      <c r="A417" s="42" t="s">
        <v>350</v>
      </c>
      <c r="B417" s="11">
        <v>22311330</v>
      </c>
      <c r="C417" s="11">
        <v>2813002</v>
      </c>
      <c r="D417" s="11">
        <v>20</v>
      </c>
      <c r="E417">
        <f t="shared" si="124"/>
        <v>20</v>
      </c>
      <c r="F417">
        <f t="shared" si="110"/>
        <v>11155665</v>
      </c>
      <c r="G417">
        <f t="shared" si="119"/>
        <v>1115.5665</v>
      </c>
      <c r="H417">
        <f t="shared" si="118"/>
        <v>2000</v>
      </c>
      <c r="I417">
        <f t="shared" si="111"/>
        <v>960</v>
      </c>
      <c r="J417">
        <f t="shared" si="113"/>
        <v>0</v>
      </c>
      <c r="K417">
        <f t="shared" si="121"/>
        <v>114554180</v>
      </c>
      <c r="L417">
        <f t="shared" si="122"/>
        <v>0</v>
      </c>
      <c r="M417">
        <f t="shared" si="120"/>
        <v>25124332</v>
      </c>
      <c r="N417">
        <f t="shared" si="123"/>
        <v>149961363</v>
      </c>
      <c r="O417">
        <f t="shared" si="116"/>
        <v>1.6020887263812e-5</v>
      </c>
    </row>
    <row r="418" ht="13.9" spans="1:15">
      <c r="A418" s="42" t="s">
        <v>351</v>
      </c>
      <c r="B418" s="11">
        <v>114554180</v>
      </c>
      <c r="C418" s="11">
        <v>10282851</v>
      </c>
      <c r="D418" s="11">
        <v>699.8</v>
      </c>
      <c r="E418">
        <f t="shared" si="124"/>
        <v>699.8</v>
      </c>
      <c r="F418">
        <f t="shared" si="110"/>
        <v>57277090</v>
      </c>
      <c r="G418">
        <f t="shared" si="119"/>
        <v>5727.709</v>
      </c>
      <c r="H418">
        <f t="shared" si="118"/>
        <v>69980</v>
      </c>
      <c r="I418">
        <f t="shared" si="111"/>
        <v>33590.4</v>
      </c>
      <c r="J418">
        <f t="shared" si="113"/>
        <v>5.65671195935408e-5</v>
      </c>
      <c r="K418">
        <f t="shared" si="121"/>
        <v>1525871326</v>
      </c>
      <c r="L418">
        <f t="shared" si="122"/>
        <v>4.58623206344989e-5</v>
      </c>
      <c r="M418">
        <f t="shared" si="120"/>
        <v>124837031</v>
      </c>
      <c r="N418">
        <f t="shared" si="123"/>
        <v>1815887378</v>
      </c>
      <c r="O418">
        <f t="shared" si="116"/>
        <v>4.06682228328662e-5</v>
      </c>
    </row>
    <row r="419" ht="13.9" spans="1:15">
      <c r="A419" s="42" t="s">
        <v>352</v>
      </c>
      <c r="B419" s="11">
        <v>145923260</v>
      </c>
      <c r="C419" s="11">
        <v>13414905</v>
      </c>
      <c r="D419" s="11">
        <v>635</v>
      </c>
      <c r="E419">
        <f t="shared" si="124"/>
        <v>635</v>
      </c>
      <c r="F419">
        <f t="shared" si="110"/>
        <v>72961630</v>
      </c>
      <c r="G419">
        <f t="shared" si="119"/>
        <v>7296.163</v>
      </c>
      <c r="H419">
        <f t="shared" si="118"/>
        <v>63500</v>
      </c>
      <c r="I419">
        <f t="shared" si="111"/>
        <v>30480</v>
      </c>
      <c r="J419">
        <f t="shared" si="113"/>
        <v>4.45439609833278e-5</v>
      </c>
      <c r="K419">
        <f t="shared" si="121"/>
        <v>1379948066</v>
      </c>
      <c r="L419">
        <f t="shared" si="122"/>
        <v>4.60162244975384e-5</v>
      </c>
      <c r="M419">
        <f t="shared" si="120"/>
        <v>159338165</v>
      </c>
      <c r="N419">
        <f t="shared" si="123"/>
        <v>1691050347</v>
      </c>
      <c r="O419">
        <f t="shared" si="116"/>
        <v>7.84184660286379e-5</v>
      </c>
    </row>
    <row r="420" ht="13.9" spans="1:15">
      <c r="A420" s="42" t="s">
        <v>353</v>
      </c>
      <c r="B420" s="11">
        <v>75627064</v>
      </c>
      <c r="C420" s="11">
        <v>7261576</v>
      </c>
      <c r="D420" s="11">
        <v>570</v>
      </c>
      <c r="E420">
        <f t="shared" si="124"/>
        <v>570</v>
      </c>
      <c r="F420">
        <f t="shared" si="110"/>
        <v>37813532</v>
      </c>
      <c r="G420">
        <f t="shared" si="119"/>
        <v>3781.3532</v>
      </c>
      <c r="H420">
        <f t="shared" si="118"/>
        <v>57000</v>
      </c>
      <c r="I420">
        <f t="shared" si="111"/>
        <v>27360</v>
      </c>
      <c r="J420">
        <f t="shared" si="113"/>
        <v>3.3056949030839e-5</v>
      </c>
      <c r="K420">
        <f t="shared" si="121"/>
        <v>1304321002</v>
      </c>
      <c r="L420">
        <f t="shared" si="122"/>
        <v>4.37008987148089e-5</v>
      </c>
      <c r="M420">
        <f t="shared" si="120"/>
        <v>82888640</v>
      </c>
      <c r="N420">
        <f t="shared" si="123"/>
        <v>1531712182</v>
      </c>
      <c r="O420">
        <f t="shared" si="116"/>
        <v>4.66328959938686e-5</v>
      </c>
    </row>
    <row r="421" ht="13.9" spans="1:15">
      <c r="A421" s="42" t="s">
        <v>354</v>
      </c>
      <c r="B421" s="11">
        <v>48854736</v>
      </c>
      <c r="C421" s="11">
        <v>4755488</v>
      </c>
      <c r="D421" s="11">
        <v>545</v>
      </c>
      <c r="E421">
        <f t="shared" si="124"/>
        <v>545</v>
      </c>
      <c r="F421">
        <f t="shared" si="110"/>
        <v>24427368</v>
      </c>
      <c r="G421">
        <f t="shared" si="119"/>
        <v>2442.7368</v>
      </c>
      <c r="H421">
        <f t="shared" si="118"/>
        <v>54500</v>
      </c>
      <c r="I421">
        <f t="shared" si="111"/>
        <v>26160</v>
      </c>
      <c r="J421">
        <f t="shared" si="113"/>
        <v>4.50314581579153e-5</v>
      </c>
      <c r="K421">
        <f t="shared" si="121"/>
        <v>1255466266</v>
      </c>
      <c r="L421">
        <f t="shared" si="122"/>
        <v>4.34101667849991e-5</v>
      </c>
      <c r="M421">
        <f t="shared" si="120"/>
        <v>53610224</v>
      </c>
      <c r="N421">
        <f t="shared" si="123"/>
        <v>1448823542</v>
      </c>
      <c r="O421">
        <f t="shared" si="116"/>
        <v>2.60153532208568e-5</v>
      </c>
    </row>
    <row r="422" ht="13.9" spans="1:15">
      <c r="A422" s="42" t="s">
        <v>355</v>
      </c>
      <c r="B422" s="11">
        <v>76934602</v>
      </c>
      <c r="C422" s="11">
        <v>7630846</v>
      </c>
      <c r="D422" s="11">
        <v>523</v>
      </c>
      <c r="E422">
        <f t="shared" si="124"/>
        <v>523</v>
      </c>
      <c r="F422">
        <f t="shared" si="110"/>
        <v>38467301</v>
      </c>
      <c r="G422">
        <f t="shared" si="119"/>
        <v>3846.7301</v>
      </c>
      <c r="H422">
        <f t="shared" si="118"/>
        <v>52300</v>
      </c>
      <c r="I422">
        <f t="shared" si="111"/>
        <v>25104</v>
      </c>
      <c r="J422">
        <f t="shared" si="113"/>
        <v>4.28935734274677e-5</v>
      </c>
      <c r="K422">
        <f t="shared" si="121"/>
        <v>1178531664</v>
      </c>
      <c r="L422">
        <f t="shared" si="122"/>
        <v>4.4377254848199e-5</v>
      </c>
      <c r="M422">
        <f t="shared" si="120"/>
        <v>84565448</v>
      </c>
      <c r="N422">
        <f t="shared" si="123"/>
        <v>1395213318</v>
      </c>
      <c r="O422">
        <f t="shared" si="116"/>
        <v>6.19672087558089e-5</v>
      </c>
    </row>
    <row r="423" ht="13.9" spans="1:15">
      <c r="A423" s="42" t="s">
        <v>356</v>
      </c>
      <c r="B423" s="11">
        <v>48260868</v>
      </c>
      <c r="C423" s="11">
        <v>4993104</v>
      </c>
      <c r="D423" s="11">
        <v>490</v>
      </c>
      <c r="E423">
        <f t="shared" si="124"/>
        <v>490</v>
      </c>
      <c r="F423">
        <f t="shared" ref="F423:F486" si="125">B423/2</f>
        <v>24130434</v>
      </c>
      <c r="G423">
        <f t="shared" si="119"/>
        <v>2413.0434</v>
      </c>
      <c r="H423">
        <f t="shared" si="118"/>
        <v>49000</v>
      </c>
      <c r="I423">
        <f t="shared" si="111"/>
        <v>23520</v>
      </c>
      <c r="J423">
        <f t="shared" si="113"/>
        <v>3.72972985069394e-5</v>
      </c>
      <c r="K423">
        <f t="shared" si="121"/>
        <v>1130270796</v>
      </c>
      <c r="L423">
        <f t="shared" si="122"/>
        <v>4.33524427715993e-5</v>
      </c>
      <c r="M423">
        <f t="shared" si="120"/>
        <v>53253972</v>
      </c>
      <c r="N423">
        <f t="shared" si="123"/>
        <v>1310647870</v>
      </c>
      <c r="O423">
        <f t="shared" si="116"/>
        <v>5.36277632598816e-5</v>
      </c>
    </row>
    <row r="424" ht="13.9" spans="1:15">
      <c r="A424" s="42" t="s">
        <v>357</v>
      </c>
      <c r="B424" s="11">
        <v>30395710</v>
      </c>
      <c r="C424" s="11">
        <v>3168994</v>
      </c>
      <c r="D424" s="11">
        <v>472</v>
      </c>
      <c r="E424">
        <f t="shared" si="124"/>
        <v>472</v>
      </c>
      <c r="F424">
        <f t="shared" si="125"/>
        <v>15197855</v>
      </c>
      <c r="G424">
        <f t="shared" si="119"/>
        <v>1519.7855</v>
      </c>
      <c r="H424">
        <f t="shared" si="118"/>
        <v>47200</v>
      </c>
      <c r="I424">
        <f t="shared" si="111"/>
        <v>22656</v>
      </c>
      <c r="J424">
        <f t="shared" si="113"/>
        <v>4.93490693259016e-5</v>
      </c>
      <c r="K424">
        <f t="shared" si="121"/>
        <v>1099875086</v>
      </c>
      <c r="L424">
        <f t="shared" si="122"/>
        <v>4.29139641408334e-5</v>
      </c>
      <c r="M424">
        <f t="shared" si="120"/>
        <v>33564704</v>
      </c>
      <c r="N424">
        <f t="shared" si="123"/>
        <v>1257393898</v>
      </c>
      <c r="O424">
        <f t="shared" si="116"/>
        <v>2.31622542469383e-5</v>
      </c>
    </row>
    <row r="425" ht="13.9" spans="1:15">
      <c r="A425" s="42" t="s">
        <v>358</v>
      </c>
      <c r="B425" s="11">
        <v>58721522</v>
      </c>
      <c r="C425" s="11">
        <v>6039014</v>
      </c>
      <c r="D425" s="11">
        <v>457</v>
      </c>
      <c r="E425">
        <f t="shared" si="124"/>
        <v>457</v>
      </c>
      <c r="F425">
        <f t="shared" si="125"/>
        <v>29360761</v>
      </c>
      <c r="G425">
        <f t="shared" si="119"/>
        <v>2936.0761</v>
      </c>
      <c r="H425">
        <f t="shared" si="118"/>
        <v>45700</v>
      </c>
      <c r="I425">
        <f t="shared" si="111"/>
        <v>21936</v>
      </c>
      <c r="J425">
        <f t="shared" si="113"/>
        <v>4.2573828382718e-5</v>
      </c>
      <c r="K425">
        <f t="shared" si="121"/>
        <v>1041153564</v>
      </c>
      <c r="L425">
        <f t="shared" si="122"/>
        <v>4.38936210566533e-5</v>
      </c>
      <c r="M425">
        <f t="shared" si="120"/>
        <v>64760536</v>
      </c>
      <c r="N425">
        <f t="shared" si="123"/>
        <v>1223829194</v>
      </c>
      <c r="O425">
        <f t="shared" si="116"/>
        <v>5.62555255583592e-5</v>
      </c>
    </row>
    <row r="426" ht="13.9" spans="1:15">
      <c r="A426" s="42" t="s">
        <v>359</v>
      </c>
      <c r="B426" s="11">
        <v>40105280</v>
      </c>
      <c r="C426" s="11">
        <v>4334799</v>
      </c>
      <c r="D426" s="11">
        <v>432</v>
      </c>
      <c r="E426">
        <f t="shared" si="124"/>
        <v>432</v>
      </c>
      <c r="F426">
        <f t="shared" si="125"/>
        <v>20052640</v>
      </c>
      <c r="G426">
        <f t="shared" si="119"/>
        <v>2005.264</v>
      </c>
      <c r="H426">
        <f t="shared" si="118"/>
        <v>43200</v>
      </c>
      <c r="I426">
        <f t="shared" si="111"/>
        <v>20736</v>
      </c>
      <c r="J426">
        <f t="shared" si="113"/>
        <v>3.98949963695553e-5</v>
      </c>
      <c r="K426">
        <f t="shared" si="121"/>
        <v>1001048284</v>
      </c>
      <c r="L426">
        <f t="shared" ref="L426:L434" si="126">IF(E426&gt;E427,H426/K426,0)</f>
        <v>4.31547615539392e-5</v>
      </c>
      <c r="M426">
        <f t="shared" si="120"/>
        <v>44440079</v>
      </c>
      <c r="N426">
        <f t="shared" si="123"/>
        <v>1159068658</v>
      </c>
      <c r="O426">
        <f t="shared" si="116"/>
        <v>5.45640509660974e-5</v>
      </c>
    </row>
    <row r="427" ht="13.9" spans="1:15">
      <c r="A427" s="42" t="s">
        <v>360</v>
      </c>
      <c r="B427" s="11">
        <v>26517974</v>
      </c>
      <c r="C427" s="11">
        <v>2805362</v>
      </c>
      <c r="D427" s="11">
        <v>416</v>
      </c>
      <c r="E427">
        <f t="shared" si="124"/>
        <v>416</v>
      </c>
      <c r="F427">
        <f t="shared" si="125"/>
        <v>13258987</v>
      </c>
      <c r="G427">
        <f t="shared" si="119"/>
        <v>1325.8987</v>
      </c>
      <c r="H427">
        <f t="shared" si="118"/>
        <v>41600</v>
      </c>
      <c r="I427">
        <f t="shared" si="111"/>
        <v>19968</v>
      </c>
      <c r="J427">
        <f t="shared" si="113"/>
        <v>2.63971900719112e-5</v>
      </c>
      <c r="K427">
        <f t="shared" si="121"/>
        <v>974530310</v>
      </c>
      <c r="L427">
        <f t="shared" si="126"/>
        <v>4.26872305285199e-5</v>
      </c>
      <c r="M427">
        <f t="shared" si="120"/>
        <v>29323336</v>
      </c>
      <c r="N427">
        <f t="shared" si="123"/>
        <v>1114628579</v>
      </c>
      <c r="O427">
        <f t="shared" si="116"/>
        <v>1.23035399305676e-5</v>
      </c>
    </row>
    <row r="428" ht="13.9" spans="1:15">
      <c r="A428" s="42" t="s">
        <v>361</v>
      </c>
      <c r="B428" s="11">
        <v>51497768</v>
      </c>
      <c r="C428" s="11">
        <v>5396427</v>
      </c>
      <c r="D428" s="11">
        <v>409</v>
      </c>
      <c r="E428">
        <f t="shared" si="124"/>
        <v>409</v>
      </c>
      <c r="F428">
        <f t="shared" si="125"/>
        <v>25748884</v>
      </c>
      <c r="G428">
        <f t="shared" si="119"/>
        <v>2574.8884</v>
      </c>
      <c r="H428">
        <f t="shared" si="118"/>
        <v>40900</v>
      </c>
      <c r="I428">
        <f t="shared" ref="I428:I491" si="127">H428*0.48</f>
        <v>19632</v>
      </c>
      <c r="J428">
        <f t="shared" si="113"/>
        <v>4.07784663599401e-5</v>
      </c>
      <c r="K428">
        <f t="shared" si="121"/>
        <v>923032542</v>
      </c>
      <c r="L428">
        <f t="shared" si="126"/>
        <v>4.43104637582756e-5</v>
      </c>
      <c r="M428">
        <f t="shared" si="120"/>
        <v>56894195</v>
      </c>
      <c r="N428">
        <f t="shared" si="123"/>
        <v>1085305243</v>
      </c>
      <c r="O428">
        <f t="shared" si="116"/>
        <v>5.64137777596418e-5</v>
      </c>
    </row>
    <row r="429" ht="13.9" spans="1:15">
      <c r="A429" s="42" t="s">
        <v>362</v>
      </c>
      <c r="B429" s="11">
        <v>33501306</v>
      </c>
      <c r="C429" s="11">
        <v>3723643</v>
      </c>
      <c r="D429" s="11">
        <v>388</v>
      </c>
      <c r="E429">
        <f t="shared" si="124"/>
        <v>388</v>
      </c>
      <c r="F429">
        <f t="shared" si="125"/>
        <v>16750653</v>
      </c>
      <c r="G429">
        <f t="shared" si="119"/>
        <v>1675.0653</v>
      </c>
      <c r="H429">
        <f t="shared" si="118"/>
        <v>38800</v>
      </c>
      <c r="I429">
        <f t="shared" si="127"/>
        <v>18624</v>
      </c>
      <c r="J429">
        <f t="shared" si="113"/>
        <v>3.88044573545879e-5</v>
      </c>
      <c r="K429">
        <f t="shared" si="121"/>
        <v>889531236</v>
      </c>
      <c r="L429">
        <f t="shared" si="126"/>
        <v>4.36184795201503e-5</v>
      </c>
      <c r="M429">
        <f t="shared" si="120"/>
        <v>37224949</v>
      </c>
      <c r="N429">
        <f t="shared" si="123"/>
        <v>1028411048</v>
      </c>
      <c r="O429">
        <f t="shared" si="116"/>
        <v>5.80026708891421e-5</v>
      </c>
    </row>
    <row r="430" ht="13.9" spans="1:15">
      <c r="A430" s="42" t="s">
        <v>363</v>
      </c>
      <c r="B430" s="11">
        <v>20181750</v>
      </c>
      <c r="C430" s="11">
        <v>2231011</v>
      </c>
      <c r="D430" s="11">
        <v>375</v>
      </c>
      <c r="E430">
        <f t="shared" si="124"/>
        <v>375</v>
      </c>
      <c r="F430">
        <f t="shared" si="125"/>
        <v>10090875</v>
      </c>
      <c r="G430">
        <f t="shared" si="119"/>
        <v>1009.0875</v>
      </c>
      <c r="H430">
        <f t="shared" si="118"/>
        <v>37500</v>
      </c>
      <c r="I430">
        <f t="shared" si="127"/>
        <v>18000</v>
      </c>
      <c r="J430">
        <f t="shared" si="113"/>
        <v>3.96397735577935e-5</v>
      </c>
      <c r="K430">
        <f t="shared" ref="K430:K456" si="128">IF(E430&gt;E431,B431+K431,B431)</f>
        <v>869349486</v>
      </c>
      <c r="L430">
        <f t="shared" si="126"/>
        <v>4.31357015836552e-5</v>
      </c>
      <c r="M430">
        <f t="shared" si="120"/>
        <v>22412761</v>
      </c>
      <c r="N430">
        <f t="shared" si="123"/>
        <v>991186099</v>
      </c>
      <c r="O430">
        <f t="shared" si="116"/>
        <v>1.58948507935455e-5</v>
      </c>
    </row>
    <row r="431" ht="13.9" spans="1:15">
      <c r="A431" s="42" t="s">
        <v>364</v>
      </c>
      <c r="B431" s="11">
        <v>45475288</v>
      </c>
      <c r="C431" s="11">
        <v>4855477</v>
      </c>
      <c r="D431" s="11">
        <v>367</v>
      </c>
      <c r="E431">
        <f t="shared" si="124"/>
        <v>367</v>
      </c>
      <c r="F431">
        <f t="shared" si="125"/>
        <v>22737644</v>
      </c>
      <c r="G431">
        <f t="shared" si="119"/>
        <v>2273.7644</v>
      </c>
      <c r="H431">
        <f t="shared" si="118"/>
        <v>36700</v>
      </c>
      <c r="I431">
        <f t="shared" si="127"/>
        <v>17616</v>
      </c>
      <c r="J431">
        <f t="shared" si="113"/>
        <v>4.83779234119419e-5</v>
      </c>
      <c r="K431">
        <f t="shared" si="128"/>
        <v>823874198</v>
      </c>
      <c r="L431">
        <f t="shared" si="126"/>
        <v>4.45456358374753e-5</v>
      </c>
      <c r="M431">
        <f t="shared" si="120"/>
        <v>50330765</v>
      </c>
      <c r="N431">
        <f t="shared" si="123"/>
        <v>968773338</v>
      </c>
      <c r="O431">
        <f t="shared" si="116"/>
        <v>6.24525928045529e-5</v>
      </c>
    </row>
    <row r="432" ht="13.9" spans="1:15">
      <c r="A432" s="42" t="s">
        <v>365</v>
      </c>
      <c r="B432" s="11">
        <v>31703086</v>
      </c>
      <c r="C432" s="11">
        <v>3523634</v>
      </c>
      <c r="D432" s="11">
        <v>345</v>
      </c>
      <c r="E432">
        <f t="shared" si="124"/>
        <v>345</v>
      </c>
      <c r="F432">
        <f t="shared" si="125"/>
        <v>15851543</v>
      </c>
      <c r="G432">
        <f t="shared" si="119"/>
        <v>1585.1543</v>
      </c>
      <c r="H432">
        <f t="shared" si="118"/>
        <v>34500</v>
      </c>
      <c r="I432">
        <f t="shared" si="127"/>
        <v>16560</v>
      </c>
      <c r="J432">
        <f t="shared" si="113"/>
        <v>4.10054718332468e-5</v>
      </c>
      <c r="K432">
        <f t="shared" si="128"/>
        <v>792171112</v>
      </c>
      <c r="L432">
        <f t="shared" si="126"/>
        <v>4.35511968025413e-5</v>
      </c>
      <c r="M432">
        <f t="shared" si="120"/>
        <v>35226720</v>
      </c>
      <c r="N432">
        <f t="shared" si="123"/>
        <v>918442573</v>
      </c>
      <c r="O432">
        <f t="shared" si="116"/>
        <v>5.8777980466359e-5</v>
      </c>
    </row>
    <row r="433" ht="13.9" spans="1:15">
      <c r="A433" s="42" t="s">
        <v>366</v>
      </c>
      <c r="B433" s="11">
        <v>19989408</v>
      </c>
      <c r="C433" s="11">
        <v>2127718</v>
      </c>
      <c r="D433" s="11">
        <v>332</v>
      </c>
      <c r="E433">
        <f t="shared" si="124"/>
        <v>332</v>
      </c>
      <c r="F433">
        <f t="shared" si="125"/>
        <v>9994704</v>
      </c>
      <c r="G433">
        <f t="shared" si="119"/>
        <v>999.4704</v>
      </c>
      <c r="H433">
        <f t="shared" si="118"/>
        <v>33200</v>
      </c>
      <c r="I433">
        <f t="shared" si="127"/>
        <v>15936</v>
      </c>
      <c r="J433">
        <f t="shared" si="113"/>
        <v>5.00264940312389e-5</v>
      </c>
      <c r="K433">
        <f t="shared" si="128"/>
        <v>772181704</v>
      </c>
      <c r="L433">
        <f t="shared" si="126"/>
        <v>4.29950616908168e-5</v>
      </c>
      <c r="M433">
        <f t="shared" si="120"/>
        <v>22117126</v>
      </c>
      <c r="N433">
        <f t="shared" si="123"/>
        <v>883215853</v>
      </c>
      <c r="O433">
        <f t="shared" si="116"/>
        <v>2.12408988324239e-5</v>
      </c>
    </row>
    <row r="434" ht="13.9" spans="1:15">
      <c r="A434" s="42" t="s">
        <v>367</v>
      </c>
      <c r="B434" s="11">
        <v>42540594</v>
      </c>
      <c r="C434" s="11">
        <v>4538393</v>
      </c>
      <c r="D434" s="11">
        <v>322</v>
      </c>
      <c r="E434">
        <f t="shared" si="124"/>
        <v>322</v>
      </c>
      <c r="F434">
        <f t="shared" si="125"/>
        <v>21270297</v>
      </c>
      <c r="G434">
        <f t="shared" si="119"/>
        <v>2127.0297</v>
      </c>
      <c r="H434">
        <f t="shared" si="118"/>
        <v>32200</v>
      </c>
      <c r="I434">
        <f t="shared" si="127"/>
        <v>15456</v>
      </c>
      <c r="J434">
        <f t="shared" si="113"/>
        <v>4.23125262425814e-5</v>
      </c>
      <c r="K434">
        <f t="shared" si="128"/>
        <v>729641110</v>
      </c>
      <c r="L434">
        <f t="shared" si="126"/>
        <v>4.41312853109387e-5</v>
      </c>
      <c r="M434">
        <f t="shared" si="120"/>
        <v>47078987</v>
      </c>
      <c r="N434">
        <f t="shared" si="123"/>
        <v>861098727</v>
      </c>
      <c r="O434">
        <f t="shared" si="116"/>
        <v>5.87839923742792e-5</v>
      </c>
    </row>
    <row r="435" ht="13.9" spans="1:15">
      <c r="A435" s="42" t="s">
        <v>368</v>
      </c>
      <c r="B435" s="11">
        <v>27518670</v>
      </c>
      <c r="C435" s="11">
        <v>3101911</v>
      </c>
      <c r="D435" s="11">
        <v>304</v>
      </c>
      <c r="E435">
        <f t="shared" si="124"/>
        <v>304</v>
      </c>
      <c r="F435">
        <f t="shared" si="125"/>
        <v>13759335</v>
      </c>
      <c r="G435">
        <f t="shared" si="119"/>
        <v>1375.9335</v>
      </c>
      <c r="H435">
        <f t="shared" si="118"/>
        <v>30400</v>
      </c>
      <c r="I435">
        <f t="shared" si="127"/>
        <v>14592</v>
      </c>
      <c r="J435">
        <f t="shared" si="113"/>
        <v>3.99728620605574e-5</v>
      </c>
      <c r="K435">
        <f t="shared" si="128"/>
        <v>702122440</v>
      </c>
      <c r="L435">
        <f t="shared" ref="L435:L462" si="129">IF(E435&gt;E436,H435/K435,0)</f>
        <v>4.32972915664111e-5</v>
      </c>
      <c r="M435">
        <f t="shared" si="120"/>
        <v>30620581</v>
      </c>
      <c r="N435">
        <f t="shared" si="123"/>
        <v>814019740</v>
      </c>
      <c r="O435">
        <f t="shared" si="116"/>
        <v>6.31145782052739e-5</v>
      </c>
    </row>
    <row r="436" ht="13.9" spans="1:15">
      <c r="A436" s="42" t="s">
        <v>369</v>
      </c>
      <c r="B436" s="11">
        <v>15770788</v>
      </c>
      <c r="C436" s="11">
        <v>1657832</v>
      </c>
      <c r="D436" s="11">
        <v>293</v>
      </c>
      <c r="E436">
        <f t="shared" si="124"/>
        <v>293</v>
      </c>
      <c r="F436">
        <f t="shared" si="125"/>
        <v>7885394</v>
      </c>
      <c r="G436">
        <f t="shared" si="119"/>
        <v>788.5394</v>
      </c>
      <c r="H436">
        <f t="shared" si="118"/>
        <v>29300</v>
      </c>
      <c r="I436">
        <f t="shared" si="127"/>
        <v>14064</v>
      </c>
      <c r="J436">
        <f t="shared" si="113"/>
        <v>1.90225117476692e-5</v>
      </c>
      <c r="K436">
        <f t="shared" si="128"/>
        <v>686351652</v>
      </c>
      <c r="L436">
        <f t="shared" si="129"/>
        <v>4.26894871085704e-5</v>
      </c>
      <c r="M436">
        <f t="shared" si="120"/>
        <v>17428620</v>
      </c>
      <c r="N436">
        <f t="shared" si="123"/>
        <v>783399159</v>
      </c>
      <c r="O436">
        <f t="shared" si="116"/>
        <v>6.83289116935366e-6</v>
      </c>
    </row>
    <row r="437" ht="13.9" spans="1:15">
      <c r="A437" s="42" t="s">
        <v>370</v>
      </c>
      <c r="B437" s="11">
        <v>39631416</v>
      </c>
      <c r="C437" s="11">
        <v>4273864</v>
      </c>
      <c r="D437" s="11">
        <v>290</v>
      </c>
      <c r="E437">
        <f t="shared" si="124"/>
        <v>290</v>
      </c>
      <c r="F437">
        <f t="shared" si="125"/>
        <v>19815708</v>
      </c>
      <c r="G437">
        <f t="shared" si="119"/>
        <v>1981.5708</v>
      </c>
      <c r="H437">
        <f t="shared" si="118"/>
        <v>29000</v>
      </c>
      <c r="I437">
        <f t="shared" si="127"/>
        <v>13920</v>
      </c>
      <c r="J437">
        <f t="shared" si="113"/>
        <v>4.03720119412337e-5</v>
      </c>
      <c r="K437">
        <f t="shared" si="128"/>
        <v>646720236</v>
      </c>
      <c r="L437">
        <f t="shared" si="129"/>
        <v>4.48416461797555e-5</v>
      </c>
      <c r="M437">
        <f t="shared" si="120"/>
        <v>43905280</v>
      </c>
      <c r="N437">
        <f t="shared" si="123"/>
        <v>765970539</v>
      </c>
      <c r="O437">
        <f t="shared" si="116"/>
        <v>4.04309126672071e-5</v>
      </c>
    </row>
    <row r="438" ht="13.9" spans="1:15">
      <c r="A438" s="42" t="s">
        <v>371</v>
      </c>
      <c r="B438" s="11">
        <v>35770770</v>
      </c>
      <c r="C438" s="11">
        <v>3802910</v>
      </c>
      <c r="D438" s="11">
        <v>274</v>
      </c>
      <c r="E438">
        <f t="shared" si="124"/>
        <v>274</v>
      </c>
      <c r="F438">
        <f t="shared" si="125"/>
        <v>17885385</v>
      </c>
      <c r="G438">
        <f t="shared" si="119"/>
        <v>1788.5385</v>
      </c>
      <c r="H438">
        <f t="shared" si="118"/>
        <v>27400</v>
      </c>
      <c r="I438">
        <f t="shared" si="127"/>
        <v>13152</v>
      </c>
      <c r="J438">
        <f t="shared" si="113"/>
        <v>4.47292579947259e-5</v>
      </c>
      <c r="K438">
        <f t="shared" si="128"/>
        <v>610949466</v>
      </c>
      <c r="L438">
        <f t="shared" si="129"/>
        <v>4.48482264488959e-5</v>
      </c>
      <c r="M438">
        <f t="shared" si="120"/>
        <v>39573680</v>
      </c>
      <c r="N438">
        <f t="shared" si="123"/>
        <v>722065259</v>
      </c>
      <c r="O438">
        <f t="shared" si="116"/>
        <v>3.786488705484e-5</v>
      </c>
    </row>
    <row r="439" ht="13.9" spans="1:15">
      <c r="A439" s="42" t="s">
        <v>372</v>
      </c>
      <c r="B439" s="11">
        <v>38093434</v>
      </c>
      <c r="C439" s="11">
        <v>4162073</v>
      </c>
      <c r="D439" s="11">
        <v>258</v>
      </c>
      <c r="E439">
        <f t="shared" si="124"/>
        <v>258</v>
      </c>
      <c r="F439">
        <f t="shared" si="125"/>
        <v>19046717</v>
      </c>
      <c r="G439">
        <f t="shared" si="119"/>
        <v>1904.6717</v>
      </c>
      <c r="H439">
        <f t="shared" si="118"/>
        <v>25800</v>
      </c>
      <c r="I439">
        <f t="shared" si="127"/>
        <v>12384</v>
      </c>
      <c r="J439">
        <f t="shared" si="113"/>
        <v>4.46271134285242e-5</v>
      </c>
      <c r="K439">
        <f t="shared" si="128"/>
        <v>572856032</v>
      </c>
      <c r="L439">
        <f t="shared" si="129"/>
        <v>4.50374938183421e-5</v>
      </c>
      <c r="M439">
        <f t="shared" si="120"/>
        <v>42255507</v>
      </c>
      <c r="N439">
        <f t="shared" si="123"/>
        <v>682491579</v>
      </c>
      <c r="O439">
        <f t="shared" si="116"/>
        <v>4.46420529294036e-5</v>
      </c>
    </row>
    <row r="440" ht="13.85" spans="1:15">
      <c r="A440" s="43">
        <v>39773</v>
      </c>
      <c r="B440" s="11">
        <v>34408300</v>
      </c>
      <c r="C440" s="11">
        <v>3672386</v>
      </c>
      <c r="D440" s="11">
        <v>241</v>
      </c>
      <c r="E440">
        <f t="shared" si="124"/>
        <v>241</v>
      </c>
      <c r="F440">
        <f t="shared" si="125"/>
        <v>17204150</v>
      </c>
      <c r="G440">
        <f t="shared" si="119"/>
        <v>1720.415</v>
      </c>
      <c r="H440">
        <f t="shared" si="118"/>
        <v>24100</v>
      </c>
      <c r="I440">
        <f t="shared" si="127"/>
        <v>11568</v>
      </c>
      <c r="J440">
        <f t="shared" si="113"/>
        <v>4.35941328109787e-5</v>
      </c>
      <c r="K440">
        <f t="shared" si="128"/>
        <v>538447732</v>
      </c>
      <c r="L440">
        <f t="shared" si="129"/>
        <v>4.47582904852871e-5</v>
      </c>
      <c r="M440">
        <f t="shared" si="120"/>
        <v>38080686</v>
      </c>
      <c r="N440">
        <f t="shared" si="123"/>
        <v>640236072</v>
      </c>
      <c r="O440">
        <f t="shared" si="116"/>
        <v>3.72899003114179e-5</v>
      </c>
    </row>
    <row r="441" ht="13.85" spans="1:15">
      <c r="A441" s="43">
        <v>39650</v>
      </c>
      <c r="B441" s="11">
        <v>36227646</v>
      </c>
      <c r="C441" s="11">
        <v>3997723</v>
      </c>
      <c r="D441" s="11">
        <v>226</v>
      </c>
      <c r="E441">
        <f t="shared" si="124"/>
        <v>226</v>
      </c>
      <c r="F441">
        <f t="shared" si="125"/>
        <v>18113823</v>
      </c>
      <c r="G441">
        <f t="shared" si="119"/>
        <v>1811.3823</v>
      </c>
      <c r="H441">
        <f t="shared" si="118"/>
        <v>22600</v>
      </c>
      <c r="I441">
        <f t="shared" si="127"/>
        <v>10848</v>
      </c>
      <c r="J441">
        <f t="shared" si="113"/>
        <v>4.14048431410641e-5</v>
      </c>
      <c r="K441">
        <f t="shared" si="128"/>
        <v>502220086</v>
      </c>
      <c r="L441">
        <f t="shared" si="129"/>
        <v>4.50001914101062e-5</v>
      </c>
      <c r="M441">
        <f t="shared" si="120"/>
        <v>40225369</v>
      </c>
      <c r="N441">
        <f t="shared" si="123"/>
        <v>602155386</v>
      </c>
      <c r="O441">
        <f t="shared" si="116"/>
        <v>4.10561626682389e-5</v>
      </c>
    </row>
    <row r="442" ht="13.85" spans="1:15">
      <c r="A442" s="43">
        <v>39559</v>
      </c>
      <c r="B442" s="11">
        <v>32925456</v>
      </c>
      <c r="C442" s="11">
        <v>3609863</v>
      </c>
      <c r="D442" s="11">
        <v>211</v>
      </c>
      <c r="E442">
        <f t="shared" si="124"/>
        <v>211</v>
      </c>
      <c r="F442">
        <f t="shared" si="125"/>
        <v>16462728</v>
      </c>
      <c r="G442">
        <f t="shared" si="119"/>
        <v>1646.2728</v>
      </c>
      <c r="H442">
        <f t="shared" si="118"/>
        <v>21100</v>
      </c>
      <c r="I442">
        <f t="shared" si="127"/>
        <v>10128</v>
      </c>
      <c r="J442">
        <f t="shared" si="113"/>
        <v>3.64459644841365e-5</v>
      </c>
      <c r="K442">
        <f t="shared" si="128"/>
        <v>469294630</v>
      </c>
      <c r="L442">
        <f t="shared" si="129"/>
        <v>4.49610940572663e-5</v>
      </c>
      <c r="M442">
        <f t="shared" si="120"/>
        <v>36535319</v>
      </c>
      <c r="N442">
        <f t="shared" si="123"/>
        <v>561930017</v>
      </c>
      <c r="O442">
        <f t="shared" si="116"/>
        <v>3.17813670770939e-5</v>
      </c>
    </row>
    <row r="443" ht="13.9" spans="1:15">
      <c r="A443" s="42" t="s">
        <v>373</v>
      </c>
      <c r="B443" s="11">
        <v>33899762</v>
      </c>
      <c r="C443" s="11">
        <v>3858211</v>
      </c>
      <c r="D443" s="11">
        <v>199</v>
      </c>
      <c r="E443">
        <f t="shared" si="124"/>
        <v>199</v>
      </c>
      <c r="F443">
        <f t="shared" si="125"/>
        <v>16949881</v>
      </c>
      <c r="G443">
        <f t="shared" si="119"/>
        <v>1694.9881</v>
      </c>
      <c r="H443">
        <f t="shared" si="118"/>
        <v>19900</v>
      </c>
      <c r="I443">
        <f t="shared" si="127"/>
        <v>9552</v>
      </c>
      <c r="J443">
        <f t="shared" si="113"/>
        <v>3.83483518261869e-5</v>
      </c>
      <c r="K443">
        <f t="shared" si="128"/>
        <v>435394868</v>
      </c>
      <c r="L443">
        <f t="shared" si="129"/>
        <v>4.57056374858327e-5</v>
      </c>
      <c r="M443">
        <f t="shared" si="120"/>
        <v>37757973</v>
      </c>
      <c r="N443">
        <f t="shared" si="123"/>
        <v>525394698</v>
      </c>
      <c r="O443">
        <f t="shared" si="116"/>
        <v>3.95234829990346e-5</v>
      </c>
    </row>
    <row r="444" ht="13.9" spans="1:15">
      <c r="A444" s="42" t="s">
        <v>374</v>
      </c>
      <c r="B444" s="11">
        <v>29583886</v>
      </c>
      <c r="C444" s="11">
        <v>3307952</v>
      </c>
      <c r="D444" s="11">
        <v>186</v>
      </c>
      <c r="E444">
        <f t="shared" si="124"/>
        <v>186</v>
      </c>
      <c r="F444">
        <f t="shared" si="125"/>
        <v>14791943</v>
      </c>
      <c r="G444">
        <f t="shared" si="119"/>
        <v>1479.1943</v>
      </c>
      <c r="H444">
        <f t="shared" si="118"/>
        <v>18600</v>
      </c>
      <c r="I444">
        <f t="shared" si="127"/>
        <v>8928</v>
      </c>
      <c r="J444">
        <f t="shared" ref="J444:J507" si="130">IF(H444&gt;H445,(H444-H445)/B444,0)</f>
        <v>4.05626225033452e-5</v>
      </c>
      <c r="K444">
        <f t="shared" si="128"/>
        <v>405810982</v>
      </c>
      <c r="L444">
        <f t="shared" si="129"/>
        <v>4.58341464992685e-5</v>
      </c>
      <c r="M444">
        <f t="shared" si="120"/>
        <v>32891838</v>
      </c>
      <c r="N444">
        <f t="shared" si="123"/>
        <v>487636725</v>
      </c>
      <c r="O444">
        <f t="shared" si="116"/>
        <v>3.42301821721738e-5</v>
      </c>
    </row>
    <row r="445" ht="13.9" spans="1:15">
      <c r="A445" s="42" t="s">
        <v>375</v>
      </c>
      <c r="B445" s="11">
        <v>31441454</v>
      </c>
      <c r="C445" s="11">
        <v>3615327</v>
      </c>
      <c r="D445" s="11">
        <v>174</v>
      </c>
      <c r="E445">
        <f t="shared" si="124"/>
        <v>174</v>
      </c>
      <c r="F445">
        <f t="shared" si="125"/>
        <v>15720727</v>
      </c>
      <c r="G445">
        <f t="shared" si="119"/>
        <v>1572.0727</v>
      </c>
      <c r="H445">
        <f t="shared" si="118"/>
        <v>17400</v>
      </c>
      <c r="I445">
        <f t="shared" si="127"/>
        <v>8352</v>
      </c>
      <c r="J445">
        <f t="shared" si="130"/>
        <v>4.13466883560792e-5</v>
      </c>
      <c r="K445">
        <f t="shared" si="128"/>
        <v>374369528</v>
      </c>
      <c r="L445">
        <f t="shared" si="129"/>
        <v>4.6478141778676e-5</v>
      </c>
      <c r="M445">
        <f t="shared" si="120"/>
        <v>35056781</v>
      </c>
      <c r="N445">
        <f t="shared" si="123"/>
        <v>454744887</v>
      </c>
      <c r="O445">
        <f t="shared" ref="O445:O487" si="131">IF(H445&gt;H446,(H445-H446)/M446,H445/M446)</f>
        <v>4.0943161632201e-5</v>
      </c>
    </row>
    <row r="446" ht="13.9" spans="1:15">
      <c r="A446" s="42" t="s">
        <v>376</v>
      </c>
      <c r="B446" s="11">
        <v>28503806</v>
      </c>
      <c r="C446" s="11">
        <v>3247528</v>
      </c>
      <c r="D446" s="11">
        <v>161</v>
      </c>
      <c r="E446">
        <f t="shared" si="124"/>
        <v>161</v>
      </c>
      <c r="F446">
        <f t="shared" si="125"/>
        <v>14251903</v>
      </c>
      <c r="G446">
        <f t="shared" si="119"/>
        <v>1425.1903</v>
      </c>
      <c r="H446">
        <f t="shared" si="118"/>
        <v>16100</v>
      </c>
      <c r="I446">
        <f t="shared" si="127"/>
        <v>7728</v>
      </c>
      <c r="J446">
        <f t="shared" si="130"/>
        <v>3.85913375918991e-5</v>
      </c>
      <c r="K446">
        <f t="shared" si="128"/>
        <v>345865722</v>
      </c>
      <c r="L446">
        <f t="shared" si="129"/>
        <v>4.65498572882571e-5</v>
      </c>
      <c r="M446">
        <f t="shared" si="120"/>
        <v>31751334</v>
      </c>
      <c r="N446">
        <f t="shared" si="123"/>
        <v>419688106</v>
      </c>
      <c r="O446">
        <f t="shared" si="131"/>
        <v>3.24138467945976e-5</v>
      </c>
    </row>
    <row r="447" ht="13.9" spans="1:15">
      <c r="A447" s="42" t="s">
        <v>377</v>
      </c>
      <c r="B447" s="11">
        <v>30357186</v>
      </c>
      <c r="C447" s="11">
        <v>3578928</v>
      </c>
      <c r="D447" s="11">
        <v>150</v>
      </c>
      <c r="E447">
        <f t="shared" si="124"/>
        <v>150</v>
      </c>
      <c r="F447">
        <f t="shared" si="125"/>
        <v>15178593</v>
      </c>
      <c r="G447">
        <f t="shared" si="119"/>
        <v>1517.8593</v>
      </c>
      <c r="H447">
        <f t="shared" si="118"/>
        <v>15000</v>
      </c>
      <c r="I447">
        <f t="shared" si="127"/>
        <v>7200</v>
      </c>
      <c r="J447">
        <f t="shared" si="130"/>
        <v>4.28234685520588e-5</v>
      </c>
      <c r="K447">
        <f t="shared" si="128"/>
        <v>315508536</v>
      </c>
      <c r="L447">
        <f t="shared" si="129"/>
        <v>4.75422953374548e-5</v>
      </c>
      <c r="M447">
        <f t="shared" si="120"/>
        <v>33936114</v>
      </c>
      <c r="N447">
        <f t="shared" si="123"/>
        <v>387936772</v>
      </c>
      <c r="O447">
        <f t="shared" si="131"/>
        <v>4.22688459876721e-5</v>
      </c>
    </row>
    <row r="448" ht="13.9" spans="1:15">
      <c r="A448" s="42" t="s">
        <v>378</v>
      </c>
      <c r="B448" s="11">
        <v>27556082</v>
      </c>
      <c r="C448" s="11">
        <v>3199430</v>
      </c>
      <c r="D448" s="11">
        <v>137</v>
      </c>
      <c r="E448">
        <f t="shared" ref="E448:E481" si="132">IF(RIGHT(D448,1)="B",VALUE(LEFT(D448,LEN(D448)-1))*1000,D448)</f>
        <v>137</v>
      </c>
      <c r="F448">
        <f t="shared" si="125"/>
        <v>13778041</v>
      </c>
      <c r="G448">
        <f t="shared" si="119"/>
        <v>1377.8041</v>
      </c>
      <c r="H448">
        <f t="shared" si="118"/>
        <v>13700</v>
      </c>
      <c r="I448">
        <f t="shared" si="127"/>
        <v>6576</v>
      </c>
      <c r="J448">
        <f t="shared" si="130"/>
        <v>3.62896292731311e-5</v>
      </c>
      <c r="K448">
        <f t="shared" si="128"/>
        <v>287952454</v>
      </c>
      <c r="L448">
        <f t="shared" si="129"/>
        <v>4.75772989939513e-5</v>
      </c>
      <c r="M448">
        <f t="shared" si="120"/>
        <v>30755512</v>
      </c>
      <c r="N448">
        <f t="shared" si="123"/>
        <v>354000658</v>
      </c>
      <c r="O448">
        <f t="shared" si="131"/>
        <v>3.06289680019478e-5</v>
      </c>
    </row>
    <row r="449" ht="13.85" spans="1:15">
      <c r="A449" s="43">
        <v>39376</v>
      </c>
      <c r="B449" s="11">
        <v>29160514</v>
      </c>
      <c r="C449" s="11">
        <v>3488317</v>
      </c>
      <c r="D449" s="11">
        <v>127</v>
      </c>
      <c r="E449">
        <f t="shared" si="132"/>
        <v>127</v>
      </c>
      <c r="F449">
        <f t="shared" si="125"/>
        <v>14580257</v>
      </c>
      <c r="G449">
        <f t="shared" si="119"/>
        <v>1458.0257</v>
      </c>
      <c r="H449">
        <f t="shared" si="118"/>
        <v>12700</v>
      </c>
      <c r="I449">
        <f t="shared" si="127"/>
        <v>6096</v>
      </c>
      <c r="J449">
        <f t="shared" si="130"/>
        <v>4.80101276678456e-5</v>
      </c>
      <c r="K449">
        <f t="shared" si="128"/>
        <v>258791940</v>
      </c>
      <c r="L449">
        <f t="shared" si="129"/>
        <v>4.90741713207915e-5</v>
      </c>
      <c r="M449">
        <f t="shared" si="120"/>
        <v>32648831</v>
      </c>
      <c r="N449">
        <f t="shared" si="123"/>
        <v>323245146</v>
      </c>
      <c r="O449">
        <f t="shared" si="131"/>
        <v>4.79250408543857e-5</v>
      </c>
    </row>
    <row r="450" ht="13.85" spans="1:15">
      <c r="A450" s="43">
        <v>39284</v>
      </c>
      <c r="B450" s="11">
        <v>26108076</v>
      </c>
      <c r="C450" s="11">
        <v>3104210</v>
      </c>
      <c r="D450" s="11">
        <v>113</v>
      </c>
      <c r="E450">
        <f t="shared" si="132"/>
        <v>113</v>
      </c>
      <c r="F450">
        <f t="shared" si="125"/>
        <v>13054038</v>
      </c>
      <c r="G450">
        <f t="shared" si="119"/>
        <v>1305.4038</v>
      </c>
      <c r="H450">
        <f t="shared" si="118"/>
        <v>11300</v>
      </c>
      <c r="I450">
        <f t="shared" si="127"/>
        <v>5424</v>
      </c>
      <c r="J450">
        <f t="shared" si="130"/>
        <v>4.59627894449212e-5</v>
      </c>
      <c r="K450">
        <f t="shared" si="128"/>
        <v>232683864</v>
      </c>
      <c r="L450">
        <f t="shared" si="129"/>
        <v>4.85637457009052e-5</v>
      </c>
      <c r="M450">
        <f t="shared" si="120"/>
        <v>29212286</v>
      </c>
      <c r="N450">
        <f t="shared" si="123"/>
        <v>290596315</v>
      </c>
      <c r="O450">
        <f t="shared" si="131"/>
        <v>3.65397479835312e-5</v>
      </c>
    </row>
    <row r="451" ht="13.85" spans="1:15">
      <c r="A451" s="43">
        <v>39162</v>
      </c>
      <c r="B451" s="11">
        <v>29272136</v>
      </c>
      <c r="C451" s="11">
        <v>3568813</v>
      </c>
      <c r="D451" s="11">
        <v>101</v>
      </c>
      <c r="E451">
        <f t="shared" si="132"/>
        <v>101</v>
      </c>
      <c r="F451">
        <f t="shared" si="125"/>
        <v>14636068</v>
      </c>
      <c r="G451">
        <f t="shared" si="119"/>
        <v>1463.6068</v>
      </c>
      <c r="H451">
        <f t="shared" ref="H451:H514" si="133">E451*100</f>
        <v>10100</v>
      </c>
      <c r="I451">
        <f t="shared" si="127"/>
        <v>4848</v>
      </c>
      <c r="J451">
        <f t="shared" si="130"/>
        <v>4.44108349318956e-5</v>
      </c>
      <c r="K451">
        <f t="shared" si="128"/>
        <v>203411728</v>
      </c>
      <c r="L451">
        <f t="shared" si="129"/>
        <v>4.96529875602846e-5</v>
      </c>
      <c r="M451">
        <f t="shared" si="120"/>
        <v>32840949</v>
      </c>
      <c r="N451">
        <f t="shared" si="123"/>
        <v>261384029</v>
      </c>
      <c r="O451">
        <f t="shared" si="131"/>
        <v>4.85214053486041e-5</v>
      </c>
    </row>
    <row r="452" ht="13.9" spans="1:15">
      <c r="A452" s="42" t="s">
        <v>379</v>
      </c>
      <c r="B452" s="11">
        <v>23855048</v>
      </c>
      <c r="C452" s="11">
        <v>2937251</v>
      </c>
      <c r="D452" s="11">
        <v>88</v>
      </c>
      <c r="E452">
        <f t="shared" si="132"/>
        <v>88</v>
      </c>
      <c r="F452">
        <f t="shared" si="125"/>
        <v>11927524</v>
      </c>
      <c r="G452">
        <f t="shared" ref="G452:G515" si="134">F452/10000</f>
        <v>1192.7524</v>
      </c>
      <c r="H452">
        <f t="shared" si="133"/>
        <v>8800</v>
      </c>
      <c r="I452">
        <f t="shared" si="127"/>
        <v>4224</v>
      </c>
      <c r="J452">
        <f t="shared" si="130"/>
        <v>5.44958031524397e-5</v>
      </c>
      <c r="K452">
        <f t="shared" si="128"/>
        <v>179556680</v>
      </c>
      <c r="L452">
        <f t="shared" si="129"/>
        <v>4.90095940735817e-5</v>
      </c>
      <c r="M452">
        <f t="shared" si="120"/>
        <v>26792299</v>
      </c>
      <c r="N452">
        <f t="shared" si="123"/>
        <v>228543080</v>
      </c>
      <c r="O452">
        <f t="shared" si="131"/>
        <v>4.53058709124913e-5</v>
      </c>
    </row>
    <row r="453" ht="13.9" spans="1:15">
      <c r="A453" s="42" t="s">
        <v>380</v>
      </c>
      <c r="B453" s="11">
        <v>25479456</v>
      </c>
      <c r="C453" s="11">
        <v>3214397</v>
      </c>
      <c r="D453" s="11">
        <v>75</v>
      </c>
      <c r="E453">
        <f t="shared" si="132"/>
        <v>75</v>
      </c>
      <c r="F453">
        <f t="shared" si="125"/>
        <v>12739728</v>
      </c>
      <c r="G453">
        <f t="shared" si="134"/>
        <v>1273.9728</v>
      </c>
      <c r="H453">
        <f t="shared" si="133"/>
        <v>7500</v>
      </c>
      <c r="I453">
        <f t="shared" si="127"/>
        <v>3600</v>
      </c>
      <c r="J453">
        <f t="shared" si="130"/>
        <v>4.70967669011458e-5</v>
      </c>
      <c r="K453">
        <f t="shared" si="128"/>
        <v>154077224</v>
      </c>
      <c r="L453">
        <f t="shared" si="129"/>
        <v>4.86768894538235e-5</v>
      </c>
      <c r="M453">
        <f t="shared" si="120"/>
        <v>28693853</v>
      </c>
      <c r="N453">
        <f t="shared" si="123"/>
        <v>201750781</v>
      </c>
      <c r="O453">
        <f t="shared" si="131"/>
        <v>4.65571040922569e-5</v>
      </c>
    </row>
    <row r="454" ht="13.9" spans="1:15">
      <c r="A454" s="42" t="s">
        <v>381</v>
      </c>
      <c r="B454" s="11">
        <v>22925266</v>
      </c>
      <c r="C454" s="11">
        <v>2849533</v>
      </c>
      <c r="D454" s="11">
        <v>63</v>
      </c>
      <c r="E454">
        <f t="shared" si="132"/>
        <v>63</v>
      </c>
      <c r="F454">
        <f t="shared" si="125"/>
        <v>11462633</v>
      </c>
      <c r="G454">
        <f t="shared" si="134"/>
        <v>1146.2633</v>
      </c>
      <c r="H454">
        <f t="shared" si="133"/>
        <v>6300</v>
      </c>
      <c r="I454">
        <f t="shared" si="127"/>
        <v>3024</v>
      </c>
      <c r="J454">
        <f t="shared" si="130"/>
        <v>4.79819950616931e-5</v>
      </c>
      <c r="K454">
        <f t="shared" si="128"/>
        <v>131151958</v>
      </c>
      <c r="L454">
        <f t="shared" si="129"/>
        <v>4.80358821634977e-5</v>
      </c>
      <c r="M454">
        <f t="shared" si="120"/>
        <v>25774799</v>
      </c>
      <c r="N454">
        <f t="shared" si="123"/>
        <v>173056928</v>
      </c>
      <c r="O454">
        <f t="shared" si="131"/>
        <v>3.94863259750565e-5</v>
      </c>
    </row>
    <row r="455" ht="13.9" spans="1:15">
      <c r="A455" s="42" t="s">
        <v>382</v>
      </c>
      <c r="B455" s="11">
        <v>24704830</v>
      </c>
      <c r="C455" s="11">
        <v>3152915</v>
      </c>
      <c r="D455" s="11">
        <v>52</v>
      </c>
      <c r="E455">
        <f t="shared" si="132"/>
        <v>52</v>
      </c>
      <c r="F455">
        <f t="shared" si="125"/>
        <v>12352415</v>
      </c>
      <c r="G455">
        <f t="shared" si="134"/>
        <v>1235.2415</v>
      </c>
      <c r="H455">
        <f t="shared" si="133"/>
        <v>5200</v>
      </c>
      <c r="I455">
        <f t="shared" si="127"/>
        <v>2496</v>
      </c>
      <c r="J455">
        <f t="shared" si="130"/>
        <v>4.85734975711227e-5</v>
      </c>
      <c r="K455">
        <f t="shared" si="128"/>
        <v>106447128</v>
      </c>
      <c r="L455">
        <f t="shared" si="129"/>
        <v>4.88505429662696e-5</v>
      </c>
      <c r="M455">
        <f t="shared" ref="M455:M518" si="135">B455+C455</f>
        <v>27857745</v>
      </c>
      <c r="N455">
        <f t="shared" si="123"/>
        <v>147282129</v>
      </c>
      <c r="O455">
        <f t="shared" si="131"/>
        <v>4.9005386672103e-5</v>
      </c>
    </row>
    <row r="456" ht="13.9" spans="1:15">
      <c r="A456" s="42" t="s">
        <v>383</v>
      </c>
      <c r="B456" s="11">
        <v>21725452</v>
      </c>
      <c r="C456" s="11">
        <v>2761652</v>
      </c>
      <c r="D456" s="11">
        <v>40</v>
      </c>
      <c r="E456">
        <f t="shared" si="132"/>
        <v>40</v>
      </c>
      <c r="F456">
        <f t="shared" si="125"/>
        <v>10862726</v>
      </c>
      <c r="G456">
        <f t="shared" si="134"/>
        <v>1086.2726</v>
      </c>
      <c r="H456">
        <f t="shared" si="133"/>
        <v>4000</v>
      </c>
      <c r="I456">
        <f t="shared" si="127"/>
        <v>1920</v>
      </c>
      <c r="J456">
        <f t="shared" si="130"/>
        <v>4.14260656118915e-5</v>
      </c>
      <c r="K456">
        <f t="shared" si="128"/>
        <v>84721676</v>
      </c>
      <c r="L456">
        <f t="shared" si="129"/>
        <v>4.72134191490735e-5</v>
      </c>
      <c r="M456">
        <f t="shared" si="135"/>
        <v>24487104</v>
      </c>
      <c r="N456">
        <f t="shared" si="123"/>
        <v>119424384</v>
      </c>
      <c r="O456">
        <f t="shared" si="131"/>
        <v>3.46921784209485e-5</v>
      </c>
    </row>
    <row r="457" ht="13.85" spans="1:15">
      <c r="A457" s="43">
        <v>39072</v>
      </c>
      <c r="B457" s="11">
        <v>22953084</v>
      </c>
      <c r="C457" s="11">
        <v>2989363</v>
      </c>
      <c r="D457" s="11">
        <v>31</v>
      </c>
      <c r="E457">
        <f t="shared" si="132"/>
        <v>31</v>
      </c>
      <c r="F457">
        <f t="shared" si="125"/>
        <v>11476542</v>
      </c>
      <c r="G457">
        <f t="shared" si="134"/>
        <v>1147.6542</v>
      </c>
      <c r="H457">
        <f t="shared" si="133"/>
        <v>3100</v>
      </c>
      <c r="I457">
        <f t="shared" si="127"/>
        <v>1488</v>
      </c>
      <c r="J457">
        <f t="shared" si="130"/>
        <v>4.79238432621952e-5</v>
      </c>
      <c r="K457">
        <f t="shared" ref="K457:K488" si="136">IF(E457&gt;E458,B458+K458,B458)</f>
        <v>61768592</v>
      </c>
      <c r="L457">
        <f t="shared" si="129"/>
        <v>5.01873184999911e-5</v>
      </c>
      <c r="M457">
        <f t="shared" si="135"/>
        <v>25942447</v>
      </c>
      <c r="N457">
        <f t="shared" si="123"/>
        <v>94937280</v>
      </c>
      <c r="O457">
        <f t="shared" si="131"/>
        <v>4.66717564338501e-5</v>
      </c>
    </row>
    <row r="458" ht="13.85" spans="1:15">
      <c r="A458" s="43">
        <v>38981</v>
      </c>
      <c r="B458" s="11">
        <v>20887428</v>
      </c>
      <c r="C458" s="11">
        <v>2681430</v>
      </c>
      <c r="D458" s="11">
        <v>20</v>
      </c>
      <c r="E458">
        <f t="shared" si="132"/>
        <v>20</v>
      </c>
      <c r="F458">
        <f t="shared" si="125"/>
        <v>10443714</v>
      </c>
      <c r="G458">
        <f t="shared" si="134"/>
        <v>1044.3714</v>
      </c>
      <c r="H458">
        <f t="shared" si="133"/>
        <v>2000</v>
      </c>
      <c r="I458">
        <f t="shared" si="127"/>
        <v>960</v>
      </c>
      <c r="J458">
        <f t="shared" si="130"/>
        <v>0</v>
      </c>
      <c r="K458">
        <f t="shared" si="136"/>
        <v>40881164</v>
      </c>
      <c r="L458">
        <f t="shared" si="129"/>
        <v>0</v>
      </c>
      <c r="M458">
        <f t="shared" si="135"/>
        <v>23568858</v>
      </c>
      <c r="N458">
        <f t="shared" si="123"/>
        <v>68994833</v>
      </c>
      <c r="O458">
        <f t="shared" si="131"/>
        <v>4.40276735942377e-5</v>
      </c>
    </row>
    <row r="459" ht="13.85" spans="1:15">
      <c r="A459" s="43">
        <v>38858</v>
      </c>
      <c r="B459" s="11">
        <v>40881164</v>
      </c>
      <c r="C459" s="11">
        <v>4544811</v>
      </c>
      <c r="D459" s="11">
        <v>285.6</v>
      </c>
      <c r="E459">
        <f t="shared" si="132"/>
        <v>285.6</v>
      </c>
      <c r="F459">
        <f t="shared" si="125"/>
        <v>20440582</v>
      </c>
      <c r="G459">
        <f t="shared" si="134"/>
        <v>2044.0582</v>
      </c>
      <c r="H459">
        <f t="shared" si="133"/>
        <v>28560</v>
      </c>
      <c r="I459">
        <f t="shared" si="127"/>
        <v>13708.8</v>
      </c>
      <c r="J459">
        <f t="shared" si="130"/>
        <v>4.30516117398224e-5</v>
      </c>
      <c r="K459">
        <f t="shared" si="136"/>
        <v>600995792</v>
      </c>
      <c r="L459">
        <f t="shared" si="129"/>
        <v>4.75211313958751e-5</v>
      </c>
      <c r="M459">
        <f t="shared" si="135"/>
        <v>45425975</v>
      </c>
      <c r="N459">
        <f t="shared" si="123"/>
        <v>718196378</v>
      </c>
      <c r="O459">
        <f t="shared" si="131"/>
        <v>4.28295164284779e-5</v>
      </c>
    </row>
    <row r="460" ht="13.85" spans="1:15">
      <c r="A460" s="43">
        <v>38769</v>
      </c>
      <c r="B460" s="11">
        <v>37049466</v>
      </c>
      <c r="C460" s="11">
        <v>4043690</v>
      </c>
      <c r="D460" s="11">
        <v>268</v>
      </c>
      <c r="E460">
        <f t="shared" si="132"/>
        <v>268</v>
      </c>
      <c r="F460">
        <f t="shared" si="125"/>
        <v>18524733</v>
      </c>
      <c r="G460">
        <f t="shared" si="134"/>
        <v>1852.4733</v>
      </c>
      <c r="H460">
        <f t="shared" si="133"/>
        <v>26800</v>
      </c>
      <c r="I460">
        <f t="shared" si="127"/>
        <v>12864</v>
      </c>
      <c r="J460">
        <f t="shared" si="130"/>
        <v>4.04864134883887e-5</v>
      </c>
      <c r="K460">
        <f t="shared" si="136"/>
        <v>563946326</v>
      </c>
      <c r="L460">
        <f t="shared" si="129"/>
        <v>4.75222530308673e-5</v>
      </c>
      <c r="M460">
        <f t="shared" si="135"/>
        <v>41093156</v>
      </c>
      <c r="N460">
        <f t="shared" si="123"/>
        <v>672770403</v>
      </c>
      <c r="O460">
        <f t="shared" si="131"/>
        <v>3.37966569608676e-5</v>
      </c>
    </row>
    <row r="461" ht="13.9" spans="1:15">
      <c r="A461" s="42" t="s">
        <v>384</v>
      </c>
      <c r="B461" s="11">
        <v>39926970</v>
      </c>
      <c r="C461" s="11">
        <v>4456118</v>
      </c>
      <c r="D461" s="11">
        <v>253</v>
      </c>
      <c r="E461">
        <f t="shared" si="132"/>
        <v>253</v>
      </c>
      <c r="F461">
        <f t="shared" si="125"/>
        <v>19963485</v>
      </c>
      <c r="G461">
        <f t="shared" si="134"/>
        <v>1996.3485</v>
      </c>
      <c r="H461">
        <f t="shared" si="133"/>
        <v>25300</v>
      </c>
      <c r="I461">
        <f t="shared" si="127"/>
        <v>12144</v>
      </c>
      <c r="J461">
        <f t="shared" si="130"/>
        <v>4.25777363020535e-5</v>
      </c>
      <c r="K461">
        <f t="shared" si="136"/>
        <v>524019356</v>
      </c>
      <c r="L461">
        <f t="shared" si="129"/>
        <v>4.82806593121343e-5</v>
      </c>
      <c r="M461">
        <f t="shared" si="135"/>
        <v>44383088</v>
      </c>
      <c r="N461">
        <f t="shared" si="123"/>
        <v>631677247</v>
      </c>
      <c r="O461">
        <f t="shared" si="131"/>
        <v>4.26867202517251e-5</v>
      </c>
    </row>
    <row r="462" ht="13.9" spans="1:15">
      <c r="A462" s="42" t="s">
        <v>385</v>
      </c>
      <c r="B462" s="11">
        <v>35862274</v>
      </c>
      <c r="C462" s="11">
        <v>3962758</v>
      </c>
      <c r="D462" s="11">
        <v>236</v>
      </c>
      <c r="E462">
        <f t="shared" si="132"/>
        <v>236</v>
      </c>
      <c r="F462">
        <f t="shared" si="125"/>
        <v>17931137</v>
      </c>
      <c r="G462">
        <f t="shared" si="134"/>
        <v>1793.1137</v>
      </c>
      <c r="H462">
        <f t="shared" si="133"/>
        <v>23600</v>
      </c>
      <c r="I462">
        <f t="shared" si="127"/>
        <v>11328</v>
      </c>
      <c r="J462">
        <f t="shared" si="130"/>
        <v>5.01920207290815e-5</v>
      </c>
      <c r="K462">
        <f t="shared" si="136"/>
        <v>488157082</v>
      </c>
      <c r="L462">
        <f t="shared" si="129"/>
        <v>4.83450939671095e-5</v>
      </c>
      <c r="M462">
        <f t="shared" si="135"/>
        <v>39825032</v>
      </c>
      <c r="N462">
        <f t="shared" si="123"/>
        <v>587294159</v>
      </c>
      <c r="O462">
        <f t="shared" si="131"/>
        <v>4.10116685487985e-5</v>
      </c>
    </row>
    <row r="463" ht="13.9" spans="1:15">
      <c r="A463" s="42" t="s">
        <v>386</v>
      </c>
      <c r="B463" s="11">
        <v>39451952</v>
      </c>
      <c r="C463" s="11">
        <v>4437996</v>
      </c>
      <c r="D463" s="11">
        <v>218</v>
      </c>
      <c r="E463">
        <f t="shared" si="132"/>
        <v>218</v>
      </c>
      <c r="F463">
        <f t="shared" si="125"/>
        <v>19725976</v>
      </c>
      <c r="G463">
        <f t="shared" si="134"/>
        <v>1972.5976</v>
      </c>
      <c r="H463">
        <f t="shared" si="133"/>
        <v>21800</v>
      </c>
      <c r="I463">
        <f t="shared" si="127"/>
        <v>10464</v>
      </c>
      <c r="J463">
        <f t="shared" si="130"/>
        <v>4.3090390052183e-5</v>
      </c>
      <c r="K463">
        <f t="shared" si="136"/>
        <v>448705130</v>
      </c>
      <c r="L463">
        <f t="shared" ref="L463:L485" si="137">IF(E463&gt;E464,H463/K463,0)</f>
        <v>4.85842450698079e-5</v>
      </c>
      <c r="M463">
        <f t="shared" si="135"/>
        <v>43889948</v>
      </c>
      <c r="N463">
        <f t="shared" si="123"/>
        <v>547469127</v>
      </c>
      <c r="O463">
        <f t="shared" si="131"/>
        <v>4.39043395720711e-5</v>
      </c>
    </row>
    <row r="464" ht="13.9" spans="1:15">
      <c r="A464" s="42" t="s">
        <v>387</v>
      </c>
      <c r="B464" s="11">
        <v>34820106</v>
      </c>
      <c r="C464" s="11">
        <v>3900440</v>
      </c>
      <c r="D464" s="11">
        <v>201</v>
      </c>
      <c r="E464">
        <f t="shared" si="132"/>
        <v>201</v>
      </c>
      <c r="F464">
        <f t="shared" si="125"/>
        <v>17410053</v>
      </c>
      <c r="G464">
        <f t="shared" si="134"/>
        <v>1741.0053</v>
      </c>
      <c r="H464">
        <f t="shared" si="133"/>
        <v>20100</v>
      </c>
      <c r="I464">
        <f t="shared" si="127"/>
        <v>9648</v>
      </c>
      <c r="J464">
        <f t="shared" si="130"/>
        <v>5.16942711202545e-5</v>
      </c>
      <c r="K464">
        <f t="shared" si="136"/>
        <v>413885024</v>
      </c>
      <c r="L464">
        <f t="shared" si="137"/>
        <v>4.85642118812204e-5</v>
      </c>
      <c r="M464">
        <f t="shared" si="135"/>
        <v>38720546</v>
      </c>
      <c r="N464">
        <f t="shared" si="123"/>
        <v>503579179</v>
      </c>
      <c r="O464">
        <f t="shared" si="131"/>
        <v>4.70317283355398e-5</v>
      </c>
    </row>
    <row r="465" ht="13.9" spans="1:15">
      <c r="A465" s="42" t="s">
        <v>388</v>
      </c>
      <c r="B465" s="11">
        <v>34244304</v>
      </c>
      <c r="C465" s="11">
        <v>4027732</v>
      </c>
      <c r="D465" s="11">
        <v>183</v>
      </c>
      <c r="E465">
        <f t="shared" si="132"/>
        <v>183</v>
      </c>
      <c r="F465">
        <f t="shared" si="125"/>
        <v>17122152</v>
      </c>
      <c r="G465">
        <f t="shared" si="134"/>
        <v>1712.2152</v>
      </c>
      <c r="H465">
        <f t="shared" si="133"/>
        <v>18300</v>
      </c>
      <c r="I465">
        <f t="shared" si="127"/>
        <v>8784</v>
      </c>
      <c r="J465">
        <f t="shared" si="130"/>
        <v>4.38029051488388e-5</v>
      </c>
      <c r="K465">
        <f t="shared" si="136"/>
        <v>379640720</v>
      </c>
      <c r="L465">
        <f t="shared" si="137"/>
        <v>4.8203469849072e-5</v>
      </c>
      <c r="M465">
        <f t="shared" si="135"/>
        <v>38272036</v>
      </c>
      <c r="N465">
        <f t="shared" si="123"/>
        <v>464858633</v>
      </c>
      <c r="O465">
        <f t="shared" si="131"/>
        <v>4.46968418820612e-5</v>
      </c>
    </row>
    <row r="466" ht="13.85" spans="1:15">
      <c r="A466" s="43">
        <v>38707</v>
      </c>
      <c r="B466" s="11">
        <v>30035704</v>
      </c>
      <c r="C466" s="11">
        <v>3523714</v>
      </c>
      <c r="D466" s="11">
        <v>168</v>
      </c>
      <c r="E466">
        <f t="shared" si="132"/>
        <v>168</v>
      </c>
      <c r="F466">
        <f t="shared" si="125"/>
        <v>15017852</v>
      </c>
      <c r="G466">
        <f t="shared" si="134"/>
        <v>1501.7852</v>
      </c>
      <c r="H466">
        <f t="shared" si="133"/>
        <v>16800</v>
      </c>
      <c r="I466">
        <f t="shared" si="127"/>
        <v>8064</v>
      </c>
      <c r="J466">
        <f t="shared" si="130"/>
        <v>3.66230803180109e-5</v>
      </c>
      <c r="K466">
        <f t="shared" si="136"/>
        <v>349605016</v>
      </c>
      <c r="L466">
        <f t="shared" si="137"/>
        <v>4.80542304347258e-5</v>
      </c>
      <c r="M466">
        <f t="shared" si="135"/>
        <v>33559418</v>
      </c>
      <c r="N466">
        <f t="shared" si="123"/>
        <v>426586597</v>
      </c>
      <c r="O466">
        <f t="shared" si="131"/>
        <v>3.08244137988122e-5</v>
      </c>
    </row>
    <row r="467" ht="13.85" spans="1:15">
      <c r="A467" s="43">
        <v>38585</v>
      </c>
      <c r="B467" s="11">
        <v>31857260</v>
      </c>
      <c r="C467" s="11">
        <v>3828739</v>
      </c>
      <c r="D467" s="11">
        <v>157</v>
      </c>
      <c r="E467">
        <f t="shared" si="132"/>
        <v>157</v>
      </c>
      <c r="F467">
        <f t="shared" si="125"/>
        <v>15928630</v>
      </c>
      <c r="G467">
        <f t="shared" si="134"/>
        <v>1592.863</v>
      </c>
      <c r="H467">
        <f t="shared" si="133"/>
        <v>15700</v>
      </c>
      <c r="I467">
        <f t="shared" si="127"/>
        <v>7536</v>
      </c>
      <c r="J467">
        <f t="shared" si="130"/>
        <v>4.70850286559484e-5</v>
      </c>
      <c r="K467">
        <f t="shared" si="136"/>
        <v>317747756</v>
      </c>
      <c r="L467">
        <f t="shared" si="137"/>
        <v>4.94102623969436e-5</v>
      </c>
      <c r="M467">
        <f t="shared" si="135"/>
        <v>35685999</v>
      </c>
      <c r="N467">
        <f t="shared" si="123"/>
        <v>393027179</v>
      </c>
      <c r="O467">
        <f t="shared" si="131"/>
        <v>4.72821689200876e-5</v>
      </c>
    </row>
    <row r="468" ht="13.85" spans="1:15">
      <c r="A468" s="43">
        <v>38493</v>
      </c>
      <c r="B468" s="11">
        <v>28323522</v>
      </c>
      <c r="C468" s="11">
        <v>3400911</v>
      </c>
      <c r="D468" s="11">
        <v>142</v>
      </c>
      <c r="E468">
        <f t="shared" si="132"/>
        <v>142</v>
      </c>
      <c r="F468">
        <f t="shared" si="125"/>
        <v>14161761</v>
      </c>
      <c r="G468">
        <f t="shared" si="134"/>
        <v>1416.1761</v>
      </c>
      <c r="H468">
        <f t="shared" si="133"/>
        <v>14200</v>
      </c>
      <c r="I468">
        <f t="shared" si="127"/>
        <v>6816</v>
      </c>
      <c r="J468">
        <f t="shared" si="130"/>
        <v>4.58982466940376e-5</v>
      </c>
      <c r="K468">
        <f t="shared" si="136"/>
        <v>289424234</v>
      </c>
      <c r="L468">
        <f t="shared" si="137"/>
        <v>4.90629267762008e-5</v>
      </c>
      <c r="M468">
        <f t="shared" si="135"/>
        <v>31724433</v>
      </c>
      <c r="N468">
        <f t="shared" si="123"/>
        <v>357341180</v>
      </c>
      <c r="O468">
        <f t="shared" si="131"/>
        <v>3.81968254207042e-5</v>
      </c>
    </row>
    <row r="469" ht="13.85" spans="1:15">
      <c r="A469" s="43">
        <v>38373</v>
      </c>
      <c r="B469" s="11">
        <v>30319874</v>
      </c>
      <c r="C469" s="11">
        <v>3714368</v>
      </c>
      <c r="D469" s="11">
        <v>129</v>
      </c>
      <c r="E469">
        <f t="shared" si="132"/>
        <v>129</v>
      </c>
      <c r="F469">
        <f t="shared" si="125"/>
        <v>15159937</v>
      </c>
      <c r="G469">
        <f t="shared" si="134"/>
        <v>1515.9937</v>
      </c>
      <c r="H469">
        <f t="shared" si="133"/>
        <v>12900</v>
      </c>
      <c r="I469">
        <f t="shared" si="127"/>
        <v>6192</v>
      </c>
      <c r="J469">
        <f t="shared" si="130"/>
        <v>4.28761676252349e-5</v>
      </c>
      <c r="K469">
        <f t="shared" si="136"/>
        <v>259104360</v>
      </c>
      <c r="L469">
        <f t="shared" si="137"/>
        <v>4.97868889585648e-5</v>
      </c>
      <c r="M469">
        <f t="shared" si="135"/>
        <v>34034242</v>
      </c>
      <c r="N469">
        <f t="shared" si="123"/>
        <v>325616747</v>
      </c>
      <c r="O469">
        <f t="shared" si="131"/>
        <v>4.39132116849543e-5</v>
      </c>
    </row>
    <row r="470" ht="13.9" spans="1:15">
      <c r="A470" s="42" t="s">
        <v>389</v>
      </c>
      <c r="B470" s="11">
        <v>26387972</v>
      </c>
      <c r="C470" s="11">
        <v>3215875</v>
      </c>
      <c r="D470" s="11">
        <v>116</v>
      </c>
      <c r="E470">
        <f t="shared" si="132"/>
        <v>116</v>
      </c>
      <c r="F470">
        <f t="shared" si="125"/>
        <v>13193986</v>
      </c>
      <c r="G470">
        <f t="shared" si="134"/>
        <v>1319.3986</v>
      </c>
      <c r="H470">
        <f t="shared" si="133"/>
        <v>11600</v>
      </c>
      <c r="I470">
        <f t="shared" si="127"/>
        <v>5568</v>
      </c>
      <c r="J470">
        <f t="shared" si="130"/>
        <v>4.54752642605502e-5</v>
      </c>
      <c r="K470">
        <f t="shared" si="136"/>
        <v>232716388</v>
      </c>
      <c r="L470">
        <f t="shared" si="137"/>
        <v>4.98460813168001e-5</v>
      </c>
      <c r="M470">
        <f t="shared" si="135"/>
        <v>29603847</v>
      </c>
      <c r="N470">
        <f t="shared" si="123"/>
        <v>291582505</v>
      </c>
      <c r="O470">
        <f t="shared" si="131"/>
        <v>3.76158143905316e-5</v>
      </c>
    </row>
    <row r="471" ht="13.9" spans="1:15">
      <c r="A471" s="42" t="s">
        <v>390</v>
      </c>
      <c r="B471" s="11">
        <v>28372042</v>
      </c>
      <c r="C471" s="11">
        <v>3529434</v>
      </c>
      <c r="D471" s="11">
        <v>104</v>
      </c>
      <c r="E471">
        <f t="shared" si="132"/>
        <v>104</v>
      </c>
      <c r="F471">
        <f t="shared" si="125"/>
        <v>14186021</v>
      </c>
      <c r="G471">
        <f t="shared" si="134"/>
        <v>1418.6021</v>
      </c>
      <c r="H471">
        <f t="shared" si="133"/>
        <v>10400</v>
      </c>
      <c r="I471">
        <f t="shared" si="127"/>
        <v>4992</v>
      </c>
      <c r="J471">
        <f t="shared" si="130"/>
        <v>4.93443510340215e-5</v>
      </c>
      <c r="K471">
        <f t="shared" si="136"/>
        <v>204344346</v>
      </c>
      <c r="L471">
        <f t="shared" si="137"/>
        <v>5.08944837651637e-5</v>
      </c>
      <c r="M471">
        <f t="shared" si="135"/>
        <v>31901476</v>
      </c>
      <c r="N471">
        <f t="shared" si="123"/>
        <v>261978658</v>
      </c>
      <c r="O471">
        <f t="shared" si="131"/>
        <v>5.22879390734958e-5</v>
      </c>
    </row>
    <row r="472" ht="13.9" spans="1:15">
      <c r="A472" s="42" t="s">
        <v>391</v>
      </c>
      <c r="B472" s="11">
        <v>23768138</v>
      </c>
      <c r="C472" s="11">
        <v>3006679</v>
      </c>
      <c r="D472" s="11">
        <v>90</v>
      </c>
      <c r="E472">
        <f t="shared" si="132"/>
        <v>90</v>
      </c>
      <c r="F472">
        <f t="shared" si="125"/>
        <v>11884069</v>
      </c>
      <c r="G472">
        <f t="shared" si="134"/>
        <v>1188.4069</v>
      </c>
      <c r="H472">
        <f t="shared" si="133"/>
        <v>9000</v>
      </c>
      <c r="I472">
        <f t="shared" si="127"/>
        <v>4320</v>
      </c>
      <c r="J472">
        <f t="shared" si="130"/>
        <v>4.62804448543676e-5</v>
      </c>
      <c r="K472">
        <f t="shared" si="136"/>
        <v>180576208</v>
      </c>
      <c r="L472">
        <f t="shared" si="137"/>
        <v>4.98404529571249e-5</v>
      </c>
      <c r="M472">
        <f t="shared" si="135"/>
        <v>26774817</v>
      </c>
      <c r="N472">
        <f t="shared" si="123"/>
        <v>230077182</v>
      </c>
      <c r="O472">
        <f t="shared" si="131"/>
        <v>3.78103256699594e-5</v>
      </c>
    </row>
    <row r="473" ht="13.9" spans="1:15">
      <c r="A473" s="42" t="s">
        <v>392</v>
      </c>
      <c r="B473" s="11">
        <v>25759548</v>
      </c>
      <c r="C473" s="11">
        <v>3333034</v>
      </c>
      <c r="D473" s="11">
        <v>79</v>
      </c>
      <c r="E473">
        <f t="shared" si="132"/>
        <v>79</v>
      </c>
      <c r="F473">
        <f t="shared" si="125"/>
        <v>12879774</v>
      </c>
      <c r="G473">
        <f t="shared" si="134"/>
        <v>1287.9774</v>
      </c>
      <c r="H473">
        <f t="shared" si="133"/>
        <v>7900</v>
      </c>
      <c r="I473">
        <f t="shared" si="127"/>
        <v>3792</v>
      </c>
      <c r="J473">
        <f t="shared" si="130"/>
        <v>4.65846683334661e-5</v>
      </c>
      <c r="K473">
        <f t="shared" si="136"/>
        <v>154816660</v>
      </c>
      <c r="L473">
        <f t="shared" si="137"/>
        <v>5.10280999473829e-5</v>
      </c>
      <c r="M473">
        <f t="shared" si="135"/>
        <v>29092582</v>
      </c>
      <c r="N473">
        <f t="shared" si="123"/>
        <v>203302365</v>
      </c>
      <c r="O473">
        <f t="shared" si="131"/>
        <v>4.64380416102654e-5</v>
      </c>
    </row>
    <row r="474" ht="13.9" spans="1:15">
      <c r="A474" s="42" t="s">
        <v>393</v>
      </c>
      <c r="B474" s="11">
        <v>22891984</v>
      </c>
      <c r="C474" s="11">
        <v>2948899</v>
      </c>
      <c r="D474" s="11">
        <v>67</v>
      </c>
      <c r="E474">
        <f t="shared" si="132"/>
        <v>67</v>
      </c>
      <c r="F474">
        <f t="shared" si="125"/>
        <v>11445992</v>
      </c>
      <c r="G474">
        <f t="shared" si="134"/>
        <v>1144.5992</v>
      </c>
      <c r="H474">
        <f t="shared" si="133"/>
        <v>6700</v>
      </c>
      <c r="I474">
        <f t="shared" si="127"/>
        <v>3216</v>
      </c>
      <c r="J474">
        <f t="shared" si="130"/>
        <v>5.24200960475947e-5</v>
      </c>
      <c r="K474">
        <f t="shared" si="136"/>
        <v>131924676</v>
      </c>
      <c r="L474">
        <f t="shared" si="137"/>
        <v>5.07865564134491e-5</v>
      </c>
      <c r="M474">
        <f t="shared" si="135"/>
        <v>25840883</v>
      </c>
      <c r="N474">
        <f t="shared" si="123"/>
        <v>174209783</v>
      </c>
      <c r="O474">
        <f t="shared" si="131"/>
        <v>4.23325563075033e-5</v>
      </c>
    </row>
    <row r="475" ht="13.85" spans="1:15">
      <c r="A475" s="43">
        <v>38281</v>
      </c>
      <c r="B475" s="11">
        <v>25091756</v>
      </c>
      <c r="C475" s="11">
        <v>3255221</v>
      </c>
      <c r="D475" s="11">
        <v>55</v>
      </c>
      <c r="E475">
        <f t="shared" si="132"/>
        <v>55</v>
      </c>
      <c r="F475">
        <f t="shared" si="125"/>
        <v>12545878</v>
      </c>
      <c r="G475">
        <f t="shared" si="134"/>
        <v>1254.5878</v>
      </c>
      <c r="H475">
        <f t="shared" si="133"/>
        <v>5500</v>
      </c>
      <c r="I475">
        <f t="shared" si="127"/>
        <v>2640</v>
      </c>
      <c r="J475">
        <f t="shared" si="130"/>
        <v>4.78244727072908e-5</v>
      </c>
      <c r="K475">
        <f t="shared" si="136"/>
        <v>106832920</v>
      </c>
      <c r="L475">
        <f t="shared" si="137"/>
        <v>5.14822584649001e-5</v>
      </c>
      <c r="M475">
        <f t="shared" si="135"/>
        <v>28346977</v>
      </c>
      <c r="N475">
        <f t="shared" si="123"/>
        <v>148368900</v>
      </c>
      <c r="O475">
        <f t="shared" si="131"/>
        <v>4.844210199969e-5</v>
      </c>
    </row>
    <row r="476" ht="13.85" spans="1:15">
      <c r="A476" s="43">
        <v>38189</v>
      </c>
      <c r="B476" s="11">
        <v>21928592</v>
      </c>
      <c r="C476" s="11">
        <v>2843248</v>
      </c>
      <c r="D476" s="11">
        <v>43</v>
      </c>
      <c r="E476">
        <f t="shared" si="132"/>
        <v>43</v>
      </c>
      <c r="F476">
        <f t="shared" si="125"/>
        <v>10964296</v>
      </c>
      <c r="G476">
        <f t="shared" si="134"/>
        <v>1096.4296</v>
      </c>
      <c r="H476">
        <f t="shared" si="133"/>
        <v>4300</v>
      </c>
      <c r="I476">
        <f t="shared" si="127"/>
        <v>2064</v>
      </c>
      <c r="J476">
        <f t="shared" si="130"/>
        <v>5.01628193912313e-5</v>
      </c>
      <c r="K476">
        <f t="shared" si="136"/>
        <v>84904328</v>
      </c>
      <c r="L476">
        <f t="shared" si="137"/>
        <v>5.06452391920468e-5</v>
      </c>
      <c r="M476">
        <f t="shared" si="135"/>
        <v>24771840</v>
      </c>
      <c r="N476">
        <f t="shared" si="123"/>
        <v>120021923</v>
      </c>
      <c r="O476">
        <f t="shared" si="131"/>
        <v>3.95312343110414e-5</v>
      </c>
    </row>
    <row r="477" ht="13.85" spans="1:15">
      <c r="A477" s="43">
        <v>38067</v>
      </c>
      <c r="B477" s="11">
        <v>24642144</v>
      </c>
      <c r="C477" s="11">
        <v>3183954</v>
      </c>
      <c r="D477" s="11">
        <v>32</v>
      </c>
      <c r="E477">
        <f t="shared" si="132"/>
        <v>32</v>
      </c>
      <c r="F477">
        <f t="shared" si="125"/>
        <v>12321072</v>
      </c>
      <c r="G477">
        <f t="shared" si="134"/>
        <v>1232.1072</v>
      </c>
      <c r="H477">
        <f t="shared" si="133"/>
        <v>3200</v>
      </c>
      <c r="I477">
        <f t="shared" si="127"/>
        <v>1536</v>
      </c>
      <c r="J477">
        <f t="shared" si="130"/>
        <v>4.86970614245254e-5</v>
      </c>
      <c r="K477">
        <f t="shared" si="136"/>
        <v>60262184</v>
      </c>
      <c r="L477">
        <f t="shared" si="137"/>
        <v>5.31012948352486e-5</v>
      </c>
      <c r="M477">
        <f t="shared" si="135"/>
        <v>27826098</v>
      </c>
      <c r="N477">
        <f t="shared" si="123"/>
        <v>95250083</v>
      </c>
      <c r="O477">
        <f t="shared" si="131"/>
        <v>4.90844141073678e-5</v>
      </c>
    </row>
    <row r="478" ht="13.9" spans="1:15">
      <c r="A478" s="42" t="s">
        <v>394</v>
      </c>
      <c r="B478" s="11">
        <v>21647194</v>
      </c>
      <c r="C478" s="11">
        <v>2800485</v>
      </c>
      <c r="D478" s="11">
        <v>20</v>
      </c>
      <c r="E478">
        <f t="shared" si="132"/>
        <v>20</v>
      </c>
      <c r="F478">
        <f t="shared" si="125"/>
        <v>10823597</v>
      </c>
      <c r="G478">
        <f t="shared" si="134"/>
        <v>1082.3597</v>
      </c>
      <c r="H478">
        <f t="shared" si="133"/>
        <v>2000</v>
      </c>
      <c r="I478">
        <f t="shared" si="127"/>
        <v>960</v>
      </c>
      <c r="J478">
        <f t="shared" si="130"/>
        <v>0</v>
      </c>
      <c r="K478">
        <f t="shared" si="136"/>
        <v>38614990</v>
      </c>
      <c r="L478">
        <f t="shared" si="137"/>
        <v>0</v>
      </c>
      <c r="M478">
        <f t="shared" si="135"/>
        <v>24447679</v>
      </c>
      <c r="N478">
        <f t="shared" si="123"/>
        <v>67423985</v>
      </c>
      <c r="O478">
        <f t="shared" si="131"/>
        <v>4.6537271025574e-5</v>
      </c>
    </row>
    <row r="479" ht="13.9" spans="1:15">
      <c r="A479" s="42" t="s">
        <v>395</v>
      </c>
      <c r="B479" s="11">
        <v>38614990</v>
      </c>
      <c r="C479" s="11">
        <v>4361316</v>
      </c>
      <c r="D479" s="27">
        <v>235.4</v>
      </c>
      <c r="E479">
        <f t="shared" si="132"/>
        <v>235.4</v>
      </c>
      <c r="F479">
        <f t="shared" si="125"/>
        <v>19307495</v>
      </c>
      <c r="G479">
        <f t="shared" si="134"/>
        <v>1930.7495</v>
      </c>
      <c r="H479">
        <f t="shared" si="133"/>
        <v>23540</v>
      </c>
      <c r="I479">
        <f t="shared" si="127"/>
        <v>11299.2</v>
      </c>
      <c r="J479">
        <f t="shared" si="130"/>
        <v>3.98808856353452e-5</v>
      </c>
      <c r="K479">
        <f t="shared" si="136"/>
        <v>470248290</v>
      </c>
      <c r="L479">
        <f t="shared" si="137"/>
        <v>5.00586615636603e-5</v>
      </c>
      <c r="M479">
        <f t="shared" si="135"/>
        <v>42976306</v>
      </c>
      <c r="N479">
        <f t="shared" ref="N479:N542" si="138">IF(H479&lt;H480,M479+M480,M479+N480)</f>
        <v>570002590</v>
      </c>
      <c r="O479">
        <f t="shared" si="131"/>
        <v>3.92367704183695e-5</v>
      </c>
    </row>
    <row r="480" ht="13.9" spans="1:15">
      <c r="A480" s="42" t="s">
        <v>396</v>
      </c>
      <c r="B480" s="11">
        <v>35302650</v>
      </c>
      <c r="C480" s="11">
        <v>3946248</v>
      </c>
      <c r="D480" s="11">
        <v>220</v>
      </c>
      <c r="E480">
        <f t="shared" si="132"/>
        <v>220</v>
      </c>
      <c r="F480">
        <f t="shared" si="125"/>
        <v>17651325</v>
      </c>
      <c r="G480">
        <f t="shared" si="134"/>
        <v>1765.1325</v>
      </c>
      <c r="H480">
        <f t="shared" si="133"/>
        <v>22000</v>
      </c>
      <c r="I480">
        <f t="shared" si="127"/>
        <v>10560</v>
      </c>
      <c r="J480">
        <f t="shared" si="130"/>
        <v>5.66529708109731e-5</v>
      </c>
      <c r="K480">
        <f t="shared" si="136"/>
        <v>434945640</v>
      </c>
      <c r="L480">
        <f t="shared" si="137"/>
        <v>5.05810335286957e-5</v>
      </c>
      <c r="M480">
        <f t="shared" si="135"/>
        <v>39248898</v>
      </c>
      <c r="N480">
        <f t="shared" si="138"/>
        <v>527026284</v>
      </c>
      <c r="O480">
        <f t="shared" si="131"/>
        <v>4.75221454385797e-5</v>
      </c>
    </row>
    <row r="481" ht="13.9" spans="1:15">
      <c r="A481" s="42" t="s">
        <v>397</v>
      </c>
      <c r="B481" s="11">
        <v>37754552</v>
      </c>
      <c r="C481" s="11">
        <v>4331090</v>
      </c>
      <c r="D481" s="11">
        <v>200</v>
      </c>
      <c r="E481">
        <f t="shared" si="132"/>
        <v>200</v>
      </c>
      <c r="F481">
        <f t="shared" si="125"/>
        <v>18877276</v>
      </c>
      <c r="G481">
        <f t="shared" si="134"/>
        <v>1887.7276</v>
      </c>
      <c r="H481">
        <f t="shared" si="133"/>
        <v>20000</v>
      </c>
      <c r="I481">
        <f t="shared" si="127"/>
        <v>9600</v>
      </c>
      <c r="J481">
        <f t="shared" si="130"/>
        <v>4.2378995783078e-5</v>
      </c>
      <c r="K481">
        <f t="shared" si="136"/>
        <v>397191088</v>
      </c>
      <c r="L481">
        <f t="shared" si="137"/>
        <v>5.03535970575453e-5</v>
      </c>
      <c r="M481">
        <f t="shared" si="135"/>
        <v>42085642</v>
      </c>
      <c r="N481">
        <f t="shared" si="138"/>
        <v>487777386</v>
      </c>
      <c r="O481">
        <f t="shared" si="131"/>
        <v>4.36297461937682e-5</v>
      </c>
    </row>
    <row r="482" ht="13.9" spans="1:15">
      <c r="A482" s="42" t="s">
        <v>398</v>
      </c>
      <c r="B482" s="11">
        <v>32887128</v>
      </c>
      <c r="C482" s="11">
        <v>3785100</v>
      </c>
      <c r="D482" s="11">
        <v>184</v>
      </c>
      <c r="E482">
        <f t="shared" ref="E482:E497" si="139">IF(RIGHT(D482,1)="B",VALUE(LEFT(D482,LEN(D482)-1))*1000,D482)</f>
        <v>184</v>
      </c>
      <c r="F482">
        <f t="shared" si="125"/>
        <v>16443564</v>
      </c>
      <c r="G482">
        <f t="shared" si="134"/>
        <v>1644.3564</v>
      </c>
      <c r="H482">
        <f t="shared" si="133"/>
        <v>18400</v>
      </c>
      <c r="I482">
        <f t="shared" si="127"/>
        <v>8832</v>
      </c>
      <c r="J482">
        <f t="shared" si="130"/>
        <v>4.5610550121616e-5</v>
      </c>
      <c r="K482">
        <f t="shared" si="136"/>
        <v>364303960</v>
      </c>
      <c r="L482">
        <f t="shared" si="137"/>
        <v>5.05072742003683e-5</v>
      </c>
      <c r="M482">
        <f t="shared" si="135"/>
        <v>36672228</v>
      </c>
      <c r="N482">
        <f t="shared" si="138"/>
        <v>445691744</v>
      </c>
      <c r="O482">
        <f t="shared" si="131"/>
        <v>3.92684486967928e-5</v>
      </c>
    </row>
    <row r="483" ht="13.9" spans="1:15">
      <c r="A483" s="42" t="s">
        <v>399</v>
      </c>
      <c r="B483" s="11">
        <v>34159586</v>
      </c>
      <c r="C483" s="11">
        <v>4039020</v>
      </c>
      <c r="D483" s="11">
        <v>169</v>
      </c>
      <c r="E483">
        <f t="shared" si="139"/>
        <v>169</v>
      </c>
      <c r="F483">
        <f t="shared" si="125"/>
        <v>17079793</v>
      </c>
      <c r="G483">
        <f t="shared" si="134"/>
        <v>1707.9793</v>
      </c>
      <c r="H483">
        <f t="shared" si="133"/>
        <v>16900</v>
      </c>
      <c r="I483">
        <f t="shared" si="127"/>
        <v>8112</v>
      </c>
      <c r="J483">
        <f t="shared" si="130"/>
        <v>4.0984103261673e-5</v>
      </c>
      <c r="K483">
        <f t="shared" si="136"/>
        <v>330144374</v>
      </c>
      <c r="L483">
        <f t="shared" si="137"/>
        <v>5.11897258621769e-5</v>
      </c>
      <c r="M483">
        <f t="shared" si="135"/>
        <v>38198606</v>
      </c>
      <c r="N483">
        <f t="shared" si="138"/>
        <v>409019516</v>
      </c>
      <c r="O483">
        <f t="shared" si="131"/>
        <v>4.12260570471454e-5</v>
      </c>
    </row>
    <row r="484" ht="13.85" spans="1:15">
      <c r="A484" s="43">
        <v>37915</v>
      </c>
      <c r="B484" s="11">
        <v>30408090</v>
      </c>
      <c r="C484" s="11">
        <v>3551015</v>
      </c>
      <c r="D484" s="11">
        <v>155</v>
      </c>
      <c r="E484">
        <f t="shared" si="139"/>
        <v>155</v>
      </c>
      <c r="F484">
        <f t="shared" si="125"/>
        <v>15204045</v>
      </c>
      <c r="G484">
        <f t="shared" si="134"/>
        <v>1520.4045</v>
      </c>
      <c r="H484">
        <f t="shared" si="133"/>
        <v>15500</v>
      </c>
      <c r="I484">
        <f t="shared" si="127"/>
        <v>7440</v>
      </c>
      <c r="J484">
        <f t="shared" si="130"/>
        <v>5.59061749685692e-5</v>
      </c>
      <c r="K484">
        <f t="shared" si="136"/>
        <v>299736284</v>
      </c>
      <c r="L484">
        <f t="shared" si="137"/>
        <v>5.17121243819784e-5</v>
      </c>
      <c r="M484">
        <f t="shared" si="135"/>
        <v>33959105</v>
      </c>
      <c r="N484">
        <f t="shared" si="138"/>
        <v>370820910</v>
      </c>
      <c r="O484">
        <f t="shared" si="131"/>
        <v>4.66452592365159e-5</v>
      </c>
    </row>
    <row r="485" ht="13.85" spans="1:15">
      <c r="A485" s="43">
        <v>37793</v>
      </c>
      <c r="B485" s="11">
        <v>32552540</v>
      </c>
      <c r="C485" s="11">
        <v>3892750</v>
      </c>
      <c r="D485" s="11">
        <v>138</v>
      </c>
      <c r="E485">
        <f t="shared" si="139"/>
        <v>138</v>
      </c>
      <c r="F485">
        <f t="shared" si="125"/>
        <v>16276270</v>
      </c>
      <c r="G485">
        <f t="shared" si="134"/>
        <v>1627.627</v>
      </c>
      <c r="H485">
        <f t="shared" si="133"/>
        <v>13800</v>
      </c>
      <c r="I485">
        <f t="shared" si="127"/>
        <v>6624</v>
      </c>
      <c r="J485">
        <f t="shared" si="130"/>
        <v>4.60793535619648e-5</v>
      </c>
      <c r="K485">
        <f t="shared" si="136"/>
        <v>267183744</v>
      </c>
      <c r="L485">
        <f t="shared" si="137"/>
        <v>5.16498488770335e-5</v>
      </c>
      <c r="M485">
        <f t="shared" si="135"/>
        <v>36445290</v>
      </c>
      <c r="N485">
        <f t="shared" si="138"/>
        <v>336861805</v>
      </c>
      <c r="O485">
        <f t="shared" si="131"/>
        <v>4.48633471418728e-5</v>
      </c>
    </row>
    <row r="486" ht="13.85" spans="1:15">
      <c r="A486" s="43">
        <v>37701</v>
      </c>
      <c r="B486" s="11">
        <v>29889256</v>
      </c>
      <c r="C486" s="11">
        <v>3545610</v>
      </c>
      <c r="D486" s="11">
        <v>123</v>
      </c>
      <c r="E486">
        <f t="shared" si="139"/>
        <v>123</v>
      </c>
      <c r="F486">
        <f t="shared" si="125"/>
        <v>14944628</v>
      </c>
      <c r="G486">
        <f t="shared" si="134"/>
        <v>1494.4628</v>
      </c>
      <c r="H486">
        <f t="shared" si="133"/>
        <v>12300</v>
      </c>
      <c r="I486">
        <f t="shared" si="127"/>
        <v>5904</v>
      </c>
      <c r="J486">
        <f t="shared" si="130"/>
        <v>5.68766248313441e-5</v>
      </c>
      <c r="K486">
        <f t="shared" si="136"/>
        <v>237294488</v>
      </c>
      <c r="L486">
        <f t="shared" ref="L486:L501" si="140">IF(E486&gt;E487,H486/K486,0)</f>
        <v>5.18343266363608e-5</v>
      </c>
      <c r="M486">
        <f t="shared" si="135"/>
        <v>33434866</v>
      </c>
      <c r="N486">
        <f t="shared" si="138"/>
        <v>300416515</v>
      </c>
      <c r="O486">
        <f t="shared" si="131"/>
        <v>4.80264409853353e-5</v>
      </c>
    </row>
    <row r="487" ht="13.9" spans="1:15">
      <c r="A487" s="42" t="s">
        <v>400</v>
      </c>
      <c r="B487" s="11">
        <v>31550048</v>
      </c>
      <c r="C487" s="11">
        <v>3847120</v>
      </c>
      <c r="D487" s="11">
        <v>106</v>
      </c>
      <c r="E487">
        <f t="shared" si="139"/>
        <v>106</v>
      </c>
      <c r="F487">
        <f t="shared" ref="F487:F550" si="141">B487/2</f>
        <v>15775024</v>
      </c>
      <c r="G487">
        <f t="shared" si="134"/>
        <v>1577.5024</v>
      </c>
      <c r="H487">
        <f t="shared" si="133"/>
        <v>10600</v>
      </c>
      <c r="I487">
        <f t="shared" si="127"/>
        <v>5088</v>
      </c>
      <c r="J487">
        <f t="shared" si="130"/>
        <v>5.07130765696458e-5</v>
      </c>
      <c r="K487">
        <f t="shared" si="136"/>
        <v>205744440</v>
      </c>
      <c r="L487">
        <f t="shared" si="140"/>
        <v>5.15202257713501e-5</v>
      </c>
      <c r="M487">
        <f t="shared" si="135"/>
        <v>35397168</v>
      </c>
      <c r="N487">
        <f t="shared" si="138"/>
        <v>266981649</v>
      </c>
      <c r="O487">
        <f t="shared" si="131"/>
        <v>5.33137316513295e-5</v>
      </c>
    </row>
    <row r="488" ht="13.9" spans="1:15">
      <c r="A488" s="42" t="s">
        <v>401</v>
      </c>
      <c r="B488" s="11">
        <v>26720712</v>
      </c>
      <c r="C488" s="11">
        <v>3290318</v>
      </c>
      <c r="D488" s="11">
        <v>90</v>
      </c>
      <c r="E488">
        <f t="shared" si="139"/>
        <v>90</v>
      </c>
      <c r="F488">
        <f t="shared" si="141"/>
        <v>13360356</v>
      </c>
      <c r="G488">
        <f t="shared" si="134"/>
        <v>1336.0356</v>
      </c>
      <c r="H488">
        <f t="shared" si="133"/>
        <v>9000</v>
      </c>
      <c r="I488">
        <f t="shared" si="127"/>
        <v>4320</v>
      </c>
      <c r="J488">
        <f t="shared" si="130"/>
        <v>4.49089829642264e-5</v>
      </c>
      <c r="K488">
        <f t="shared" si="136"/>
        <v>179023728</v>
      </c>
      <c r="L488">
        <f t="shared" si="140"/>
        <v>5.02726655318003e-5</v>
      </c>
      <c r="M488">
        <f t="shared" si="135"/>
        <v>30011030</v>
      </c>
      <c r="N488">
        <f t="shared" si="138"/>
        <v>231584481</v>
      </c>
      <c r="O488">
        <f t="shared" ref="O488:O509" si="142">IF(H488&gt;H489,(H488-H489)/M489,H488/M489)</f>
        <v>3.96036114137212e-5</v>
      </c>
    </row>
    <row r="489" ht="13.9" spans="1:15">
      <c r="A489" s="42" t="s">
        <v>402</v>
      </c>
      <c r="B489" s="11">
        <v>26969680</v>
      </c>
      <c r="C489" s="11">
        <v>3330587</v>
      </c>
      <c r="D489" s="11">
        <v>78</v>
      </c>
      <c r="E489">
        <f t="shared" si="139"/>
        <v>78</v>
      </c>
      <c r="F489">
        <f t="shared" si="141"/>
        <v>13484840</v>
      </c>
      <c r="G489">
        <f t="shared" si="134"/>
        <v>1348.484</v>
      </c>
      <c r="H489">
        <f t="shared" si="133"/>
        <v>7800</v>
      </c>
      <c r="I489">
        <f t="shared" si="127"/>
        <v>3744</v>
      </c>
      <c r="J489">
        <f t="shared" si="130"/>
        <v>4.44944100189546e-5</v>
      </c>
      <c r="K489">
        <f t="shared" ref="K489:K509" si="143">IF(E489&gt;E490,B490+K490,B490)</f>
        <v>152054048</v>
      </c>
      <c r="L489">
        <f t="shared" si="140"/>
        <v>5.12975491451566e-5</v>
      </c>
      <c r="M489">
        <f t="shared" si="135"/>
        <v>30300267</v>
      </c>
      <c r="N489">
        <f t="shared" si="138"/>
        <v>201573451</v>
      </c>
      <c r="O489">
        <f t="shared" si="142"/>
        <v>4.8170689949595e-5</v>
      </c>
    </row>
    <row r="490" ht="13.9" spans="1:15">
      <c r="A490" s="42" t="s">
        <v>403</v>
      </c>
      <c r="B490" s="11">
        <v>22240084</v>
      </c>
      <c r="C490" s="11">
        <v>2671330</v>
      </c>
      <c r="D490" s="11">
        <v>66</v>
      </c>
      <c r="E490">
        <f t="shared" si="139"/>
        <v>66</v>
      </c>
      <c r="F490">
        <f t="shared" si="141"/>
        <v>11120042</v>
      </c>
      <c r="G490">
        <f t="shared" si="134"/>
        <v>1112.0042</v>
      </c>
      <c r="H490">
        <f t="shared" si="133"/>
        <v>6600</v>
      </c>
      <c r="I490">
        <f t="shared" si="127"/>
        <v>3168</v>
      </c>
      <c r="J490">
        <f t="shared" si="130"/>
        <v>4.49638589494536e-5</v>
      </c>
      <c r="K490">
        <f t="shared" si="143"/>
        <v>129813964</v>
      </c>
      <c r="L490">
        <f t="shared" si="140"/>
        <v>5.08419880006129e-5</v>
      </c>
      <c r="M490">
        <f t="shared" si="135"/>
        <v>24911414</v>
      </c>
      <c r="N490">
        <f t="shared" si="138"/>
        <v>171273184</v>
      </c>
      <c r="O490">
        <f t="shared" si="142"/>
        <v>3.31626122056984e-5</v>
      </c>
    </row>
    <row r="491" ht="13.9" spans="1:15">
      <c r="A491" s="42" t="s">
        <v>404</v>
      </c>
      <c r="B491" s="11">
        <v>26784704</v>
      </c>
      <c r="C491" s="11">
        <v>3369736</v>
      </c>
      <c r="D491" s="11">
        <v>56</v>
      </c>
      <c r="E491">
        <f t="shared" si="139"/>
        <v>56</v>
      </c>
      <c r="F491">
        <f t="shared" si="141"/>
        <v>13392352</v>
      </c>
      <c r="G491">
        <f t="shared" si="134"/>
        <v>1339.2352</v>
      </c>
      <c r="H491">
        <f t="shared" si="133"/>
        <v>5600</v>
      </c>
      <c r="I491">
        <f t="shared" si="127"/>
        <v>2688</v>
      </c>
      <c r="J491">
        <f t="shared" si="130"/>
        <v>5.22686381003128e-5</v>
      </c>
      <c r="K491">
        <f t="shared" si="143"/>
        <v>103029260</v>
      </c>
      <c r="L491">
        <f t="shared" si="140"/>
        <v>5.43534914256397e-5</v>
      </c>
      <c r="M491">
        <f t="shared" si="135"/>
        <v>30154440</v>
      </c>
      <c r="N491">
        <f t="shared" si="138"/>
        <v>146361770</v>
      </c>
      <c r="O491">
        <f t="shared" si="142"/>
        <v>5.2887546720481e-5</v>
      </c>
    </row>
    <row r="492" ht="13.85" spans="1:15">
      <c r="A492" s="43">
        <v>37550</v>
      </c>
      <c r="B492" s="11">
        <v>23483028</v>
      </c>
      <c r="C492" s="11">
        <v>2988232</v>
      </c>
      <c r="D492" s="11">
        <v>42</v>
      </c>
      <c r="E492">
        <f t="shared" si="139"/>
        <v>42</v>
      </c>
      <c r="F492">
        <f t="shared" si="141"/>
        <v>11741514</v>
      </c>
      <c r="G492">
        <f t="shared" si="134"/>
        <v>1174.1514</v>
      </c>
      <c r="H492">
        <f t="shared" si="133"/>
        <v>4200</v>
      </c>
      <c r="I492">
        <f t="shared" ref="I492:I555" si="144">H492*0.48</f>
        <v>2016</v>
      </c>
      <c r="J492">
        <f t="shared" si="130"/>
        <v>5.1100735390683e-5</v>
      </c>
      <c r="K492">
        <f t="shared" si="143"/>
        <v>79546232</v>
      </c>
      <c r="L492">
        <f t="shared" si="140"/>
        <v>5.27994839529294e-5</v>
      </c>
      <c r="M492">
        <f t="shared" si="135"/>
        <v>26471260</v>
      </c>
      <c r="N492">
        <f t="shared" si="138"/>
        <v>116207330</v>
      </c>
      <c r="O492">
        <f t="shared" si="142"/>
        <v>3.92384304588578e-5</v>
      </c>
    </row>
    <row r="493" ht="13.85" spans="1:15">
      <c r="A493" s="43">
        <v>37428</v>
      </c>
      <c r="B493" s="11">
        <v>27098750</v>
      </c>
      <c r="C493" s="11">
        <v>3483513</v>
      </c>
      <c r="D493" s="11">
        <v>30</v>
      </c>
      <c r="E493">
        <f t="shared" si="139"/>
        <v>30</v>
      </c>
      <c r="F493">
        <f t="shared" si="141"/>
        <v>13549375</v>
      </c>
      <c r="G493">
        <f t="shared" si="134"/>
        <v>1354.9375</v>
      </c>
      <c r="H493">
        <f t="shared" si="133"/>
        <v>3000</v>
      </c>
      <c r="I493">
        <f t="shared" si="144"/>
        <v>1440</v>
      </c>
      <c r="J493">
        <f t="shared" si="130"/>
        <v>3.69020711287421e-5</v>
      </c>
      <c r="K493">
        <f t="shared" si="143"/>
        <v>52447482</v>
      </c>
      <c r="L493">
        <f t="shared" si="140"/>
        <v>5.72000768311432e-5</v>
      </c>
      <c r="M493">
        <f t="shared" si="135"/>
        <v>30582263</v>
      </c>
      <c r="N493">
        <f t="shared" si="138"/>
        <v>89736070</v>
      </c>
      <c r="O493">
        <f t="shared" si="142"/>
        <v>3.77612445622864e-5</v>
      </c>
    </row>
    <row r="494" ht="13.85" spans="1:15">
      <c r="A494" s="43">
        <v>37336</v>
      </c>
      <c r="B494" s="11">
        <v>23450236</v>
      </c>
      <c r="C494" s="11">
        <v>3031942</v>
      </c>
      <c r="D494" s="11">
        <v>20</v>
      </c>
      <c r="E494">
        <f t="shared" si="139"/>
        <v>20</v>
      </c>
      <c r="F494">
        <f t="shared" si="141"/>
        <v>11725118</v>
      </c>
      <c r="G494">
        <f t="shared" si="134"/>
        <v>1172.5118</v>
      </c>
      <c r="H494">
        <f t="shared" si="133"/>
        <v>2000</v>
      </c>
      <c r="I494">
        <f t="shared" si="144"/>
        <v>960</v>
      </c>
      <c r="J494">
        <f t="shared" si="130"/>
        <v>0</v>
      </c>
      <c r="K494">
        <f t="shared" si="143"/>
        <v>28997246</v>
      </c>
      <c r="L494">
        <f t="shared" si="140"/>
        <v>0</v>
      </c>
      <c r="M494">
        <f t="shared" si="135"/>
        <v>26482178</v>
      </c>
      <c r="N494">
        <f t="shared" si="138"/>
        <v>59153807</v>
      </c>
      <c r="O494">
        <f t="shared" si="142"/>
        <v>6.12151907087339e-5</v>
      </c>
    </row>
    <row r="495" ht="13.9" spans="1:15">
      <c r="A495" s="42" t="s">
        <v>405</v>
      </c>
      <c r="B495" s="11">
        <v>28997246</v>
      </c>
      <c r="C495" s="11">
        <v>3674383</v>
      </c>
      <c r="D495" s="27">
        <v>33.2</v>
      </c>
      <c r="E495">
        <f t="shared" si="139"/>
        <v>33.2</v>
      </c>
      <c r="F495">
        <f t="shared" si="141"/>
        <v>14498623</v>
      </c>
      <c r="G495">
        <f t="shared" si="134"/>
        <v>1449.8623</v>
      </c>
      <c r="H495">
        <f t="shared" si="133"/>
        <v>3320</v>
      </c>
      <c r="I495">
        <f t="shared" si="144"/>
        <v>1593.6</v>
      </c>
      <c r="J495">
        <f t="shared" si="130"/>
        <v>4.55215643582153e-5</v>
      </c>
      <c r="K495">
        <f t="shared" si="143"/>
        <v>76990090</v>
      </c>
      <c r="L495">
        <f t="shared" si="140"/>
        <v>4.31224330300172e-5</v>
      </c>
      <c r="M495">
        <f t="shared" si="135"/>
        <v>32671629</v>
      </c>
      <c r="N495">
        <f t="shared" si="138"/>
        <v>118419557</v>
      </c>
      <c r="O495">
        <f t="shared" si="142"/>
        <v>4.52519277664046e-5</v>
      </c>
    </row>
    <row r="496" ht="13.9" spans="1:15">
      <c r="A496" s="42" t="s">
        <v>406</v>
      </c>
      <c r="B496" s="11">
        <v>25948124</v>
      </c>
      <c r="C496" s="11">
        <v>3221904</v>
      </c>
      <c r="D496" s="11">
        <v>20</v>
      </c>
      <c r="E496">
        <f t="shared" si="139"/>
        <v>20</v>
      </c>
      <c r="F496">
        <f t="shared" si="141"/>
        <v>12974062</v>
      </c>
      <c r="G496">
        <f t="shared" si="134"/>
        <v>1297.4062</v>
      </c>
      <c r="H496">
        <f t="shared" si="133"/>
        <v>2000</v>
      </c>
      <c r="I496">
        <f t="shared" si="144"/>
        <v>960</v>
      </c>
      <c r="J496">
        <f t="shared" si="130"/>
        <v>0</v>
      </c>
      <c r="K496">
        <f t="shared" si="143"/>
        <v>51041966</v>
      </c>
      <c r="L496">
        <f t="shared" si="140"/>
        <v>0</v>
      </c>
      <c r="M496">
        <f t="shared" si="135"/>
        <v>29170028</v>
      </c>
      <c r="N496">
        <f t="shared" si="138"/>
        <v>85747928</v>
      </c>
      <c r="O496">
        <f t="shared" si="142"/>
        <v>3.53494915859373e-5</v>
      </c>
    </row>
    <row r="497" ht="13.9" spans="1:15">
      <c r="A497" s="42" t="s">
        <v>407</v>
      </c>
      <c r="B497" s="11">
        <v>51041966</v>
      </c>
      <c r="C497" s="11">
        <v>5535934</v>
      </c>
      <c r="D497" s="11">
        <v>23.2</v>
      </c>
      <c r="E497">
        <f t="shared" si="139"/>
        <v>23.2</v>
      </c>
      <c r="F497">
        <f t="shared" si="141"/>
        <v>25520983</v>
      </c>
      <c r="G497">
        <f t="shared" si="134"/>
        <v>2552.0983</v>
      </c>
      <c r="H497">
        <f t="shared" si="133"/>
        <v>2320</v>
      </c>
      <c r="I497">
        <f t="shared" si="144"/>
        <v>1113.6</v>
      </c>
      <c r="J497">
        <f t="shared" si="130"/>
        <v>0</v>
      </c>
      <c r="K497">
        <f t="shared" si="143"/>
        <v>228560798</v>
      </c>
      <c r="L497">
        <f t="shared" si="140"/>
        <v>0</v>
      </c>
      <c r="M497">
        <f t="shared" si="135"/>
        <v>56577900</v>
      </c>
      <c r="N497">
        <f t="shared" si="138"/>
        <v>304892174</v>
      </c>
      <c r="O497">
        <f t="shared" si="142"/>
        <v>9.34299894495795e-6</v>
      </c>
    </row>
    <row r="498" ht="13.9" spans="1:15">
      <c r="A498" s="42" t="s">
        <v>408</v>
      </c>
      <c r="B498" s="11">
        <v>228560798</v>
      </c>
      <c r="C498" s="11">
        <v>19753476</v>
      </c>
      <c r="D498" s="11">
        <v>730</v>
      </c>
      <c r="E498">
        <f t="shared" ref="E498:E529" si="145">IF(RIGHT(D498,1)="B",VALUE(LEFT(D498,LEN(D498)-1))*1000,D498)</f>
        <v>730</v>
      </c>
      <c r="F498">
        <f t="shared" si="141"/>
        <v>114280399</v>
      </c>
      <c r="G498">
        <f t="shared" si="134"/>
        <v>11428.0399</v>
      </c>
      <c r="H498">
        <f t="shared" si="133"/>
        <v>73000</v>
      </c>
      <c r="I498">
        <f t="shared" si="144"/>
        <v>35040</v>
      </c>
      <c r="J498">
        <f t="shared" si="130"/>
        <v>3.93768313672058e-5</v>
      </c>
      <c r="K498">
        <f t="shared" si="143"/>
        <v>1579815520</v>
      </c>
      <c r="L498">
        <f t="shared" si="140"/>
        <v>4.62079268597133e-5</v>
      </c>
      <c r="M498">
        <f t="shared" si="135"/>
        <v>248314274</v>
      </c>
      <c r="N498">
        <f t="shared" si="138"/>
        <v>1990670075</v>
      </c>
      <c r="O498">
        <f t="shared" si="142"/>
        <v>4.01731338872932e-5</v>
      </c>
    </row>
    <row r="499" ht="13.9" spans="1:15">
      <c r="A499" s="42" t="s">
        <v>409</v>
      </c>
      <c r="B499" s="11">
        <v>206147690</v>
      </c>
      <c r="C499" s="11">
        <v>17882629</v>
      </c>
      <c r="D499" s="11">
        <v>640</v>
      </c>
      <c r="E499">
        <f t="shared" si="145"/>
        <v>640</v>
      </c>
      <c r="F499">
        <f t="shared" si="141"/>
        <v>103073845</v>
      </c>
      <c r="G499">
        <f t="shared" si="134"/>
        <v>10307.3845</v>
      </c>
      <c r="H499">
        <f t="shared" si="133"/>
        <v>64000</v>
      </c>
      <c r="I499">
        <f t="shared" si="144"/>
        <v>30720</v>
      </c>
      <c r="J499">
        <f t="shared" si="130"/>
        <v>4.36580201311012e-5</v>
      </c>
      <c r="K499">
        <f t="shared" si="143"/>
        <v>1373667830</v>
      </c>
      <c r="L499">
        <f t="shared" si="140"/>
        <v>4.65905938846948e-5</v>
      </c>
      <c r="M499">
        <f t="shared" si="135"/>
        <v>224030319</v>
      </c>
      <c r="N499">
        <f t="shared" si="138"/>
        <v>1742355801</v>
      </c>
      <c r="O499">
        <f t="shared" si="142"/>
        <v>4.95744840262915e-5</v>
      </c>
    </row>
    <row r="500" ht="13.9" spans="1:15">
      <c r="A500" s="42" t="s">
        <v>410</v>
      </c>
      <c r="B500" s="11">
        <v>167292390</v>
      </c>
      <c r="C500" s="11">
        <v>14252616</v>
      </c>
      <c r="D500" s="11">
        <v>550</v>
      </c>
      <c r="E500">
        <f t="shared" si="145"/>
        <v>550</v>
      </c>
      <c r="F500">
        <f t="shared" si="141"/>
        <v>83646195</v>
      </c>
      <c r="G500">
        <f t="shared" si="134"/>
        <v>8364.6195</v>
      </c>
      <c r="H500">
        <f t="shared" si="133"/>
        <v>55000</v>
      </c>
      <c r="I500">
        <f t="shared" si="144"/>
        <v>26400</v>
      </c>
      <c r="J500">
        <f t="shared" si="130"/>
        <v>4.7820465712756e-5</v>
      </c>
      <c r="K500">
        <f t="shared" si="143"/>
        <v>1206375440</v>
      </c>
      <c r="L500">
        <f t="shared" si="140"/>
        <v>4.55911138243995e-5</v>
      </c>
      <c r="M500">
        <f t="shared" si="135"/>
        <v>181545006</v>
      </c>
      <c r="N500">
        <f t="shared" si="138"/>
        <v>1518325482</v>
      </c>
      <c r="O500">
        <f t="shared" si="142"/>
        <v>6.00240956227661e-5</v>
      </c>
    </row>
    <row r="501" ht="13.85" spans="1:15">
      <c r="A501" s="43">
        <v>37155</v>
      </c>
      <c r="B501" s="11">
        <v>122088036</v>
      </c>
      <c r="C501" s="11">
        <v>11191773</v>
      </c>
      <c r="D501" s="11">
        <v>470</v>
      </c>
      <c r="E501">
        <f t="shared" si="145"/>
        <v>470</v>
      </c>
      <c r="F501">
        <f t="shared" si="141"/>
        <v>61044018</v>
      </c>
      <c r="G501">
        <f t="shared" si="134"/>
        <v>6104.4018</v>
      </c>
      <c r="H501">
        <f t="shared" si="133"/>
        <v>47000</v>
      </c>
      <c r="I501">
        <f t="shared" si="144"/>
        <v>22560</v>
      </c>
      <c r="J501">
        <f t="shared" si="130"/>
        <v>4.91448646122868e-5</v>
      </c>
      <c r="K501">
        <f t="shared" si="143"/>
        <v>1084287404</v>
      </c>
      <c r="L501">
        <f t="shared" si="140"/>
        <v>4.33464410142682e-5</v>
      </c>
      <c r="M501">
        <f t="shared" si="135"/>
        <v>133279809</v>
      </c>
      <c r="N501">
        <f t="shared" si="138"/>
        <v>1336780476</v>
      </c>
      <c r="O501">
        <f t="shared" si="142"/>
        <v>5.79272785579166e-5</v>
      </c>
    </row>
    <row r="502" ht="13.85" spans="1:15">
      <c r="A502" s="43">
        <v>37063</v>
      </c>
      <c r="B502" s="11">
        <v>94880774</v>
      </c>
      <c r="C502" s="11">
        <v>8697370</v>
      </c>
      <c r="D502" s="11">
        <v>410</v>
      </c>
      <c r="E502">
        <f t="shared" si="145"/>
        <v>410</v>
      </c>
      <c r="F502">
        <f t="shared" si="141"/>
        <v>47440387</v>
      </c>
      <c r="G502">
        <f t="shared" si="134"/>
        <v>4744.0387</v>
      </c>
      <c r="H502">
        <f t="shared" si="133"/>
        <v>41000</v>
      </c>
      <c r="I502">
        <f t="shared" si="144"/>
        <v>19680</v>
      </c>
      <c r="J502">
        <f t="shared" si="130"/>
        <v>2.74028118699791e-5</v>
      </c>
      <c r="K502">
        <f t="shared" si="143"/>
        <v>989406630</v>
      </c>
      <c r="L502">
        <f t="shared" ref="L502:L521" si="146">IF(E502&gt;E503,H502/K502,0)</f>
        <v>4.1438978430941e-5</v>
      </c>
      <c r="M502">
        <f t="shared" si="135"/>
        <v>103578144</v>
      </c>
      <c r="N502">
        <f t="shared" si="138"/>
        <v>1203500667</v>
      </c>
      <c r="O502">
        <f t="shared" si="142"/>
        <v>3.52680733717541e-5</v>
      </c>
    </row>
    <row r="503" ht="13.85" spans="1:15">
      <c r="A503" s="44">
        <v>36943</v>
      </c>
      <c r="B503" s="15">
        <v>66902728</v>
      </c>
      <c r="C503" s="15">
        <v>6818339</v>
      </c>
      <c r="D503" s="15">
        <v>384</v>
      </c>
      <c r="E503">
        <f t="shared" si="145"/>
        <v>384</v>
      </c>
      <c r="F503">
        <f t="shared" si="141"/>
        <v>33451364</v>
      </c>
      <c r="G503">
        <f t="shared" si="134"/>
        <v>3345.1364</v>
      </c>
      <c r="H503">
        <f t="shared" si="133"/>
        <v>38400</v>
      </c>
      <c r="I503">
        <f t="shared" si="144"/>
        <v>18432</v>
      </c>
      <c r="J503">
        <f t="shared" si="130"/>
        <v>3.1388854577051e-5</v>
      </c>
      <c r="K503">
        <f t="shared" si="143"/>
        <v>922503902</v>
      </c>
      <c r="L503">
        <f t="shared" si="146"/>
        <v>4.16258401907551e-5</v>
      </c>
      <c r="M503">
        <f t="shared" si="135"/>
        <v>73721067</v>
      </c>
      <c r="N503">
        <f t="shared" si="138"/>
        <v>1099922523</v>
      </c>
      <c r="O503">
        <f t="shared" si="142"/>
        <v>3.31324387353992e-5</v>
      </c>
    </row>
    <row r="504" ht="13.9" spans="1:15">
      <c r="A504" s="41" t="s">
        <v>411</v>
      </c>
      <c r="B504" s="13">
        <v>57637090</v>
      </c>
      <c r="C504" s="13">
        <v>5744903</v>
      </c>
      <c r="D504" s="13">
        <v>363</v>
      </c>
      <c r="E504">
        <f t="shared" si="145"/>
        <v>363</v>
      </c>
      <c r="F504">
        <f t="shared" si="141"/>
        <v>28818545</v>
      </c>
      <c r="G504">
        <f t="shared" si="134"/>
        <v>2881.8545</v>
      </c>
      <c r="H504">
        <f t="shared" si="133"/>
        <v>36300</v>
      </c>
      <c r="I504">
        <f t="shared" si="144"/>
        <v>17424</v>
      </c>
      <c r="J504">
        <f t="shared" si="130"/>
        <v>3.81698659665157e-5</v>
      </c>
      <c r="K504">
        <f t="shared" si="143"/>
        <v>864866812</v>
      </c>
      <c r="L504">
        <f t="shared" si="146"/>
        <v>4.19717805057827e-5</v>
      </c>
      <c r="M504">
        <f t="shared" si="135"/>
        <v>63381993</v>
      </c>
      <c r="N504">
        <f t="shared" si="138"/>
        <v>1026201456</v>
      </c>
      <c r="O504">
        <f t="shared" si="142"/>
        <v>4.28912374917454e-5</v>
      </c>
    </row>
    <row r="505" ht="13.9" spans="1:15">
      <c r="A505" s="42" t="s">
        <v>412</v>
      </c>
      <c r="B505" s="11">
        <v>46437676</v>
      </c>
      <c r="C505" s="11">
        <v>4854852</v>
      </c>
      <c r="D505" s="11">
        <v>341</v>
      </c>
      <c r="E505">
        <f t="shared" si="145"/>
        <v>341</v>
      </c>
      <c r="F505">
        <f t="shared" si="141"/>
        <v>23218838</v>
      </c>
      <c r="G505">
        <f t="shared" si="134"/>
        <v>2321.8838</v>
      </c>
      <c r="H505">
        <f t="shared" si="133"/>
        <v>34100</v>
      </c>
      <c r="I505">
        <f t="shared" si="144"/>
        <v>16368</v>
      </c>
      <c r="J505">
        <f t="shared" si="130"/>
        <v>4.30684774147612e-5</v>
      </c>
      <c r="K505">
        <f t="shared" si="143"/>
        <v>818429136</v>
      </c>
      <c r="L505">
        <f t="shared" si="146"/>
        <v>4.16651833372657e-5</v>
      </c>
      <c r="M505">
        <f t="shared" si="135"/>
        <v>51292528</v>
      </c>
      <c r="N505">
        <f t="shared" si="138"/>
        <v>962819463</v>
      </c>
      <c r="O505">
        <f t="shared" si="142"/>
        <v>3.78001992599704e-5</v>
      </c>
    </row>
    <row r="506" ht="13.9" spans="1:15">
      <c r="A506" s="42" t="s">
        <v>413</v>
      </c>
      <c r="B506" s="11">
        <v>48014748</v>
      </c>
      <c r="C506" s="11">
        <v>4895026</v>
      </c>
      <c r="D506" s="11">
        <v>321</v>
      </c>
      <c r="E506">
        <f t="shared" si="145"/>
        <v>321</v>
      </c>
      <c r="F506">
        <f t="shared" si="141"/>
        <v>24007374</v>
      </c>
      <c r="G506">
        <f t="shared" si="134"/>
        <v>2400.7374</v>
      </c>
      <c r="H506">
        <f t="shared" si="133"/>
        <v>32100</v>
      </c>
      <c r="I506">
        <f t="shared" si="144"/>
        <v>15408</v>
      </c>
      <c r="J506">
        <f t="shared" si="130"/>
        <v>3.54057882382305e-5</v>
      </c>
      <c r="K506">
        <f t="shared" si="143"/>
        <v>770414388</v>
      </c>
      <c r="L506">
        <f t="shared" si="146"/>
        <v>4.16658885140136e-5</v>
      </c>
      <c r="M506">
        <f t="shared" si="135"/>
        <v>52909774</v>
      </c>
      <c r="N506">
        <f t="shared" si="138"/>
        <v>911526935</v>
      </c>
      <c r="O506">
        <f t="shared" si="142"/>
        <v>3.5383561658947e-5</v>
      </c>
    </row>
    <row r="507" ht="13.9" spans="1:15">
      <c r="A507" s="42" t="s">
        <v>414</v>
      </c>
      <c r="B507" s="11">
        <v>43407516</v>
      </c>
      <c r="C507" s="11">
        <v>4637393</v>
      </c>
      <c r="D507" s="11">
        <v>304</v>
      </c>
      <c r="E507">
        <f t="shared" si="145"/>
        <v>304</v>
      </c>
      <c r="F507">
        <f t="shared" si="141"/>
        <v>21703758</v>
      </c>
      <c r="G507">
        <f t="shared" si="134"/>
        <v>2170.3758</v>
      </c>
      <c r="H507">
        <f t="shared" si="133"/>
        <v>30400</v>
      </c>
      <c r="I507">
        <f t="shared" si="144"/>
        <v>14592</v>
      </c>
      <c r="J507">
        <f t="shared" si="130"/>
        <v>3.91637245494536e-5</v>
      </c>
      <c r="K507">
        <f t="shared" si="143"/>
        <v>727006872</v>
      </c>
      <c r="L507">
        <f t="shared" si="146"/>
        <v>4.18152856194735e-5</v>
      </c>
      <c r="M507">
        <f t="shared" si="135"/>
        <v>48044909</v>
      </c>
      <c r="N507">
        <f t="shared" si="138"/>
        <v>858617161</v>
      </c>
      <c r="O507">
        <f t="shared" si="142"/>
        <v>4.18055235080697e-5</v>
      </c>
    </row>
    <row r="508" ht="13.9" spans="1:15">
      <c r="A508" s="42" t="s">
        <v>415</v>
      </c>
      <c r="B508" s="11">
        <v>36793454</v>
      </c>
      <c r="C508" s="11">
        <v>3871029</v>
      </c>
      <c r="D508" s="11">
        <v>287</v>
      </c>
      <c r="E508">
        <f t="shared" si="145"/>
        <v>287</v>
      </c>
      <c r="F508">
        <f t="shared" si="141"/>
        <v>18396727</v>
      </c>
      <c r="G508">
        <f t="shared" si="134"/>
        <v>1839.6727</v>
      </c>
      <c r="H508">
        <f t="shared" si="133"/>
        <v>28700</v>
      </c>
      <c r="I508">
        <f t="shared" si="144"/>
        <v>13776</v>
      </c>
      <c r="J508">
        <f t="shared" ref="J508:J571" si="147">IF(H508&gt;H509,(H508-H509)/B508,0)</f>
        <v>2.71787476109201e-5</v>
      </c>
      <c r="K508">
        <f t="shared" si="143"/>
        <v>690213418</v>
      </c>
      <c r="L508">
        <f t="shared" si="146"/>
        <v>4.1581341729291e-5</v>
      </c>
      <c r="M508">
        <f t="shared" si="135"/>
        <v>40664483</v>
      </c>
      <c r="N508">
        <f t="shared" si="138"/>
        <v>810572252</v>
      </c>
      <c r="O508">
        <f t="shared" si="142"/>
        <v>2.32827824545515e-5</v>
      </c>
    </row>
    <row r="509" ht="13.85" spans="1:15">
      <c r="A509" s="43">
        <v>41263</v>
      </c>
      <c r="B509" s="11">
        <v>38752946</v>
      </c>
      <c r="C509" s="11">
        <v>4197247</v>
      </c>
      <c r="D509" s="11">
        <v>277</v>
      </c>
      <c r="E509">
        <f t="shared" si="145"/>
        <v>277</v>
      </c>
      <c r="F509">
        <f t="shared" si="141"/>
        <v>19376473</v>
      </c>
      <c r="G509">
        <f t="shared" si="134"/>
        <v>1937.6473</v>
      </c>
      <c r="H509">
        <f t="shared" si="133"/>
        <v>27700</v>
      </c>
      <c r="I509">
        <f t="shared" si="144"/>
        <v>13296</v>
      </c>
      <c r="J509">
        <f t="shared" si="147"/>
        <v>3.87067347086335e-5</v>
      </c>
      <c r="K509">
        <f t="shared" si="143"/>
        <v>651460472</v>
      </c>
      <c r="L509">
        <f t="shared" si="146"/>
        <v>4.25198476201638e-5</v>
      </c>
      <c r="M509">
        <f t="shared" si="135"/>
        <v>42950193</v>
      </c>
      <c r="N509">
        <f t="shared" si="138"/>
        <v>769907769</v>
      </c>
      <c r="O509">
        <f t="shared" si="142"/>
        <v>3.90420730653657e-5</v>
      </c>
    </row>
    <row r="510" ht="13.85" spans="1:15">
      <c r="A510" s="43">
        <v>41172</v>
      </c>
      <c r="B510" s="11">
        <v>34736422</v>
      </c>
      <c r="C510" s="11">
        <v>3683669</v>
      </c>
      <c r="D510" s="11">
        <v>262</v>
      </c>
      <c r="E510">
        <f t="shared" si="145"/>
        <v>262</v>
      </c>
      <c r="F510">
        <f t="shared" si="141"/>
        <v>17368211</v>
      </c>
      <c r="G510">
        <f t="shared" si="134"/>
        <v>1736.8211</v>
      </c>
      <c r="H510">
        <f t="shared" si="133"/>
        <v>26200</v>
      </c>
      <c r="I510">
        <f t="shared" si="144"/>
        <v>12576</v>
      </c>
      <c r="J510">
        <f t="shared" si="147"/>
        <v>5.46976312068065e-5</v>
      </c>
      <c r="K510">
        <f t="shared" ref="K510:K541" si="148">IF(E510&gt;E511,B511+K511,B511)</f>
        <v>616724050</v>
      </c>
      <c r="L510">
        <f t="shared" si="146"/>
        <v>4.24825333145351e-5</v>
      </c>
      <c r="M510">
        <f t="shared" si="135"/>
        <v>38420091</v>
      </c>
      <c r="N510">
        <f t="shared" si="138"/>
        <v>726957576</v>
      </c>
      <c r="O510">
        <f t="shared" ref="O510:O527" si="149">IF(H510&gt;H511,(H510-H511)/M511,H510/M511)</f>
        <v>4.66940983845144e-5</v>
      </c>
    </row>
    <row r="511" ht="13.85" spans="1:15">
      <c r="A511" s="43">
        <v>41049</v>
      </c>
      <c r="B511" s="11">
        <v>36717220</v>
      </c>
      <c r="C511" s="11">
        <v>3973147</v>
      </c>
      <c r="D511" s="11">
        <v>243</v>
      </c>
      <c r="E511">
        <f t="shared" si="145"/>
        <v>243</v>
      </c>
      <c r="F511">
        <f t="shared" si="141"/>
        <v>18358610</v>
      </c>
      <c r="G511">
        <f t="shared" si="134"/>
        <v>1835.861</v>
      </c>
      <c r="H511">
        <f t="shared" si="133"/>
        <v>24300</v>
      </c>
      <c r="I511">
        <f t="shared" si="144"/>
        <v>11664</v>
      </c>
      <c r="J511">
        <f t="shared" si="147"/>
        <v>3.26822128690571e-5</v>
      </c>
      <c r="K511">
        <f t="shared" si="148"/>
        <v>580006830</v>
      </c>
      <c r="L511">
        <f t="shared" si="146"/>
        <v>4.18960583619334e-5</v>
      </c>
      <c r="M511">
        <f t="shared" si="135"/>
        <v>40690367</v>
      </c>
      <c r="N511">
        <f t="shared" si="138"/>
        <v>688537485</v>
      </c>
      <c r="O511">
        <f t="shared" si="149"/>
        <v>3.33010405742653e-5</v>
      </c>
    </row>
    <row r="512" ht="13.85" spans="1:15">
      <c r="A512" s="43">
        <v>40959</v>
      </c>
      <c r="B512" s="11">
        <v>32564116</v>
      </c>
      <c r="C512" s="11">
        <v>3470794</v>
      </c>
      <c r="D512" s="11">
        <v>231</v>
      </c>
      <c r="E512">
        <f t="shared" si="145"/>
        <v>231</v>
      </c>
      <c r="F512">
        <f t="shared" si="141"/>
        <v>16282058</v>
      </c>
      <c r="G512">
        <f t="shared" si="134"/>
        <v>1628.2058</v>
      </c>
      <c r="H512">
        <f t="shared" si="133"/>
        <v>23100</v>
      </c>
      <c r="I512">
        <f t="shared" si="144"/>
        <v>11088</v>
      </c>
      <c r="J512">
        <f t="shared" si="147"/>
        <v>4.60629731204741e-5</v>
      </c>
      <c r="K512">
        <f t="shared" si="148"/>
        <v>547442714</v>
      </c>
      <c r="L512">
        <f t="shared" si="146"/>
        <v>4.2196195892745e-5</v>
      </c>
      <c r="M512">
        <f t="shared" si="135"/>
        <v>36034910</v>
      </c>
      <c r="N512">
        <f t="shared" si="138"/>
        <v>647847118</v>
      </c>
      <c r="O512">
        <f t="shared" si="149"/>
        <v>4.29372428971567e-5</v>
      </c>
    </row>
    <row r="513" ht="13.9" spans="1:15">
      <c r="A513" s="42" t="s">
        <v>416</v>
      </c>
      <c r="B513" s="11">
        <v>31422426</v>
      </c>
      <c r="C513" s="11">
        <v>3512281</v>
      </c>
      <c r="D513" s="11">
        <v>216</v>
      </c>
      <c r="E513">
        <f t="shared" si="145"/>
        <v>216</v>
      </c>
      <c r="F513">
        <f t="shared" si="141"/>
        <v>15711213</v>
      </c>
      <c r="G513">
        <f t="shared" si="134"/>
        <v>1571.1213</v>
      </c>
      <c r="H513">
        <f t="shared" si="133"/>
        <v>21600</v>
      </c>
      <c r="I513">
        <f t="shared" si="144"/>
        <v>10368</v>
      </c>
      <c r="J513">
        <f t="shared" si="147"/>
        <v>4.45541665051578e-5</v>
      </c>
      <c r="K513">
        <f t="shared" si="148"/>
        <v>516020288</v>
      </c>
      <c r="L513">
        <f t="shared" si="146"/>
        <v>4.18588193183598e-5</v>
      </c>
      <c r="M513">
        <f t="shared" si="135"/>
        <v>34934707</v>
      </c>
      <c r="N513">
        <f t="shared" si="138"/>
        <v>611812208</v>
      </c>
      <c r="O513">
        <f t="shared" si="149"/>
        <v>3.78038562579653e-5</v>
      </c>
    </row>
    <row r="514" ht="13.9" spans="1:15">
      <c r="A514" s="42" t="s">
        <v>417</v>
      </c>
      <c r="B514" s="11">
        <v>33485282</v>
      </c>
      <c r="C514" s="11">
        <v>3547977</v>
      </c>
      <c r="D514" s="11">
        <v>202</v>
      </c>
      <c r="E514">
        <f t="shared" si="145"/>
        <v>202</v>
      </c>
      <c r="F514">
        <f t="shared" si="141"/>
        <v>16742641</v>
      </c>
      <c r="G514">
        <f t="shared" si="134"/>
        <v>1674.2641</v>
      </c>
      <c r="H514">
        <f t="shared" si="133"/>
        <v>20200</v>
      </c>
      <c r="I514">
        <f t="shared" si="144"/>
        <v>9696</v>
      </c>
      <c r="J514">
        <f t="shared" si="147"/>
        <v>2.98638667579386e-5</v>
      </c>
      <c r="K514">
        <f t="shared" si="148"/>
        <v>482535006</v>
      </c>
      <c r="L514">
        <f t="shared" si="146"/>
        <v>4.18622478137887e-5</v>
      </c>
      <c r="M514">
        <f t="shared" si="135"/>
        <v>37033259</v>
      </c>
      <c r="N514">
        <f t="shared" si="138"/>
        <v>576877501</v>
      </c>
      <c r="O514">
        <f t="shared" si="149"/>
        <v>2.85410258552297e-5</v>
      </c>
    </row>
    <row r="515" ht="13.9" spans="1:15">
      <c r="A515" s="42" t="s">
        <v>418</v>
      </c>
      <c r="B515" s="11">
        <v>31533938</v>
      </c>
      <c r="C515" s="11">
        <v>3503345</v>
      </c>
      <c r="D515" s="11">
        <v>192</v>
      </c>
      <c r="E515">
        <f t="shared" si="145"/>
        <v>192</v>
      </c>
      <c r="F515">
        <f t="shared" si="141"/>
        <v>15766969</v>
      </c>
      <c r="G515">
        <f t="shared" si="134"/>
        <v>1576.6969</v>
      </c>
      <c r="H515">
        <f t="shared" ref="H515:H578" si="150">E515*100</f>
        <v>19200</v>
      </c>
      <c r="I515">
        <f t="shared" si="144"/>
        <v>9216</v>
      </c>
      <c r="J515">
        <f t="shared" si="147"/>
        <v>4.12254251276831e-5</v>
      </c>
      <c r="K515">
        <f t="shared" si="148"/>
        <v>451001068</v>
      </c>
      <c r="L515">
        <f t="shared" si="146"/>
        <v>4.25719612708323e-5</v>
      </c>
      <c r="M515">
        <f t="shared" si="135"/>
        <v>35037283</v>
      </c>
      <c r="N515">
        <f t="shared" si="138"/>
        <v>539844242</v>
      </c>
      <c r="O515">
        <f t="shared" si="149"/>
        <v>4.31242511515253e-5</v>
      </c>
    </row>
    <row r="516" ht="13.9" spans="1:15">
      <c r="A516" s="42" t="s">
        <v>419</v>
      </c>
      <c r="B516" s="11">
        <v>27134382</v>
      </c>
      <c r="C516" s="11">
        <v>3011069</v>
      </c>
      <c r="D516" s="11">
        <v>179</v>
      </c>
      <c r="E516">
        <f t="shared" si="145"/>
        <v>179</v>
      </c>
      <c r="F516">
        <f t="shared" si="141"/>
        <v>13567191</v>
      </c>
      <c r="G516">
        <f t="shared" ref="G516:G579" si="151">F516/10000</f>
        <v>1356.7191</v>
      </c>
      <c r="H516">
        <f t="shared" si="150"/>
        <v>17900</v>
      </c>
      <c r="I516">
        <f t="shared" si="144"/>
        <v>8592</v>
      </c>
      <c r="J516">
        <f t="shared" si="147"/>
        <v>4.0538973763987e-5</v>
      </c>
      <c r="K516">
        <f t="shared" si="148"/>
        <v>423866686</v>
      </c>
      <c r="L516">
        <f t="shared" si="146"/>
        <v>4.22302591621933e-5</v>
      </c>
      <c r="M516">
        <f t="shared" si="135"/>
        <v>30145451</v>
      </c>
      <c r="N516">
        <f t="shared" si="138"/>
        <v>504806959</v>
      </c>
      <c r="O516">
        <f t="shared" si="149"/>
        <v>3.31664818087576e-5</v>
      </c>
    </row>
    <row r="517" ht="13.9" spans="1:15">
      <c r="A517" s="42" t="s">
        <v>420</v>
      </c>
      <c r="B517" s="11">
        <v>29775220</v>
      </c>
      <c r="C517" s="11">
        <v>3390794</v>
      </c>
      <c r="D517" s="11">
        <v>168</v>
      </c>
      <c r="E517">
        <f t="shared" si="145"/>
        <v>168</v>
      </c>
      <c r="F517">
        <f t="shared" si="141"/>
        <v>14887610</v>
      </c>
      <c r="G517">
        <f t="shared" si="151"/>
        <v>1488.761</v>
      </c>
      <c r="H517">
        <f t="shared" si="150"/>
        <v>16800</v>
      </c>
      <c r="I517">
        <f t="shared" si="144"/>
        <v>8064</v>
      </c>
      <c r="J517">
        <f t="shared" si="147"/>
        <v>3.35849743511551e-5</v>
      </c>
      <c r="K517">
        <f t="shared" si="148"/>
        <v>394091466</v>
      </c>
      <c r="L517">
        <f t="shared" si="146"/>
        <v>4.26296975433617e-5</v>
      </c>
      <c r="M517">
        <f t="shared" si="135"/>
        <v>33166014</v>
      </c>
      <c r="N517">
        <f t="shared" si="138"/>
        <v>474661508</v>
      </c>
      <c r="O517">
        <f t="shared" si="149"/>
        <v>3.46779428239789e-5</v>
      </c>
    </row>
    <row r="518" ht="13.85" spans="1:15">
      <c r="A518" s="43">
        <v>40867</v>
      </c>
      <c r="B518" s="11">
        <v>25908860</v>
      </c>
      <c r="C518" s="11">
        <v>2927914</v>
      </c>
      <c r="D518" s="11">
        <v>158</v>
      </c>
      <c r="E518">
        <f t="shared" si="145"/>
        <v>158</v>
      </c>
      <c r="F518">
        <f t="shared" si="141"/>
        <v>12954430</v>
      </c>
      <c r="G518">
        <f t="shared" si="151"/>
        <v>1295.443</v>
      </c>
      <c r="H518">
        <f t="shared" si="150"/>
        <v>15800</v>
      </c>
      <c r="I518">
        <f t="shared" si="144"/>
        <v>7584</v>
      </c>
      <c r="J518">
        <f t="shared" si="147"/>
        <v>3.47371516925098e-5</v>
      </c>
      <c r="K518">
        <f t="shared" si="148"/>
        <v>368182606</v>
      </c>
      <c r="L518">
        <f t="shared" si="146"/>
        <v>4.29134884226443e-5</v>
      </c>
      <c r="M518">
        <f t="shared" si="135"/>
        <v>28836774</v>
      </c>
      <c r="N518">
        <f t="shared" si="138"/>
        <v>441495494</v>
      </c>
      <c r="O518">
        <f t="shared" si="149"/>
        <v>2.86370045845935e-5</v>
      </c>
    </row>
    <row r="519" ht="13.85" spans="1:15">
      <c r="A519" s="43">
        <v>40744</v>
      </c>
      <c r="B519" s="11">
        <v>28168102</v>
      </c>
      <c r="C519" s="11">
        <v>3259766</v>
      </c>
      <c r="D519" s="11">
        <v>149</v>
      </c>
      <c r="E519">
        <f t="shared" si="145"/>
        <v>149</v>
      </c>
      <c r="F519">
        <f t="shared" si="141"/>
        <v>14084051</v>
      </c>
      <c r="G519">
        <f t="shared" si="151"/>
        <v>1408.4051</v>
      </c>
      <c r="H519">
        <f t="shared" si="150"/>
        <v>14900</v>
      </c>
      <c r="I519">
        <f t="shared" si="144"/>
        <v>7152</v>
      </c>
      <c r="J519">
        <f t="shared" si="147"/>
        <v>4.26013793900633e-5</v>
      </c>
      <c r="K519">
        <f t="shared" si="148"/>
        <v>340014504</v>
      </c>
      <c r="L519">
        <f t="shared" si="146"/>
        <v>4.38216600313027e-5</v>
      </c>
      <c r="M519">
        <f t="shared" ref="M519:M582" si="152">B519+C519</f>
        <v>31427868</v>
      </c>
      <c r="N519">
        <f t="shared" si="138"/>
        <v>412658720</v>
      </c>
      <c r="O519">
        <f t="shared" si="149"/>
        <v>4.27004413873459e-5</v>
      </c>
    </row>
    <row r="520" ht="13.85" spans="1:15">
      <c r="A520" s="43">
        <v>40653</v>
      </c>
      <c r="B520" s="11">
        <v>25241986</v>
      </c>
      <c r="C520" s="11">
        <v>2860768</v>
      </c>
      <c r="D520" s="11">
        <v>137</v>
      </c>
      <c r="E520">
        <f t="shared" si="145"/>
        <v>137</v>
      </c>
      <c r="F520">
        <f t="shared" si="141"/>
        <v>12620993</v>
      </c>
      <c r="G520">
        <f t="shared" si="151"/>
        <v>1262.0993</v>
      </c>
      <c r="H520">
        <f t="shared" si="150"/>
        <v>13700</v>
      </c>
      <c r="I520">
        <f t="shared" si="144"/>
        <v>6576</v>
      </c>
      <c r="J520">
        <f t="shared" si="147"/>
        <v>3.96165341348339e-5</v>
      </c>
      <c r="K520">
        <f t="shared" si="148"/>
        <v>314772518</v>
      </c>
      <c r="L520">
        <f t="shared" si="146"/>
        <v>4.35234946400245e-5</v>
      </c>
      <c r="M520">
        <f t="shared" si="152"/>
        <v>28102754</v>
      </c>
      <c r="N520">
        <f t="shared" si="138"/>
        <v>381230852</v>
      </c>
      <c r="O520">
        <f t="shared" si="149"/>
        <v>3.19193956100744e-5</v>
      </c>
    </row>
    <row r="521" ht="13.9" spans="1:15">
      <c r="A521" s="42" t="s">
        <v>421</v>
      </c>
      <c r="B521" s="11">
        <v>28070898</v>
      </c>
      <c r="C521" s="11">
        <v>3258016</v>
      </c>
      <c r="D521" s="11">
        <v>127</v>
      </c>
      <c r="E521">
        <f t="shared" si="145"/>
        <v>127</v>
      </c>
      <c r="F521">
        <f t="shared" si="141"/>
        <v>14035449</v>
      </c>
      <c r="G521">
        <f t="shared" si="151"/>
        <v>1403.5449</v>
      </c>
      <c r="H521">
        <f t="shared" si="150"/>
        <v>12700</v>
      </c>
      <c r="I521">
        <f t="shared" si="144"/>
        <v>6096</v>
      </c>
      <c r="J521">
        <f t="shared" si="147"/>
        <v>3.91864912907311e-5</v>
      </c>
      <c r="K521">
        <f t="shared" si="148"/>
        <v>286701620</v>
      </c>
      <c r="L521">
        <f t="shared" si="146"/>
        <v>4.42969244470959e-5</v>
      </c>
      <c r="M521">
        <f t="shared" si="152"/>
        <v>31328914</v>
      </c>
      <c r="N521">
        <f t="shared" si="138"/>
        <v>353128098</v>
      </c>
      <c r="O521">
        <f t="shared" si="149"/>
        <v>4.06536666096283e-5</v>
      </c>
    </row>
    <row r="522" ht="13.9" spans="1:15">
      <c r="A522" s="42" t="s">
        <v>422</v>
      </c>
      <c r="B522" s="11">
        <v>24295340</v>
      </c>
      <c r="C522" s="11">
        <v>2762490</v>
      </c>
      <c r="D522" s="11">
        <v>116</v>
      </c>
      <c r="E522">
        <f t="shared" si="145"/>
        <v>116</v>
      </c>
      <c r="F522">
        <f t="shared" si="141"/>
        <v>12147670</v>
      </c>
      <c r="G522">
        <f t="shared" si="151"/>
        <v>1214.767</v>
      </c>
      <c r="H522">
        <f t="shared" si="150"/>
        <v>11600</v>
      </c>
      <c r="I522">
        <f t="shared" si="144"/>
        <v>5568</v>
      </c>
      <c r="J522">
        <f t="shared" si="147"/>
        <v>5.7624219294729e-5</v>
      </c>
      <c r="K522">
        <f t="shared" si="148"/>
        <v>262406280</v>
      </c>
      <c r="L522">
        <f t="shared" ref="L522:L562" si="153">IF(E522&gt;E523,H522/K522,0)</f>
        <v>4.42062590880066e-5</v>
      </c>
      <c r="M522">
        <f t="shared" si="152"/>
        <v>27057830</v>
      </c>
      <c r="N522">
        <f t="shared" si="138"/>
        <v>321799184</v>
      </c>
      <c r="O522">
        <f t="shared" si="149"/>
        <v>4.69939608060968e-5</v>
      </c>
    </row>
    <row r="523" ht="13.9" spans="1:15">
      <c r="A523" s="42" t="s">
        <v>423</v>
      </c>
      <c r="B523" s="11">
        <v>26672768</v>
      </c>
      <c r="C523" s="11">
        <v>3118294</v>
      </c>
      <c r="D523" s="11">
        <v>102</v>
      </c>
      <c r="E523">
        <f t="shared" si="145"/>
        <v>102</v>
      </c>
      <c r="F523">
        <f t="shared" si="141"/>
        <v>13336384</v>
      </c>
      <c r="G523">
        <f t="shared" si="151"/>
        <v>1333.6384</v>
      </c>
      <c r="H523">
        <f t="shared" si="150"/>
        <v>10200</v>
      </c>
      <c r="I523">
        <f t="shared" si="144"/>
        <v>4896</v>
      </c>
      <c r="J523">
        <f t="shared" si="147"/>
        <v>4.12405641589204e-5</v>
      </c>
      <c r="K523">
        <f t="shared" si="148"/>
        <v>235733512</v>
      </c>
      <c r="L523">
        <f t="shared" si="153"/>
        <v>4.32691979747029e-5</v>
      </c>
      <c r="M523">
        <f t="shared" si="152"/>
        <v>29791062</v>
      </c>
      <c r="N523">
        <f t="shared" si="138"/>
        <v>294741354</v>
      </c>
      <c r="O523">
        <f t="shared" si="149"/>
        <v>4.3788485849492e-5</v>
      </c>
    </row>
    <row r="524" ht="13.9" spans="1:15">
      <c r="A524" s="42" t="s">
        <v>424</v>
      </c>
      <c r="B524" s="11">
        <v>22460198</v>
      </c>
      <c r="C524" s="11">
        <v>2660561</v>
      </c>
      <c r="D524" s="11">
        <v>91</v>
      </c>
      <c r="E524">
        <f t="shared" si="145"/>
        <v>91</v>
      </c>
      <c r="F524">
        <f t="shared" si="141"/>
        <v>11230099</v>
      </c>
      <c r="G524">
        <f t="shared" si="151"/>
        <v>1123.0099</v>
      </c>
      <c r="H524">
        <f t="shared" si="150"/>
        <v>9100</v>
      </c>
      <c r="I524">
        <f t="shared" si="144"/>
        <v>4368</v>
      </c>
      <c r="J524">
        <f t="shared" si="147"/>
        <v>4.00708845042239e-5</v>
      </c>
      <c r="K524">
        <f t="shared" si="148"/>
        <v>213273314</v>
      </c>
      <c r="L524">
        <f t="shared" si="153"/>
        <v>4.26682543133362e-5</v>
      </c>
      <c r="M524">
        <f t="shared" si="152"/>
        <v>25120759</v>
      </c>
      <c r="N524">
        <f t="shared" si="138"/>
        <v>264950292</v>
      </c>
      <c r="O524">
        <f t="shared" si="149"/>
        <v>3.3037878037296e-5</v>
      </c>
    </row>
    <row r="525" ht="13.9" spans="1:15">
      <c r="A525" s="42" t="s">
        <v>425</v>
      </c>
      <c r="B525" s="11">
        <v>24292664</v>
      </c>
      <c r="C525" s="11">
        <v>2948795</v>
      </c>
      <c r="D525" s="11">
        <v>82</v>
      </c>
      <c r="E525">
        <f t="shared" si="145"/>
        <v>82</v>
      </c>
      <c r="F525">
        <f t="shared" si="141"/>
        <v>12146332</v>
      </c>
      <c r="G525">
        <f t="shared" si="151"/>
        <v>1214.6332</v>
      </c>
      <c r="H525">
        <f t="shared" si="150"/>
        <v>8200</v>
      </c>
      <c r="I525">
        <f t="shared" si="144"/>
        <v>3936</v>
      </c>
      <c r="J525">
        <f t="shared" si="147"/>
        <v>4.11646907066265e-5</v>
      </c>
      <c r="K525">
        <f t="shared" si="148"/>
        <v>188980650</v>
      </c>
      <c r="L525">
        <f t="shared" si="153"/>
        <v>4.33906857659766e-5</v>
      </c>
      <c r="M525">
        <f t="shared" si="152"/>
        <v>27241459</v>
      </c>
      <c r="N525">
        <f t="shared" si="138"/>
        <v>239829533</v>
      </c>
      <c r="O525">
        <f t="shared" si="149"/>
        <v>4.24118859140627e-5</v>
      </c>
    </row>
    <row r="526" ht="13.9" spans="1:15">
      <c r="A526" s="42" t="s">
        <v>426</v>
      </c>
      <c r="B526" s="11">
        <v>21028702</v>
      </c>
      <c r="C526" s="11">
        <v>2549594</v>
      </c>
      <c r="D526" s="11">
        <v>72</v>
      </c>
      <c r="E526">
        <f t="shared" si="145"/>
        <v>72</v>
      </c>
      <c r="F526">
        <f t="shared" si="141"/>
        <v>10514351</v>
      </c>
      <c r="G526">
        <f t="shared" si="151"/>
        <v>1051.4351</v>
      </c>
      <c r="H526">
        <f t="shared" si="150"/>
        <v>7200</v>
      </c>
      <c r="I526">
        <f t="shared" si="144"/>
        <v>3456</v>
      </c>
      <c r="J526">
        <f t="shared" si="147"/>
        <v>4.7554052551603e-5</v>
      </c>
      <c r="K526">
        <f t="shared" si="148"/>
        <v>167951948</v>
      </c>
      <c r="L526">
        <f t="shared" si="153"/>
        <v>4.28694045275378e-5</v>
      </c>
      <c r="M526">
        <f t="shared" si="152"/>
        <v>23578296</v>
      </c>
      <c r="N526">
        <f t="shared" si="138"/>
        <v>212588074</v>
      </c>
      <c r="O526">
        <f t="shared" si="149"/>
        <v>3.87416405225163e-5</v>
      </c>
    </row>
    <row r="527" ht="13.85" spans="1:15">
      <c r="A527" s="43">
        <v>40471</v>
      </c>
      <c r="B527" s="11">
        <v>22981446</v>
      </c>
      <c r="C527" s="11">
        <v>2830574</v>
      </c>
      <c r="D527" s="11">
        <v>62</v>
      </c>
      <c r="E527">
        <f t="shared" si="145"/>
        <v>62</v>
      </c>
      <c r="F527">
        <f t="shared" si="141"/>
        <v>11490723</v>
      </c>
      <c r="G527">
        <f t="shared" si="151"/>
        <v>1149.0723</v>
      </c>
      <c r="H527">
        <f t="shared" si="150"/>
        <v>6200</v>
      </c>
      <c r="I527">
        <f t="shared" si="144"/>
        <v>2976</v>
      </c>
      <c r="J527">
        <f t="shared" si="147"/>
        <v>4.35133629102364e-5</v>
      </c>
      <c r="K527">
        <f t="shared" si="148"/>
        <v>144970502</v>
      </c>
      <c r="L527">
        <f t="shared" si="153"/>
        <v>4.27673210374894e-5</v>
      </c>
      <c r="M527">
        <f t="shared" si="152"/>
        <v>25812020</v>
      </c>
      <c r="N527">
        <f t="shared" si="138"/>
        <v>189009778</v>
      </c>
      <c r="O527">
        <f t="shared" si="149"/>
        <v>4.38434578107559e-5</v>
      </c>
    </row>
    <row r="528" ht="13.85" spans="1:15">
      <c r="A528" s="43">
        <v>40379</v>
      </c>
      <c r="B528" s="11">
        <v>20303728</v>
      </c>
      <c r="C528" s="11">
        <v>2504692</v>
      </c>
      <c r="D528" s="11">
        <v>52</v>
      </c>
      <c r="E528">
        <f t="shared" si="145"/>
        <v>52</v>
      </c>
      <c r="F528">
        <f t="shared" si="141"/>
        <v>10151864</v>
      </c>
      <c r="G528">
        <f t="shared" si="151"/>
        <v>1015.1864</v>
      </c>
      <c r="H528">
        <f t="shared" si="150"/>
        <v>5200</v>
      </c>
      <c r="I528">
        <f t="shared" si="144"/>
        <v>2496</v>
      </c>
      <c r="J528">
        <f t="shared" si="147"/>
        <v>4.43268349536597e-5</v>
      </c>
      <c r="K528">
        <f t="shared" si="148"/>
        <v>124666774</v>
      </c>
      <c r="L528">
        <f t="shared" si="153"/>
        <v>4.17111940347474e-5</v>
      </c>
      <c r="M528">
        <f t="shared" si="152"/>
        <v>22808420</v>
      </c>
      <c r="N528">
        <f t="shared" si="138"/>
        <v>163197758</v>
      </c>
      <c r="O528">
        <f t="shared" ref="O528:O555" si="154">IF(H528&gt;H529,(H528-H529)/M529,H528/M529)</f>
        <v>3.55178564642124e-5</v>
      </c>
    </row>
    <row r="529" ht="13.85" spans="1:15">
      <c r="A529" s="43">
        <v>40257</v>
      </c>
      <c r="B529" s="11">
        <v>22491604</v>
      </c>
      <c r="C529" s="11">
        <v>2847763</v>
      </c>
      <c r="D529" s="11">
        <v>43</v>
      </c>
      <c r="E529">
        <f t="shared" si="145"/>
        <v>43</v>
      </c>
      <c r="F529">
        <f t="shared" si="141"/>
        <v>11245802</v>
      </c>
      <c r="G529">
        <f t="shared" si="151"/>
        <v>1124.5802</v>
      </c>
      <c r="H529">
        <f t="shared" si="150"/>
        <v>4300</v>
      </c>
      <c r="I529">
        <f t="shared" si="144"/>
        <v>2064</v>
      </c>
      <c r="J529">
        <f t="shared" si="147"/>
        <v>4.00149317941041e-5</v>
      </c>
      <c r="K529">
        <f t="shared" si="148"/>
        <v>102175170</v>
      </c>
      <c r="L529">
        <f t="shared" si="153"/>
        <v>4.20845886529966e-5</v>
      </c>
      <c r="M529">
        <f t="shared" si="152"/>
        <v>25339367</v>
      </c>
      <c r="N529">
        <f t="shared" si="138"/>
        <v>140389338</v>
      </c>
      <c r="O529">
        <f t="shared" si="154"/>
        <v>4.17215227428656e-5</v>
      </c>
    </row>
    <row r="530" ht="13.9" spans="1:15">
      <c r="A530" s="42" t="s">
        <v>427</v>
      </c>
      <c r="B530" s="11">
        <v>19156752</v>
      </c>
      <c r="C530" s="11">
        <v>2414848</v>
      </c>
      <c r="D530" s="11">
        <v>34</v>
      </c>
      <c r="E530">
        <f t="shared" ref="E530:E561" si="155">IF(RIGHT(D530,1)="B",VALUE(LEFT(D530,LEN(D530)-1))*1000,D530)</f>
        <v>34</v>
      </c>
      <c r="F530">
        <f t="shared" si="141"/>
        <v>9578376</v>
      </c>
      <c r="G530">
        <f t="shared" si="151"/>
        <v>957.8376</v>
      </c>
      <c r="H530">
        <f t="shared" si="150"/>
        <v>3400</v>
      </c>
      <c r="I530">
        <f t="shared" si="144"/>
        <v>1632</v>
      </c>
      <c r="J530">
        <f t="shared" si="147"/>
        <v>4.6980824306751e-5</v>
      </c>
      <c r="K530">
        <f t="shared" si="148"/>
        <v>83018418</v>
      </c>
      <c r="L530">
        <f t="shared" si="153"/>
        <v>4.0954767410769e-5</v>
      </c>
      <c r="M530">
        <f t="shared" si="152"/>
        <v>21571600</v>
      </c>
      <c r="N530">
        <f t="shared" si="138"/>
        <v>115049971</v>
      </c>
      <c r="O530">
        <f t="shared" si="154"/>
        <v>3.80775185507324e-5</v>
      </c>
    </row>
    <row r="531" ht="13.9" spans="1:15">
      <c r="A531" s="42" t="s">
        <v>428</v>
      </c>
      <c r="B531" s="11">
        <v>20959364</v>
      </c>
      <c r="C531" s="11">
        <v>2676630</v>
      </c>
      <c r="D531" s="11">
        <v>25</v>
      </c>
      <c r="E531">
        <f t="shared" si="155"/>
        <v>25</v>
      </c>
      <c r="F531">
        <f t="shared" si="141"/>
        <v>10479682</v>
      </c>
      <c r="G531">
        <f t="shared" si="151"/>
        <v>1047.9682</v>
      </c>
      <c r="H531">
        <f t="shared" si="150"/>
        <v>2500</v>
      </c>
      <c r="I531">
        <f t="shared" si="144"/>
        <v>1200</v>
      </c>
      <c r="J531">
        <f t="shared" si="147"/>
        <v>1.43134114183999e-5</v>
      </c>
      <c r="K531">
        <f t="shared" si="148"/>
        <v>62059054</v>
      </c>
      <c r="L531">
        <f t="shared" si="153"/>
        <v>4.02842105843251e-5</v>
      </c>
      <c r="M531">
        <f t="shared" si="152"/>
        <v>23635994</v>
      </c>
      <c r="N531">
        <f t="shared" si="138"/>
        <v>93478371</v>
      </c>
      <c r="O531">
        <f t="shared" si="154"/>
        <v>1.42591833775186e-5</v>
      </c>
    </row>
    <row r="532" ht="13.9" spans="1:15">
      <c r="A532" s="42" t="s">
        <v>429</v>
      </c>
      <c r="B532" s="11">
        <v>18665548</v>
      </c>
      <c r="C532" s="11">
        <v>2373525</v>
      </c>
      <c r="D532" s="11">
        <v>22</v>
      </c>
      <c r="E532">
        <f t="shared" si="155"/>
        <v>22</v>
      </c>
      <c r="F532">
        <f t="shared" si="141"/>
        <v>9332774</v>
      </c>
      <c r="G532">
        <f t="shared" si="151"/>
        <v>933.2774</v>
      </c>
      <c r="H532">
        <f t="shared" si="150"/>
        <v>2200</v>
      </c>
      <c r="I532">
        <f t="shared" si="144"/>
        <v>1056</v>
      </c>
      <c r="J532">
        <f t="shared" si="147"/>
        <v>1.07149278446044e-5</v>
      </c>
      <c r="K532">
        <f t="shared" si="148"/>
        <v>43393506</v>
      </c>
      <c r="L532">
        <f t="shared" si="153"/>
        <v>5.06988303733743e-5</v>
      </c>
      <c r="M532">
        <f t="shared" si="152"/>
        <v>21039073</v>
      </c>
      <c r="N532">
        <f t="shared" si="138"/>
        <v>69842377</v>
      </c>
      <c r="O532">
        <f t="shared" si="154"/>
        <v>8.5427995753716e-6</v>
      </c>
    </row>
    <row r="533" ht="13.9" spans="1:15">
      <c r="A533" s="42" t="s">
        <v>430</v>
      </c>
      <c r="B533" s="11">
        <v>20759948</v>
      </c>
      <c r="C533" s="11">
        <v>2651581</v>
      </c>
      <c r="D533" s="11">
        <v>20</v>
      </c>
      <c r="E533">
        <f t="shared" si="155"/>
        <v>20</v>
      </c>
      <c r="F533">
        <f t="shared" si="141"/>
        <v>10379974</v>
      </c>
      <c r="G533">
        <f t="shared" si="151"/>
        <v>1037.9974</v>
      </c>
      <c r="H533">
        <f t="shared" si="150"/>
        <v>2000</v>
      </c>
      <c r="I533">
        <f t="shared" si="144"/>
        <v>960</v>
      </c>
      <c r="J533">
        <f t="shared" si="147"/>
        <v>0</v>
      </c>
      <c r="K533">
        <f t="shared" si="148"/>
        <v>22633558</v>
      </c>
      <c r="L533">
        <f t="shared" si="153"/>
        <v>0</v>
      </c>
      <c r="M533">
        <f t="shared" si="152"/>
        <v>23411529</v>
      </c>
      <c r="N533">
        <f t="shared" si="138"/>
        <v>48803304</v>
      </c>
      <c r="O533">
        <f t="shared" si="154"/>
        <v>7.87656632905734e-5</v>
      </c>
    </row>
    <row r="534" ht="13.9" spans="1:15">
      <c r="A534" s="42" t="s">
        <v>431</v>
      </c>
      <c r="B534" s="11">
        <v>22633558</v>
      </c>
      <c r="C534" s="11">
        <v>2758217</v>
      </c>
      <c r="D534" s="11">
        <v>94.8</v>
      </c>
      <c r="E534">
        <f t="shared" si="155"/>
        <v>94.8</v>
      </c>
      <c r="F534">
        <f t="shared" si="141"/>
        <v>11316779</v>
      </c>
      <c r="G534">
        <f t="shared" si="151"/>
        <v>1131.6779</v>
      </c>
      <c r="H534">
        <f t="shared" si="150"/>
        <v>9480</v>
      </c>
      <c r="I534">
        <f t="shared" si="144"/>
        <v>4550.4</v>
      </c>
      <c r="J534">
        <f t="shared" si="147"/>
        <v>4.32985392751772e-5</v>
      </c>
      <c r="K534">
        <f t="shared" si="148"/>
        <v>222458492</v>
      </c>
      <c r="L534">
        <f t="shared" si="153"/>
        <v>4.26146914634304e-5</v>
      </c>
      <c r="M534">
        <f t="shared" si="152"/>
        <v>25391775</v>
      </c>
      <c r="N534">
        <f t="shared" si="138"/>
        <v>275599964</v>
      </c>
      <c r="O534">
        <f t="shared" si="154"/>
        <v>3.61053644429434e-5</v>
      </c>
    </row>
    <row r="535" ht="13.85" spans="1:15">
      <c r="A535" s="43">
        <v>40167</v>
      </c>
      <c r="B535" s="11">
        <v>24136624</v>
      </c>
      <c r="C535" s="11">
        <v>3006157</v>
      </c>
      <c r="D535" s="11">
        <v>85</v>
      </c>
      <c r="E535">
        <f t="shared" si="155"/>
        <v>85</v>
      </c>
      <c r="F535">
        <f t="shared" si="141"/>
        <v>12068312</v>
      </c>
      <c r="G535">
        <f t="shared" si="151"/>
        <v>1206.8312</v>
      </c>
      <c r="H535">
        <f t="shared" si="150"/>
        <v>8500</v>
      </c>
      <c r="I535">
        <f t="shared" si="144"/>
        <v>4080</v>
      </c>
      <c r="J535">
        <f t="shared" si="147"/>
        <v>4.14308148480086e-5</v>
      </c>
      <c r="K535">
        <f t="shared" si="148"/>
        <v>198321868</v>
      </c>
      <c r="L535">
        <f t="shared" si="153"/>
        <v>4.28596205033728e-5</v>
      </c>
      <c r="M535">
        <f t="shared" si="152"/>
        <v>27142781</v>
      </c>
      <c r="N535">
        <f t="shared" si="138"/>
        <v>250208189</v>
      </c>
      <c r="O535">
        <f t="shared" si="154"/>
        <v>4.27657079407495e-5</v>
      </c>
    </row>
    <row r="536" ht="13.85" spans="1:15">
      <c r="A536" s="43">
        <v>40076</v>
      </c>
      <c r="B536" s="11">
        <v>20793390</v>
      </c>
      <c r="C536" s="11">
        <v>2589831</v>
      </c>
      <c r="D536" s="11">
        <v>75</v>
      </c>
      <c r="E536">
        <f t="shared" si="155"/>
        <v>75</v>
      </c>
      <c r="F536">
        <f t="shared" si="141"/>
        <v>10396695</v>
      </c>
      <c r="G536">
        <f t="shared" si="151"/>
        <v>1039.6695</v>
      </c>
      <c r="H536">
        <f t="shared" si="150"/>
        <v>7500</v>
      </c>
      <c r="I536">
        <f t="shared" si="144"/>
        <v>3600</v>
      </c>
      <c r="J536">
        <f t="shared" si="147"/>
        <v>4.32829856026362e-5</v>
      </c>
      <c r="K536">
        <f t="shared" si="148"/>
        <v>177528478</v>
      </c>
      <c r="L536">
        <f t="shared" si="153"/>
        <v>4.22467430831013e-5</v>
      </c>
      <c r="M536">
        <f t="shared" si="152"/>
        <v>23383221</v>
      </c>
      <c r="N536">
        <f t="shared" si="138"/>
        <v>223065408</v>
      </c>
      <c r="O536">
        <f t="shared" si="154"/>
        <v>3.4005634809256e-5</v>
      </c>
    </row>
    <row r="537" ht="13.85" spans="1:15">
      <c r="A537" s="43">
        <v>39953</v>
      </c>
      <c r="B537" s="11">
        <v>23489822</v>
      </c>
      <c r="C537" s="11">
        <v>2976380</v>
      </c>
      <c r="D537" s="11">
        <v>66</v>
      </c>
      <c r="E537">
        <f t="shared" si="155"/>
        <v>66</v>
      </c>
      <c r="F537">
        <f t="shared" si="141"/>
        <v>11744911</v>
      </c>
      <c r="G537">
        <f t="shared" si="151"/>
        <v>1174.4911</v>
      </c>
      <c r="H537">
        <f t="shared" si="150"/>
        <v>6600</v>
      </c>
      <c r="I537">
        <f t="shared" si="144"/>
        <v>3168</v>
      </c>
      <c r="J537">
        <f t="shared" si="147"/>
        <v>4.25716295338466e-5</v>
      </c>
      <c r="K537">
        <f t="shared" si="148"/>
        <v>154038656</v>
      </c>
      <c r="L537">
        <f t="shared" si="153"/>
        <v>4.28463878573441e-5</v>
      </c>
      <c r="M537">
        <f t="shared" si="152"/>
        <v>26466202</v>
      </c>
      <c r="N537">
        <f t="shared" si="138"/>
        <v>199682187</v>
      </c>
      <c r="O537">
        <f t="shared" si="154"/>
        <v>4.32755806284653e-5</v>
      </c>
    </row>
    <row r="538" ht="13.85" spans="1:15">
      <c r="A538" s="43">
        <v>39864</v>
      </c>
      <c r="B538" s="11">
        <v>20511612</v>
      </c>
      <c r="C538" s="11">
        <v>2596108</v>
      </c>
      <c r="D538" s="11">
        <v>56</v>
      </c>
      <c r="E538">
        <f t="shared" si="155"/>
        <v>56</v>
      </c>
      <c r="F538">
        <f t="shared" si="141"/>
        <v>10255806</v>
      </c>
      <c r="G538">
        <f t="shared" si="151"/>
        <v>1025.5806</v>
      </c>
      <c r="H538">
        <f t="shared" si="150"/>
        <v>5600</v>
      </c>
      <c r="I538">
        <f t="shared" si="144"/>
        <v>2688</v>
      </c>
      <c r="J538">
        <f t="shared" si="147"/>
        <v>4.38775850479231e-5</v>
      </c>
      <c r="K538">
        <f t="shared" si="148"/>
        <v>133527044</v>
      </c>
      <c r="L538">
        <f t="shared" si="153"/>
        <v>4.19390696614238e-5</v>
      </c>
      <c r="M538">
        <f t="shared" si="152"/>
        <v>23107720</v>
      </c>
      <c r="N538">
        <f t="shared" si="138"/>
        <v>173215985</v>
      </c>
      <c r="O538">
        <f t="shared" si="154"/>
        <v>3.60635670858883e-5</v>
      </c>
    </row>
    <row r="539" ht="13.9" spans="1:15">
      <c r="A539" s="42" t="s">
        <v>432</v>
      </c>
      <c r="B539" s="11">
        <v>22132880</v>
      </c>
      <c r="C539" s="11">
        <v>2823054</v>
      </c>
      <c r="D539" s="11">
        <v>47</v>
      </c>
      <c r="E539">
        <f t="shared" si="155"/>
        <v>47</v>
      </c>
      <c r="F539">
        <f t="shared" si="141"/>
        <v>11066440</v>
      </c>
      <c r="G539">
        <f t="shared" si="151"/>
        <v>1106.644</v>
      </c>
      <c r="H539">
        <f t="shared" si="150"/>
        <v>4700</v>
      </c>
      <c r="I539">
        <f t="shared" si="144"/>
        <v>2256</v>
      </c>
      <c r="J539">
        <f t="shared" si="147"/>
        <v>4.51816482988206e-5</v>
      </c>
      <c r="K539">
        <f t="shared" si="148"/>
        <v>111394164</v>
      </c>
      <c r="L539">
        <f t="shared" si="153"/>
        <v>4.21925155791824e-5</v>
      </c>
      <c r="M539">
        <f t="shared" si="152"/>
        <v>24955934</v>
      </c>
      <c r="N539">
        <f t="shared" si="138"/>
        <v>150108265</v>
      </c>
      <c r="O539">
        <f t="shared" si="154"/>
        <v>4.571723878667e-5</v>
      </c>
    </row>
    <row r="540" ht="13.9" spans="1:15">
      <c r="A540" s="42" t="s">
        <v>433</v>
      </c>
      <c r="B540" s="11">
        <v>19385944</v>
      </c>
      <c r="C540" s="11">
        <v>2487643</v>
      </c>
      <c r="D540" s="11">
        <v>37</v>
      </c>
      <c r="E540">
        <f t="shared" si="155"/>
        <v>37</v>
      </c>
      <c r="F540">
        <f t="shared" si="141"/>
        <v>9692972</v>
      </c>
      <c r="G540">
        <f t="shared" si="151"/>
        <v>969.2972</v>
      </c>
      <c r="H540">
        <f t="shared" si="150"/>
        <v>3700</v>
      </c>
      <c r="I540">
        <f t="shared" si="144"/>
        <v>1776</v>
      </c>
      <c r="J540">
        <f t="shared" si="147"/>
        <v>4.12670128418817e-5</v>
      </c>
      <c r="K540">
        <f t="shared" si="148"/>
        <v>92008220</v>
      </c>
      <c r="L540">
        <f t="shared" si="153"/>
        <v>4.0213798288892e-5</v>
      </c>
      <c r="M540">
        <f t="shared" si="152"/>
        <v>21873587</v>
      </c>
      <c r="N540">
        <f t="shared" si="138"/>
        <v>125152331</v>
      </c>
      <c r="O540">
        <f t="shared" si="154"/>
        <v>3.31553595079148e-5</v>
      </c>
    </row>
    <row r="541" ht="13.9" spans="1:15">
      <c r="A541" s="42" t="s">
        <v>434</v>
      </c>
      <c r="B541" s="11">
        <v>21393774</v>
      </c>
      <c r="C541" s="11">
        <v>2735055</v>
      </c>
      <c r="D541" s="11">
        <v>29</v>
      </c>
      <c r="E541">
        <f t="shared" si="155"/>
        <v>29</v>
      </c>
      <c r="F541">
        <f t="shared" si="141"/>
        <v>10696887</v>
      </c>
      <c r="G541">
        <f t="shared" si="151"/>
        <v>1069.6887</v>
      </c>
      <c r="H541">
        <f t="shared" si="150"/>
        <v>2900</v>
      </c>
      <c r="I541">
        <f t="shared" si="144"/>
        <v>1392</v>
      </c>
      <c r="J541">
        <f t="shared" si="147"/>
        <v>3.27197996949954e-5</v>
      </c>
      <c r="K541">
        <f t="shared" si="148"/>
        <v>70614446</v>
      </c>
      <c r="L541">
        <f t="shared" si="153"/>
        <v>4.1068084000829e-5</v>
      </c>
      <c r="M541">
        <f t="shared" si="152"/>
        <v>24128829</v>
      </c>
      <c r="N541">
        <f t="shared" si="138"/>
        <v>103278744</v>
      </c>
      <c r="O541">
        <f t="shared" si="154"/>
        <v>3.31013793581217e-5</v>
      </c>
    </row>
    <row r="542" ht="13.9" spans="1:15">
      <c r="A542" s="42" t="s">
        <v>435</v>
      </c>
      <c r="B542" s="11">
        <v>18752270</v>
      </c>
      <c r="C542" s="11">
        <v>2394885</v>
      </c>
      <c r="D542" s="11">
        <v>22</v>
      </c>
      <c r="E542">
        <f t="shared" si="155"/>
        <v>22</v>
      </c>
      <c r="F542">
        <f t="shared" si="141"/>
        <v>9376135</v>
      </c>
      <c r="G542">
        <f t="shared" si="151"/>
        <v>937.6135</v>
      </c>
      <c r="H542">
        <f t="shared" si="150"/>
        <v>2200</v>
      </c>
      <c r="I542">
        <f t="shared" si="144"/>
        <v>1056</v>
      </c>
      <c r="J542">
        <f t="shared" si="147"/>
        <v>1.06653754452128e-5</v>
      </c>
      <c r="K542">
        <f t="shared" ref="K542:K573" si="156">IF(E542&gt;E543,B543+K543,B543)</f>
        <v>51862176</v>
      </c>
      <c r="L542">
        <f t="shared" si="153"/>
        <v>4.24201252180394e-5</v>
      </c>
      <c r="M542">
        <f t="shared" si="152"/>
        <v>21147155</v>
      </c>
      <c r="N542">
        <f t="shared" si="138"/>
        <v>79149915</v>
      </c>
      <c r="O542">
        <f t="shared" si="154"/>
        <v>8.16814352146964e-6</v>
      </c>
    </row>
    <row r="543" ht="13.9" spans="1:15">
      <c r="A543" s="42" t="s">
        <v>436</v>
      </c>
      <c r="B543" s="11">
        <v>21718260</v>
      </c>
      <c r="C543" s="11">
        <v>2767108</v>
      </c>
      <c r="D543" s="11">
        <v>20</v>
      </c>
      <c r="E543">
        <f t="shared" si="155"/>
        <v>20</v>
      </c>
      <c r="F543">
        <f t="shared" si="141"/>
        <v>10859130</v>
      </c>
      <c r="G543">
        <f t="shared" si="151"/>
        <v>1085.913</v>
      </c>
      <c r="H543">
        <f t="shared" si="150"/>
        <v>2000</v>
      </c>
      <c r="I543">
        <f t="shared" si="144"/>
        <v>960</v>
      </c>
      <c r="J543">
        <f t="shared" si="147"/>
        <v>0</v>
      </c>
      <c r="K543">
        <f t="shared" si="156"/>
        <v>30143916</v>
      </c>
      <c r="L543">
        <f t="shared" si="153"/>
        <v>0</v>
      </c>
      <c r="M543">
        <f t="shared" si="152"/>
        <v>24485368</v>
      </c>
      <c r="N543">
        <f t="shared" ref="N543:N606" si="157">IF(H543&lt;H544,M543+M544,M543+N544)</f>
        <v>58002760</v>
      </c>
      <c r="O543">
        <f t="shared" si="154"/>
        <v>5.96705137440288e-5</v>
      </c>
    </row>
    <row r="544" ht="13.85" spans="1:15">
      <c r="A544" s="43">
        <v>39802</v>
      </c>
      <c r="B544" s="11">
        <v>30143916</v>
      </c>
      <c r="C544" s="11">
        <v>3373476</v>
      </c>
      <c r="D544" s="11">
        <v>169</v>
      </c>
      <c r="E544">
        <f t="shared" si="155"/>
        <v>169</v>
      </c>
      <c r="F544">
        <f t="shared" si="141"/>
        <v>15071958</v>
      </c>
      <c r="G544">
        <f t="shared" si="151"/>
        <v>1507.1958</v>
      </c>
      <c r="H544">
        <f t="shared" si="150"/>
        <v>16900</v>
      </c>
      <c r="I544">
        <f t="shared" si="144"/>
        <v>8112</v>
      </c>
      <c r="J544">
        <f t="shared" si="147"/>
        <v>3.64916091193991e-5</v>
      </c>
      <c r="K544">
        <f t="shared" si="156"/>
        <v>417396702</v>
      </c>
      <c r="L544">
        <f t="shared" si="153"/>
        <v>4.0489059733874e-5</v>
      </c>
      <c r="M544">
        <f t="shared" si="152"/>
        <v>33517392</v>
      </c>
      <c r="N544">
        <f t="shared" si="157"/>
        <v>501907715</v>
      </c>
      <c r="O544">
        <f t="shared" si="154"/>
        <v>3.06798755244934e-5</v>
      </c>
    </row>
    <row r="545" ht="13.85" spans="1:15">
      <c r="A545" s="43">
        <v>39680</v>
      </c>
      <c r="B545" s="11">
        <v>32162676</v>
      </c>
      <c r="C545" s="11">
        <v>3691446</v>
      </c>
      <c r="D545" s="11">
        <v>158</v>
      </c>
      <c r="E545">
        <f t="shared" si="155"/>
        <v>158</v>
      </c>
      <c r="F545">
        <f t="shared" si="141"/>
        <v>16081338</v>
      </c>
      <c r="G545">
        <f t="shared" si="151"/>
        <v>1608.1338</v>
      </c>
      <c r="H545">
        <f t="shared" si="150"/>
        <v>15800</v>
      </c>
      <c r="I545">
        <f t="shared" si="144"/>
        <v>7584</v>
      </c>
      <c r="J545">
        <f t="shared" si="147"/>
        <v>3.42011342588533e-5</v>
      </c>
      <c r="K545">
        <f t="shared" si="156"/>
        <v>385234026</v>
      </c>
      <c r="L545">
        <f t="shared" si="153"/>
        <v>4.10140302611795e-5</v>
      </c>
      <c r="M545">
        <f t="shared" si="152"/>
        <v>35854122</v>
      </c>
      <c r="N545">
        <f t="shared" si="157"/>
        <v>468390323</v>
      </c>
      <c r="O545">
        <f t="shared" si="154"/>
        <v>3.46299009613166e-5</v>
      </c>
    </row>
    <row r="546" ht="13.85" spans="1:15">
      <c r="A546" s="43">
        <v>39588</v>
      </c>
      <c r="B546" s="11">
        <v>28536716</v>
      </c>
      <c r="C546" s="11">
        <v>3227741</v>
      </c>
      <c r="D546" s="11">
        <v>147</v>
      </c>
      <c r="E546">
        <f t="shared" si="155"/>
        <v>147</v>
      </c>
      <c r="F546">
        <f t="shared" si="141"/>
        <v>14268358</v>
      </c>
      <c r="G546">
        <f t="shared" si="151"/>
        <v>1426.8358</v>
      </c>
      <c r="H546">
        <f t="shared" si="150"/>
        <v>14700</v>
      </c>
      <c r="I546">
        <f t="shared" si="144"/>
        <v>7056</v>
      </c>
      <c r="J546">
        <f t="shared" si="147"/>
        <v>3.50425746256156e-5</v>
      </c>
      <c r="K546">
        <f t="shared" si="156"/>
        <v>356697310</v>
      </c>
      <c r="L546">
        <f t="shared" si="153"/>
        <v>4.12114125559287e-5</v>
      </c>
      <c r="M546">
        <f t="shared" si="152"/>
        <v>31764457</v>
      </c>
      <c r="N546">
        <f t="shared" si="157"/>
        <v>432536201</v>
      </c>
      <c r="O546">
        <f t="shared" si="154"/>
        <v>2.96532626209772e-5</v>
      </c>
    </row>
    <row r="547" ht="13.85" spans="1:15">
      <c r="A547" s="43">
        <v>39467</v>
      </c>
      <c r="B547" s="11">
        <v>30216158</v>
      </c>
      <c r="C547" s="11">
        <v>3506944</v>
      </c>
      <c r="D547" s="11">
        <v>137</v>
      </c>
      <c r="E547">
        <f t="shared" si="155"/>
        <v>137</v>
      </c>
      <c r="F547">
        <f t="shared" si="141"/>
        <v>15108079</v>
      </c>
      <c r="G547">
        <f t="shared" si="151"/>
        <v>1510.8079</v>
      </c>
      <c r="H547">
        <f t="shared" si="150"/>
        <v>13700</v>
      </c>
      <c r="I547">
        <f t="shared" si="144"/>
        <v>6576</v>
      </c>
      <c r="J547">
        <f t="shared" si="147"/>
        <v>3.64043635196771e-5</v>
      </c>
      <c r="K547">
        <f t="shared" si="156"/>
        <v>326481152</v>
      </c>
      <c r="L547">
        <f t="shared" si="153"/>
        <v>4.19626061598802e-5</v>
      </c>
      <c r="M547">
        <f t="shared" si="152"/>
        <v>33723102</v>
      </c>
      <c r="N547">
        <f t="shared" si="157"/>
        <v>400771744</v>
      </c>
      <c r="O547">
        <f t="shared" si="154"/>
        <v>3.76263183919907e-5</v>
      </c>
    </row>
    <row r="548" ht="13.9" spans="1:15">
      <c r="A548" s="42" t="s">
        <v>437</v>
      </c>
      <c r="B548" s="11">
        <v>26263738</v>
      </c>
      <c r="C548" s="11">
        <v>2971118</v>
      </c>
      <c r="D548" s="11">
        <v>126</v>
      </c>
      <c r="E548">
        <f t="shared" si="155"/>
        <v>126</v>
      </c>
      <c r="F548">
        <f t="shared" si="141"/>
        <v>13131869</v>
      </c>
      <c r="G548">
        <f t="shared" si="151"/>
        <v>1313.1869</v>
      </c>
      <c r="H548">
        <f t="shared" si="150"/>
        <v>12600</v>
      </c>
      <c r="I548">
        <f t="shared" si="144"/>
        <v>6048</v>
      </c>
      <c r="J548">
        <f t="shared" si="147"/>
        <v>3.42677801613769e-5</v>
      </c>
      <c r="K548">
        <f t="shared" si="156"/>
        <v>300217414</v>
      </c>
      <c r="L548">
        <f t="shared" si="153"/>
        <v>4.19695840828207e-5</v>
      </c>
      <c r="M548">
        <f t="shared" si="152"/>
        <v>29234856</v>
      </c>
      <c r="N548">
        <f t="shared" si="157"/>
        <v>367048642</v>
      </c>
      <c r="O548">
        <f t="shared" si="154"/>
        <v>3.01795927203603e-5</v>
      </c>
    </row>
    <row r="549" ht="13.9" spans="1:15">
      <c r="A549" s="42" t="s">
        <v>438</v>
      </c>
      <c r="B549" s="11">
        <v>26604814</v>
      </c>
      <c r="C549" s="11">
        <v>3216662</v>
      </c>
      <c r="D549" s="11">
        <v>117</v>
      </c>
      <c r="E549">
        <f t="shared" si="155"/>
        <v>117</v>
      </c>
      <c r="F549">
        <f t="shared" si="141"/>
        <v>13302407</v>
      </c>
      <c r="G549">
        <f t="shared" si="151"/>
        <v>1330.2407</v>
      </c>
      <c r="H549">
        <f t="shared" si="150"/>
        <v>11700</v>
      </c>
      <c r="I549">
        <f t="shared" si="144"/>
        <v>5616</v>
      </c>
      <c r="J549">
        <f t="shared" si="147"/>
        <v>4.13459007832192e-5</v>
      </c>
      <c r="K549">
        <f t="shared" si="156"/>
        <v>273612600</v>
      </c>
      <c r="L549">
        <f t="shared" si="153"/>
        <v>4.2761188629471e-5</v>
      </c>
      <c r="M549">
        <f t="shared" si="152"/>
        <v>29821476</v>
      </c>
      <c r="N549">
        <f t="shared" si="157"/>
        <v>337813786</v>
      </c>
      <c r="O549">
        <f t="shared" si="154"/>
        <v>4.28774896180929e-5</v>
      </c>
    </row>
    <row r="550" ht="13.9" spans="1:15">
      <c r="A550" s="42" t="s">
        <v>439</v>
      </c>
      <c r="B550" s="11">
        <v>22875778</v>
      </c>
      <c r="C550" s="11">
        <v>2778709</v>
      </c>
      <c r="D550" s="11">
        <v>106</v>
      </c>
      <c r="E550">
        <f t="shared" si="155"/>
        <v>106</v>
      </c>
      <c r="F550">
        <f t="shared" si="141"/>
        <v>11437889</v>
      </c>
      <c r="G550">
        <f t="shared" si="151"/>
        <v>1143.7889</v>
      </c>
      <c r="H550">
        <f t="shared" si="150"/>
        <v>10600</v>
      </c>
      <c r="I550">
        <f t="shared" si="144"/>
        <v>5088</v>
      </c>
      <c r="J550">
        <f t="shared" si="147"/>
        <v>3.93429242056817e-5</v>
      </c>
      <c r="K550">
        <f t="shared" si="156"/>
        <v>250736822</v>
      </c>
      <c r="L550">
        <f t="shared" si="153"/>
        <v>4.22754022143584e-5</v>
      </c>
      <c r="M550">
        <f t="shared" si="152"/>
        <v>25654487</v>
      </c>
      <c r="N550">
        <f t="shared" si="157"/>
        <v>307992310</v>
      </c>
      <c r="O550">
        <f t="shared" si="154"/>
        <v>3.27034218244323e-5</v>
      </c>
    </row>
    <row r="551" ht="13.9" spans="1:15">
      <c r="A551" s="42" t="s">
        <v>440</v>
      </c>
      <c r="B551" s="11">
        <v>24453758</v>
      </c>
      <c r="C551" s="11">
        <v>3066298</v>
      </c>
      <c r="D551" s="11">
        <v>97</v>
      </c>
      <c r="E551">
        <f t="shared" si="155"/>
        <v>97</v>
      </c>
      <c r="F551">
        <f t="shared" ref="F551:F579" si="158">B551/2</f>
        <v>12226879</v>
      </c>
      <c r="G551">
        <f t="shared" si="151"/>
        <v>1222.6879</v>
      </c>
      <c r="H551">
        <f t="shared" si="150"/>
        <v>9700</v>
      </c>
      <c r="I551">
        <f t="shared" si="144"/>
        <v>4656</v>
      </c>
      <c r="J551">
        <f t="shared" si="147"/>
        <v>4.08935101099798e-5</v>
      </c>
      <c r="K551">
        <f t="shared" si="156"/>
        <v>226283064</v>
      </c>
      <c r="L551">
        <f t="shared" si="153"/>
        <v>4.28666636757225e-5</v>
      </c>
      <c r="M551">
        <f t="shared" si="152"/>
        <v>27520056</v>
      </c>
      <c r="N551">
        <f t="shared" si="157"/>
        <v>282337823</v>
      </c>
      <c r="O551">
        <f t="shared" si="154"/>
        <v>4.16591888422695e-5</v>
      </c>
    </row>
    <row r="552" ht="13.9" spans="1:15">
      <c r="A552" s="42" t="s">
        <v>441</v>
      </c>
      <c r="B552" s="11">
        <v>21359176</v>
      </c>
      <c r="C552" s="11">
        <v>2645132</v>
      </c>
      <c r="D552" s="11">
        <v>87</v>
      </c>
      <c r="E552">
        <f t="shared" si="155"/>
        <v>87</v>
      </c>
      <c r="F552">
        <f t="shared" si="158"/>
        <v>10679588</v>
      </c>
      <c r="G552">
        <f t="shared" si="151"/>
        <v>1067.9588</v>
      </c>
      <c r="H552">
        <f t="shared" si="150"/>
        <v>8700</v>
      </c>
      <c r="I552">
        <f t="shared" si="144"/>
        <v>4176</v>
      </c>
      <c r="J552">
        <f t="shared" si="147"/>
        <v>3.74546283995225e-5</v>
      </c>
      <c r="K552">
        <f t="shared" si="156"/>
        <v>204923888</v>
      </c>
      <c r="L552">
        <f t="shared" si="153"/>
        <v>4.24547869206932e-5</v>
      </c>
      <c r="M552">
        <f t="shared" si="152"/>
        <v>24004308</v>
      </c>
      <c r="N552">
        <f t="shared" si="157"/>
        <v>254817767</v>
      </c>
      <c r="O552">
        <f t="shared" si="154"/>
        <v>3.06215125924846e-5</v>
      </c>
    </row>
    <row r="553" ht="13.85" spans="1:15">
      <c r="A553" s="43">
        <v>39406</v>
      </c>
      <c r="B553" s="11">
        <v>23194662</v>
      </c>
      <c r="C553" s="11">
        <v>2930762</v>
      </c>
      <c r="D553" s="11">
        <v>79</v>
      </c>
      <c r="E553">
        <f t="shared" si="155"/>
        <v>79</v>
      </c>
      <c r="F553">
        <f t="shared" si="158"/>
        <v>11597331</v>
      </c>
      <c r="G553">
        <f t="shared" si="151"/>
        <v>1159.7331</v>
      </c>
      <c r="H553">
        <f t="shared" si="150"/>
        <v>7900</v>
      </c>
      <c r="I553">
        <f t="shared" si="144"/>
        <v>3792</v>
      </c>
      <c r="J553">
        <f t="shared" si="147"/>
        <v>4.31133680671872e-5</v>
      </c>
      <c r="K553">
        <f t="shared" si="156"/>
        <v>181729226</v>
      </c>
      <c r="L553">
        <f t="shared" si="153"/>
        <v>4.34712686224724e-5</v>
      </c>
      <c r="M553">
        <f t="shared" si="152"/>
        <v>26125424</v>
      </c>
      <c r="N553">
        <f t="shared" si="157"/>
        <v>230813459</v>
      </c>
      <c r="O553">
        <f t="shared" si="154"/>
        <v>4.34218238260237e-5</v>
      </c>
    </row>
    <row r="554" ht="13.85" spans="1:15">
      <c r="A554" s="43">
        <v>39314</v>
      </c>
      <c r="B554" s="11">
        <v>20502906</v>
      </c>
      <c r="C554" s="11">
        <v>2526988</v>
      </c>
      <c r="D554" s="11">
        <v>69</v>
      </c>
      <c r="E554">
        <f t="shared" si="155"/>
        <v>69</v>
      </c>
      <c r="F554">
        <f t="shared" si="158"/>
        <v>10251453</v>
      </c>
      <c r="G554">
        <f t="shared" si="151"/>
        <v>1025.1453</v>
      </c>
      <c r="H554">
        <f t="shared" si="150"/>
        <v>6900</v>
      </c>
      <c r="I554">
        <f t="shared" si="144"/>
        <v>3312</v>
      </c>
      <c r="J554">
        <f t="shared" si="147"/>
        <v>4.3896216468046e-5</v>
      </c>
      <c r="K554">
        <f t="shared" si="156"/>
        <v>161226320</v>
      </c>
      <c r="L554">
        <f t="shared" si="153"/>
        <v>4.27969825274186e-5</v>
      </c>
      <c r="M554">
        <f t="shared" si="152"/>
        <v>23029894</v>
      </c>
      <c r="N554">
        <f t="shared" si="157"/>
        <v>204688035</v>
      </c>
      <c r="O554">
        <f t="shared" si="154"/>
        <v>3.59649514355271e-5</v>
      </c>
    </row>
    <row r="555" ht="13.85" spans="1:15">
      <c r="A555" s="43">
        <v>39192</v>
      </c>
      <c r="B555" s="11">
        <v>22252722</v>
      </c>
      <c r="C555" s="11">
        <v>2771641</v>
      </c>
      <c r="D555" s="11">
        <v>60</v>
      </c>
      <c r="E555">
        <f t="shared" si="155"/>
        <v>60</v>
      </c>
      <c r="F555">
        <f t="shared" si="158"/>
        <v>11126361</v>
      </c>
      <c r="G555">
        <f t="shared" si="151"/>
        <v>1112.6361</v>
      </c>
      <c r="H555">
        <f t="shared" si="150"/>
        <v>6000</v>
      </c>
      <c r="I555">
        <f t="shared" si="144"/>
        <v>2880</v>
      </c>
      <c r="J555">
        <f t="shared" si="147"/>
        <v>4.04444903414513e-5</v>
      </c>
      <c r="K555">
        <f t="shared" si="156"/>
        <v>138973598</v>
      </c>
      <c r="L555">
        <f t="shared" si="153"/>
        <v>4.31736681380301e-5</v>
      </c>
      <c r="M555">
        <f t="shared" si="152"/>
        <v>25024363</v>
      </c>
      <c r="N555">
        <f t="shared" si="157"/>
        <v>181658141</v>
      </c>
      <c r="O555">
        <f t="shared" si="154"/>
        <v>4.01055435308243e-5</v>
      </c>
    </row>
    <row r="556" ht="13.85" spans="1:15">
      <c r="A556" s="43">
        <v>39102</v>
      </c>
      <c r="B556" s="11">
        <v>19949412</v>
      </c>
      <c r="C556" s="11">
        <v>2491376</v>
      </c>
      <c r="D556" s="11">
        <v>51</v>
      </c>
      <c r="E556">
        <f t="shared" si="155"/>
        <v>51</v>
      </c>
      <c r="F556">
        <f t="shared" si="158"/>
        <v>9974706</v>
      </c>
      <c r="G556">
        <f t="shared" si="151"/>
        <v>997.4706</v>
      </c>
      <c r="H556">
        <f t="shared" si="150"/>
        <v>5100</v>
      </c>
      <c r="I556">
        <f t="shared" ref="I556:I582" si="159">H556*0.48</f>
        <v>2448</v>
      </c>
      <c r="J556">
        <f t="shared" si="147"/>
        <v>4.5114111633967e-5</v>
      </c>
      <c r="K556">
        <f t="shared" si="156"/>
        <v>119024186</v>
      </c>
      <c r="L556">
        <f t="shared" si="153"/>
        <v>4.28484341829483e-5</v>
      </c>
      <c r="M556">
        <f t="shared" si="152"/>
        <v>22440788</v>
      </c>
      <c r="N556">
        <f t="shared" si="157"/>
        <v>156633778</v>
      </c>
      <c r="O556">
        <f t="shared" ref="O556:O580" si="160">IF(H556&gt;H557,(H556-H557)/M557,H556/M557)</f>
        <v>3.69469821889683e-5</v>
      </c>
    </row>
    <row r="557" ht="13.9" spans="1:15">
      <c r="A557" s="42" t="s">
        <v>442</v>
      </c>
      <c r="B557" s="11">
        <v>21604578</v>
      </c>
      <c r="C557" s="11">
        <v>2754651</v>
      </c>
      <c r="D557" s="11">
        <v>42</v>
      </c>
      <c r="E557">
        <f t="shared" si="155"/>
        <v>42</v>
      </c>
      <c r="F557">
        <f t="shared" si="158"/>
        <v>10802289</v>
      </c>
      <c r="G557">
        <f t="shared" si="151"/>
        <v>1080.2289</v>
      </c>
      <c r="H557">
        <f t="shared" si="150"/>
        <v>4200</v>
      </c>
      <c r="I557">
        <f t="shared" si="159"/>
        <v>2016</v>
      </c>
      <c r="J557">
        <f t="shared" si="147"/>
        <v>4.16578375194369e-5</v>
      </c>
      <c r="K557">
        <f t="shared" si="156"/>
        <v>97419608</v>
      </c>
      <c r="L557">
        <f t="shared" si="153"/>
        <v>4.31124707461356e-5</v>
      </c>
      <c r="M557">
        <f t="shared" si="152"/>
        <v>24359229</v>
      </c>
      <c r="N557">
        <f t="shared" si="157"/>
        <v>134192990</v>
      </c>
      <c r="O557">
        <f t="shared" si="160"/>
        <v>4.20416921855845e-5</v>
      </c>
    </row>
    <row r="558" ht="13.9" spans="1:15">
      <c r="A558" s="42" t="s">
        <v>443</v>
      </c>
      <c r="B558" s="11">
        <v>18992320</v>
      </c>
      <c r="C558" s="11">
        <v>2415001</v>
      </c>
      <c r="D558" s="11">
        <v>33</v>
      </c>
      <c r="E558">
        <f t="shared" si="155"/>
        <v>33</v>
      </c>
      <c r="F558">
        <f t="shared" si="158"/>
        <v>9496160</v>
      </c>
      <c r="G558">
        <f t="shared" si="151"/>
        <v>949.616</v>
      </c>
      <c r="H558">
        <f t="shared" si="150"/>
        <v>3300</v>
      </c>
      <c r="I558">
        <f t="shared" si="159"/>
        <v>1584</v>
      </c>
      <c r="J558">
        <f t="shared" si="147"/>
        <v>4.21222894306751e-5</v>
      </c>
      <c r="K558">
        <f t="shared" si="156"/>
        <v>78427288</v>
      </c>
      <c r="L558">
        <f t="shared" si="153"/>
        <v>4.20771912959683e-5</v>
      </c>
      <c r="M558">
        <f t="shared" si="152"/>
        <v>21407321</v>
      </c>
      <c r="N558">
        <f t="shared" si="157"/>
        <v>109833761</v>
      </c>
      <c r="O558">
        <f t="shared" si="160"/>
        <v>3.41458436419991e-5</v>
      </c>
    </row>
    <row r="559" ht="13.9" spans="1:15">
      <c r="A559" s="42" t="s">
        <v>444</v>
      </c>
      <c r="B559" s="11">
        <v>20749918</v>
      </c>
      <c r="C559" s="11">
        <v>2678995</v>
      </c>
      <c r="D559" s="11">
        <v>25</v>
      </c>
      <c r="E559">
        <f t="shared" si="155"/>
        <v>25</v>
      </c>
      <c r="F559">
        <f t="shared" si="158"/>
        <v>10374959</v>
      </c>
      <c r="G559">
        <f t="shared" si="151"/>
        <v>1037.4959</v>
      </c>
      <c r="H559">
        <f t="shared" si="150"/>
        <v>2500</v>
      </c>
      <c r="I559">
        <f t="shared" si="159"/>
        <v>1200</v>
      </c>
      <c r="J559">
        <f t="shared" si="147"/>
        <v>1.44578884600893e-5</v>
      </c>
      <c r="K559">
        <f t="shared" si="156"/>
        <v>57677370</v>
      </c>
      <c r="L559">
        <f t="shared" si="153"/>
        <v>4.33445561058002e-5</v>
      </c>
      <c r="M559">
        <f t="shared" si="152"/>
        <v>23428913</v>
      </c>
      <c r="N559">
        <f t="shared" si="157"/>
        <v>88426440</v>
      </c>
      <c r="O559">
        <f t="shared" si="160"/>
        <v>1.43917465060797e-5</v>
      </c>
    </row>
    <row r="560" ht="13.9" spans="1:15">
      <c r="A560" s="42" t="s">
        <v>445</v>
      </c>
      <c r="B560" s="11">
        <v>18487574</v>
      </c>
      <c r="C560" s="11">
        <v>2357707</v>
      </c>
      <c r="D560" s="11">
        <v>22</v>
      </c>
      <c r="E560">
        <f t="shared" si="155"/>
        <v>22</v>
      </c>
      <c r="F560">
        <f t="shared" si="158"/>
        <v>9243787</v>
      </c>
      <c r="G560">
        <f t="shared" si="151"/>
        <v>924.3787</v>
      </c>
      <c r="H560">
        <f t="shared" si="150"/>
        <v>2200</v>
      </c>
      <c r="I560">
        <f t="shared" si="159"/>
        <v>1056</v>
      </c>
      <c r="J560">
        <f t="shared" si="147"/>
        <v>1.08180770500229e-5</v>
      </c>
      <c r="K560">
        <f t="shared" si="156"/>
        <v>39189796</v>
      </c>
      <c r="L560">
        <f t="shared" si="153"/>
        <v>5.61370618004748e-5</v>
      </c>
      <c r="M560">
        <f t="shared" si="152"/>
        <v>20845281</v>
      </c>
      <c r="N560">
        <f t="shared" si="157"/>
        <v>64997527</v>
      </c>
      <c r="O560">
        <f t="shared" si="160"/>
        <v>8.85707467032086e-6</v>
      </c>
    </row>
    <row r="561" ht="13.9" spans="1:15">
      <c r="A561" s="42" t="s">
        <v>446</v>
      </c>
      <c r="B561" s="11">
        <v>20013212</v>
      </c>
      <c r="C561" s="11">
        <v>2567607</v>
      </c>
      <c r="D561" s="11">
        <v>20</v>
      </c>
      <c r="E561">
        <f t="shared" si="155"/>
        <v>20</v>
      </c>
      <c r="F561">
        <f t="shared" si="158"/>
        <v>10006606</v>
      </c>
      <c r="G561">
        <f t="shared" si="151"/>
        <v>1000.6606</v>
      </c>
      <c r="H561">
        <f t="shared" si="150"/>
        <v>2000</v>
      </c>
      <c r="I561">
        <f t="shared" si="159"/>
        <v>960</v>
      </c>
      <c r="J561">
        <f t="shared" si="147"/>
        <v>0</v>
      </c>
      <c r="K561">
        <f t="shared" si="156"/>
        <v>19176584</v>
      </c>
      <c r="L561">
        <f t="shared" si="153"/>
        <v>0</v>
      </c>
      <c r="M561">
        <f t="shared" si="152"/>
        <v>22580819</v>
      </c>
      <c r="N561">
        <f t="shared" si="157"/>
        <v>44152246</v>
      </c>
      <c r="O561">
        <f t="shared" si="160"/>
        <v>9.27152385421697e-5</v>
      </c>
    </row>
    <row r="562" ht="13.85" spans="1:15">
      <c r="A562" s="43">
        <v>39010</v>
      </c>
      <c r="B562" s="11">
        <v>19176584</v>
      </c>
      <c r="C562" s="11">
        <v>2394843</v>
      </c>
      <c r="D562" s="11">
        <v>22</v>
      </c>
      <c r="E562">
        <f t="shared" ref="E562:E603" si="161">IF(RIGHT(D562,1)="B",VALUE(LEFT(D562,LEN(D562)-1))*1000,D562)</f>
        <v>22</v>
      </c>
      <c r="F562">
        <f t="shared" si="158"/>
        <v>9588292</v>
      </c>
      <c r="G562">
        <f t="shared" si="151"/>
        <v>958.8292</v>
      </c>
      <c r="H562">
        <f t="shared" si="150"/>
        <v>2200</v>
      </c>
      <c r="I562">
        <f t="shared" si="159"/>
        <v>1056</v>
      </c>
      <c r="J562">
        <f t="shared" si="147"/>
        <v>1.04293861722192e-5</v>
      </c>
      <c r="K562">
        <f t="shared" si="156"/>
        <v>45357366</v>
      </c>
      <c r="L562">
        <f t="shared" si="153"/>
        <v>4.85036983849547e-5</v>
      </c>
      <c r="M562">
        <f t="shared" si="152"/>
        <v>21571427</v>
      </c>
      <c r="N562">
        <f t="shared" si="157"/>
        <v>72482144</v>
      </c>
      <c r="O562">
        <f t="shared" si="160"/>
        <v>8.32116190047849e-6</v>
      </c>
    </row>
    <row r="563" ht="13.85" spans="1:15">
      <c r="A563" s="43">
        <v>38888</v>
      </c>
      <c r="B563" s="11">
        <v>21351224</v>
      </c>
      <c r="C563" s="11">
        <v>2683881</v>
      </c>
      <c r="D563" s="11">
        <v>20</v>
      </c>
      <c r="E563">
        <f t="shared" si="161"/>
        <v>20</v>
      </c>
      <c r="F563">
        <f t="shared" si="158"/>
        <v>10675612</v>
      </c>
      <c r="G563">
        <f t="shared" si="151"/>
        <v>1067.5612</v>
      </c>
      <c r="H563">
        <f t="shared" si="150"/>
        <v>2000</v>
      </c>
      <c r="I563">
        <f t="shared" si="159"/>
        <v>960</v>
      </c>
      <c r="J563">
        <f t="shared" si="147"/>
        <v>0</v>
      </c>
      <c r="K563">
        <f t="shared" si="156"/>
        <v>24006142</v>
      </c>
      <c r="L563">
        <f t="shared" ref="L563:L594" si="162">IF(E563&gt;E564,H563/K563,0)</f>
        <v>0</v>
      </c>
      <c r="M563">
        <f t="shared" si="152"/>
        <v>24035105</v>
      </c>
      <c r="N563">
        <f t="shared" si="157"/>
        <v>50910717</v>
      </c>
      <c r="O563">
        <f t="shared" si="160"/>
        <v>7.44169100223653e-5</v>
      </c>
    </row>
    <row r="564" ht="13.85" spans="1:15">
      <c r="A564" s="43">
        <v>38796</v>
      </c>
      <c r="B564" s="11">
        <v>24006142</v>
      </c>
      <c r="C564" s="11">
        <v>2869470</v>
      </c>
      <c r="D564" s="26">
        <v>136.4</v>
      </c>
      <c r="E564">
        <f t="shared" si="161"/>
        <v>136.4</v>
      </c>
      <c r="F564">
        <f t="shared" si="158"/>
        <v>12003071</v>
      </c>
      <c r="G564">
        <f t="shared" si="151"/>
        <v>1200.3071</v>
      </c>
      <c r="H564">
        <f t="shared" si="150"/>
        <v>13640</v>
      </c>
      <c r="I564">
        <f t="shared" si="159"/>
        <v>6547.2</v>
      </c>
      <c r="J564">
        <f t="shared" si="147"/>
        <v>4.74878470684711e-5</v>
      </c>
      <c r="K564">
        <f t="shared" si="156"/>
        <v>313765374</v>
      </c>
      <c r="L564">
        <f t="shared" si="162"/>
        <v>4.34719734243206e-5</v>
      </c>
      <c r="M564">
        <f t="shared" si="152"/>
        <v>26875612</v>
      </c>
      <c r="N564">
        <f t="shared" si="157"/>
        <v>378222631</v>
      </c>
      <c r="O564">
        <f t="shared" si="160"/>
        <v>3.92400185956383e-5</v>
      </c>
    </row>
    <row r="565" ht="13.9" spans="1:15">
      <c r="A565" s="42" t="s">
        <v>447</v>
      </c>
      <c r="B565" s="11">
        <v>25933546</v>
      </c>
      <c r="C565" s="11">
        <v>3118428</v>
      </c>
      <c r="D565" s="11">
        <v>125</v>
      </c>
      <c r="E565">
        <f t="shared" si="161"/>
        <v>125</v>
      </c>
      <c r="F565">
        <f t="shared" si="158"/>
        <v>12966773</v>
      </c>
      <c r="G565">
        <f t="shared" si="151"/>
        <v>1296.6773</v>
      </c>
      <c r="H565">
        <f t="shared" si="150"/>
        <v>12500</v>
      </c>
      <c r="I565">
        <f t="shared" si="159"/>
        <v>6000</v>
      </c>
      <c r="J565">
        <f t="shared" si="147"/>
        <v>4.24161046082938e-5</v>
      </c>
      <c r="K565">
        <f t="shared" si="156"/>
        <v>287831828</v>
      </c>
      <c r="L565">
        <f t="shared" si="162"/>
        <v>4.34281367938225e-5</v>
      </c>
      <c r="M565">
        <f t="shared" si="152"/>
        <v>29051974</v>
      </c>
      <c r="N565">
        <f t="shared" si="157"/>
        <v>351347019</v>
      </c>
      <c r="O565">
        <f t="shared" si="160"/>
        <v>4.42270812952858e-5</v>
      </c>
    </row>
    <row r="566" ht="13.9" spans="1:15">
      <c r="A566" s="42" t="s">
        <v>448</v>
      </c>
      <c r="B566" s="11">
        <v>22234160</v>
      </c>
      <c r="C566" s="11">
        <v>2637479</v>
      </c>
      <c r="D566" s="11">
        <v>114</v>
      </c>
      <c r="E566">
        <f t="shared" si="161"/>
        <v>114</v>
      </c>
      <c r="F566">
        <f t="shared" si="158"/>
        <v>11117080</v>
      </c>
      <c r="G566">
        <f t="shared" si="151"/>
        <v>1111.708</v>
      </c>
      <c r="H566">
        <f t="shared" si="150"/>
        <v>11400</v>
      </c>
      <c r="I566">
        <f t="shared" si="159"/>
        <v>5472</v>
      </c>
      <c r="J566">
        <f t="shared" si="147"/>
        <v>4.49758389793003e-5</v>
      </c>
      <c r="K566">
        <f t="shared" si="156"/>
        <v>265597668</v>
      </c>
      <c r="L566">
        <f t="shared" si="162"/>
        <v>4.29220636078778e-5</v>
      </c>
      <c r="M566">
        <f t="shared" si="152"/>
        <v>24871639</v>
      </c>
      <c r="N566">
        <f t="shared" si="157"/>
        <v>322295045</v>
      </c>
      <c r="O566">
        <f t="shared" si="160"/>
        <v>3.70434633919455e-5</v>
      </c>
    </row>
    <row r="567" ht="13.9" spans="1:15">
      <c r="A567" s="42" t="s">
        <v>449</v>
      </c>
      <c r="B567" s="11">
        <v>24191340</v>
      </c>
      <c r="C567" s="11">
        <v>2803976</v>
      </c>
      <c r="D567" s="11">
        <v>104</v>
      </c>
      <c r="E567">
        <f t="shared" si="161"/>
        <v>104</v>
      </c>
      <c r="F567">
        <f t="shared" si="158"/>
        <v>12095670</v>
      </c>
      <c r="G567">
        <f t="shared" si="151"/>
        <v>1209.567</v>
      </c>
      <c r="H567">
        <f t="shared" si="150"/>
        <v>10400</v>
      </c>
      <c r="I567">
        <f t="shared" si="159"/>
        <v>4992</v>
      </c>
      <c r="J567">
        <f t="shared" si="147"/>
        <v>3.72033959259801e-5</v>
      </c>
      <c r="K567">
        <f t="shared" si="156"/>
        <v>241406328</v>
      </c>
      <c r="L567">
        <f t="shared" si="162"/>
        <v>4.30808922291382e-5</v>
      </c>
      <c r="M567">
        <f t="shared" si="152"/>
        <v>26995316</v>
      </c>
      <c r="N567">
        <f t="shared" si="157"/>
        <v>297423406</v>
      </c>
      <c r="O567">
        <f t="shared" si="160"/>
        <v>3.99750537897661e-5</v>
      </c>
    </row>
    <row r="568" ht="13.9" spans="1:15">
      <c r="A568" s="42" t="s">
        <v>450</v>
      </c>
      <c r="B568" s="11">
        <v>20128138</v>
      </c>
      <c r="C568" s="11">
        <v>2385903</v>
      </c>
      <c r="D568" s="11">
        <v>95</v>
      </c>
      <c r="E568">
        <f t="shared" si="161"/>
        <v>95</v>
      </c>
      <c r="F568">
        <f t="shared" si="158"/>
        <v>10064069</v>
      </c>
      <c r="G568">
        <f t="shared" si="151"/>
        <v>1006.4069</v>
      </c>
      <c r="H568">
        <f t="shared" si="150"/>
        <v>9500</v>
      </c>
      <c r="I568">
        <f t="shared" si="159"/>
        <v>4560</v>
      </c>
      <c r="J568">
        <f t="shared" si="147"/>
        <v>4.47135249172079e-5</v>
      </c>
      <c r="K568">
        <f t="shared" si="156"/>
        <v>221278190</v>
      </c>
      <c r="L568">
        <f t="shared" si="162"/>
        <v>4.29323829881291e-5</v>
      </c>
      <c r="M568">
        <f t="shared" si="152"/>
        <v>22514041</v>
      </c>
      <c r="N568">
        <f t="shared" si="157"/>
        <v>270428090</v>
      </c>
      <c r="O568">
        <f t="shared" si="160"/>
        <v>3.70372382269731e-5</v>
      </c>
    </row>
    <row r="569" ht="13.9" spans="1:15">
      <c r="A569" s="42" t="s">
        <v>451</v>
      </c>
      <c r="B569" s="11">
        <v>21682760</v>
      </c>
      <c r="C569" s="11">
        <v>2617108</v>
      </c>
      <c r="D569" s="11">
        <v>86</v>
      </c>
      <c r="E569">
        <f t="shared" si="161"/>
        <v>86</v>
      </c>
      <c r="F569">
        <f t="shared" si="158"/>
        <v>10841380</v>
      </c>
      <c r="G569">
        <f t="shared" si="151"/>
        <v>1084.138</v>
      </c>
      <c r="H569">
        <f t="shared" si="150"/>
        <v>8600</v>
      </c>
      <c r="I569">
        <f t="shared" si="159"/>
        <v>4128</v>
      </c>
      <c r="J569">
        <f t="shared" si="147"/>
        <v>4.15076309473517e-5</v>
      </c>
      <c r="K569">
        <f t="shared" si="156"/>
        <v>199595430</v>
      </c>
      <c r="L569">
        <f t="shared" si="162"/>
        <v>4.30871588592985e-5</v>
      </c>
      <c r="M569">
        <f t="shared" si="152"/>
        <v>24299868</v>
      </c>
      <c r="N569">
        <f t="shared" si="157"/>
        <v>247914049</v>
      </c>
      <c r="O569">
        <f t="shared" si="160"/>
        <v>4.22304470449432e-5</v>
      </c>
    </row>
    <row r="570" ht="13.9" spans="1:15">
      <c r="A570" s="42" t="s">
        <v>452</v>
      </c>
      <c r="B570" s="11">
        <v>19005404</v>
      </c>
      <c r="C570" s="11">
        <v>2306234</v>
      </c>
      <c r="D570" s="11">
        <v>77</v>
      </c>
      <c r="E570">
        <f t="shared" si="161"/>
        <v>77</v>
      </c>
      <c r="F570">
        <f t="shared" si="158"/>
        <v>9502702</v>
      </c>
      <c r="G570">
        <f t="shared" si="151"/>
        <v>950.2702</v>
      </c>
      <c r="H570">
        <f t="shared" si="150"/>
        <v>7700</v>
      </c>
      <c r="I570">
        <f t="shared" si="159"/>
        <v>3696</v>
      </c>
      <c r="J570">
        <f t="shared" si="147"/>
        <v>4.7354952307249e-5</v>
      </c>
      <c r="K570">
        <f t="shared" si="156"/>
        <v>180590026</v>
      </c>
      <c r="L570">
        <f t="shared" si="162"/>
        <v>4.26380136852076e-5</v>
      </c>
      <c r="M570">
        <f t="shared" si="152"/>
        <v>21311638</v>
      </c>
      <c r="N570">
        <f t="shared" si="157"/>
        <v>223614181</v>
      </c>
      <c r="O570">
        <f t="shared" si="160"/>
        <v>3.8711404031225e-5</v>
      </c>
    </row>
    <row r="571" ht="13.85" spans="1:15">
      <c r="A571" s="43">
        <v>38615</v>
      </c>
      <c r="B571" s="11">
        <v>20749764</v>
      </c>
      <c r="C571" s="11">
        <v>2499199</v>
      </c>
      <c r="D571" s="11">
        <v>68</v>
      </c>
      <c r="E571">
        <f t="shared" si="161"/>
        <v>68</v>
      </c>
      <c r="F571">
        <f t="shared" si="158"/>
        <v>10374882</v>
      </c>
      <c r="G571">
        <f t="shared" si="151"/>
        <v>1037.4882</v>
      </c>
      <c r="H571">
        <f t="shared" si="150"/>
        <v>6800</v>
      </c>
      <c r="I571">
        <f t="shared" si="159"/>
        <v>3264</v>
      </c>
      <c r="J571">
        <f t="shared" si="147"/>
        <v>4.33739872896868e-5</v>
      </c>
      <c r="K571">
        <f t="shared" si="156"/>
        <v>159840262</v>
      </c>
      <c r="L571">
        <f t="shared" si="162"/>
        <v>4.25424728095103e-5</v>
      </c>
      <c r="M571">
        <f t="shared" si="152"/>
        <v>23248963</v>
      </c>
      <c r="N571">
        <f t="shared" si="157"/>
        <v>202302543</v>
      </c>
      <c r="O571">
        <f t="shared" si="160"/>
        <v>4.46569719357726e-5</v>
      </c>
    </row>
    <row r="572" ht="13.85" spans="1:15">
      <c r="A572" s="43">
        <v>38523</v>
      </c>
      <c r="B572" s="11">
        <v>17973304</v>
      </c>
      <c r="C572" s="11">
        <v>2180324</v>
      </c>
      <c r="D572" s="11">
        <v>59</v>
      </c>
      <c r="E572">
        <f t="shared" si="161"/>
        <v>59</v>
      </c>
      <c r="F572">
        <f t="shared" si="158"/>
        <v>8986652</v>
      </c>
      <c r="G572">
        <f t="shared" si="151"/>
        <v>898.6652</v>
      </c>
      <c r="H572">
        <f t="shared" si="150"/>
        <v>5900</v>
      </c>
      <c r="I572">
        <f t="shared" si="159"/>
        <v>2832</v>
      </c>
      <c r="J572">
        <f t="shared" ref="J572:J593" si="163">IF(H572&gt;H573,(H572-H573)/B572,0)</f>
        <v>4.45104583998579e-5</v>
      </c>
      <c r="K572">
        <f t="shared" si="156"/>
        <v>141866958</v>
      </c>
      <c r="L572">
        <f t="shared" si="162"/>
        <v>4.15882604601982e-5</v>
      </c>
      <c r="M572">
        <f t="shared" si="152"/>
        <v>20153628</v>
      </c>
      <c r="N572">
        <f t="shared" si="157"/>
        <v>179053580</v>
      </c>
      <c r="O572">
        <f t="shared" si="160"/>
        <v>3.58538741298657e-5</v>
      </c>
    </row>
    <row r="573" ht="13.85" spans="1:15">
      <c r="A573" s="43">
        <v>38403</v>
      </c>
      <c r="B573" s="11">
        <v>19893974</v>
      </c>
      <c r="C573" s="11">
        <v>2418817</v>
      </c>
      <c r="D573" s="11">
        <v>51</v>
      </c>
      <c r="E573">
        <f t="shared" si="161"/>
        <v>51</v>
      </c>
      <c r="F573">
        <f t="shared" si="158"/>
        <v>9946987</v>
      </c>
      <c r="G573">
        <f t="shared" si="151"/>
        <v>994.6987</v>
      </c>
      <c r="H573">
        <f t="shared" si="150"/>
        <v>5100</v>
      </c>
      <c r="I573">
        <f t="shared" si="159"/>
        <v>2448</v>
      </c>
      <c r="J573">
        <f t="shared" si="163"/>
        <v>4.0213182142492e-5</v>
      </c>
      <c r="K573">
        <f t="shared" si="156"/>
        <v>121972984</v>
      </c>
      <c r="L573">
        <f t="shared" si="162"/>
        <v>4.18125377665598e-5</v>
      </c>
      <c r="M573">
        <f t="shared" si="152"/>
        <v>22312791</v>
      </c>
      <c r="N573">
        <f t="shared" si="157"/>
        <v>158899952</v>
      </c>
      <c r="O573">
        <f t="shared" si="160"/>
        <v>4.26715232549667e-5</v>
      </c>
    </row>
    <row r="574" ht="13.9" spans="1:15">
      <c r="A574" s="42" t="s">
        <v>453</v>
      </c>
      <c r="B574" s="11">
        <v>16707322</v>
      </c>
      <c r="C574" s="11">
        <v>2040544</v>
      </c>
      <c r="D574" s="11">
        <v>43</v>
      </c>
      <c r="E574">
        <f t="shared" si="161"/>
        <v>43</v>
      </c>
      <c r="F574">
        <f t="shared" si="158"/>
        <v>8353661</v>
      </c>
      <c r="G574">
        <f t="shared" si="151"/>
        <v>835.3661</v>
      </c>
      <c r="H574">
        <f t="shared" si="150"/>
        <v>4300</v>
      </c>
      <c r="I574">
        <f t="shared" si="159"/>
        <v>2064</v>
      </c>
      <c r="J574">
        <f t="shared" si="163"/>
        <v>3.59123981688986e-5</v>
      </c>
      <c r="K574">
        <f t="shared" ref="K574:K605" si="164">IF(E574&gt;E575,B575+K575,B575)</f>
        <v>105265662</v>
      </c>
      <c r="L574">
        <f t="shared" si="162"/>
        <v>4.08490282424671e-5</v>
      </c>
      <c r="M574">
        <f t="shared" si="152"/>
        <v>18747866</v>
      </c>
      <c r="N574">
        <f t="shared" si="157"/>
        <v>136587161</v>
      </c>
      <c r="O574">
        <f t="shared" si="160"/>
        <v>2.97728199857398e-5</v>
      </c>
    </row>
    <row r="575" ht="13.9" spans="1:15">
      <c r="A575" s="42" t="s">
        <v>454</v>
      </c>
      <c r="B575" s="11">
        <v>17953036</v>
      </c>
      <c r="C575" s="11">
        <v>2199573</v>
      </c>
      <c r="D575" s="11">
        <v>37</v>
      </c>
      <c r="E575">
        <f t="shared" si="161"/>
        <v>37</v>
      </c>
      <c r="F575">
        <f t="shared" si="158"/>
        <v>8976518</v>
      </c>
      <c r="G575">
        <f t="shared" si="151"/>
        <v>897.6518</v>
      </c>
      <c r="H575">
        <f t="shared" si="150"/>
        <v>3700</v>
      </c>
      <c r="I575">
        <f t="shared" si="159"/>
        <v>1776</v>
      </c>
      <c r="J575">
        <f t="shared" si="163"/>
        <v>4.4560708283546e-5</v>
      </c>
      <c r="K575">
        <f t="shared" si="164"/>
        <v>87312626</v>
      </c>
      <c r="L575">
        <f t="shared" si="162"/>
        <v>4.23764599635338e-5</v>
      </c>
      <c r="M575">
        <f t="shared" si="152"/>
        <v>20152609</v>
      </c>
      <c r="N575">
        <f t="shared" si="157"/>
        <v>117839295</v>
      </c>
      <c r="O575">
        <f t="shared" si="160"/>
        <v>4.5190831277433e-5</v>
      </c>
    </row>
    <row r="576" ht="13.9" spans="1:15">
      <c r="A576" s="42" t="s">
        <v>455</v>
      </c>
      <c r="B576" s="11">
        <v>15771892</v>
      </c>
      <c r="C576" s="11">
        <v>1930814</v>
      </c>
      <c r="D576" s="11">
        <v>29</v>
      </c>
      <c r="E576">
        <f t="shared" si="161"/>
        <v>29</v>
      </c>
      <c r="F576">
        <f t="shared" si="158"/>
        <v>7885946</v>
      </c>
      <c r="G576">
        <f t="shared" si="151"/>
        <v>788.5946</v>
      </c>
      <c r="H576">
        <f t="shared" si="150"/>
        <v>2900</v>
      </c>
      <c r="I576">
        <f t="shared" si="159"/>
        <v>1392</v>
      </c>
      <c r="J576">
        <f t="shared" si="163"/>
        <v>3.1701967018288e-5</v>
      </c>
      <c r="K576">
        <f t="shared" si="164"/>
        <v>71540734</v>
      </c>
      <c r="L576">
        <f t="shared" si="162"/>
        <v>4.05363467475746e-5</v>
      </c>
      <c r="M576">
        <f t="shared" si="152"/>
        <v>17702706</v>
      </c>
      <c r="N576">
        <f t="shared" si="157"/>
        <v>97686686</v>
      </c>
      <c r="O576">
        <f t="shared" si="160"/>
        <v>2.54679104582905e-5</v>
      </c>
    </row>
    <row r="577" ht="13.9" spans="1:15">
      <c r="A577" s="42" t="s">
        <v>456</v>
      </c>
      <c r="B577" s="11">
        <v>17479330</v>
      </c>
      <c r="C577" s="11">
        <v>2153219</v>
      </c>
      <c r="D577" s="11">
        <v>24</v>
      </c>
      <c r="E577">
        <f t="shared" si="161"/>
        <v>24</v>
      </c>
      <c r="F577">
        <f t="shared" si="158"/>
        <v>8739665</v>
      </c>
      <c r="G577">
        <f t="shared" si="151"/>
        <v>873.9665</v>
      </c>
      <c r="H577">
        <f t="shared" si="150"/>
        <v>2400</v>
      </c>
      <c r="I577">
        <f t="shared" si="159"/>
        <v>1152</v>
      </c>
      <c r="J577">
        <f t="shared" si="163"/>
        <v>1.14420861669183e-5</v>
      </c>
      <c r="K577">
        <f t="shared" si="164"/>
        <v>54061404</v>
      </c>
      <c r="L577">
        <f t="shared" si="162"/>
        <v>4.43939635751968e-5</v>
      </c>
      <c r="M577">
        <f t="shared" si="152"/>
        <v>19632549</v>
      </c>
      <c r="N577">
        <f t="shared" si="157"/>
        <v>79983980</v>
      </c>
      <c r="O577">
        <f t="shared" si="160"/>
        <v>1.17625664790851e-5</v>
      </c>
    </row>
    <row r="578" ht="13.9" spans="1:15">
      <c r="A578" s="42" t="s">
        <v>457</v>
      </c>
      <c r="B578" s="11">
        <v>15139292</v>
      </c>
      <c r="C578" s="11">
        <v>1863800</v>
      </c>
      <c r="D578" s="11">
        <v>22</v>
      </c>
      <c r="E578">
        <f t="shared" si="161"/>
        <v>22</v>
      </c>
      <c r="F578">
        <f t="shared" si="158"/>
        <v>7569646</v>
      </c>
      <c r="G578">
        <f t="shared" si="151"/>
        <v>756.9646</v>
      </c>
      <c r="H578">
        <f t="shared" si="150"/>
        <v>2200</v>
      </c>
      <c r="I578">
        <f t="shared" si="159"/>
        <v>1056</v>
      </c>
      <c r="J578">
        <f t="shared" si="163"/>
        <v>1.32106574072288e-5</v>
      </c>
      <c r="K578">
        <f t="shared" si="164"/>
        <v>38922112</v>
      </c>
      <c r="L578">
        <f t="shared" si="162"/>
        <v>5.6523140368128e-5</v>
      </c>
      <c r="M578">
        <f t="shared" si="152"/>
        <v>17003092</v>
      </c>
      <c r="N578">
        <f t="shared" si="157"/>
        <v>60351431</v>
      </c>
      <c r="O578">
        <f t="shared" si="160"/>
        <v>1.0436374019607e-5</v>
      </c>
    </row>
    <row r="579" s="9" customFormat="1" ht="13.85" spans="1:15">
      <c r="A579" s="45">
        <v>38311</v>
      </c>
      <c r="B579" s="20">
        <v>17109068</v>
      </c>
      <c r="C579" s="20">
        <v>2054676</v>
      </c>
      <c r="D579" s="20">
        <v>20</v>
      </c>
      <c r="E579" s="9">
        <f t="shared" si="161"/>
        <v>20</v>
      </c>
      <c r="F579" s="9">
        <f t="shared" si="158"/>
        <v>8554534</v>
      </c>
      <c r="G579" s="9">
        <f t="shared" si="151"/>
        <v>855.4534</v>
      </c>
      <c r="H579" s="9">
        <f>E579*100</f>
        <v>2000</v>
      </c>
      <c r="I579" s="9">
        <f t="shared" si="159"/>
        <v>960</v>
      </c>
      <c r="J579" s="9">
        <f t="shared" si="163"/>
        <v>0</v>
      </c>
      <c r="K579" s="9">
        <f t="shared" si="164"/>
        <v>21813044</v>
      </c>
      <c r="L579" s="9">
        <f t="shared" si="162"/>
        <v>0</v>
      </c>
      <c r="M579" s="9">
        <f t="shared" si="152"/>
        <v>19163744</v>
      </c>
      <c r="N579" s="9">
        <f t="shared" si="157"/>
        <v>43348339</v>
      </c>
      <c r="O579" s="9">
        <f t="shared" si="160"/>
        <v>8.26972707213001e-5</v>
      </c>
    </row>
    <row r="580" ht="13.85" spans="1:15">
      <c r="A580" s="43">
        <v>38219</v>
      </c>
      <c r="B580" s="11">
        <v>21813044</v>
      </c>
      <c r="C580" s="11">
        <v>2371551</v>
      </c>
      <c r="D580" s="11">
        <v>190</v>
      </c>
      <c r="E580">
        <f t="shared" si="161"/>
        <v>190</v>
      </c>
      <c r="F580">
        <f t="shared" ref="F580:F643" si="165">B580/2</f>
        <v>10906522</v>
      </c>
      <c r="G580">
        <f t="shared" ref="G580:G643" si="166">F580/10000</f>
        <v>1090.6522</v>
      </c>
      <c r="H580">
        <f t="shared" ref="H580:H591" si="167">E580*1000000</f>
        <v>190000000</v>
      </c>
      <c r="I580">
        <f t="shared" si="159"/>
        <v>91200000</v>
      </c>
      <c r="J580">
        <f t="shared" si="163"/>
        <v>0.458441288616114</v>
      </c>
      <c r="K580">
        <f t="shared" si="164"/>
        <v>392296386</v>
      </c>
      <c r="L580">
        <f t="shared" si="162"/>
        <v>0.484327683814044</v>
      </c>
      <c r="M580">
        <f t="shared" si="152"/>
        <v>24184595</v>
      </c>
      <c r="N580">
        <f t="shared" si="157"/>
        <v>459903974</v>
      </c>
      <c r="O580">
        <f t="shared" si="160"/>
        <v>0.382201269099314</v>
      </c>
    </row>
    <row r="581" ht="13.85" spans="1:15">
      <c r="A581" s="43">
        <v>38097</v>
      </c>
      <c r="B581" s="11">
        <v>23581666</v>
      </c>
      <c r="C581" s="11">
        <v>2582559</v>
      </c>
      <c r="D581" s="11">
        <v>180</v>
      </c>
      <c r="E581">
        <f t="shared" si="161"/>
        <v>180</v>
      </c>
      <c r="F581">
        <f t="shared" si="165"/>
        <v>11790833</v>
      </c>
      <c r="G581">
        <f t="shared" si="166"/>
        <v>1179.0833</v>
      </c>
      <c r="H581">
        <f t="shared" si="167"/>
        <v>180000000</v>
      </c>
      <c r="I581">
        <f t="shared" si="159"/>
        <v>86400000</v>
      </c>
      <c r="J581">
        <f t="shared" si="163"/>
        <v>0.42405824931962</v>
      </c>
      <c r="K581">
        <f t="shared" si="164"/>
        <v>368714720</v>
      </c>
      <c r="L581">
        <f t="shared" si="162"/>
        <v>0.488182299855021</v>
      </c>
      <c r="M581">
        <f t="shared" si="152"/>
        <v>26164225</v>
      </c>
      <c r="N581">
        <f t="shared" si="157"/>
        <v>435719379</v>
      </c>
      <c r="O581">
        <f t="shared" ref="O581:O610" si="168">IF(H581&gt;H582,(H581-H582)/M582,H581/M582)</f>
        <v>0.414823691427258</v>
      </c>
    </row>
    <row r="582" ht="13.85" spans="1:15">
      <c r="A582" s="43">
        <v>38006</v>
      </c>
      <c r="B582" s="11">
        <v>21751484</v>
      </c>
      <c r="C582" s="11">
        <v>2355143</v>
      </c>
      <c r="D582" s="11">
        <v>170</v>
      </c>
      <c r="E582">
        <f t="shared" si="161"/>
        <v>170</v>
      </c>
      <c r="F582">
        <f t="shared" si="165"/>
        <v>10875742</v>
      </c>
      <c r="G582">
        <f t="shared" si="166"/>
        <v>1087.5742</v>
      </c>
      <c r="H582">
        <f t="shared" si="167"/>
        <v>170000000</v>
      </c>
      <c r="I582">
        <f t="shared" si="159"/>
        <v>81600000</v>
      </c>
      <c r="J582">
        <f t="shared" si="163"/>
        <v>0.459738747020663</v>
      </c>
      <c r="K582">
        <f t="shared" si="164"/>
        <v>346963236</v>
      </c>
      <c r="L582">
        <f t="shared" si="162"/>
        <v>0.489965455590805</v>
      </c>
      <c r="M582">
        <f t="shared" si="152"/>
        <v>24106627</v>
      </c>
      <c r="N582">
        <f t="shared" si="157"/>
        <v>409555154</v>
      </c>
      <c r="O582">
        <f t="shared" si="168"/>
        <v>0.381509064445541</v>
      </c>
    </row>
    <row r="583" ht="13.9" spans="1:15">
      <c r="A583" s="42" t="s">
        <v>458</v>
      </c>
      <c r="B583" s="11">
        <v>23640446</v>
      </c>
      <c r="C583" s="11">
        <v>2571251</v>
      </c>
      <c r="D583" s="11">
        <v>160</v>
      </c>
      <c r="E583">
        <f t="shared" si="161"/>
        <v>160</v>
      </c>
      <c r="F583">
        <f t="shared" si="165"/>
        <v>11820223</v>
      </c>
      <c r="G583">
        <f t="shared" si="166"/>
        <v>1182.0223</v>
      </c>
      <c r="H583">
        <f t="shared" si="167"/>
        <v>160000000</v>
      </c>
      <c r="I583">
        <f t="shared" ref="I583:I601" si="169">H583*0.48</f>
        <v>76800000</v>
      </c>
      <c r="J583">
        <f t="shared" si="163"/>
        <v>0.423003863801893</v>
      </c>
      <c r="K583">
        <f t="shared" si="164"/>
        <v>323322790</v>
      </c>
      <c r="L583">
        <f t="shared" si="162"/>
        <v>0.494861497390889</v>
      </c>
      <c r="M583">
        <f t="shared" ref="M583:M646" si="170">B583+C583</f>
        <v>26211697</v>
      </c>
      <c r="N583">
        <f t="shared" si="157"/>
        <v>385448527</v>
      </c>
      <c r="O583">
        <f t="shared" si="168"/>
        <v>0.41632224674129</v>
      </c>
    </row>
    <row r="584" ht="13.9" spans="1:15">
      <c r="A584" s="42" t="s">
        <v>459</v>
      </c>
      <c r="B584" s="11">
        <v>21695328</v>
      </c>
      <c r="C584" s="11">
        <v>2324527</v>
      </c>
      <c r="D584" s="11">
        <v>150</v>
      </c>
      <c r="E584">
        <f t="shared" si="161"/>
        <v>150</v>
      </c>
      <c r="F584">
        <f t="shared" si="165"/>
        <v>10847664</v>
      </c>
      <c r="G584">
        <f t="shared" si="166"/>
        <v>1084.7664</v>
      </c>
      <c r="H584">
        <f t="shared" si="167"/>
        <v>150000000</v>
      </c>
      <c r="I584">
        <f t="shared" si="169"/>
        <v>72000000</v>
      </c>
      <c r="J584">
        <f t="shared" si="163"/>
        <v>0.460928730830896</v>
      </c>
      <c r="K584">
        <f t="shared" si="164"/>
        <v>301627462</v>
      </c>
      <c r="L584">
        <f t="shared" si="162"/>
        <v>0.4973021985644</v>
      </c>
      <c r="M584">
        <f t="shared" si="170"/>
        <v>24019855</v>
      </c>
      <c r="N584">
        <f t="shared" si="157"/>
        <v>359236830</v>
      </c>
      <c r="O584">
        <f t="shared" si="168"/>
        <v>0.362958858032708</v>
      </c>
    </row>
    <row r="585" ht="13.9" spans="1:15">
      <c r="A585" s="42" t="s">
        <v>460</v>
      </c>
      <c r="B585" s="11">
        <v>24886102</v>
      </c>
      <c r="C585" s="11">
        <v>2665230</v>
      </c>
      <c r="D585" s="11">
        <v>140</v>
      </c>
      <c r="E585">
        <f t="shared" si="161"/>
        <v>140</v>
      </c>
      <c r="F585">
        <f t="shared" si="165"/>
        <v>12443051</v>
      </c>
      <c r="G585">
        <f t="shared" si="166"/>
        <v>1244.3051</v>
      </c>
      <c r="H585">
        <f t="shared" si="167"/>
        <v>140000000</v>
      </c>
      <c r="I585">
        <f t="shared" si="169"/>
        <v>67200000</v>
      </c>
      <c r="J585">
        <f t="shared" si="163"/>
        <v>0.401830708561751</v>
      </c>
      <c r="K585">
        <f t="shared" si="164"/>
        <v>276741360</v>
      </c>
      <c r="L585">
        <f t="shared" si="162"/>
        <v>0.505887518945488</v>
      </c>
      <c r="M585">
        <f t="shared" si="170"/>
        <v>27551332</v>
      </c>
      <c r="N585">
        <f t="shared" si="157"/>
        <v>335216975</v>
      </c>
      <c r="O585">
        <f t="shared" si="168"/>
        <v>0.373128452977345</v>
      </c>
    </row>
    <row r="586" ht="13.9" spans="1:15">
      <c r="A586" s="42" t="s">
        <v>461</v>
      </c>
      <c r="B586" s="11">
        <v>24274682</v>
      </c>
      <c r="C586" s="11">
        <v>2525740</v>
      </c>
      <c r="D586" s="11">
        <v>130</v>
      </c>
      <c r="E586">
        <f t="shared" si="161"/>
        <v>130</v>
      </c>
      <c r="F586">
        <f t="shared" si="165"/>
        <v>12137341</v>
      </c>
      <c r="G586">
        <f t="shared" si="166"/>
        <v>1213.7341</v>
      </c>
      <c r="H586">
        <f t="shared" si="167"/>
        <v>130000000</v>
      </c>
      <c r="I586">
        <f t="shared" si="169"/>
        <v>62400000</v>
      </c>
      <c r="J586">
        <f t="shared" si="163"/>
        <v>0.411951843488619</v>
      </c>
      <c r="K586">
        <f t="shared" si="164"/>
        <v>252466678</v>
      </c>
      <c r="L586">
        <f t="shared" si="162"/>
        <v>0.514919438200078</v>
      </c>
      <c r="M586">
        <f t="shared" si="170"/>
        <v>26800422</v>
      </c>
      <c r="N586">
        <f t="shared" si="157"/>
        <v>307665643</v>
      </c>
      <c r="O586">
        <f t="shared" si="168"/>
        <v>0.309406917063909</v>
      </c>
    </row>
    <row r="587" ht="13.9" spans="1:15">
      <c r="A587" s="42" t="s">
        <v>462</v>
      </c>
      <c r="B587" s="11">
        <v>29098764</v>
      </c>
      <c r="C587" s="11">
        <v>3221134</v>
      </c>
      <c r="D587" s="11">
        <v>120</v>
      </c>
      <c r="E587">
        <f t="shared" si="161"/>
        <v>120</v>
      </c>
      <c r="F587">
        <f t="shared" si="165"/>
        <v>14549382</v>
      </c>
      <c r="G587">
        <f t="shared" si="166"/>
        <v>1454.9382</v>
      </c>
      <c r="H587">
        <f t="shared" si="167"/>
        <v>120000000</v>
      </c>
      <c r="I587">
        <f t="shared" si="169"/>
        <v>57600000</v>
      </c>
      <c r="J587">
        <f t="shared" si="163"/>
        <v>0.343657208258055</v>
      </c>
      <c r="K587">
        <f t="shared" si="164"/>
        <v>223367914</v>
      </c>
      <c r="L587">
        <f t="shared" si="162"/>
        <v>0.537230248745574</v>
      </c>
      <c r="M587">
        <f t="shared" si="170"/>
        <v>32319898</v>
      </c>
      <c r="N587">
        <f t="shared" si="157"/>
        <v>280865221</v>
      </c>
      <c r="O587">
        <f t="shared" si="168"/>
        <v>0.338394073095489</v>
      </c>
    </row>
    <row r="588" ht="13.85" spans="1:15">
      <c r="A588" s="43">
        <v>37945</v>
      </c>
      <c r="B588" s="11">
        <v>26668372</v>
      </c>
      <c r="C588" s="11">
        <v>2882973</v>
      </c>
      <c r="D588" s="11">
        <v>110</v>
      </c>
      <c r="E588">
        <f t="shared" si="161"/>
        <v>110</v>
      </c>
      <c r="F588">
        <f t="shared" si="165"/>
        <v>13334186</v>
      </c>
      <c r="G588">
        <f t="shared" si="166"/>
        <v>1333.4186</v>
      </c>
      <c r="H588">
        <f t="shared" si="167"/>
        <v>110000000</v>
      </c>
      <c r="I588">
        <f t="shared" si="169"/>
        <v>52800000</v>
      </c>
      <c r="J588">
        <f t="shared" si="163"/>
        <v>0.374976020283503</v>
      </c>
      <c r="K588">
        <f t="shared" si="164"/>
        <v>196699542</v>
      </c>
      <c r="L588">
        <f t="shared" si="162"/>
        <v>0.559228551737045</v>
      </c>
      <c r="M588">
        <f t="shared" si="170"/>
        <v>29551345</v>
      </c>
      <c r="N588">
        <f t="shared" si="157"/>
        <v>248545323</v>
      </c>
      <c r="O588">
        <f t="shared" si="168"/>
        <v>0.303679892725685</v>
      </c>
    </row>
    <row r="589" ht="13.85" spans="1:15">
      <c r="A589" s="43">
        <v>37822</v>
      </c>
      <c r="B589" s="11">
        <v>29661166</v>
      </c>
      <c r="C589" s="11">
        <v>3268245</v>
      </c>
      <c r="D589" s="11">
        <v>100</v>
      </c>
      <c r="E589">
        <f t="shared" si="161"/>
        <v>100</v>
      </c>
      <c r="F589">
        <f t="shared" si="165"/>
        <v>14830583</v>
      </c>
      <c r="G589">
        <f t="shared" si="166"/>
        <v>1483.0583</v>
      </c>
      <c r="H589">
        <f t="shared" si="167"/>
        <v>100000000</v>
      </c>
      <c r="I589">
        <f t="shared" si="169"/>
        <v>48000000</v>
      </c>
      <c r="J589">
        <f t="shared" si="163"/>
        <v>0.33714116296035</v>
      </c>
      <c r="K589">
        <f t="shared" si="164"/>
        <v>167038376</v>
      </c>
      <c r="L589">
        <f t="shared" si="162"/>
        <v>0.598664824183875</v>
      </c>
      <c r="M589">
        <f t="shared" si="170"/>
        <v>32929411</v>
      </c>
      <c r="N589">
        <f t="shared" si="157"/>
        <v>218993978</v>
      </c>
      <c r="O589">
        <f t="shared" si="168"/>
        <v>0.359124712520668</v>
      </c>
    </row>
    <row r="590" ht="13.85" spans="1:15">
      <c r="A590" s="43">
        <v>37731</v>
      </c>
      <c r="B590" s="11">
        <v>25046520</v>
      </c>
      <c r="C590" s="11">
        <v>2798960</v>
      </c>
      <c r="D590" s="11">
        <v>90</v>
      </c>
      <c r="E590">
        <f t="shared" si="161"/>
        <v>90</v>
      </c>
      <c r="F590">
        <f t="shared" si="165"/>
        <v>12523260</v>
      </c>
      <c r="G590">
        <f t="shared" si="166"/>
        <v>1252.326</v>
      </c>
      <c r="H590">
        <f t="shared" si="167"/>
        <v>90000000</v>
      </c>
      <c r="I590">
        <f t="shared" si="169"/>
        <v>43200000</v>
      </c>
      <c r="J590">
        <f t="shared" si="163"/>
        <v>0.399257062458178</v>
      </c>
      <c r="K590">
        <f t="shared" si="164"/>
        <v>141991856</v>
      </c>
      <c r="L590">
        <f t="shared" si="162"/>
        <v>0.633839168916843</v>
      </c>
      <c r="M590">
        <f t="shared" si="170"/>
        <v>27845480</v>
      </c>
      <c r="N590">
        <f t="shared" si="157"/>
        <v>186064567</v>
      </c>
      <c r="O590">
        <f t="shared" si="168"/>
        <v>0.334122296311614</v>
      </c>
    </row>
    <row r="591" ht="13.9" spans="1:15">
      <c r="A591" s="42" t="s">
        <v>463</v>
      </c>
      <c r="B591" s="11">
        <v>26838898</v>
      </c>
      <c r="C591" s="11">
        <v>3090263</v>
      </c>
      <c r="D591" s="11">
        <v>80</v>
      </c>
      <c r="E591">
        <f t="shared" si="161"/>
        <v>80</v>
      </c>
      <c r="F591">
        <f t="shared" si="165"/>
        <v>13419449</v>
      </c>
      <c r="G591">
        <f t="shared" si="166"/>
        <v>1341.9449</v>
      </c>
      <c r="H591">
        <f t="shared" si="167"/>
        <v>80000000</v>
      </c>
      <c r="I591">
        <f t="shared" si="169"/>
        <v>38400000</v>
      </c>
      <c r="J591">
        <f t="shared" si="163"/>
        <v>0.372593539421775</v>
      </c>
      <c r="K591">
        <f t="shared" si="164"/>
        <v>115152958</v>
      </c>
      <c r="L591">
        <f t="shared" si="162"/>
        <v>0.694728137161705</v>
      </c>
      <c r="M591">
        <f t="shared" si="170"/>
        <v>29929161</v>
      </c>
      <c r="N591">
        <f t="shared" si="157"/>
        <v>158219087</v>
      </c>
      <c r="O591">
        <f t="shared" si="168"/>
        <v>0.390452041947044</v>
      </c>
    </row>
    <row r="592" ht="13.9" spans="1:15">
      <c r="A592" s="42" t="s">
        <v>464</v>
      </c>
      <c r="B592" s="11">
        <v>23023408</v>
      </c>
      <c r="C592" s="11">
        <v>2587932</v>
      </c>
      <c r="D592" s="11">
        <v>70</v>
      </c>
      <c r="E592">
        <f t="shared" si="161"/>
        <v>70</v>
      </c>
      <c r="F592">
        <f t="shared" si="165"/>
        <v>11511704</v>
      </c>
      <c r="G592">
        <f t="shared" si="166"/>
        <v>1151.1704</v>
      </c>
      <c r="H592">
        <f t="shared" ref="H592:H655" si="171">E592*1000000</f>
        <v>70000000</v>
      </c>
      <c r="I592">
        <f t="shared" si="169"/>
        <v>33600000</v>
      </c>
      <c r="J592">
        <f t="shared" si="163"/>
        <v>0.434340563308438</v>
      </c>
      <c r="K592">
        <f t="shared" si="164"/>
        <v>92129550</v>
      </c>
      <c r="L592">
        <f t="shared" si="162"/>
        <v>0.759799651686131</v>
      </c>
      <c r="M592">
        <f t="shared" si="170"/>
        <v>25611340</v>
      </c>
      <c r="N592">
        <f t="shared" si="157"/>
        <v>128289926</v>
      </c>
      <c r="O592">
        <f t="shared" si="168"/>
        <v>0.359375606446336</v>
      </c>
    </row>
    <row r="593" ht="13.9" spans="1:15">
      <c r="A593" s="42" t="s">
        <v>465</v>
      </c>
      <c r="B593" s="11">
        <v>24964420</v>
      </c>
      <c r="C593" s="11">
        <v>2861620</v>
      </c>
      <c r="D593" s="11">
        <v>60</v>
      </c>
      <c r="E593">
        <f t="shared" si="161"/>
        <v>60</v>
      </c>
      <c r="F593">
        <f t="shared" si="165"/>
        <v>12482210</v>
      </c>
      <c r="G593">
        <f t="shared" si="166"/>
        <v>1248.221</v>
      </c>
      <c r="H593">
        <f t="shared" si="171"/>
        <v>60000000</v>
      </c>
      <c r="I593">
        <f t="shared" si="169"/>
        <v>28800000</v>
      </c>
      <c r="J593">
        <f t="shared" si="163"/>
        <v>0.400570091354015</v>
      </c>
      <c r="K593">
        <f t="shared" si="164"/>
        <v>67165130</v>
      </c>
      <c r="L593">
        <f t="shared" si="162"/>
        <v>0.893320685897578</v>
      </c>
      <c r="M593">
        <f t="shared" si="170"/>
        <v>27826040</v>
      </c>
      <c r="N593">
        <f t="shared" si="157"/>
        <v>102678586</v>
      </c>
      <c r="O593">
        <f t="shared" si="168"/>
        <v>0.41714412287731</v>
      </c>
    </row>
    <row r="594" ht="13.9" spans="1:15">
      <c r="A594" s="42" t="s">
        <v>466</v>
      </c>
      <c r="B594" s="11">
        <v>21532056</v>
      </c>
      <c r="C594" s="11">
        <v>2440474</v>
      </c>
      <c r="D594" s="11">
        <v>50</v>
      </c>
      <c r="E594">
        <f t="shared" si="161"/>
        <v>50</v>
      </c>
      <c r="F594">
        <f t="shared" si="165"/>
        <v>10766028</v>
      </c>
      <c r="G594">
        <f t="shared" si="166"/>
        <v>1076.6028</v>
      </c>
      <c r="H594">
        <f t="shared" si="171"/>
        <v>50000000</v>
      </c>
      <c r="I594">
        <f t="shared" si="169"/>
        <v>24000000</v>
      </c>
      <c r="K594">
        <f t="shared" si="164"/>
        <v>45633074</v>
      </c>
      <c r="L594">
        <f t="shared" si="162"/>
        <v>1.09569651170114</v>
      </c>
      <c r="M594">
        <f t="shared" si="170"/>
        <v>23972530</v>
      </c>
      <c r="N594">
        <f t="shared" si="157"/>
        <v>74852546</v>
      </c>
      <c r="O594">
        <f t="shared" si="168"/>
        <v>0.38629766637966</v>
      </c>
    </row>
    <row r="595" ht="13.9" spans="1:14">
      <c r="A595" s="42" t="s">
        <v>467</v>
      </c>
      <c r="B595" s="11">
        <v>23183108</v>
      </c>
      <c r="C595" s="11">
        <v>2703665</v>
      </c>
      <c r="D595" s="11">
        <v>40</v>
      </c>
      <c r="E595">
        <f t="shared" si="161"/>
        <v>40</v>
      </c>
      <c r="F595">
        <f t="shared" si="165"/>
        <v>11591554</v>
      </c>
      <c r="G595">
        <f t="shared" si="166"/>
        <v>1159.1554</v>
      </c>
      <c r="H595">
        <f t="shared" si="171"/>
        <v>40000000</v>
      </c>
      <c r="I595">
        <f t="shared" si="169"/>
        <v>19200000</v>
      </c>
      <c r="K595">
        <f t="shared" si="164"/>
        <v>22449966</v>
      </c>
      <c r="L595">
        <f t="shared" ref="L595:L637" si="172">IF(E595&gt;E596,H595/K595,0)</f>
        <v>0</v>
      </c>
      <c r="M595">
        <f t="shared" si="170"/>
        <v>25886773</v>
      </c>
      <c r="N595">
        <f t="shared" si="157"/>
        <v>50880016</v>
      </c>
    </row>
    <row r="596" ht="13.85" spans="1:15">
      <c r="A596" s="43">
        <v>37610</v>
      </c>
      <c r="B596" s="11">
        <v>22449966</v>
      </c>
      <c r="C596" s="11">
        <v>2543277</v>
      </c>
      <c r="D596" s="11">
        <v>70</v>
      </c>
      <c r="E596">
        <f t="shared" si="161"/>
        <v>70</v>
      </c>
      <c r="F596">
        <f t="shared" si="165"/>
        <v>11224983</v>
      </c>
      <c r="G596">
        <f t="shared" si="166"/>
        <v>1122.4983</v>
      </c>
      <c r="H596">
        <f t="shared" si="171"/>
        <v>70000000</v>
      </c>
      <c r="I596">
        <f t="shared" si="169"/>
        <v>33600000</v>
      </c>
      <c r="K596">
        <f t="shared" si="164"/>
        <v>143449434</v>
      </c>
      <c r="L596">
        <f t="shared" si="172"/>
        <v>0.487976829521684</v>
      </c>
      <c r="M596">
        <f t="shared" si="170"/>
        <v>24993243</v>
      </c>
      <c r="N596">
        <f t="shared" si="157"/>
        <v>182799816</v>
      </c>
      <c r="O596">
        <f t="shared" si="168"/>
        <v>0.364971069473265</v>
      </c>
    </row>
    <row r="597" ht="13.85" spans="1:15">
      <c r="A597" s="43">
        <v>37488</v>
      </c>
      <c r="B597" s="11">
        <v>24540412</v>
      </c>
      <c r="C597" s="11">
        <v>2859020</v>
      </c>
      <c r="D597" s="11">
        <v>60</v>
      </c>
      <c r="E597">
        <f t="shared" si="161"/>
        <v>60</v>
      </c>
      <c r="F597">
        <f t="shared" si="165"/>
        <v>12270206</v>
      </c>
      <c r="G597">
        <f t="shared" si="166"/>
        <v>1227.0206</v>
      </c>
      <c r="H597">
        <f t="shared" si="171"/>
        <v>60000000</v>
      </c>
      <c r="I597">
        <f t="shared" si="169"/>
        <v>28800000</v>
      </c>
      <c r="K597">
        <f t="shared" si="164"/>
        <v>118909022</v>
      </c>
      <c r="L597">
        <f t="shared" si="172"/>
        <v>0.50458744837713</v>
      </c>
      <c r="M597">
        <f t="shared" si="170"/>
        <v>27399432</v>
      </c>
      <c r="N597">
        <f t="shared" si="157"/>
        <v>157806573</v>
      </c>
      <c r="O597">
        <f t="shared" si="168"/>
        <v>0.41016974875052</v>
      </c>
    </row>
    <row r="598" ht="13.85" spans="1:15">
      <c r="A598" s="43">
        <v>37396</v>
      </c>
      <c r="B598" s="11">
        <v>21863684</v>
      </c>
      <c r="C598" s="11">
        <v>2516466</v>
      </c>
      <c r="D598" s="11">
        <v>50</v>
      </c>
      <c r="E598">
        <f t="shared" si="161"/>
        <v>50</v>
      </c>
      <c r="F598">
        <f t="shared" si="165"/>
        <v>10931842</v>
      </c>
      <c r="G598">
        <f t="shared" si="166"/>
        <v>1093.1842</v>
      </c>
      <c r="H598">
        <f t="shared" si="171"/>
        <v>50000000</v>
      </c>
      <c r="I598">
        <f t="shared" si="169"/>
        <v>24000000</v>
      </c>
      <c r="K598">
        <f t="shared" si="164"/>
        <v>97045338</v>
      </c>
      <c r="L598">
        <f t="shared" si="172"/>
        <v>0.515223101185963</v>
      </c>
      <c r="M598">
        <f t="shared" si="170"/>
        <v>24380150</v>
      </c>
      <c r="N598">
        <f t="shared" si="157"/>
        <v>130407141</v>
      </c>
      <c r="O598">
        <f t="shared" si="168"/>
        <v>0.335191860469014</v>
      </c>
    </row>
    <row r="599" s="18" customFormat="1" ht="13.85" spans="1:15">
      <c r="A599" s="46">
        <v>37276</v>
      </c>
      <c r="B599" s="17">
        <v>26779120</v>
      </c>
      <c r="C599" s="17">
        <v>3054540</v>
      </c>
      <c r="D599" s="17">
        <v>40</v>
      </c>
      <c r="E599" s="18">
        <f t="shared" si="161"/>
        <v>40</v>
      </c>
      <c r="F599" s="18">
        <f t="shared" si="165"/>
        <v>13389560</v>
      </c>
      <c r="G599" s="18">
        <f t="shared" si="166"/>
        <v>1338.956</v>
      </c>
      <c r="H599" s="18">
        <f t="shared" si="171"/>
        <v>40000000</v>
      </c>
      <c r="I599">
        <f t="shared" si="169"/>
        <v>19200000</v>
      </c>
      <c r="K599" s="18">
        <f t="shared" si="164"/>
        <v>70266218</v>
      </c>
      <c r="L599" s="18">
        <f t="shared" si="172"/>
        <v>0</v>
      </c>
      <c r="M599" s="18">
        <f t="shared" si="170"/>
        <v>29833660</v>
      </c>
      <c r="N599" s="18">
        <f t="shared" si="157"/>
        <v>106026991</v>
      </c>
      <c r="O599" s="18">
        <f t="shared" si="168"/>
        <v>0.524980329315173</v>
      </c>
    </row>
    <row r="600" ht="13.9" spans="1:15">
      <c r="A600" s="42" t="s">
        <v>468</v>
      </c>
      <c r="B600" s="11">
        <v>70266218</v>
      </c>
      <c r="C600" s="11">
        <v>5927113</v>
      </c>
      <c r="D600" s="27">
        <v>396.9</v>
      </c>
      <c r="E600">
        <f t="shared" si="161"/>
        <v>396.9</v>
      </c>
      <c r="F600">
        <f t="shared" si="165"/>
        <v>35133109</v>
      </c>
      <c r="G600">
        <f t="shared" si="166"/>
        <v>3513.3109</v>
      </c>
      <c r="H600">
        <f t="shared" si="171"/>
        <v>396900000</v>
      </c>
      <c r="I600">
        <f t="shared" si="169"/>
        <v>190512000</v>
      </c>
      <c r="K600">
        <f t="shared" si="164"/>
        <v>847320014</v>
      </c>
      <c r="L600">
        <f t="shared" si="172"/>
        <v>0.468418063355222</v>
      </c>
      <c r="M600">
        <f t="shared" si="170"/>
        <v>76193331</v>
      </c>
      <c r="N600">
        <f t="shared" si="157"/>
        <v>1007765673</v>
      </c>
      <c r="O600">
        <f t="shared" si="168"/>
        <v>0.339323461992627</v>
      </c>
    </row>
    <row r="601" ht="13.9" spans="1:15">
      <c r="A601" s="42" t="s">
        <v>469</v>
      </c>
      <c r="B601" s="11">
        <v>64724734</v>
      </c>
      <c r="C601" s="11">
        <v>5709535</v>
      </c>
      <c r="D601" s="11">
        <v>373</v>
      </c>
      <c r="E601">
        <f t="shared" si="161"/>
        <v>373</v>
      </c>
      <c r="F601">
        <f t="shared" si="165"/>
        <v>32362367</v>
      </c>
      <c r="G601">
        <f t="shared" si="166"/>
        <v>3236.2367</v>
      </c>
      <c r="H601">
        <f t="shared" si="171"/>
        <v>373000000</v>
      </c>
      <c r="I601">
        <f t="shared" si="169"/>
        <v>179040000</v>
      </c>
      <c r="K601">
        <f t="shared" si="164"/>
        <v>782595280</v>
      </c>
      <c r="L601">
        <f t="shared" si="172"/>
        <v>0.476619281424749</v>
      </c>
      <c r="M601">
        <f t="shared" si="170"/>
        <v>70434269</v>
      </c>
      <c r="N601">
        <f t="shared" si="157"/>
        <v>931572342</v>
      </c>
      <c r="O601">
        <f t="shared" si="168"/>
        <v>0.498159508183723</v>
      </c>
    </row>
    <row r="602" ht="13.9" spans="1:15">
      <c r="A602" s="42" t="s">
        <v>470</v>
      </c>
      <c r="B602" s="11">
        <v>55403528</v>
      </c>
      <c r="C602" s="11">
        <v>4818147</v>
      </c>
      <c r="D602" s="11">
        <v>343</v>
      </c>
      <c r="E602">
        <f t="shared" si="161"/>
        <v>343</v>
      </c>
      <c r="F602">
        <f t="shared" si="165"/>
        <v>27701764</v>
      </c>
      <c r="G602">
        <f t="shared" si="166"/>
        <v>2770.1764</v>
      </c>
      <c r="H602">
        <f t="shared" si="171"/>
        <v>343000000</v>
      </c>
      <c r="I602">
        <f t="shared" ref="I602:I633" si="173">H602*0.48</f>
        <v>164640000</v>
      </c>
      <c r="K602">
        <f t="shared" si="164"/>
        <v>727191752</v>
      </c>
      <c r="L602">
        <f t="shared" si="172"/>
        <v>0.471677517046425</v>
      </c>
      <c r="M602">
        <f t="shared" si="170"/>
        <v>60221675</v>
      </c>
      <c r="N602">
        <f t="shared" si="157"/>
        <v>861138073</v>
      </c>
      <c r="O602">
        <f t="shared" si="168"/>
        <v>0.374043318330739</v>
      </c>
    </row>
    <row r="603" ht="13.9" spans="1:15">
      <c r="A603" s="42" t="s">
        <v>471</v>
      </c>
      <c r="B603" s="11">
        <v>53922262</v>
      </c>
      <c r="C603" s="11">
        <v>4894455</v>
      </c>
      <c r="D603" s="11">
        <v>321</v>
      </c>
      <c r="E603">
        <f t="shared" si="161"/>
        <v>321</v>
      </c>
      <c r="F603">
        <f t="shared" si="165"/>
        <v>26961131</v>
      </c>
      <c r="G603">
        <f t="shared" si="166"/>
        <v>2696.1131</v>
      </c>
      <c r="H603">
        <f t="shared" si="171"/>
        <v>321000000</v>
      </c>
      <c r="I603">
        <f t="shared" si="173"/>
        <v>154080000</v>
      </c>
      <c r="K603">
        <f t="shared" si="164"/>
        <v>673269490</v>
      </c>
      <c r="L603">
        <f t="shared" si="172"/>
        <v>0.476777879835309</v>
      </c>
      <c r="M603">
        <f t="shared" si="170"/>
        <v>58816717</v>
      </c>
      <c r="N603">
        <f t="shared" si="157"/>
        <v>800916398</v>
      </c>
      <c r="O603">
        <f t="shared" si="168"/>
        <v>0.49245129292299</v>
      </c>
    </row>
    <row r="604" ht="13.9" spans="1:15">
      <c r="A604" s="42" t="s">
        <v>472</v>
      </c>
      <c r="B604" s="11">
        <v>46583580</v>
      </c>
      <c r="C604" s="11">
        <v>4182862</v>
      </c>
      <c r="D604" s="11">
        <v>296</v>
      </c>
      <c r="E604">
        <f t="shared" ref="E604:E635" si="174">IF(RIGHT(D604,1)="B",VALUE(LEFT(D604,LEN(D604)-1))*1000,D604)</f>
        <v>296</v>
      </c>
      <c r="F604">
        <f t="shared" si="165"/>
        <v>23291790</v>
      </c>
      <c r="G604">
        <f t="shared" si="166"/>
        <v>2329.179</v>
      </c>
      <c r="H604">
        <f t="shared" si="171"/>
        <v>296000000</v>
      </c>
      <c r="I604">
        <f t="shared" si="173"/>
        <v>142080000</v>
      </c>
      <c r="K604">
        <f t="shared" si="164"/>
        <v>626685910</v>
      </c>
      <c r="L604">
        <f t="shared" si="172"/>
        <v>0.472325921608801</v>
      </c>
      <c r="M604">
        <f t="shared" si="170"/>
        <v>50766442</v>
      </c>
      <c r="N604">
        <f t="shared" si="157"/>
        <v>742099681</v>
      </c>
      <c r="O604">
        <f t="shared" si="168"/>
        <v>0.382797113822586</v>
      </c>
    </row>
    <row r="605" ht="13.85" spans="1:15">
      <c r="A605" s="43">
        <v>37215</v>
      </c>
      <c r="B605" s="11">
        <v>45374522</v>
      </c>
      <c r="C605" s="11">
        <v>4260126</v>
      </c>
      <c r="D605" s="11">
        <v>277</v>
      </c>
      <c r="E605">
        <f t="shared" si="174"/>
        <v>277</v>
      </c>
      <c r="F605">
        <f t="shared" si="165"/>
        <v>22687261</v>
      </c>
      <c r="G605">
        <f t="shared" si="166"/>
        <v>2268.7261</v>
      </c>
      <c r="H605">
        <f t="shared" si="171"/>
        <v>277000000</v>
      </c>
      <c r="I605">
        <f t="shared" si="173"/>
        <v>132960000</v>
      </c>
      <c r="K605">
        <f t="shared" si="164"/>
        <v>581311388</v>
      </c>
      <c r="L605">
        <f t="shared" si="172"/>
        <v>0.476508813895798</v>
      </c>
      <c r="M605">
        <f t="shared" si="170"/>
        <v>49634648</v>
      </c>
      <c r="N605">
        <f t="shared" si="157"/>
        <v>691333239</v>
      </c>
      <c r="O605">
        <f t="shared" si="168"/>
        <v>0.420611923493525</v>
      </c>
    </row>
    <row r="606" ht="13.85" spans="1:15">
      <c r="A606" s="43">
        <v>37123</v>
      </c>
      <c r="B606" s="11">
        <v>41431080</v>
      </c>
      <c r="C606" s="11">
        <v>3741201</v>
      </c>
      <c r="D606" s="11">
        <v>258</v>
      </c>
      <c r="E606">
        <f t="shared" si="174"/>
        <v>258</v>
      </c>
      <c r="F606">
        <f t="shared" si="165"/>
        <v>20715540</v>
      </c>
      <c r="G606">
        <f t="shared" si="166"/>
        <v>2071.554</v>
      </c>
      <c r="H606">
        <f t="shared" si="171"/>
        <v>258000000</v>
      </c>
      <c r="I606">
        <f t="shared" si="173"/>
        <v>123840000</v>
      </c>
      <c r="K606">
        <f t="shared" ref="K606:K637" si="175">IF(E606&gt;E607,B607+K607,B607)</f>
        <v>539880308</v>
      </c>
      <c r="L606">
        <f t="shared" si="172"/>
        <v>0.477883701585204</v>
      </c>
      <c r="M606">
        <f t="shared" si="170"/>
        <v>45172281</v>
      </c>
      <c r="N606">
        <f t="shared" si="157"/>
        <v>641698591</v>
      </c>
      <c r="O606">
        <f t="shared" si="168"/>
        <v>0.447981201514168</v>
      </c>
    </row>
    <row r="607" ht="13.85" spans="1:15">
      <c r="A607" s="43">
        <v>37001</v>
      </c>
      <c r="B607" s="11">
        <v>42762008</v>
      </c>
      <c r="C607" s="11">
        <v>4114959</v>
      </c>
      <c r="D607" s="11">
        <v>237</v>
      </c>
      <c r="E607">
        <f t="shared" si="174"/>
        <v>237</v>
      </c>
      <c r="F607">
        <f t="shared" si="165"/>
        <v>21381004</v>
      </c>
      <c r="G607">
        <f t="shared" si="166"/>
        <v>2138.1004</v>
      </c>
      <c r="H607">
        <f t="shared" si="171"/>
        <v>237000000</v>
      </c>
      <c r="I607">
        <f t="shared" si="173"/>
        <v>113760000</v>
      </c>
      <c r="K607">
        <f t="shared" si="175"/>
        <v>497118300</v>
      </c>
      <c r="L607">
        <f t="shared" si="172"/>
        <v>0.476747687622846</v>
      </c>
      <c r="M607">
        <f t="shared" si="170"/>
        <v>46876967</v>
      </c>
      <c r="N607">
        <f t="shared" ref="N607:N670" si="176">IF(H607&lt;H608,M607+M608,M607+N608)</f>
        <v>596526310</v>
      </c>
      <c r="O607">
        <f t="shared" si="168"/>
        <v>0.38325563351401</v>
      </c>
    </row>
    <row r="608" ht="13.85" spans="1:15">
      <c r="A608" s="44">
        <v>36911</v>
      </c>
      <c r="B608" s="15">
        <v>40639188</v>
      </c>
      <c r="C608" s="15">
        <v>3717629</v>
      </c>
      <c r="D608" s="15">
        <v>220</v>
      </c>
      <c r="E608">
        <f t="shared" si="174"/>
        <v>220</v>
      </c>
      <c r="F608">
        <f t="shared" si="165"/>
        <v>20319594</v>
      </c>
      <c r="G608">
        <f t="shared" si="166"/>
        <v>2031.9594</v>
      </c>
      <c r="H608">
        <f t="shared" si="171"/>
        <v>220000000</v>
      </c>
      <c r="I608">
        <f t="shared" si="173"/>
        <v>105600000</v>
      </c>
      <c r="K608">
        <f t="shared" si="175"/>
        <v>456479112</v>
      </c>
      <c r="L608">
        <f t="shared" si="172"/>
        <v>0.481949763344264</v>
      </c>
      <c r="M608">
        <f t="shared" si="170"/>
        <v>44356817</v>
      </c>
      <c r="N608">
        <f t="shared" si="176"/>
        <v>549649343</v>
      </c>
      <c r="O608">
        <f t="shared" si="168"/>
        <v>0.475086183602994</v>
      </c>
    </row>
    <row r="609" ht="13.9" spans="1:15">
      <c r="A609" s="41" t="s">
        <v>473</v>
      </c>
      <c r="B609" s="13">
        <v>38340572</v>
      </c>
      <c r="C609" s="13">
        <v>3757053</v>
      </c>
      <c r="D609" s="13">
        <v>200</v>
      </c>
      <c r="E609">
        <f t="shared" si="174"/>
        <v>200</v>
      </c>
      <c r="F609">
        <f t="shared" si="165"/>
        <v>19170286</v>
      </c>
      <c r="G609">
        <f t="shared" si="166"/>
        <v>1917.0286</v>
      </c>
      <c r="H609">
        <f t="shared" si="171"/>
        <v>200000000</v>
      </c>
      <c r="I609">
        <f t="shared" si="173"/>
        <v>96000000</v>
      </c>
      <c r="K609">
        <f t="shared" si="175"/>
        <v>418138540</v>
      </c>
      <c r="L609">
        <f t="shared" si="172"/>
        <v>0.478310370529347</v>
      </c>
      <c r="M609">
        <f t="shared" si="170"/>
        <v>42097625</v>
      </c>
      <c r="N609">
        <f t="shared" si="176"/>
        <v>505292526</v>
      </c>
      <c r="O609">
        <f t="shared" si="168"/>
        <v>0.449891888332811</v>
      </c>
    </row>
    <row r="610" ht="13.9" spans="1:15">
      <c r="A610" s="42" t="s">
        <v>474</v>
      </c>
      <c r="B610" s="11">
        <v>34600190</v>
      </c>
      <c r="C610" s="11">
        <v>3186666</v>
      </c>
      <c r="D610" s="11">
        <v>183</v>
      </c>
      <c r="E610">
        <f t="shared" si="174"/>
        <v>183</v>
      </c>
      <c r="F610">
        <f t="shared" si="165"/>
        <v>17300095</v>
      </c>
      <c r="G610">
        <f t="shared" si="166"/>
        <v>1730.0095</v>
      </c>
      <c r="H610">
        <f t="shared" si="171"/>
        <v>183000000</v>
      </c>
      <c r="I610">
        <f t="shared" si="173"/>
        <v>87840000</v>
      </c>
      <c r="K610">
        <f t="shared" si="175"/>
        <v>383538350</v>
      </c>
      <c r="L610">
        <f t="shared" si="172"/>
        <v>0.477136119504086</v>
      </c>
      <c r="M610">
        <f t="shared" si="170"/>
        <v>37786856</v>
      </c>
      <c r="N610">
        <f t="shared" si="176"/>
        <v>463194901</v>
      </c>
      <c r="O610">
        <f t="shared" si="168"/>
        <v>0.329951250527613</v>
      </c>
    </row>
    <row r="611" ht="13.9" spans="1:15">
      <c r="A611" s="42" t="s">
        <v>475</v>
      </c>
      <c r="B611" s="11">
        <v>32983042</v>
      </c>
      <c r="C611" s="11">
        <v>3385967</v>
      </c>
      <c r="D611" s="11">
        <v>171</v>
      </c>
      <c r="E611">
        <f t="shared" si="174"/>
        <v>171</v>
      </c>
      <c r="F611">
        <f t="shared" si="165"/>
        <v>16491521</v>
      </c>
      <c r="G611">
        <f t="shared" si="166"/>
        <v>1649.1521</v>
      </c>
      <c r="H611">
        <f t="shared" si="171"/>
        <v>171000000</v>
      </c>
      <c r="I611">
        <f t="shared" si="173"/>
        <v>82080000</v>
      </c>
      <c r="K611">
        <f t="shared" si="175"/>
        <v>350555308</v>
      </c>
      <c r="L611">
        <f t="shared" si="172"/>
        <v>0.48779749185826</v>
      </c>
      <c r="M611">
        <f t="shared" si="170"/>
        <v>36369009</v>
      </c>
      <c r="N611">
        <f t="shared" si="176"/>
        <v>425408045</v>
      </c>
      <c r="O611">
        <f t="shared" ref="O611:O619" si="177">IF(H611&gt;H612,(H611-H612)/M612,H611/M612)</f>
        <v>0.351612090290405</v>
      </c>
    </row>
    <row r="612" ht="13.9" spans="1:15">
      <c r="A612" s="42" t="s">
        <v>476</v>
      </c>
      <c r="B612" s="11">
        <v>28351566</v>
      </c>
      <c r="C612" s="11">
        <v>2932910</v>
      </c>
      <c r="D612" s="11">
        <v>160</v>
      </c>
      <c r="E612">
        <f t="shared" si="174"/>
        <v>160</v>
      </c>
      <c r="F612">
        <f t="shared" si="165"/>
        <v>14175783</v>
      </c>
      <c r="G612">
        <f t="shared" si="166"/>
        <v>1417.5783</v>
      </c>
      <c r="H612">
        <f t="shared" si="171"/>
        <v>160000000</v>
      </c>
      <c r="I612">
        <f t="shared" si="173"/>
        <v>76800000</v>
      </c>
      <c r="K612">
        <f t="shared" si="175"/>
        <v>322203742</v>
      </c>
      <c r="L612">
        <f t="shared" si="172"/>
        <v>0.496580204211284</v>
      </c>
      <c r="M612">
        <f t="shared" si="170"/>
        <v>31284476</v>
      </c>
      <c r="N612">
        <f t="shared" si="176"/>
        <v>389039036</v>
      </c>
      <c r="O612">
        <f t="shared" si="177"/>
        <v>0.292851717988247</v>
      </c>
    </row>
    <row r="613" ht="13.9" spans="1:15">
      <c r="A613" s="42" t="s">
        <v>477</v>
      </c>
      <c r="B613" s="11">
        <v>30869152</v>
      </c>
      <c r="C613" s="11">
        <v>3277822</v>
      </c>
      <c r="D613" s="11">
        <v>150</v>
      </c>
      <c r="E613">
        <f t="shared" si="174"/>
        <v>150</v>
      </c>
      <c r="F613">
        <f t="shared" si="165"/>
        <v>15434576</v>
      </c>
      <c r="G613">
        <f t="shared" si="166"/>
        <v>1543.4576</v>
      </c>
      <c r="H613">
        <f t="shared" si="171"/>
        <v>150000000</v>
      </c>
      <c r="I613">
        <f t="shared" si="173"/>
        <v>72000000</v>
      </c>
      <c r="K613">
        <f t="shared" si="175"/>
        <v>291334590</v>
      </c>
      <c r="L613">
        <f t="shared" si="172"/>
        <v>0.51487192097581</v>
      </c>
      <c r="M613">
        <f t="shared" si="170"/>
        <v>34146974</v>
      </c>
      <c r="N613">
        <f t="shared" si="176"/>
        <v>357754560</v>
      </c>
      <c r="O613">
        <f t="shared" si="177"/>
        <v>0.341670737104048</v>
      </c>
    </row>
    <row r="614" ht="13.85" spans="1:15">
      <c r="A614" s="43">
        <v>41232</v>
      </c>
      <c r="B614" s="11">
        <v>26474224</v>
      </c>
      <c r="C614" s="11">
        <v>2793720</v>
      </c>
      <c r="D614" s="11">
        <v>140</v>
      </c>
      <c r="E614">
        <f t="shared" si="174"/>
        <v>140</v>
      </c>
      <c r="F614">
        <f t="shared" si="165"/>
        <v>13237112</v>
      </c>
      <c r="G614">
        <f t="shared" si="166"/>
        <v>1323.7112</v>
      </c>
      <c r="H614">
        <f t="shared" si="171"/>
        <v>140000000</v>
      </c>
      <c r="I614">
        <f t="shared" si="173"/>
        <v>67200000</v>
      </c>
      <c r="K614">
        <f t="shared" si="175"/>
        <v>264860366</v>
      </c>
      <c r="L614">
        <f t="shared" si="172"/>
        <v>0.528580406779322</v>
      </c>
      <c r="M614">
        <f t="shared" si="170"/>
        <v>29267944</v>
      </c>
      <c r="N614">
        <f t="shared" si="176"/>
        <v>323607586</v>
      </c>
      <c r="O614">
        <f t="shared" si="177"/>
        <v>0.317721908498314</v>
      </c>
    </row>
    <row r="615" ht="13.85" spans="1:15">
      <c r="A615" s="43">
        <v>41109</v>
      </c>
      <c r="B615" s="11">
        <v>28385826</v>
      </c>
      <c r="C615" s="11">
        <v>3088239</v>
      </c>
      <c r="D615" s="11">
        <v>130</v>
      </c>
      <c r="E615">
        <f t="shared" si="174"/>
        <v>130</v>
      </c>
      <c r="F615">
        <f t="shared" si="165"/>
        <v>14192913</v>
      </c>
      <c r="G615">
        <f t="shared" si="166"/>
        <v>1419.2913</v>
      </c>
      <c r="H615">
        <f t="shared" si="171"/>
        <v>130000000</v>
      </c>
      <c r="I615">
        <f t="shared" si="173"/>
        <v>62400000</v>
      </c>
      <c r="K615">
        <f t="shared" si="175"/>
        <v>236474540</v>
      </c>
      <c r="L615">
        <f t="shared" si="172"/>
        <v>0.549742056798165</v>
      </c>
      <c r="M615">
        <f t="shared" si="170"/>
        <v>31474065</v>
      </c>
      <c r="N615">
        <f t="shared" si="176"/>
        <v>294339642</v>
      </c>
      <c r="O615">
        <f t="shared" si="177"/>
        <v>0.361034134622119</v>
      </c>
    </row>
    <row r="616" ht="13.85" spans="1:15">
      <c r="A616" s="43">
        <v>41018</v>
      </c>
      <c r="B616" s="11">
        <v>24991734</v>
      </c>
      <c r="C616" s="11">
        <v>2706478</v>
      </c>
      <c r="D616" s="11">
        <v>120</v>
      </c>
      <c r="E616">
        <f t="shared" si="174"/>
        <v>120</v>
      </c>
      <c r="F616">
        <f t="shared" si="165"/>
        <v>12495867</v>
      </c>
      <c r="G616">
        <f t="shared" si="166"/>
        <v>1249.5867</v>
      </c>
      <c r="H616">
        <f t="shared" si="171"/>
        <v>120000000</v>
      </c>
      <c r="I616">
        <f t="shared" si="173"/>
        <v>57600000</v>
      </c>
      <c r="K616">
        <f t="shared" si="175"/>
        <v>211482806</v>
      </c>
      <c r="L616">
        <f t="shared" si="172"/>
        <v>0.567422015385969</v>
      </c>
      <c r="M616">
        <f t="shared" si="170"/>
        <v>27698212</v>
      </c>
      <c r="N616">
        <f t="shared" si="176"/>
        <v>262865577</v>
      </c>
      <c r="O616">
        <f t="shared" si="177"/>
        <v>0.355781965711015</v>
      </c>
    </row>
    <row r="617" ht="13.9" spans="1:15">
      <c r="A617" s="42" t="s">
        <v>478</v>
      </c>
      <c r="B617" s="11">
        <v>25270730</v>
      </c>
      <c r="C617" s="11">
        <v>2836372</v>
      </c>
      <c r="D617" s="11">
        <v>110</v>
      </c>
      <c r="E617">
        <f t="shared" si="174"/>
        <v>110</v>
      </c>
      <c r="F617">
        <f t="shared" si="165"/>
        <v>12635365</v>
      </c>
      <c r="G617">
        <f t="shared" si="166"/>
        <v>1263.5365</v>
      </c>
      <c r="H617">
        <f t="shared" si="171"/>
        <v>110000000</v>
      </c>
      <c r="I617">
        <f t="shared" si="173"/>
        <v>52800000</v>
      </c>
      <c r="K617">
        <f t="shared" si="175"/>
        <v>186212076</v>
      </c>
      <c r="L617">
        <f t="shared" si="172"/>
        <v>0.590724309415894</v>
      </c>
      <c r="M617">
        <f t="shared" si="170"/>
        <v>28107102</v>
      </c>
      <c r="N617">
        <f t="shared" si="176"/>
        <v>235167365</v>
      </c>
      <c r="O617">
        <f t="shared" si="177"/>
        <v>0.3476422053907</v>
      </c>
    </row>
    <row r="618" ht="13.9" spans="1:15">
      <c r="A618" s="42" t="s">
        <v>479</v>
      </c>
      <c r="B618" s="11">
        <v>25983076</v>
      </c>
      <c r="C618" s="11">
        <v>2782131</v>
      </c>
      <c r="D618" s="11">
        <v>100</v>
      </c>
      <c r="E618">
        <f t="shared" si="174"/>
        <v>100</v>
      </c>
      <c r="F618">
        <f t="shared" si="165"/>
        <v>12991538</v>
      </c>
      <c r="G618">
        <f t="shared" si="166"/>
        <v>1299.1538</v>
      </c>
      <c r="H618">
        <f t="shared" si="171"/>
        <v>100000000</v>
      </c>
      <c r="I618">
        <f t="shared" si="173"/>
        <v>48000000</v>
      </c>
      <c r="K618">
        <f t="shared" si="175"/>
        <v>160229000</v>
      </c>
      <c r="L618">
        <f t="shared" si="172"/>
        <v>0.624106747218044</v>
      </c>
      <c r="M618">
        <f t="shared" si="170"/>
        <v>28765207</v>
      </c>
      <c r="N618">
        <f t="shared" si="176"/>
        <v>207060263</v>
      </c>
      <c r="O618">
        <f t="shared" si="177"/>
        <v>0.370314672300585</v>
      </c>
    </row>
    <row r="619" ht="13.9" spans="1:15">
      <c r="A619" s="42" t="s">
        <v>480</v>
      </c>
      <c r="B619" s="11">
        <v>24267798</v>
      </c>
      <c r="C619" s="11">
        <v>2736263</v>
      </c>
      <c r="D619" s="11">
        <v>90</v>
      </c>
      <c r="E619">
        <f t="shared" si="174"/>
        <v>90</v>
      </c>
      <c r="F619">
        <f t="shared" si="165"/>
        <v>12133899</v>
      </c>
      <c r="G619">
        <f t="shared" si="166"/>
        <v>1213.3899</v>
      </c>
      <c r="H619">
        <f t="shared" si="171"/>
        <v>90000000</v>
      </c>
      <c r="I619">
        <f t="shared" si="173"/>
        <v>43200000</v>
      </c>
      <c r="K619">
        <f t="shared" si="175"/>
        <v>135961202</v>
      </c>
      <c r="L619">
        <f t="shared" si="172"/>
        <v>0.661953547601028</v>
      </c>
      <c r="M619">
        <f t="shared" si="170"/>
        <v>27004061</v>
      </c>
      <c r="N619">
        <f t="shared" si="176"/>
        <v>178295056</v>
      </c>
      <c r="O619">
        <f t="shared" si="177"/>
        <v>0.433360489146118</v>
      </c>
    </row>
    <row r="620" ht="13.9" spans="1:15">
      <c r="A620" s="42" t="s">
        <v>481</v>
      </c>
      <c r="B620" s="11">
        <v>20724806</v>
      </c>
      <c r="C620" s="11">
        <v>2350671</v>
      </c>
      <c r="D620" s="11">
        <v>80</v>
      </c>
      <c r="E620">
        <f t="shared" si="174"/>
        <v>80</v>
      </c>
      <c r="F620">
        <f t="shared" si="165"/>
        <v>10362403</v>
      </c>
      <c r="G620">
        <f t="shared" si="166"/>
        <v>1036.2403</v>
      </c>
      <c r="H620">
        <f t="shared" si="171"/>
        <v>80000000</v>
      </c>
      <c r="I620">
        <f t="shared" si="173"/>
        <v>38400000</v>
      </c>
      <c r="K620">
        <f t="shared" si="175"/>
        <v>115236396</v>
      </c>
      <c r="L620">
        <f t="shared" si="172"/>
        <v>0.694225112697901</v>
      </c>
      <c r="M620">
        <f t="shared" si="170"/>
        <v>23075477</v>
      </c>
      <c r="N620">
        <f t="shared" si="176"/>
        <v>151290995</v>
      </c>
      <c r="O620">
        <f t="shared" ref="O620:O631" si="178">IF(H620&gt;H621,(H620-H621)/M621,H620/M621)</f>
        <v>0.391009411127315</v>
      </c>
    </row>
    <row r="621" ht="13.9" spans="1:15">
      <c r="A621" s="42" t="s">
        <v>482</v>
      </c>
      <c r="B621" s="11">
        <v>22937318</v>
      </c>
      <c r="C621" s="11">
        <v>2637514</v>
      </c>
      <c r="D621" s="11">
        <v>70</v>
      </c>
      <c r="E621">
        <f t="shared" si="174"/>
        <v>70</v>
      </c>
      <c r="F621">
        <f t="shared" si="165"/>
        <v>11468659</v>
      </c>
      <c r="G621">
        <f t="shared" si="166"/>
        <v>1146.8659</v>
      </c>
      <c r="H621">
        <f t="shared" si="171"/>
        <v>70000000</v>
      </c>
      <c r="I621">
        <f t="shared" si="173"/>
        <v>33600000</v>
      </c>
      <c r="K621">
        <f t="shared" si="175"/>
        <v>92299078</v>
      </c>
      <c r="L621">
        <f t="shared" si="172"/>
        <v>0.75840410886878</v>
      </c>
      <c r="M621">
        <f t="shared" si="170"/>
        <v>25574832</v>
      </c>
      <c r="N621">
        <f t="shared" si="176"/>
        <v>128215518</v>
      </c>
      <c r="O621">
        <f t="shared" si="178"/>
        <v>0.46471407444199</v>
      </c>
    </row>
    <row r="622" ht="13.9" spans="1:15">
      <c r="A622" s="42" t="s">
        <v>483</v>
      </c>
      <c r="B622" s="11">
        <v>19307576</v>
      </c>
      <c r="C622" s="11">
        <v>2211032</v>
      </c>
      <c r="D622" s="11">
        <v>60</v>
      </c>
      <c r="E622">
        <f t="shared" si="174"/>
        <v>60</v>
      </c>
      <c r="F622">
        <f t="shared" si="165"/>
        <v>9653788</v>
      </c>
      <c r="G622">
        <f t="shared" si="166"/>
        <v>965.3788</v>
      </c>
      <c r="H622">
        <f t="shared" si="171"/>
        <v>60000000</v>
      </c>
      <c r="I622">
        <f t="shared" si="173"/>
        <v>28800000</v>
      </c>
      <c r="K622">
        <f t="shared" si="175"/>
        <v>72991502</v>
      </c>
      <c r="L622">
        <f t="shared" si="172"/>
        <v>0.822013499598898</v>
      </c>
      <c r="M622">
        <f t="shared" si="170"/>
        <v>21518608</v>
      </c>
      <c r="N622">
        <f t="shared" si="176"/>
        <v>102640686</v>
      </c>
      <c r="O622">
        <f t="shared" si="178"/>
        <v>0.408742194403592</v>
      </c>
    </row>
    <row r="623" ht="13.85" spans="1:15">
      <c r="A623" s="43">
        <v>40805</v>
      </c>
      <c r="B623" s="11">
        <v>21905868</v>
      </c>
      <c r="C623" s="11">
        <v>2559431</v>
      </c>
      <c r="D623" s="11">
        <v>50</v>
      </c>
      <c r="E623">
        <f t="shared" si="174"/>
        <v>50</v>
      </c>
      <c r="F623">
        <f t="shared" si="165"/>
        <v>10952934</v>
      </c>
      <c r="G623">
        <f t="shared" si="166"/>
        <v>1095.2934</v>
      </c>
      <c r="H623">
        <f t="shared" si="171"/>
        <v>50000000</v>
      </c>
      <c r="I623">
        <f t="shared" si="173"/>
        <v>24000000</v>
      </c>
      <c r="K623">
        <f t="shared" si="175"/>
        <v>51085634</v>
      </c>
      <c r="L623">
        <f t="shared" si="172"/>
        <v>0.978748741769555</v>
      </c>
      <c r="M623">
        <f t="shared" si="170"/>
        <v>24465299</v>
      </c>
      <c r="N623">
        <f t="shared" si="176"/>
        <v>81122078</v>
      </c>
      <c r="O623">
        <f t="shared" si="178"/>
        <v>0.457008543637621</v>
      </c>
    </row>
    <row r="624" ht="13.85" spans="1:15">
      <c r="A624" s="43">
        <v>40713</v>
      </c>
      <c r="B624" s="11">
        <v>19617064</v>
      </c>
      <c r="C624" s="11">
        <v>2264365</v>
      </c>
      <c r="D624" s="11">
        <v>40</v>
      </c>
      <c r="E624">
        <f t="shared" si="174"/>
        <v>40</v>
      </c>
      <c r="F624">
        <f t="shared" si="165"/>
        <v>9808532</v>
      </c>
      <c r="G624">
        <f t="shared" si="166"/>
        <v>980.8532</v>
      </c>
      <c r="H624">
        <f t="shared" si="171"/>
        <v>40000000</v>
      </c>
      <c r="I624">
        <f t="shared" si="173"/>
        <v>19200000</v>
      </c>
      <c r="K624">
        <f t="shared" si="175"/>
        <v>31468570</v>
      </c>
      <c r="L624">
        <f t="shared" si="172"/>
        <v>0</v>
      </c>
      <c r="M624">
        <f t="shared" si="170"/>
        <v>21881429</v>
      </c>
      <c r="N624">
        <f t="shared" si="176"/>
        <v>56656779</v>
      </c>
      <c r="O624">
        <f t="shared" si="178"/>
        <v>1.1502400407185</v>
      </c>
    </row>
    <row r="625" ht="13.85" spans="1:15">
      <c r="A625" s="43">
        <v>40593</v>
      </c>
      <c r="B625" s="11">
        <v>31468570</v>
      </c>
      <c r="C625" s="11">
        <v>3306780</v>
      </c>
      <c r="D625" s="11">
        <v>150</v>
      </c>
      <c r="E625">
        <f t="shared" si="174"/>
        <v>150</v>
      </c>
      <c r="F625">
        <f t="shared" si="165"/>
        <v>15734285</v>
      </c>
      <c r="G625">
        <f t="shared" si="166"/>
        <v>1573.4285</v>
      </c>
      <c r="H625">
        <f t="shared" si="171"/>
        <v>150000000</v>
      </c>
      <c r="I625">
        <f t="shared" si="173"/>
        <v>72000000</v>
      </c>
      <c r="K625">
        <f t="shared" si="175"/>
        <v>296361986</v>
      </c>
      <c r="L625">
        <f t="shared" si="172"/>
        <v>0.506137787860552</v>
      </c>
      <c r="M625">
        <f t="shared" si="170"/>
        <v>34775350</v>
      </c>
      <c r="N625">
        <f t="shared" si="176"/>
        <v>363479082</v>
      </c>
      <c r="O625">
        <f t="shared" si="178"/>
        <v>0.334507958027948</v>
      </c>
    </row>
    <row r="626" ht="13.9" spans="1:15">
      <c r="A626" s="42" t="s">
        <v>484</v>
      </c>
      <c r="B626" s="11">
        <v>27111780</v>
      </c>
      <c r="C626" s="11">
        <v>2782875</v>
      </c>
      <c r="D626" s="11">
        <v>140</v>
      </c>
      <c r="E626">
        <f t="shared" si="174"/>
        <v>140</v>
      </c>
      <c r="F626">
        <f t="shared" si="165"/>
        <v>13555890</v>
      </c>
      <c r="G626">
        <f t="shared" si="166"/>
        <v>1355.589</v>
      </c>
      <c r="H626">
        <f t="shared" si="171"/>
        <v>140000000</v>
      </c>
      <c r="I626">
        <f t="shared" si="173"/>
        <v>67200000</v>
      </c>
      <c r="K626">
        <f t="shared" si="175"/>
        <v>269250206</v>
      </c>
      <c r="L626">
        <f t="shared" si="172"/>
        <v>0.519962461978581</v>
      </c>
      <c r="M626">
        <f t="shared" si="170"/>
        <v>29894655</v>
      </c>
      <c r="N626">
        <f t="shared" si="176"/>
        <v>328703732</v>
      </c>
      <c r="O626">
        <f t="shared" si="178"/>
        <v>0.3075207773338</v>
      </c>
    </row>
    <row r="627" ht="13.9" spans="1:15">
      <c r="A627" s="42" t="s">
        <v>485</v>
      </c>
      <c r="B627" s="11">
        <v>29430834</v>
      </c>
      <c r="C627" s="11">
        <v>3087294</v>
      </c>
      <c r="D627" s="11">
        <v>130</v>
      </c>
      <c r="E627">
        <f t="shared" si="174"/>
        <v>130</v>
      </c>
      <c r="F627">
        <f t="shared" si="165"/>
        <v>14715417</v>
      </c>
      <c r="G627">
        <f t="shared" si="166"/>
        <v>1471.5417</v>
      </c>
      <c r="H627">
        <f t="shared" si="171"/>
        <v>130000000</v>
      </c>
      <c r="I627">
        <f t="shared" si="173"/>
        <v>62400000</v>
      </c>
      <c r="K627">
        <f t="shared" si="175"/>
        <v>239819372</v>
      </c>
      <c r="L627">
        <f t="shared" si="172"/>
        <v>0.542074641076118</v>
      </c>
      <c r="M627">
        <f t="shared" si="170"/>
        <v>32518128</v>
      </c>
      <c r="N627">
        <f t="shared" si="176"/>
        <v>298809077</v>
      </c>
      <c r="O627">
        <f t="shared" si="178"/>
        <v>0.342128194750317</v>
      </c>
    </row>
    <row r="628" ht="13.9" spans="1:15">
      <c r="A628" s="42" t="s">
        <v>486</v>
      </c>
      <c r="B628" s="11">
        <v>26489444</v>
      </c>
      <c r="C628" s="11">
        <v>2739366</v>
      </c>
      <c r="D628" s="11">
        <v>120</v>
      </c>
      <c r="E628">
        <f t="shared" si="174"/>
        <v>120</v>
      </c>
      <c r="F628">
        <f t="shared" si="165"/>
        <v>13244722</v>
      </c>
      <c r="G628">
        <f t="shared" si="166"/>
        <v>1324.4722</v>
      </c>
      <c r="H628">
        <f t="shared" si="171"/>
        <v>120000000</v>
      </c>
      <c r="I628">
        <f t="shared" si="173"/>
        <v>57600000</v>
      </c>
      <c r="K628">
        <f t="shared" si="175"/>
        <v>213329928</v>
      </c>
      <c r="L628">
        <f t="shared" si="172"/>
        <v>0.562508979049578</v>
      </c>
      <c r="M628">
        <f t="shared" si="170"/>
        <v>29228810</v>
      </c>
      <c r="N628">
        <f t="shared" si="176"/>
        <v>266290949</v>
      </c>
      <c r="O628">
        <f t="shared" si="178"/>
        <v>0.316488356599078</v>
      </c>
    </row>
    <row r="629" ht="13.9" spans="1:15">
      <c r="A629" s="42" t="s">
        <v>487</v>
      </c>
      <c r="B629" s="11">
        <v>28559858</v>
      </c>
      <c r="C629" s="11">
        <v>3036881</v>
      </c>
      <c r="D629" s="11">
        <v>110</v>
      </c>
      <c r="E629">
        <f t="shared" si="174"/>
        <v>110</v>
      </c>
      <c r="F629">
        <f t="shared" si="165"/>
        <v>14279929</v>
      </c>
      <c r="G629">
        <f t="shared" si="166"/>
        <v>1427.9929</v>
      </c>
      <c r="H629">
        <f t="shared" si="171"/>
        <v>110000000</v>
      </c>
      <c r="I629">
        <f t="shared" si="173"/>
        <v>52800000</v>
      </c>
      <c r="K629">
        <f t="shared" si="175"/>
        <v>184770070</v>
      </c>
      <c r="L629">
        <f t="shared" si="172"/>
        <v>0.595334514946062</v>
      </c>
      <c r="M629">
        <f t="shared" si="170"/>
        <v>31596739</v>
      </c>
      <c r="N629">
        <f t="shared" si="176"/>
        <v>237062139</v>
      </c>
      <c r="O629">
        <f t="shared" si="178"/>
        <v>0.353027078341898</v>
      </c>
    </row>
    <row r="630" ht="13.9" spans="1:15">
      <c r="A630" s="42" t="s">
        <v>488</v>
      </c>
      <c r="B630" s="11">
        <v>25644498</v>
      </c>
      <c r="C630" s="11">
        <v>2681941</v>
      </c>
      <c r="D630" s="11">
        <v>100</v>
      </c>
      <c r="E630">
        <f t="shared" si="174"/>
        <v>100</v>
      </c>
      <c r="F630">
        <f t="shared" si="165"/>
        <v>12822249</v>
      </c>
      <c r="G630">
        <f t="shared" si="166"/>
        <v>1282.2249</v>
      </c>
      <c r="H630">
        <f t="shared" si="171"/>
        <v>100000000</v>
      </c>
      <c r="I630">
        <f t="shared" si="173"/>
        <v>48000000</v>
      </c>
      <c r="K630">
        <f t="shared" si="175"/>
        <v>159125572</v>
      </c>
      <c r="L630">
        <f t="shared" si="172"/>
        <v>0.628434504543368</v>
      </c>
      <c r="M630">
        <f t="shared" si="170"/>
        <v>28326439</v>
      </c>
      <c r="N630">
        <f t="shared" si="176"/>
        <v>205465400</v>
      </c>
      <c r="O630">
        <f t="shared" si="178"/>
        <v>0.351652865170841</v>
      </c>
    </row>
    <row r="631" ht="13.85" spans="1:15">
      <c r="A631" s="43">
        <v>40531</v>
      </c>
      <c r="B631" s="11">
        <v>25604480</v>
      </c>
      <c r="C631" s="11">
        <v>2832655</v>
      </c>
      <c r="D631" s="11">
        <v>90</v>
      </c>
      <c r="E631">
        <f t="shared" si="174"/>
        <v>90</v>
      </c>
      <c r="F631">
        <f t="shared" si="165"/>
        <v>12802240</v>
      </c>
      <c r="G631">
        <f t="shared" si="166"/>
        <v>1280.224</v>
      </c>
      <c r="H631">
        <f t="shared" si="171"/>
        <v>90000000</v>
      </c>
      <c r="I631">
        <f t="shared" si="173"/>
        <v>43200000</v>
      </c>
      <c r="K631">
        <f t="shared" si="175"/>
        <v>133521092</v>
      </c>
      <c r="L631">
        <f t="shared" si="172"/>
        <v>0.67405080839213</v>
      </c>
      <c r="M631">
        <f t="shared" si="170"/>
        <v>28437135</v>
      </c>
      <c r="N631">
        <f t="shared" si="176"/>
        <v>177138961</v>
      </c>
      <c r="O631">
        <f t="shared" si="178"/>
        <v>0.404044093493541</v>
      </c>
    </row>
    <row r="632" ht="13.85" spans="1:15">
      <c r="A632" s="43">
        <v>40440</v>
      </c>
      <c r="B632" s="11">
        <v>22291872</v>
      </c>
      <c r="C632" s="11">
        <v>2457902</v>
      </c>
      <c r="D632" s="11">
        <v>80</v>
      </c>
      <c r="E632">
        <f t="shared" si="174"/>
        <v>80</v>
      </c>
      <c r="F632">
        <f t="shared" si="165"/>
        <v>11145936</v>
      </c>
      <c r="G632">
        <f t="shared" si="166"/>
        <v>1114.5936</v>
      </c>
      <c r="H632">
        <f t="shared" si="171"/>
        <v>80000000</v>
      </c>
      <c r="I632">
        <f t="shared" si="173"/>
        <v>38400000</v>
      </c>
      <c r="K632">
        <f t="shared" si="175"/>
        <v>111229220</v>
      </c>
      <c r="L632">
        <f t="shared" si="172"/>
        <v>0.7192354670832</v>
      </c>
      <c r="M632">
        <f t="shared" si="170"/>
        <v>24749774</v>
      </c>
      <c r="N632">
        <f t="shared" si="176"/>
        <v>148701826</v>
      </c>
      <c r="O632">
        <f t="shared" ref="O632:O663" si="179">IF(H632&gt;H633,(H632-H633)/M633,H632/M633)</f>
        <v>0.368066695451936</v>
      </c>
    </row>
    <row r="633" ht="13.85" spans="1:15">
      <c r="A633" s="43">
        <v>40317</v>
      </c>
      <c r="B633" s="11">
        <v>24400266</v>
      </c>
      <c r="C633" s="11">
        <v>2768723</v>
      </c>
      <c r="D633" s="11">
        <v>70</v>
      </c>
      <c r="E633">
        <f t="shared" si="174"/>
        <v>70</v>
      </c>
      <c r="F633">
        <f t="shared" si="165"/>
        <v>12200133</v>
      </c>
      <c r="G633">
        <f t="shared" si="166"/>
        <v>1220.0133</v>
      </c>
      <c r="H633">
        <f t="shared" si="171"/>
        <v>70000000</v>
      </c>
      <c r="I633">
        <f t="shared" si="173"/>
        <v>33600000</v>
      </c>
      <c r="K633">
        <f t="shared" si="175"/>
        <v>86828954</v>
      </c>
      <c r="L633">
        <f t="shared" si="172"/>
        <v>0.806182693390502</v>
      </c>
      <c r="M633">
        <f t="shared" si="170"/>
        <v>27168989</v>
      </c>
      <c r="N633">
        <f t="shared" si="176"/>
        <v>123952052</v>
      </c>
      <c r="O633">
        <f t="shared" si="179"/>
        <v>0.429139296341154</v>
      </c>
    </row>
    <row r="634" ht="13.85" spans="1:15">
      <c r="A634" s="43">
        <v>40228</v>
      </c>
      <c r="B634" s="11">
        <v>20939222</v>
      </c>
      <c r="C634" s="11">
        <v>2363235</v>
      </c>
      <c r="D634" s="11">
        <v>60</v>
      </c>
      <c r="E634">
        <f t="shared" si="174"/>
        <v>60</v>
      </c>
      <c r="F634">
        <f t="shared" si="165"/>
        <v>10469611</v>
      </c>
      <c r="G634">
        <f t="shared" si="166"/>
        <v>1046.9611</v>
      </c>
      <c r="H634">
        <f t="shared" si="171"/>
        <v>60000000</v>
      </c>
      <c r="I634">
        <f t="shared" ref="I634:I650" si="180">H634*0.48</f>
        <v>28800000</v>
      </c>
      <c r="K634">
        <f t="shared" si="175"/>
        <v>65889732</v>
      </c>
      <c r="L634">
        <f t="shared" si="172"/>
        <v>0.910612293885184</v>
      </c>
      <c r="M634">
        <f t="shared" si="170"/>
        <v>23302457</v>
      </c>
      <c r="N634">
        <f t="shared" si="176"/>
        <v>96783063</v>
      </c>
      <c r="O634">
        <f t="shared" si="179"/>
        <v>0.399964595134039</v>
      </c>
    </row>
    <row r="635" ht="13.9" spans="1:15">
      <c r="A635" s="42" t="s">
        <v>489</v>
      </c>
      <c r="B635" s="11">
        <v>22403034</v>
      </c>
      <c r="C635" s="11">
        <v>2599179</v>
      </c>
      <c r="D635" s="11">
        <v>50</v>
      </c>
      <c r="E635">
        <f t="shared" si="174"/>
        <v>50</v>
      </c>
      <c r="F635">
        <f t="shared" si="165"/>
        <v>11201517</v>
      </c>
      <c r="G635">
        <f t="shared" si="166"/>
        <v>1120.1517</v>
      </c>
      <c r="H635">
        <f t="shared" si="171"/>
        <v>50000000</v>
      </c>
      <c r="I635">
        <f t="shared" si="180"/>
        <v>24000000</v>
      </c>
      <c r="K635">
        <f t="shared" si="175"/>
        <v>43486698</v>
      </c>
      <c r="L635">
        <f t="shared" si="172"/>
        <v>1.1497768811971</v>
      </c>
      <c r="M635">
        <f t="shared" si="170"/>
        <v>25002213</v>
      </c>
      <c r="N635">
        <f t="shared" si="176"/>
        <v>73480606</v>
      </c>
      <c r="O635">
        <f t="shared" si="179"/>
        <v>0.463474651852904</v>
      </c>
    </row>
    <row r="636" ht="13.9" spans="1:15">
      <c r="A636" s="42" t="s">
        <v>490</v>
      </c>
      <c r="B636" s="11">
        <v>19354386</v>
      </c>
      <c r="C636" s="11">
        <v>2221767</v>
      </c>
      <c r="D636" s="11">
        <v>40</v>
      </c>
      <c r="E636">
        <f t="shared" ref="E636:E679" si="181">IF(RIGHT(D636,1)="B",VALUE(LEFT(D636,LEN(D636)-1))*1000,D636)</f>
        <v>40</v>
      </c>
      <c r="F636">
        <f t="shared" si="165"/>
        <v>9677193</v>
      </c>
      <c r="G636">
        <f t="shared" si="166"/>
        <v>967.7193</v>
      </c>
      <c r="H636">
        <f t="shared" si="171"/>
        <v>40000000</v>
      </c>
      <c r="I636">
        <f t="shared" si="180"/>
        <v>19200000</v>
      </c>
      <c r="K636">
        <f t="shared" si="175"/>
        <v>24132312</v>
      </c>
      <c r="L636">
        <f t="shared" si="172"/>
        <v>0</v>
      </c>
      <c r="M636">
        <f t="shared" si="170"/>
        <v>21576153</v>
      </c>
      <c r="N636">
        <f t="shared" si="176"/>
        <v>48478393</v>
      </c>
      <c r="O636">
        <f t="shared" si="179"/>
        <v>1.48686503428711</v>
      </c>
    </row>
    <row r="637" ht="13.9" spans="1:15">
      <c r="A637" s="42" t="s">
        <v>491</v>
      </c>
      <c r="B637" s="11">
        <v>24132312</v>
      </c>
      <c r="C637" s="11">
        <v>2769928</v>
      </c>
      <c r="D637" s="11">
        <v>80</v>
      </c>
      <c r="E637">
        <f t="shared" si="181"/>
        <v>80</v>
      </c>
      <c r="F637">
        <f t="shared" si="165"/>
        <v>12066156</v>
      </c>
      <c r="G637">
        <f t="shared" si="166"/>
        <v>1206.6156</v>
      </c>
      <c r="H637">
        <f t="shared" si="171"/>
        <v>80000000</v>
      </c>
      <c r="I637">
        <f t="shared" si="180"/>
        <v>38400000</v>
      </c>
      <c r="K637">
        <f t="shared" si="175"/>
        <v>108464976</v>
      </c>
      <c r="L637">
        <f t="shared" si="172"/>
        <v>0.737565276370872</v>
      </c>
      <c r="M637">
        <f t="shared" si="170"/>
        <v>26902240</v>
      </c>
      <c r="N637">
        <f t="shared" si="176"/>
        <v>148027164</v>
      </c>
      <c r="O637">
        <f t="shared" si="179"/>
        <v>0.429244919982952</v>
      </c>
    </row>
    <row r="638" ht="13.9" spans="1:15">
      <c r="A638" s="42" t="s">
        <v>492</v>
      </c>
      <c r="B638" s="11">
        <v>20897362</v>
      </c>
      <c r="C638" s="11">
        <v>2399361</v>
      </c>
      <c r="D638" s="11">
        <v>70</v>
      </c>
      <c r="E638">
        <f t="shared" si="181"/>
        <v>70</v>
      </c>
      <c r="F638">
        <f t="shared" si="165"/>
        <v>10448681</v>
      </c>
      <c r="G638">
        <f t="shared" si="166"/>
        <v>1044.8681</v>
      </c>
      <c r="H638">
        <f t="shared" si="171"/>
        <v>70000000</v>
      </c>
      <c r="I638">
        <f t="shared" si="180"/>
        <v>33600000</v>
      </c>
      <c r="K638">
        <f t="shared" ref="K638:K656" si="182">IF(E638&gt;E639,B639+K639,B639)</f>
        <v>87567614</v>
      </c>
      <c r="L638">
        <f t="shared" ref="L638:L653" si="183">IF(E638&gt;E639,H638/K638,0)</f>
        <v>0.799382292179389</v>
      </c>
      <c r="M638">
        <f t="shared" si="170"/>
        <v>23296723</v>
      </c>
      <c r="N638">
        <f t="shared" si="176"/>
        <v>121124924</v>
      </c>
      <c r="O638">
        <f t="shared" si="179"/>
        <v>0.380624710201861</v>
      </c>
    </row>
    <row r="639" ht="13.9" spans="1:15">
      <c r="A639" s="42" t="s">
        <v>493</v>
      </c>
      <c r="B639" s="11">
        <v>23515014</v>
      </c>
      <c r="C639" s="11">
        <v>2757584</v>
      </c>
      <c r="D639" s="11">
        <v>60</v>
      </c>
      <c r="E639">
        <f t="shared" si="181"/>
        <v>60</v>
      </c>
      <c r="F639">
        <f t="shared" si="165"/>
        <v>11757507</v>
      </c>
      <c r="G639">
        <f t="shared" si="166"/>
        <v>1175.7507</v>
      </c>
      <c r="H639">
        <f t="shared" si="171"/>
        <v>60000000</v>
      </c>
      <c r="I639">
        <f t="shared" si="180"/>
        <v>28800000</v>
      </c>
      <c r="K639">
        <f t="shared" si="182"/>
        <v>64052600</v>
      </c>
      <c r="L639">
        <f t="shared" si="183"/>
        <v>0.936730124928574</v>
      </c>
      <c r="M639">
        <f t="shared" si="170"/>
        <v>26272598</v>
      </c>
      <c r="N639">
        <f t="shared" si="176"/>
        <v>97828201</v>
      </c>
      <c r="O639">
        <f t="shared" si="179"/>
        <v>0.444641094379119</v>
      </c>
    </row>
    <row r="640" ht="13.85" spans="1:15">
      <c r="A640" s="43">
        <v>40136</v>
      </c>
      <c r="B640" s="11">
        <v>20138040</v>
      </c>
      <c r="C640" s="11">
        <v>2352009</v>
      </c>
      <c r="D640" s="11">
        <v>50</v>
      </c>
      <c r="E640">
        <f t="shared" si="181"/>
        <v>50</v>
      </c>
      <c r="F640">
        <f t="shared" si="165"/>
        <v>10069020</v>
      </c>
      <c r="G640">
        <f t="shared" si="166"/>
        <v>1006.902</v>
      </c>
      <c r="H640">
        <f t="shared" si="171"/>
        <v>50000000</v>
      </c>
      <c r="I640">
        <f t="shared" si="180"/>
        <v>24000000</v>
      </c>
      <c r="K640">
        <f t="shared" si="182"/>
        <v>43914560</v>
      </c>
      <c r="L640">
        <f t="shared" si="183"/>
        <v>1.13857454110892</v>
      </c>
      <c r="M640">
        <f t="shared" si="170"/>
        <v>22490049</v>
      </c>
      <c r="N640">
        <f t="shared" si="176"/>
        <v>71555603</v>
      </c>
      <c r="O640">
        <f t="shared" si="179"/>
        <v>0.397571016023344</v>
      </c>
    </row>
    <row r="641" ht="13.85" spans="1:15">
      <c r="A641" s="43">
        <v>40013</v>
      </c>
      <c r="B641" s="11">
        <v>22474504</v>
      </c>
      <c r="C641" s="11">
        <v>2678235</v>
      </c>
      <c r="D641" s="11">
        <v>40</v>
      </c>
      <c r="E641">
        <f t="shared" si="181"/>
        <v>40</v>
      </c>
      <c r="F641">
        <f t="shared" si="165"/>
        <v>11237252</v>
      </c>
      <c r="G641">
        <f t="shared" si="166"/>
        <v>1123.7252</v>
      </c>
      <c r="H641">
        <f t="shared" si="171"/>
        <v>40000000</v>
      </c>
      <c r="I641">
        <f t="shared" si="180"/>
        <v>19200000</v>
      </c>
      <c r="K641">
        <f t="shared" si="182"/>
        <v>21440056</v>
      </c>
      <c r="L641">
        <f t="shared" si="183"/>
        <v>0</v>
      </c>
      <c r="M641">
        <f t="shared" si="170"/>
        <v>25152739</v>
      </c>
      <c r="N641">
        <f t="shared" si="176"/>
        <v>49065554</v>
      </c>
      <c r="O641">
        <f t="shared" si="179"/>
        <v>1.67274325502874</v>
      </c>
    </row>
    <row r="642" ht="13.85" spans="1:15">
      <c r="A642" s="43">
        <v>39922</v>
      </c>
      <c r="B642" s="11">
        <v>21440056</v>
      </c>
      <c r="C642" s="11">
        <v>2472759</v>
      </c>
      <c r="D642" s="11">
        <v>80</v>
      </c>
      <c r="E642">
        <f t="shared" si="181"/>
        <v>80</v>
      </c>
      <c r="F642">
        <f t="shared" si="165"/>
        <v>10720028</v>
      </c>
      <c r="G642">
        <f t="shared" si="166"/>
        <v>1072.0028</v>
      </c>
      <c r="H642">
        <f t="shared" si="171"/>
        <v>80000000</v>
      </c>
      <c r="I642">
        <f t="shared" si="180"/>
        <v>38400000</v>
      </c>
      <c r="K642">
        <f t="shared" si="182"/>
        <v>119388412</v>
      </c>
      <c r="L642">
        <f t="shared" si="183"/>
        <v>0.670081783146592</v>
      </c>
      <c r="M642">
        <f t="shared" si="170"/>
        <v>23912815</v>
      </c>
      <c r="N642">
        <f t="shared" si="176"/>
        <v>156697207</v>
      </c>
      <c r="O642">
        <f t="shared" si="179"/>
        <v>0.363578336533853</v>
      </c>
    </row>
    <row r="643" ht="13.9" spans="1:15">
      <c r="A643" s="42" t="s">
        <v>494</v>
      </c>
      <c r="B643" s="11">
        <v>24626346</v>
      </c>
      <c r="C643" s="11">
        <v>2878043</v>
      </c>
      <c r="D643" s="11">
        <v>70</v>
      </c>
      <c r="E643">
        <f t="shared" si="181"/>
        <v>70</v>
      </c>
      <c r="F643">
        <f t="shared" si="165"/>
        <v>12313173</v>
      </c>
      <c r="G643">
        <f t="shared" si="166"/>
        <v>1231.3173</v>
      </c>
      <c r="H643">
        <f t="shared" si="171"/>
        <v>70000000</v>
      </c>
      <c r="I643">
        <f t="shared" si="180"/>
        <v>33600000</v>
      </c>
      <c r="K643">
        <f t="shared" si="182"/>
        <v>94762066</v>
      </c>
      <c r="L643">
        <f t="shared" si="183"/>
        <v>0.738692210446319</v>
      </c>
      <c r="M643">
        <f t="shared" si="170"/>
        <v>27504389</v>
      </c>
      <c r="N643">
        <f t="shared" si="176"/>
        <v>132784392</v>
      </c>
      <c r="O643">
        <f t="shared" si="179"/>
        <v>0.438643241363005</v>
      </c>
    </row>
    <row r="644" ht="13.9" spans="1:15">
      <c r="A644" s="42" t="s">
        <v>495</v>
      </c>
      <c r="B644" s="11">
        <v>20525070</v>
      </c>
      <c r="C644" s="11">
        <v>2272500</v>
      </c>
      <c r="D644" s="11">
        <v>60</v>
      </c>
      <c r="E644">
        <f t="shared" si="181"/>
        <v>60</v>
      </c>
      <c r="F644">
        <f t="shared" ref="F644:F707" si="184">B644/2</f>
        <v>10262535</v>
      </c>
      <c r="G644">
        <f t="shared" ref="G644:G707" si="185">F644/10000</f>
        <v>1026.2535</v>
      </c>
      <c r="H644">
        <f t="shared" si="171"/>
        <v>60000000</v>
      </c>
      <c r="I644">
        <f t="shared" si="180"/>
        <v>28800000</v>
      </c>
      <c r="K644">
        <f t="shared" si="182"/>
        <v>74236996</v>
      </c>
      <c r="L644">
        <f t="shared" si="183"/>
        <v>0.808222358566341</v>
      </c>
      <c r="M644">
        <f t="shared" si="170"/>
        <v>22797570</v>
      </c>
      <c r="N644">
        <f t="shared" si="176"/>
        <v>105280003</v>
      </c>
      <c r="O644">
        <f t="shared" si="179"/>
        <v>0.388958343883828</v>
      </c>
    </row>
    <row r="645" ht="13.9" spans="1:15">
      <c r="A645" s="42" t="s">
        <v>496</v>
      </c>
      <c r="B645" s="11">
        <v>23038718</v>
      </c>
      <c r="C645" s="11">
        <v>2670976</v>
      </c>
      <c r="D645" s="11">
        <v>50</v>
      </c>
      <c r="E645">
        <f t="shared" si="181"/>
        <v>50</v>
      </c>
      <c r="F645">
        <f t="shared" si="184"/>
        <v>11519359</v>
      </c>
      <c r="G645">
        <f t="shared" si="185"/>
        <v>1151.9359</v>
      </c>
      <c r="H645">
        <f t="shared" si="171"/>
        <v>50000000</v>
      </c>
      <c r="I645">
        <f t="shared" si="180"/>
        <v>24000000</v>
      </c>
      <c r="K645">
        <f t="shared" si="182"/>
        <v>51198278</v>
      </c>
      <c r="L645">
        <f t="shared" si="183"/>
        <v>0.976595345648149</v>
      </c>
      <c r="M645">
        <f t="shared" si="170"/>
        <v>25709694</v>
      </c>
      <c r="N645">
        <f t="shared" si="176"/>
        <v>82482433</v>
      </c>
      <c r="O645">
        <f t="shared" si="179"/>
        <v>0.44576841626461</v>
      </c>
    </row>
    <row r="646" ht="13.9" spans="1:15">
      <c r="A646" s="42" t="s">
        <v>497</v>
      </c>
      <c r="B646" s="11">
        <v>20120560</v>
      </c>
      <c r="C646" s="11">
        <v>2312613</v>
      </c>
      <c r="D646" s="11">
        <v>40</v>
      </c>
      <c r="E646">
        <f t="shared" si="181"/>
        <v>40</v>
      </c>
      <c r="F646">
        <f t="shared" si="184"/>
        <v>10060280</v>
      </c>
      <c r="G646">
        <f t="shared" si="185"/>
        <v>1006.028</v>
      </c>
      <c r="H646">
        <f t="shared" si="171"/>
        <v>40000000</v>
      </c>
      <c r="I646">
        <f t="shared" si="180"/>
        <v>19200000</v>
      </c>
      <c r="K646">
        <f t="shared" si="182"/>
        <v>31077718</v>
      </c>
      <c r="L646">
        <f t="shared" si="183"/>
        <v>0</v>
      </c>
      <c r="M646">
        <f t="shared" si="170"/>
        <v>22433173</v>
      </c>
      <c r="N646">
        <f t="shared" si="176"/>
        <v>56772739</v>
      </c>
      <c r="O646">
        <f t="shared" si="179"/>
        <v>1.16483708617634</v>
      </c>
    </row>
    <row r="647" ht="13.9" spans="1:15">
      <c r="A647" s="42" t="s">
        <v>498</v>
      </c>
      <c r="B647" s="11">
        <v>31077718</v>
      </c>
      <c r="C647" s="11">
        <v>3261848</v>
      </c>
      <c r="D647" s="25">
        <v>148</v>
      </c>
      <c r="E647">
        <f t="shared" si="181"/>
        <v>148</v>
      </c>
      <c r="F647">
        <f t="shared" si="184"/>
        <v>15538859</v>
      </c>
      <c r="G647">
        <f t="shared" si="185"/>
        <v>1553.8859</v>
      </c>
      <c r="H647">
        <f t="shared" si="171"/>
        <v>148000000</v>
      </c>
      <c r="I647">
        <f t="shared" si="180"/>
        <v>71040000</v>
      </c>
      <c r="K647">
        <f t="shared" si="182"/>
        <v>261205034</v>
      </c>
      <c r="L647">
        <f t="shared" si="183"/>
        <v>0.566604700275417</v>
      </c>
      <c r="M647">
        <f t="shared" ref="M647:M710" si="186">B647+C647</f>
        <v>34339566</v>
      </c>
      <c r="N647">
        <f t="shared" si="176"/>
        <v>323773181</v>
      </c>
      <c r="O647">
        <f t="shared" si="179"/>
        <v>0.32635582405792</v>
      </c>
    </row>
    <row r="648" ht="13.9" spans="1:15">
      <c r="A648" s="42" t="s">
        <v>499</v>
      </c>
      <c r="B648" s="11">
        <v>27774488</v>
      </c>
      <c r="C648" s="11">
        <v>2866914</v>
      </c>
      <c r="D648" s="11">
        <v>138</v>
      </c>
      <c r="E648">
        <f t="shared" si="181"/>
        <v>138</v>
      </c>
      <c r="F648">
        <f t="shared" si="184"/>
        <v>13887244</v>
      </c>
      <c r="G648">
        <f t="shared" si="185"/>
        <v>1388.7244</v>
      </c>
      <c r="H648">
        <f t="shared" si="171"/>
        <v>138000000</v>
      </c>
      <c r="I648">
        <f t="shared" si="180"/>
        <v>66240000</v>
      </c>
      <c r="K648">
        <f t="shared" si="182"/>
        <v>233430546</v>
      </c>
      <c r="L648">
        <f t="shared" si="183"/>
        <v>0.591182269693187</v>
      </c>
      <c r="M648">
        <f t="shared" si="186"/>
        <v>30641402</v>
      </c>
      <c r="N648">
        <f t="shared" si="176"/>
        <v>289433615</v>
      </c>
      <c r="O648">
        <f t="shared" si="179"/>
        <v>0.301162357198974</v>
      </c>
    </row>
    <row r="649" ht="13.85" spans="1:15">
      <c r="A649" s="43">
        <v>39740</v>
      </c>
      <c r="B649" s="11">
        <v>30035168</v>
      </c>
      <c r="C649" s="11">
        <v>3169513</v>
      </c>
      <c r="D649" s="11">
        <v>128</v>
      </c>
      <c r="E649">
        <f t="shared" si="181"/>
        <v>128</v>
      </c>
      <c r="F649">
        <f t="shared" si="184"/>
        <v>15017584</v>
      </c>
      <c r="G649">
        <f t="shared" si="185"/>
        <v>1501.7584</v>
      </c>
      <c r="H649">
        <f t="shared" si="171"/>
        <v>128000000</v>
      </c>
      <c r="I649">
        <f t="shared" si="180"/>
        <v>61440000</v>
      </c>
      <c r="K649">
        <f t="shared" si="182"/>
        <v>203395378</v>
      </c>
      <c r="L649">
        <f t="shared" si="183"/>
        <v>0.629316168629948</v>
      </c>
      <c r="M649">
        <f t="shared" si="186"/>
        <v>33204681</v>
      </c>
      <c r="N649">
        <f t="shared" si="176"/>
        <v>258792213</v>
      </c>
      <c r="O649">
        <f t="shared" si="179"/>
        <v>0.548264193848949</v>
      </c>
    </row>
    <row r="650" ht="13.85" spans="1:15">
      <c r="A650" s="43">
        <v>39648</v>
      </c>
      <c r="B650" s="11">
        <v>26430256</v>
      </c>
      <c r="C650" s="11">
        <v>2752755</v>
      </c>
      <c r="D650" s="11">
        <v>112</v>
      </c>
      <c r="E650">
        <f t="shared" si="181"/>
        <v>112</v>
      </c>
      <c r="F650">
        <f t="shared" si="184"/>
        <v>13215128</v>
      </c>
      <c r="G650">
        <f t="shared" si="185"/>
        <v>1321.5128</v>
      </c>
      <c r="H650">
        <f t="shared" si="171"/>
        <v>112000000</v>
      </c>
      <c r="I650">
        <f t="shared" si="180"/>
        <v>53760000</v>
      </c>
      <c r="K650">
        <f t="shared" si="182"/>
        <v>176965122</v>
      </c>
      <c r="L650">
        <f t="shared" si="183"/>
        <v>0.632893073698443</v>
      </c>
      <c r="M650">
        <f t="shared" si="186"/>
        <v>29183011</v>
      </c>
      <c r="N650">
        <f t="shared" si="176"/>
        <v>225587532</v>
      </c>
      <c r="O650">
        <f t="shared" si="179"/>
        <v>0.311049450050575</v>
      </c>
    </row>
    <row r="651" ht="13.85" spans="1:15">
      <c r="A651" s="43">
        <v>39526</v>
      </c>
      <c r="B651" s="11">
        <v>29019746</v>
      </c>
      <c r="C651" s="11">
        <v>3129483</v>
      </c>
      <c r="D651" s="11">
        <v>102</v>
      </c>
      <c r="E651">
        <f t="shared" si="181"/>
        <v>102</v>
      </c>
      <c r="F651">
        <f t="shared" si="184"/>
        <v>14509873</v>
      </c>
      <c r="G651">
        <f t="shared" si="185"/>
        <v>1450.9873</v>
      </c>
      <c r="H651">
        <f t="shared" si="171"/>
        <v>102000000</v>
      </c>
      <c r="I651">
        <f t="shared" ref="I651:I714" si="187">H651*0.48</f>
        <v>48960000</v>
      </c>
      <c r="K651">
        <f t="shared" si="182"/>
        <v>147945376</v>
      </c>
      <c r="L651">
        <f t="shared" si="183"/>
        <v>0.689443649796801</v>
      </c>
      <c r="M651">
        <f t="shared" si="186"/>
        <v>32149229</v>
      </c>
      <c r="N651">
        <f t="shared" si="176"/>
        <v>196404521</v>
      </c>
      <c r="O651">
        <f t="shared" si="179"/>
        <v>0.541324583362768</v>
      </c>
    </row>
    <row r="652" ht="13.9" spans="1:15">
      <c r="A652" s="42" t="s">
        <v>500</v>
      </c>
      <c r="B652" s="11">
        <v>23322524</v>
      </c>
      <c r="C652" s="11">
        <v>2539963</v>
      </c>
      <c r="D652" s="11">
        <v>88</v>
      </c>
      <c r="E652">
        <f t="shared" si="181"/>
        <v>88</v>
      </c>
      <c r="F652">
        <f t="shared" si="184"/>
        <v>11661262</v>
      </c>
      <c r="G652">
        <f t="shared" si="185"/>
        <v>1166.1262</v>
      </c>
      <c r="H652">
        <f t="shared" si="171"/>
        <v>88000000</v>
      </c>
      <c r="I652">
        <f t="shared" si="187"/>
        <v>42240000</v>
      </c>
      <c r="K652">
        <f t="shared" si="182"/>
        <v>124622852</v>
      </c>
      <c r="L652">
        <f t="shared" si="183"/>
        <v>0.706130525724126</v>
      </c>
      <c r="M652">
        <f t="shared" si="186"/>
        <v>25862487</v>
      </c>
      <c r="N652">
        <f t="shared" si="176"/>
        <v>164255292</v>
      </c>
      <c r="O652">
        <f t="shared" si="179"/>
        <v>0.470426255401217</v>
      </c>
    </row>
    <row r="653" ht="13.9" spans="1:15">
      <c r="A653" s="42" t="s">
        <v>501</v>
      </c>
      <c r="B653" s="11">
        <v>24837348</v>
      </c>
      <c r="C653" s="11">
        <v>2797164</v>
      </c>
      <c r="D653" s="11">
        <v>75</v>
      </c>
      <c r="E653">
        <f t="shared" si="181"/>
        <v>75</v>
      </c>
      <c r="F653">
        <f t="shared" si="184"/>
        <v>12418674</v>
      </c>
      <c r="G653">
        <f t="shared" si="185"/>
        <v>1241.8674</v>
      </c>
      <c r="H653">
        <f t="shared" si="171"/>
        <v>75000000</v>
      </c>
      <c r="I653">
        <f t="shared" si="187"/>
        <v>36000000</v>
      </c>
      <c r="K653">
        <f t="shared" si="182"/>
        <v>99785504</v>
      </c>
      <c r="L653">
        <f t="shared" si="183"/>
        <v>0.751612178057446</v>
      </c>
      <c r="M653">
        <f t="shared" si="186"/>
        <v>27634512</v>
      </c>
      <c r="N653">
        <f t="shared" si="176"/>
        <v>138392805</v>
      </c>
      <c r="O653">
        <f t="shared" si="179"/>
        <v>0.510181283991094</v>
      </c>
    </row>
    <row r="654" ht="13.9" spans="1:15">
      <c r="A654" s="42" t="s">
        <v>502</v>
      </c>
      <c r="B654" s="11">
        <v>21130652</v>
      </c>
      <c r="C654" s="11">
        <v>2390399</v>
      </c>
      <c r="D654" s="11">
        <v>63</v>
      </c>
      <c r="E654">
        <f t="shared" si="181"/>
        <v>63</v>
      </c>
      <c r="F654">
        <f t="shared" si="184"/>
        <v>10565326</v>
      </c>
      <c r="G654">
        <f t="shared" si="185"/>
        <v>1056.5326</v>
      </c>
      <c r="H654">
        <f t="shared" si="171"/>
        <v>63000000</v>
      </c>
      <c r="I654">
        <f t="shared" si="187"/>
        <v>30240000</v>
      </c>
      <c r="K654">
        <f t="shared" si="182"/>
        <v>78654852</v>
      </c>
      <c r="L654">
        <f t="shared" ref="L654:L677" si="188">IF(E654&gt;E655,H654/K654,0)</f>
        <v>0.800967752122908</v>
      </c>
      <c r="M654">
        <f t="shared" si="186"/>
        <v>23521051</v>
      </c>
      <c r="N654">
        <f t="shared" si="176"/>
        <v>110758293</v>
      </c>
      <c r="O654">
        <f t="shared" si="179"/>
        <v>0.383309317088071</v>
      </c>
    </row>
    <row r="655" ht="13.9" spans="1:15">
      <c r="A655" s="42" t="s">
        <v>503</v>
      </c>
      <c r="B655" s="11">
        <v>23390330</v>
      </c>
      <c r="C655" s="11">
        <v>2698261</v>
      </c>
      <c r="D655" s="11">
        <v>53</v>
      </c>
      <c r="E655">
        <f t="shared" si="181"/>
        <v>53</v>
      </c>
      <c r="F655">
        <f t="shared" si="184"/>
        <v>11695165</v>
      </c>
      <c r="G655">
        <f t="shared" si="185"/>
        <v>1169.5165</v>
      </c>
      <c r="H655">
        <f t="shared" si="171"/>
        <v>53000000</v>
      </c>
      <c r="I655">
        <f t="shared" si="187"/>
        <v>25440000</v>
      </c>
      <c r="K655">
        <f t="shared" si="182"/>
        <v>55264522</v>
      </c>
      <c r="L655">
        <f t="shared" si="188"/>
        <v>0.95902394668319</v>
      </c>
      <c r="M655">
        <f t="shared" si="186"/>
        <v>26088591</v>
      </c>
      <c r="N655">
        <f t="shared" si="176"/>
        <v>87237242</v>
      </c>
      <c r="O655">
        <f t="shared" si="179"/>
        <v>0.557398711114097</v>
      </c>
    </row>
    <row r="656" ht="13.9" spans="1:15">
      <c r="A656" s="42" t="s">
        <v>504</v>
      </c>
      <c r="B656" s="11">
        <v>20947706</v>
      </c>
      <c r="C656" s="11">
        <v>2374917</v>
      </c>
      <c r="D656" s="11">
        <v>40</v>
      </c>
      <c r="E656">
        <f t="shared" si="181"/>
        <v>40</v>
      </c>
      <c r="F656">
        <f t="shared" si="184"/>
        <v>10473853</v>
      </c>
      <c r="G656">
        <f t="shared" si="185"/>
        <v>1047.3853</v>
      </c>
      <c r="H656">
        <f t="shared" ref="H656:H719" si="189">E656*1000000</f>
        <v>40000000</v>
      </c>
      <c r="I656">
        <f t="shared" si="187"/>
        <v>19200000</v>
      </c>
      <c r="K656">
        <f t="shared" si="182"/>
        <v>34316816</v>
      </c>
      <c r="L656">
        <f t="shared" si="188"/>
        <v>0</v>
      </c>
      <c r="M656">
        <f t="shared" si="186"/>
        <v>23322623</v>
      </c>
      <c r="N656">
        <f t="shared" si="176"/>
        <v>61148651</v>
      </c>
      <c r="O656">
        <f t="shared" si="179"/>
        <v>1.05747291256698</v>
      </c>
    </row>
    <row r="657" ht="13.9" spans="1:15">
      <c r="A657" s="42" t="s">
        <v>505</v>
      </c>
      <c r="B657" s="11">
        <v>34316816</v>
      </c>
      <c r="C657" s="11">
        <v>3509212</v>
      </c>
      <c r="D657" s="11">
        <v>198</v>
      </c>
      <c r="E657">
        <f t="shared" si="181"/>
        <v>198</v>
      </c>
      <c r="F657">
        <f t="shared" si="184"/>
        <v>17158408</v>
      </c>
      <c r="G657">
        <f t="shared" si="185"/>
        <v>1715.8408</v>
      </c>
      <c r="H657">
        <f t="shared" si="189"/>
        <v>198000000</v>
      </c>
      <c r="I657">
        <f t="shared" si="187"/>
        <v>95040000</v>
      </c>
      <c r="K657">
        <f t="shared" ref="K657:K720" si="190">IF(E657&gt;E658,B658+K658,B658)</f>
        <v>366861896</v>
      </c>
      <c r="L657">
        <f t="shared" si="188"/>
        <v>0.539712633442858</v>
      </c>
      <c r="M657">
        <f t="shared" si="186"/>
        <v>37826028</v>
      </c>
      <c r="N657">
        <f t="shared" si="176"/>
        <v>443577748</v>
      </c>
      <c r="O657">
        <f t="shared" si="179"/>
        <v>0.535909430115401</v>
      </c>
    </row>
    <row r="658" ht="13.85" spans="1:15">
      <c r="A658" s="43">
        <v>39374</v>
      </c>
      <c r="B658" s="11">
        <v>30509312</v>
      </c>
      <c r="C658" s="11">
        <v>3078453</v>
      </c>
      <c r="D658" s="11">
        <v>180</v>
      </c>
      <c r="E658">
        <f t="shared" si="181"/>
        <v>180</v>
      </c>
      <c r="F658">
        <f t="shared" si="184"/>
        <v>15254656</v>
      </c>
      <c r="G658">
        <f t="shared" si="185"/>
        <v>1525.4656</v>
      </c>
      <c r="H658">
        <f t="shared" si="189"/>
        <v>180000000</v>
      </c>
      <c r="I658">
        <f t="shared" si="187"/>
        <v>86400000</v>
      </c>
      <c r="K658">
        <f t="shared" si="190"/>
        <v>336352584</v>
      </c>
      <c r="L658">
        <f t="shared" si="188"/>
        <v>0.535152719385679</v>
      </c>
      <c r="M658">
        <f t="shared" si="186"/>
        <v>33587765</v>
      </c>
      <c r="N658">
        <f t="shared" si="176"/>
        <v>405751720</v>
      </c>
      <c r="O658">
        <f t="shared" si="179"/>
        <v>0.437884199596726</v>
      </c>
    </row>
    <row r="659" ht="13.85" spans="1:15">
      <c r="A659" s="43">
        <v>39252</v>
      </c>
      <c r="B659" s="11">
        <v>30943566</v>
      </c>
      <c r="C659" s="11">
        <v>3312066</v>
      </c>
      <c r="D659" s="11">
        <v>165</v>
      </c>
      <c r="E659">
        <f t="shared" si="181"/>
        <v>165</v>
      </c>
      <c r="F659">
        <f t="shared" si="184"/>
        <v>15471783</v>
      </c>
      <c r="G659">
        <f t="shared" si="185"/>
        <v>1547.1783</v>
      </c>
      <c r="H659">
        <f t="shared" si="189"/>
        <v>165000000</v>
      </c>
      <c r="I659">
        <f t="shared" si="187"/>
        <v>79200000</v>
      </c>
      <c r="K659">
        <f t="shared" si="190"/>
        <v>305409018</v>
      </c>
      <c r="L659">
        <f t="shared" si="188"/>
        <v>0.540259096082094</v>
      </c>
      <c r="M659">
        <f t="shared" si="186"/>
        <v>34255632</v>
      </c>
      <c r="N659">
        <f t="shared" si="176"/>
        <v>372163955</v>
      </c>
      <c r="O659">
        <f t="shared" si="179"/>
        <v>0.444798319397753</v>
      </c>
    </row>
    <row r="660" ht="13.85" spans="1:15">
      <c r="A660" s="43">
        <v>39160</v>
      </c>
      <c r="B660" s="11">
        <v>30568732</v>
      </c>
      <c r="C660" s="11">
        <v>3154417</v>
      </c>
      <c r="D660" s="11">
        <v>150</v>
      </c>
      <c r="E660">
        <f t="shared" si="181"/>
        <v>150</v>
      </c>
      <c r="F660">
        <f t="shared" si="184"/>
        <v>15284366</v>
      </c>
      <c r="G660">
        <f t="shared" si="185"/>
        <v>1528.4366</v>
      </c>
      <c r="H660">
        <f t="shared" si="189"/>
        <v>150000000</v>
      </c>
      <c r="I660">
        <f t="shared" si="187"/>
        <v>72000000</v>
      </c>
      <c r="K660">
        <f t="shared" si="190"/>
        <v>274840286</v>
      </c>
      <c r="L660">
        <f t="shared" si="188"/>
        <v>0.545771517644251</v>
      </c>
      <c r="M660">
        <f t="shared" si="186"/>
        <v>33723149</v>
      </c>
      <c r="N660">
        <f t="shared" si="176"/>
        <v>337908323</v>
      </c>
      <c r="O660">
        <f t="shared" si="179"/>
        <v>0.368263222767211</v>
      </c>
    </row>
    <row r="661" ht="13.9" spans="1:15">
      <c r="A661" s="42" t="s">
        <v>506</v>
      </c>
      <c r="B661" s="11">
        <v>31833050</v>
      </c>
      <c r="C661" s="11">
        <v>3467787</v>
      </c>
      <c r="D661" s="11">
        <v>137</v>
      </c>
      <c r="E661">
        <f t="shared" si="181"/>
        <v>137</v>
      </c>
      <c r="F661">
        <f t="shared" si="184"/>
        <v>15916525</v>
      </c>
      <c r="G661">
        <f t="shared" si="185"/>
        <v>1591.6525</v>
      </c>
      <c r="H661">
        <f t="shared" si="189"/>
        <v>137000000</v>
      </c>
      <c r="I661">
        <f t="shared" si="187"/>
        <v>65760000</v>
      </c>
      <c r="K661">
        <f t="shared" si="190"/>
        <v>243007236</v>
      </c>
      <c r="L661">
        <f t="shared" si="188"/>
        <v>0.563769220435889</v>
      </c>
      <c r="M661">
        <f t="shared" si="186"/>
        <v>35300837</v>
      </c>
      <c r="N661">
        <f t="shared" si="176"/>
        <v>304185174</v>
      </c>
      <c r="O661">
        <f t="shared" si="179"/>
        <v>0.476449831277998</v>
      </c>
    </row>
    <row r="662" ht="13.9" spans="1:15">
      <c r="A662" s="42" t="s">
        <v>507</v>
      </c>
      <c r="B662" s="11">
        <v>28456434</v>
      </c>
      <c r="C662" s="11">
        <v>3026419</v>
      </c>
      <c r="D662" s="11">
        <v>122</v>
      </c>
      <c r="E662">
        <f t="shared" si="181"/>
        <v>122</v>
      </c>
      <c r="F662">
        <f t="shared" si="184"/>
        <v>14228217</v>
      </c>
      <c r="G662">
        <f t="shared" si="185"/>
        <v>1422.8217</v>
      </c>
      <c r="H662">
        <f t="shared" si="189"/>
        <v>122000000</v>
      </c>
      <c r="I662">
        <f t="shared" si="187"/>
        <v>58560000</v>
      </c>
      <c r="K662">
        <f t="shared" si="190"/>
        <v>214550802</v>
      </c>
      <c r="L662">
        <f t="shared" si="188"/>
        <v>0.568629894937424</v>
      </c>
      <c r="M662">
        <f t="shared" si="186"/>
        <v>31482853</v>
      </c>
      <c r="N662">
        <f t="shared" si="176"/>
        <v>268884337</v>
      </c>
      <c r="O662">
        <f t="shared" si="179"/>
        <v>0.416406685135691</v>
      </c>
    </row>
    <row r="663" ht="13.9" spans="1:15">
      <c r="A663" s="42" t="s">
        <v>508</v>
      </c>
      <c r="B663" s="11">
        <v>30316974</v>
      </c>
      <c r="C663" s="11">
        <v>3304004</v>
      </c>
      <c r="D663" s="11">
        <v>108</v>
      </c>
      <c r="E663">
        <f t="shared" si="181"/>
        <v>108</v>
      </c>
      <c r="F663">
        <f t="shared" si="184"/>
        <v>15158487</v>
      </c>
      <c r="G663">
        <f t="shared" si="185"/>
        <v>1515.8487</v>
      </c>
      <c r="H663">
        <f t="shared" si="189"/>
        <v>108000000</v>
      </c>
      <c r="I663">
        <f t="shared" si="187"/>
        <v>51840000</v>
      </c>
      <c r="K663">
        <f t="shared" si="190"/>
        <v>184233828</v>
      </c>
      <c r="L663">
        <f t="shared" si="188"/>
        <v>0.586211561537982</v>
      </c>
      <c r="M663">
        <f t="shared" si="186"/>
        <v>33620978</v>
      </c>
      <c r="N663">
        <f t="shared" si="176"/>
        <v>237401484</v>
      </c>
      <c r="O663">
        <f t="shared" si="179"/>
        <v>0.564354229912552</v>
      </c>
    </row>
    <row r="664" ht="13.9" spans="1:15">
      <c r="A664" s="42" t="s">
        <v>509</v>
      </c>
      <c r="B664" s="11">
        <v>25537240</v>
      </c>
      <c r="C664" s="11">
        <v>2813748</v>
      </c>
      <c r="D664" s="11">
        <v>92</v>
      </c>
      <c r="E664">
        <f t="shared" si="181"/>
        <v>92</v>
      </c>
      <c r="F664">
        <f t="shared" si="184"/>
        <v>12768620</v>
      </c>
      <c r="G664">
        <f t="shared" si="185"/>
        <v>1276.862</v>
      </c>
      <c r="H664">
        <f t="shared" si="189"/>
        <v>92000000</v>
      </c>
      <c r="I664">
        <f t="shared" si="187"/>
        <v>44160000</v>
      </c>
      <c r="K664">
        <f t="shared" si="190"/>
        <v>158696588</v>
      </c>
      <c r="L664">
        <f t="shared" si="188"/>
        <v>0.579722608780978</v>
      </c>
      <c r="M664">
        <f t="shared" si="186"/>
        <v>28350988</v>
      </c>
      <c r="N664">
        <f t="shared" si="176"/>
        <v>203780506</v>
      </c>
      <c r="O664">
        <f t="shared" ref="O664:O680" si="191">IF(H664&gt;H665,(H664-H665)/M665,H664/M665)</f>
        <v>0.431927237404686</v>
      </c>
    </row>
    <row r="665" ht="13.9" spans="1:15">
      <c r="A665" s="42" t="s">
        <v>510</v>
      </c>
      <c r="B665" s="11">
        <v>27032132</v>
      </c>
      <c r="C665" s="11">
        <v>3065530</v>
      </c>
      <c r="D665" s="11">
        <v>79</v>
      </c>
      <c r="E665">
        <f t="shared" si="181"/>
        <v>79</v>
      </c>
      <c r="F665">
        <f t="shared" si="184"/>
        <v>13516066</v>
      </c>
      <c r="G665">
        <f t="shared" si="185"/>
        <v>1351.6066</v>
      </c>
      <c r="H665">
        <f t="shared" si="189"/>
        <v>79000000</v>
      </c>
      <c r="I665">
        <f t="shared" si="187"/>
        <v>37920000</v>
      </c>
      <c r="K665">
        <f t="shared" si="190"/>
        <v>131664456</v>
      </c>
      <c r="L665">
        <f t="shared" si="188"/>
        <v>0.600010074093193</v>
      </c>
      <c r="M665">
        <f t="shared" si="186"/>
        <v>30097662</v>
      </c>
      <c r="N665">
        <f t="shared" si="176"/>
        <v>175429518</v>
      </c>
      <c r="O665">
        <f t="shared" si="191"/>
        <v>0.501552246330981</v>
      </c>
    </row>
    <row r="666" ht="13.85" spans="1:15">
      <c r="A666" s="43">
        <v>39070</v>
      </c>
      <c r="B666" s="11">
        <v>23294356</v>
      </c>
      <c r="C666" s="11">
        <v>2625177</v>
      </c>
      <c r="D666" s="11">
        <v>66</v>
      </c>
      <c r="E666">
        <f t="shared" si="181"/>
        <v>66</v>
      </c>
      <c r="F666">
        <f t="shared" si="184"/>
        <v>11647178</v>
      </c>
      <c r="G666">
        <f t="shared" si="185"/>
        <v>1164.7178</v>
      </c>
      <c r="H666">
        <f t="shared" si="189"/>
        <v>66000000</v>
      </c>
      <c r="I666">
        <f t="shared" si="187"/>
        <v>31680000</v>
      </c>
      <c r="K666">
        <f t="shared" si="190"/>
        <v>108370100</v>
      </c>
      <c r="L666">
        <f t="shared" si="188"/>
        <v>0.609024075829034</v>
      </c>
      <c r="M666">
        <f t="shared" si="186"/>
        <v>25919533</v>
      </c>
      <c r="N666">
        <f t="shared" si="176"/>
        <v>145331856</v>
      </c>
      <c r="O666">
        <f t="shared" si="191"/>
        <v>0.430963908131888</v>
      </c>
    </row>
    <row r="667" ht="13.85" spans="1:15">
      <c r="A667" s="43">
        <v>38948</v>
      </c>
      <c r="B667" s="11">
        <v>27122574</v>
      </c>
      <c r="C667" s="11">
        <v>3042365</v>
      </c>
      <c r="D667" s="11">
        <v>53</v>
      </c>
      <c r="E667">
        <f t="shared" si="181"/>
        <v>53</v>
      </c>
      <c r="F667">
        <f t="shared" si="184"/>
        <v>13561287</v>
      </c>
      <c r="G667">
        <f t="shared" si="185"/>
        <v>1356.1287</v>
      </c>
      <c r="H667">
        <f t="shared" si="189"/>
        <v>53000000</v>
      </c>
      <c r="I667">
        <f t="shared" si="187"/>
        <v>25440000</v>
      </c>
      <c r="K667">
        <f t="shared" si="190"/>
        <v>81247526</v>
      </c>
      <c r="L667">
        <f t="shared" si="188"/>
        <v>0.652327555179957</v>
      </c>
      <c r="M667">
        <f t="shared" si="186"/>
        <v>30164939</v>
      </c>
      <c r="N667">
        <f t="shared" si="176"/>
        <v>119412323</v>
      </c>
      <c r="O667">
        <f t="shared" si="191"/>
        <v>0.459512982690994</v>
      </c>
    </row>
    <row r="668" ht="13.85" spans="1:15">
      <c r="A668" s="43">
        <v>38856</v>
      </c>
      <c r="B668" s="11">
        <v>25506384</v>
      </c>
      <c r="C668" s="11">
        <v>2784438</v>
      </c>
      <c r="D668" s="11">
        <v>40</v>
      </c>
      <c r="E668">
        <f t="shared" si="181"/>
        <v>40</v>
      </c>
      <c r="F668">
        <f t="shared" si="184"/>
        <v>12753192</v>
      </c>
      <c r="G668">
        <f t="shared" si="185"/>
        <v>1275.3192</v>
      </c>
      <c r="H668">
        <f t="shared" si="189"/>
        <v>40000000</v>
      </c>
      <c r="I668">
        <f t="shared" si="187"/>
        <v>19200000</v>
      </c>
      <c r="K668">
        <f t="shared" si="190"/>
        <v>55741142</v>
      </c>
      <c r="L668">
        <f t="shared" si="188"/>
        <v>0</v>
      </c>
      <c r="M668">
        <f t="shared" si="186"/>
        <v>28290822</v>
      </c>
      <c r="N668">
        <f t="shared" si="176"/>
        <v>89247384</v>
      </c>
      <c r="O668">
        <f t="shared" si="191"/>
        <v>0.656204987413824</v>
      </c>
    </row>
    <row r="669" ht="13.85" spans="1:15">
      <c r="A669" s="43">
        <v>38736</v>
      </c>
      <c r="B669" s="11">
        <v>55741142</v>
      </c>
      <c r="C669" s="11">
        <v>5215420</v>
      </c>
      <c r="D669" s="27">
        <v>344.6</v>
      </c>
      <c r="E669">
        <f t="shared" si="181"/>
        <v>344.6</v>
      </c>
      <c r="F669">
        <f t="shared" si="184"/>
        <v>27870571</v>
      </c>
      <c r="G669">
        <f t="shared" si="185"/>
        <v>2787.0571</v>
      </c>
      <c r="H669">
        <f t="shared" si="189"/>
        <v>344600000</v>
      </c>
      <c r="I669">
        <f t="shared" si="187"/>
        <v>165408000</v>
      </c>
      <c r="K669">
        <f t="shared" si="190"/>
        <v>883647040</v>
      </c>
      <c r="L669">
        <f t="shared" si="188"/>
        <v>0.389974712075084</v>
      </c>
      <c r="M669">
        <f t="shared" si="186"/>
        <v>60956562</v>
      </c>
      <c r="N669">
        <f t="shared" si="176"/>
        <v>1028508604</v>
      </c>
      <c r="O669">
        <f t="shared" si="191"/>
        <v>0.415200410777255</v>
      </c>
    </row>
    <row r="670" ht="13.9" spans="1:15">
      <c r="A670" s="42" t="s">
        <v>511</v>
      </c>
      <c r="B670" s="11">
        <v>43138472</v>
      </c>
      <c r="C670" s="11">
        <v>4067647</v>
      </c>
      <c r="D670" s="11">
        <v>325</v>
      </c>
      <c r="E670">
        <f t="shared" si="181"/>
        <v>325</v>
      </c>
      <c r="F670">
        <f t="shared" si="184"/>
        <v>21569236</v>
      </c>
      <c r="G670">
        <f t="shared" si="185"/>
        <v>2156.9236</v>
      </c>
      <c r="H670">
        <f t="shared" si="189"/>
        <v>325000000</v>
      </c>
      <c r="I670">
        <f t="shared" si="187"/>
        <v>156000000</v>
      </c>
      <c r="K670">
        <f t="shared" si="190"/>
        <v>840508568</v>
      </c>
      <c r="L670">
        <f t="shared" si="188"/>
        <v>0.386670656758849</v>
      </c>
      <c r="M670">
        <f t="shared" si="186"/>
        <v>47206119</v>
      </c>
      <c r="N670">
        <f t="shared" si="176"/>
        <v>967552042</v>
      </c>
      <c r="O670">
        <f t="shared" si="191"/>
        <v>0.344000846808673</v>
      </c>
    </row>
    <row r="671" ht="13.9" spans="1:15">
      <c r="A671" s="42" t="s">
        <v>512</v>
      </c>
      <c r="B671" s="11">
        <v>45012196</v>
      </c>
      <c r="C671" s="11">
        <v>4406287</v>
      </c>
      <c r="D671" s="11">
        <v>308</v>
      </c>
      <c r="E671">
        <f t="shared" si="181"/>
        <v>308</v>
      </c>
      <c r="F671">
        <f t="shared" si="184"/>
        <v>22506098</v>
      </c>
      <c r="G671">
        <f t="shared" si="185"/>
        <v>2250.6098</v>
      </c>
      <c r="H671">
        <f t="shared" si="189"/>
        <v>308000000</v>
      </c>
      <c r="I671">
        <f t="shared" si="187"/>
        <v>147840000</v>
      </c>
      <c r="K671">
        <f t="shared" si="190"/>
        <v>795496372</v>
      </c>
      <c r="L671">
        <f t="shared" si="188"/>
        <v>0.387179641342223</v>
      </c>
      <c r="M671">
        <f t="shared" si="186"/>
        <v>49418483</v>
      </c>
      <c r="N671">
        <f t="shared" ref="N671:N734" si="192">IF(H671&lt;H672,M671+M672,M671+N672)</f>
        <v>920345923</v>
      </c>
      <c r="O671">
        <f t="shared" si="191"/>
        <v>0.473138496319964</v>
      </c>
    </row>
    <row r="672" ht="13.9" spans="1:15">
      <c r="A672" s="42" t="s">
        <v>513</v>
      </c>
      <c r="B672" s="11">
        <v>38466844</v>
      </c>
      <c r="C672" s="11">
        <v>3804077</v>
      </c>
      <c r="D672" s="11">
        <v>288</v>
      </c>
      <c r="E672">
        <f t="shared" si="181"/>
        <v>288</v>
      </c>
      <c r="F672">
        <f t="shared" si="184"/>
        <v>19233422</v>
      </c>
      <c r="G672">
        <f t="shared" si="185"/>
        <v>1923.3422</v>
      </c>
      <c r="H672">
        <f t="shared" si="189"/>
        <v>288000000</v>
      </c>
      <c r="I672">
        <f t="shared" si="187"/>
        <v>138240000</v>
      </c>
      <c r="K672">
        <f t="shared" si="190"/>
        <v>757029528</v>
      </c>
      <c r="L672">
        <f t="shared" si="188"/>
        <v>0.380434301896874</v>
      </c>
      <c r="M672">
        <f t="shared" si="186"/>
        <v>42270921</v>
      </c>
      <c r="N672">
        <f t="shared" si="192"/>
        <v>870927440</v>
      </c>
      <c r="O672">
        <f t="shared" si="191"/>
        <v>0.406052757758061</v>
      </c>
    </row>
    <row r="673" ht="13.9" spans="1:15">
      <c r="A673" s="42" t="s">
        <v>514</v>
      </c>
      <c r="B673" s="11">
        <v>40260874</v>
      </c>
      <c r="C673" s="11">
        <v>4068341</v>
      </c>
      <c r="D673" s="11">
        <v>270</v>
      </c>
      <c r="E673">
        <f t="shared" si="181"/>
        <v>270</v>
      </c>
      <c r="F673">
        <f t="shared" si="184"/>
        <v>20130437</v>
      </c>
      <c r="G673">
        <f t="shared" si="185"/>
        <v>2013.0437</v>
      </c>
      <c r="H673">
        <f t="shared" si="189"/>
        <v>270000000</v>
      </c>
      <c r="I673">
        <f t="shared" si="187"/>
        <v>129600000</v>
      </c>
      <c r="K673">
        <f t="shared" si="190"/>
        <v>716768654</v>
      </c>
      <c r="L673">
        <f t="shared" si="188"/>
        <v>0.376690579998494</v>
      </c>
      <c r="M673">
        <f t="shared" si="186"/>
        <v>44329215</v>
      </c>
      <c r="N673">
        <f t="shared" si="192"/>
        <v>828656519</v>
      </c>
      <c r="O673">
        <f t="shared" si="191"/>
        <v>0.496512508552738</v>
      </c>
    </row>
    <row r="674" ht="13.9" spans="1:15">
      <c r="A674" s="42" t="s">
        <v>515</v>
      </c>
      <c r="B674" s="11">
        <v>36645264</v>
      </c>
      <c r="C674" s="11">
        <v>3635695</v>
      </c>
      <c r="D674" s="11">
        <v>250</v>
      </c>
      <c r="E674">
        <f t="shared" si="181"/>
        <v>250</v>
      </c>
      <c r="F674">
        <f t="shared" si="184"/>
        <v>18322632</v>
      </c>
      <c r="G674">
        <f t="shared" si="185"/>
        <v>1832.2632</v>
      </c>
      <c r="H674">
        <f t="shared" si="189"/>
        <v>250000000</v>
      </c>
      <c r="I674">
        <f t="shared" si="187"/>
        <v>120000000</v>
      </c>
      <c r="K674">
        <f t="shared" si="190"/>
        <v>680123390</v>
      </c>
      <c r="L674">
        <f t="shared" si="188"/>
        <v>0.367580359205114</v>
      </c>
      <c r="M674">
        <f t="shared" si="186"/>
        <v>40280959</v>
      </c>
      <c r="N674">
        <f t="shared" si="192"/>
        <v>784327304</v>
      </c>
      <c r="O674">
        <f t="shared" si="191"/>
        <v>0.347137350354295</v>
      </c>
    </row>
    <row r="675" ht="13.85" spans="1:15">
      <c r="A675" s="43">
        <v>38675</v>
      </c>
      <c r="B675" s="11">
        <v>39207904</v>
      </c>
      <c r="C675" s="11">
        <v>4002658</v>
      </c>
      <c r="D675" s="11">
        <v>235</v>
      </c>
      <c r="E675">
        <f t="shared" si="181"/>
        <v>235</v>
      </c>
      <c r="F675">
        <f t="shared" si="184"/>
        <v>19603952</v>
      </c>
      <c r="G675">
        <f t="shared" si="185"/>
        <v>1960.3952</v>
      </c>
      <c r="H675">
        <f t="shared" si="189"/>
        <v>235000000</v>
      </c>
      <c r="I675">
        <f t="shared" si="187"/>
        <v>112800000</v>
      </c>
      <c r="K675">
        <f t="shared" si="190"/>
        <v>640915486</v>
      </c>
      <c r="L675">
        <f t="shared" si="188"/>
        <v>0.366663008045963</v>
      </c>
      <c r="M675">
        <f t="shared" si="186"/>
        <v>43210562</v>
      </c>
      <c r="N675">
        <f t="shared" si="192"/>
        <v>744046345</v>
      </c>
      <c r="O675">
        <f t="shared" si="191"/>
        <v>0.528039909256342</v>
      </c>
    </row>
    <row r="676" ht="13.85" spans="1:15">
      <c r="A676" s="43">
        <v>38583</v>
      </c>
      <c r="B676" s="11">
        <v>34369104</v>
      </c>
      <c r="C676" s="11">
        <v>3506821</v>
      </c>
      <c r="D676" s="11">
        <v>215</v>
      </c>
      <c r="E676">
        <f t="shared" si="181"/>
        <v>215</v>
      </c>
      <c r="F676">
        <f t="shared" si="184"/>
        <v>17184552</v>
      </c>
      <c r="G676">
        <f t="shared" si="185"/>
        <v>1718.4552</v>
      </c>
      <c r="H676">
        <f t="shared" si="189"/>
        <v>215000000</v>
      </c>
      <c r="I676">
        <f t="shared" si="187"/>
        <v>103200000</v>
      </c>
      <c r="K676">
        <f t="shared" si="190"/>
        <v>606546382</v>
      </c>
      <c r="L676">
        <f t="shared" si="188"/>
        <v>0.354465884852974</v>
      </c>
      <c r="M676">
        <f t="shared" si="186"/>
        <v>37875925</v>
      </c>
      <c r="N676">
        <f t="shared" si="192"/>
        <v>700835783</v>
      </c>
      <c r="O676">
        <f t="shared" si="191"/>
        <v>0.394704661989976</v>
      </c>
    </row>
    <row r="677" ht="13.85" spans="1:15">
      <c r="A677" s="43">
        <v>38461</v>
      </c>
      <c r="B677" s="11">
        <v>36666644</v>
      </c>
      <c r="C677" s="11">
        <v>3869994</v>
      </c>
      <c r="D677" s="11">
        <v>199</v>
      </c>
      <c r="E677">
        <f t="shared" si="181"/>
        <v>199</v>
      </c>
      <c r="F677">
        <f t="shared" si="184"/>
        <v>18333322</v>
      </c>
      <c r="G677">
        <f t="shared" si="185"/>
        <v>1833.3322</v>
      </c>
      <c r="H677">
        <f t="shared" si="189"/>
        <v>199000000</v>
      </c>
      <c r="I677">
        <f t="shared" si="187"/>
        <v>95520000</v>
      </c>
      <c r="K677">
        <f t="shared" si="190"/>
        <v>569879738</v>
      </c>
      <c r="L677">
        <f t="shared" si="188"/>
        <v>0.349196482574364</v>
      </c>
      <c r="M677">
        <f t="shared" si="186"/>
        <v>40536638</v>
      </c>
      <c r="N677">
        <f t="shared" si="192"/>
        <v>662959858</v>
      </c>
      <c r="O677">
        <f t="shared" si="191"/>
        <v>0.508395200557246</v>
      </c>
    </row>
    <row r="678" ht="13.85" spans="1:15">
      <c r="A678" s="43">
        <v>38371</v>
      </c>
      <c r="B678" s="11">
        <v>32038000</v>
      </c>
      <c r="C678" s="11">
        <v>3367527</v>
      </c>
      <c r="D678" s="11">
        <v>181</v>
      </c>
      <c r="E678">
        <f t="shared" si="181"/>
        <v>181</v>
      </c>
      <c r="F678">
        <f t="shared" si="184"/>
        <v>16019000</v>
      </c>
      <c r="G678">
        <f t="shared" si="185"/>
        <v>1601.9</v>
      </c>
      <c r="H678">
        <f t="shared" si="189"/>
        <v>181000000</v>
      </c>
      <c r="I678">
        <f t="shared" si="187"/>
        <v>86880000</v>
      </c>
      <c r="K678">
        <f t="shared" si="190"/>
        <v>537841738</v>
      </c>
      <c r="L678">
        <f t="shared" ref="L678:L705" si="193">IF(E678&gt;E679,H678/K678,0)</f>
        <v>0.336530222948223</v>
      </c>
      <c r="M678">
        <f t="shared" si="186"/>
        <v>35405527</v>
      </c>
      <c r="N678">
        <f t="shared" si="192"/>
        <v>622423220</v>
      </c>
      <c r="O678">
        <f t="shared" si="191"/>
        <v>0.393922966157999</v>
      </c>
    </row>
    <row r="679" ht="13.9" spans="1:15">
      <c r="A679" s="42" t="s">
        <v>516</v>
      </c>
      <c r="B679" s="11">
        <v>34408304</v>
      </c>
      <c r="C679" s="11">
        <v>3670207</v>
      </c>
      <c r="D679" s="11">
        <v>166</v>
      </c>
      <c r="E679">
        <f t="shared" si="181"/>
        <v>166</v>
      </c>
      <c r="F679">
        <f t="shared" si="184"/>
        <v>17204152</v>
      </c>
      <c r="G679">
        <f t="shared" si="185"/>
        <v>1720.4152</v>
      </c>
      <c r="H679">
        <f t="shared" si="189"/>
        <v>166000000</v>
      </c>
      <c r="I679">
        <f t="shared" si="187"/>
        <v>79680000</v>
      </c>
      <c r="K679">
        <f t="shared" si="190"/>
        <v>503433434</v>
      </c>
      <c r="L679">
        <f t="shared" si="193"/>
        <v>0.329735748142623</v>
      </c>
      <c r="M679">
        <f t="shared" si="186"/>
        <v>38078511</v>
      </c>
      <c r="N679">
        <f t="shared" si="192"/>
        <v>587017693</v>
      </c>
      <c r="O679">
        <f t="shared" si="191"/>
        <v>0.478379031785955</v>
      </c>
    </row>
    <row r="680" ht="13.9" spans="1:15">
      <c r="A680" s="42" t="s">
        <v>517</v>
      </c>
      <c r="B680" s="11">
        <v>30245200</v>
      </c>
      <c r="C680" s="11">
        <v>3201082</v>
      </c>
      <c r="D680" s="11">
        <v>150</v>
      </c>
      <c r="E680">
        <f t="shared" ref="E680:E696" si="194">IF(RIGHT(D680,1)="B",VALUE(LEFT(D680,LEN(D680)-1))*1000,D680)</f>
        <v>150</v>
      </c>
      <c r="F680">
        <f t="shared" si="184"/>
        <v>15122600</v>
      </c>
      <c r="G680">
        <f t="shared" si="185"/>
        <v>1512.26</v>
      </c>
      <c r="H680">
        <f t="shared" si="189"/>
        <v>150000000</v>
      </c>
      <c r="I680">
        <f t="shared" si="187"/>
        <v>72000000</v>
      </c>
      <c r="K680">
        <f t="shared" si="190"/>
        <v>473188234</v>
      </c>
      <c r="L680">
        <f t="shared" si="193"/>
        <v>0.316998583696821</v>
      </c>
      <c r="M680">
        <f t="shared" si="186"/>
        <v>33446282</v>
      </c>
      <c r="N680">
        <f t="shared" si="192"/>
        <v>548939182</v>
      </c>
      <c r="O680">
        <f t="shared" si="191"/>
        <v>0.385146866128727</v>
      </c>
    </row>
    <row r="681" ht="13.9" spans="1:15">
      <c r="A681" s="42" t="s">
        <v>518</v>
      </c>
      <c r="B681" s="11">
        <v>32845004</v>
      </c>
      <c r="C681" s="11">
        <v>3504766</v>
      </c>
      <c r="D681" s="11">
        <v>136</v>
      </c>
      <c r="E681">
        <f t="shared" si="194"/>
        <v>136</v>
      </c>
      <c r="F681">
        <f t="shared" si="184"/>
        <v>16422502</v>
      </c>
      <c r="G681">
        <f t="shared" si="185"/>
        <v>1642.2502</v>
      </c>
      <c r="H681">
        <f t="shared" si="189"/>
        <v>136000000</v>
      </c>
      <c r="I681">
        <f t="shared" si="187"/>
        <v>65280000</v>
      </c>
      <c r="K681">
        <f t="shared" si="190"/>
        <v>440343230</v>
      </c>
      <c r="L681">
        <f t="shared" si="193"/>
        <v>0.308849985044621</v>
      </c>
      <c r="M681">
        <f t="shared" si="186"/>
        <v>36349770</v>
      </c>
      <c r="N681">
        <f t="shared" si="192"/>
        <v>515492900</v>
      </c>
      <c r="O681">
        <f t="shared" ref="O681:O693" si="195">IF(H681&gt;H682,(H681-H682)/M682,H681/M682)</f>
        <v>0.561083929365518</v>
      </c>
    </row>
    <row r="682" ht="13.9" spans="1:15">
      <c r="A682" s="42" t="s">
        <v>519</v>
      </c>
      <c r="B682" s="11">
        <v>28944416</v>
      </c>
      <c r="C682" s="11">
        <v>3136346</v>
      </c>
      <c r="D682" s="11">
        <v>118</v>
      </c>
      <c r="E682">
        <f t="shared" si="194"/>
        <v>118</v>
      </c>
      <c r="F682">
        <f t="shared" si="184"/>
        <v>14472208</v>
      </c>
      <c r="G682">
        <f t="shared" si="185"/>
        <v>1447.2208</v>
      </c>
      <c r="H682">
        <f t="shared" si="189"/>
        <v>118000000</v>
      </c>
      <c r="I682">
        <f t="shared" si="187"/>
        <v>56640000</v>
      </c>
      <c r="K682">
        <f t="shared" si="190"/>
        <v>411398814</v>
      </c>
      <c r="L682">
        <f t="shared" si="193"/>
        <v>0.28682630086532</v>
      </c>
      <c r="M682">
        <f t="shared" si="186"/>
        <v>32080762</v>
      </c>
      <c r="N682">
        <f t="shared" si="192"/>
        <v>479143130</v>
      </c>
      <c r="O682">
        <f t="shared" si="195"/>
        <v>0.488632889966053</v>
      </c>
    </row>
    <row r="683" ht="13.9" spans="1:15">
      <c r="A683" s="42" t="s">
        <v>520</v>
      </c>
      <c r="B683" s="11">
        <v>31326012</v>
      </c>
      <c r="C683" s="11">
        <v>3464933</v>
      </c>
      <c r="D683" s="11">
        <v>101</v>
      </c>
      <c r="E683">
        <f t="shared" si="194"/>
        <v>101</v>
      </c>
      <c r="F683">
        <f t="shared" si="184"/>
        <v>15663006</v>
      </c>
      <c r="G683">
        <f t="shared" si="185"/>
        <v>1566.3006</v>
      </c>
      <c r="H683">
        <f t="shared" si="189"/>
        <v>101000000</v>
      </c>
      <c r="I683">
        <f t="shared" si="187"/>
        <v>48480000</v>
      </c>
      <c r="K683">
        <f t="shared" si="190"/>
        <v>380072802</v>
      </c>
      <c r="L683">
        <f t="shared" si="193"/>
        <v>0.265738562371532</v>
      </c>
      <c r="M683">
        <f t="shared" si="186"/>
        <v>34790945</v>
      </c>
      <c r="N683">
        <f t="shared" si="192"/>
        <v>447062368</v>
      </c>
      <c r="O683">
        <f t="shared" si="195"/>
        <v>0.576293886559193</v>
      </c>
    </row>
    <row r="684" ht="13.85" spans="1:15">
      <c r="A684" s="43">
        <v>38279</v>
      </c>
      <c r="B684" s="11">
        <v>26521906</v>
      </c>
      <c r="C684" s="11">
        <v>2976932</v>
      </c>
      <c r="D684" s="11">
        <v>84</v>
      </c>
      <c r="E684">
        <f t="shared" si="194"/>
        <v>84</v>
      </c>
      <c r="F684">
        <f t="shared" si="184"/>
        <v>13260953</v>
      </c>
      <c r="G684">
        <f t="shared" si="185"/>
        <v>1326.0953</v>
      </c>
      <c r="H684">
        <f t="shared" si="189"/>
        <v>84000000</v>
      </c>
      <c r="I684">
        <f t="shared" si="187"/>
        <v>40320000</v>
      </c>
      <c r="K684">
        <f t="shared" si="190"/>
        <v>353550896</v>
      </c>
      <c r="L684">
        <f t="shared" si="193"/>
        <v>0.237589554857188</v>
      </c>
      <c r="M684">
        <f t="shared" si="186"/>
        <v>29498838</v>
      </c>
      <c r="N684">
        <f t="shared" si="192"/>
        <v>412271423</v>
      </c>
      <c r="O684">
        <f t="shared" si="195"/>
        <v>0.494238247732659</v>
      </c>
    </row>
    <row r="685" ht="13.85" spans="1:15">
      <c r="A685" s="43">
        <v>38157</v>
      </c>
      <c r="B685" s="11">
        <v>29051180</v>
      </c>
      <c r="C685" s="11">
        <v>3321871</v>
      </c>
      <c r="D685" s="11">
        <v>68</v>
      </c>
      <c r="E685">
        <f t="shared" si="194"/>
        <v>68</v>
      </c>
      <c r="F685">
        <f t="shared" si="184"/>
        <v>14525590</v>
      </c>
      <c r="G685">
        <f t="shared" si="185"/>
        <v>1452.559</v>
      </c>
      <c r="H685">
        <f t="shared" si="189"/>
        <v>68000000</v>
      </c>
      <c r="I685">
        <f t="shared" si="187"/>
        <v>32640000</v>
      </c>
      <c r="K685">
        <f t="shared" si="190"/>
        <v>324499716</v>
      </c>
      <c r="L685">
        <f t="shared" si="193"/>
        <v>0.209553342105236</v>
      </c>
      <c r="M685">
        <f t="shared" si="186"/>
        <v>32373051</v>
      </c>
      <c r="N685">
        <f t="shared" si="192"/>
        <v>382772585</v>
      </c>
      <c r="O685">
        <f t="shared" si="195"/>
        <v>0.475481297452609</v>
      </c>
    </row>
    <row r="686" ht="13.85" spans="1:15">
      <c r="A686" s="43">
        <v>38065</v>
      </c>
      <c r="B686" s="11">
        <v>26437826</v>
      </c>
      <c r="C686" s="11">
        <v>3006024</v>
      </c>
      <c r="D686" s="11">
        <v>54</v>
      </c>
      <c r="E686">
        <f t="shared" si="194"/>
        <v>54</v>
      </c>
      <c r="F686">
        <f t="shared" si="184"/>
        <v>13218913</v>
      </c>
      <c r="G686">
        <f t="shared" si="185"/>
        <v>1321.8913</v>
      </c>
      <c r="H686">
        <f t="shared" si="189"/>
        <v>54000000</v>
      </c>
      <c r="I686">
        <f t="shared" si="187"/>
        <v>25920000</v>
      </c>
      <c r="K686">
        <f t="shared" si="190"/>
        <v>298061890</v>
      </c>
      <c r="L686">
        <f t="shared" si="193"/>
        <v>0.181170427390097</v>
      </c>
      <c r="M686">
        <f t="shared" si="186"/>
        <v>29443850</v>
      </c>
      <c r="N686">
        <f t="shared" si="192"/>
        <v>350399534</v>
      </c>
      <c r="O686">
        <f t="shared" si="195"/>
        <v>0.420120872976364</v>
      </c>
    </row>
    <row r="687" ht="13.9" spans="1:15">
      <c r="A687" s="42" t="s">
        <v>521</v>
      </c>
      <c r="B687" s="11">
        <v>29940006</v>
      </c>
      <c r="C687" s="11">
        <v>3383737</v>
      </c>
      <c r="D687" s="11">
        <v>40</v>
      </c>
      <c r="E687">
        <f t="shared" si="194"/>
        <v>40</v>
      </c>
      <c r="F687">
        <f t="shared" si="184"/>
        <v>14970003</v>
      </c>
      <c r="G687">
        <f t="shared" si="185"/>
        <v>1497.0003</v>
      </c>
      <c r="H687">
        <f t="shared" si="189"/>
        <v>40000000</v>
      </c>
      <c r="I687">
        <f t="shared" si="187"/>
        <v>19200000</v>
      </c>
      <c r="K687">
        <f t="shared" si="190"/>
        <v>268121884</v>
      </c>
      <c r="L687">
        <f t="shared" si="193"/>
        <v>0</v>
      </c>
      <c r="M687">
        <f t="shared" si="186"/>
        <v>33323743</v>
      </c>
      <c r="N687">
        <f t="shared" si="192"/>
        <v>320955684</v>
      </c>
      <c r="O687">
        <f t="shared" si="195"/>
        <v>0.139066613606727</v>
      </c>
    </row>
    <row r="688" ht="13.9" spans="1:15">
      <c r="A688" s="42" t="s">
        <v>522</v>
      </c>
      <c r="B688" s="11">
        <v>268121884</v>
      </c>
      <c r="C688" s="11">
        <v>19510057</v>
      </c>
      <c r="D688" s="27">
        <v>768.4</v>
      </c>
      <c r="E688">
        <f t="shared" si="194"/>
        <v>768.4</v>
      </c>
      <c r="F688">
        <f t="shared" si="184"/>
        <v>134060942</v>
      </c>
      <c r="G688">
        <f t="shared" si="185"/>
        <v>13406.0942</v>
      </c>
      <c r="H688">
        <f t="shared" si="189"/>
        <v>768400000</v>
      </c>
      <c r="I688">
        <f t="shared" si="187"/>
        <v>368832000</v>
      </c>
      <c r="K688">
        <f t="shared" si="190"/>
        <v>1294458948</v>
      </c>
      <c r="L688">
        <f t="shared" si="193"/>
        <v>0.593607082856675</v>
      </c>
      <c r="M688">
        <f t="shared" si="186"/>
        <v>287631941</v>
      </c>
      <c r="N688">
        <f t="shared" si="192"/>
        <v>1698949421</v>
      </c>
      <c r="O688">
        <f t="shared" si="195"/>
        <v>0.738218275700228</v>
      </c>
    </row>
    <row r="689" ht="13.9" spans="1:15">
      <c r="A689" s="42" t="s">
        <v>523</v>
      </c>
      <c r="B689" s="11">
        <v>180596274</v>
      </c>
      <c r="C689" s="11">
        <v>13655216</v>
      </c>
      <c r="D689" s="11">
        <v>625</v>
      </c>
      <c r="E689">
        <f t="shared" si="194"/>
        <v>625</v>
      </c>
      <c r="F689">
        <f t="shared" si="184"/>
        <v>90298137</v>
      </c>
      <c r="G689">
        <f t="shared" si="185"/>
        <v>9029.8137</v>
      </c>
      <c r="H689">
        <f t="shared" si="189"/>
        <v>625000000</v>
      </c>
      <c r="I689">
        <f t="shared" si="187"/>
        <v>300000000</v>
      </c>
      <c r="K689">
        <f t="shared" si="190"/>
        <v>1113862674</v>
      </c>
      <c r="L689">
        <f t="shared" si="193"/>
        <v>0.561110462347713</v>
      </c>
      <c r="M689">
        <f t="shared" si="186"/>
        <v>194251490</v>
      </c>
      <c r="N689">
        <f t="shared" si="192"/>
        <v>1411317480</v>
      </c>
      <c r="O689">
        <f t="shared" si="195"/>
        <v>0.491098090812955</v>
      </c>
    </row>
    <row r="690" ht="13.9" spans="1:15">
      <c r="A690" s="42" t="s">
        <v>524</v>
      </c>
      <c r="B690" s="11">
        <v>142059682</v>
      </c>
      <c r="C690" s="11">
        <v>10659299</v>
      </c>
      <c r="D690" s="11">
        <v>550</v>
      </c>
      <c r="E690">
        <f t="shared" si="194"/>
        <v>550</v>
      </c>
      <c r="F690">
        <f t="shared" si="184"/>
        <v>71029841</v>
      </c>
      <c r="G690">
        <f t="shared" si="185"/>
        <v>7102.9841</v>
      </c>
      <c r="H690">
        <f t="shared" si="189"/>
        <v>550000000</v>
      </c>
      <c r="I690">
        <f t="shared" si="187"/>
        <v>264000000</v>
      </c>
      <c r="K690">
        <f t="shared" si="190"/>
        <v>971802992</v>
      </c>
      <c r="L690">
        <f t="shared" si="193"/>
        <v>0.565958331603902</v>
      </c>
      <c r="M690">
        <f t="shared" si="186"/>
        <v>152718981</v>
      </c>
      <c r="N690">
        <f t="shared" si="192"/>
        <v>1217065990</v>
      </c>
      <c r="O690">
        <f t="shared" si="195"/>
        <v>0.546614646046494</v>
      </c>
    </row>
    <row r="691" ht="13.9" spans="1:15">
      <c r="A691" s="42" t="s">
        <v>525</v>
      </c>
      <c r="B691" s="11">
        <v>92996352</v>
      </c>
      <c r="C691" s="11">
        <v>7622979</v>
      </c>
      <c r="D691" s="11">
        <v>495</v>
      </c>
      <c r="E691">
        <f t="shared" si="194"/>
        <v>495</v>
      </c>
      <c r="F691">
        <f t="shared" si="184"/>
        <v>46498176</v>
      </c>
      <c r="G691">
        <f t="shared" si="185"/>
        <v>4649.8176</v>
      </c>
      <c r="H691">
        <f t="shared" si="189"/>
        <v>495000000</v>
      </c>
      <c r="I691">
        <f t="shared" si="187"/>
        <v>237600000</v>
      </c>
      <c r="K691">
        <f t="shared" si="190"/>
        <v>878806640</v>
      </c>
      <c r="L691">
        <f t="shared" si="193"/>
        <v>0.563263836968733</v>
      </c>
      <c r="M691">
        <f t="shared" si="186"/>
        <v>100619331</v>
      </c>
      <c r="N691">
        <f t="shared" si="192"/>
        <v>1064347009</v>
      </c>
      <c r="O691">
        <f t="shared" si="195"/>
        <v>0.581867616030314</v>
      </c>
    </row>
    <row r="692" ht="13.9" spans="1:15">
      <c r="A692" s="42" t="s">
        <v>526</v>
      </c>
      <c r="B692" s="11">
        <v>74586756</v>
      </c>
      <c r="C692" s="11">
        <v>6187631</v>
      </c>
      <c r="D692" s="11">
        <v>448</v>
      </c>
      <c r="E692">
        <f t="shared" si="194"/>
        <v>448</v>
      </c>
      <c r="F692">
        <f t="shared" si="184"/>
        <v>37293378</v>
      </c>
      <c r="G692">
        <f t="shared" si="185"/>
        <v>3729.3378</v>
      </c>
      <c r="H692">
        <f t="shared" si="189"/>
        <v>448000000</v>
      </c>
      <c r="I692">
        <f t="shared" si="187"/>
        <v>215040000</v>
      </c>
      <c r="K692">
        <f t="shared" si="190"/>
        <v>804219884</v>
      </c>
      <c r="L692">
        <f t="shared" si="193"/>
        <v>0.5570615809345</v>
      </c>
      <c r="M692">
        <f t="shared" si="186"/>
        <v>80774387</v>
      </c>
      <c r="N692">
        <f t="shared" si="192"/>
        <v>963727678</v>
      </c>
      <c r="O692">
        <f t="shared" si="195"/>
        <v>0.454398333972565</v>
      </c>
    </row>
    <row r="693" ht="13.85" spans="1:15">
      <c r="A693" s="43">
        <v>37883</v>
      </c>
      <c r="B693" s="11">
        <v>68792532</v>
      </c>
      <c r="C693" s="11">
        <v>6031686</v>
      </c>
      <c r="D693" s="11">
        <v>414</v>
      </c>
      <c r="E693">
        <f t="shared" si="194"/>
        <v>414</v>
      </c>
      <c r="F693">
        <f t="shared" si="184"/>
        <v>34396266</v>
      </c>
      <c r="G693">
        <f t="shared" si="185"/>
        <v>3439.6266</v>
      </c>
      <c r="H693">
        <f t="shared" si="189"/>
        <v>414000000</v>
      </c>
      <c r="I693">
        <f t="shared" si="187"/>
        <v>198720000</v>
      </c>
      <c r="K693">
        <f t="shared" si="190"/>
        <v>735427352</v>
      </c>
      <c r="L693">
        <f t="shared" si="193"/>
        <v>0.562937996355621</v>
      </c>
      <c r="M693">
        <f t="shared" si="186"/>
        <v>74824218</v>
      </c>
      <c r="N693">
        <f t="shared" si="192"/>
        <v>882953291</v>
      </c>
      <c r="O693">
        <f t="shared" si="195"/>
        <v>0.58188940123369</v>
      </c>
    </row>
    <row r="694" ht="13.85" spans="1:15">
      <c r="A694" s="43">
        <v>37791</v>
      </c>
      <c r="B694" s="11">
        <v>52008350</v>
      </c>
      <c r="C694" s="11">
        <v>4703458</v>
      </c>
      <c r="D694" s="11">
        <v>381</v>
      </c>
      <c r="E694">
        <f t="shared" si="194"/>
        <v>381</v>
      </c>
      <c r="F694">
        <f t="shared" si="184"/>
        <v>26004175</v>
      </c>
      <c r="G694">
        <f t="shared" si="185"/>
        <v>2600.4175</v>
      </c>
      <c r="H694">
        <f t="shared" si="189"/>
        <v>381000000</v>
      </c>
      <c r="I694">
        <f t="shared" si="187"/>
        <v>182880000</v>
      </c>
      <c r="K694">
        <f t="shared" si="190"/>
        <v>683419002</v>
      </c>
      <c r="L694">
        <f t="shared" si="193"/>
        <v>0.557491083632468</v>
      </c>
      <c r="M694">
        <f t="shared" si="186"/>
        <v>56711808</v>
      </c>
      <c r="N694">
        <f t="shared" si="192"/>
        <v>808129073</v>
      </c>
      <c r="O694">
        <f t="shared" ref="O694:O713" si="196">IF(H694&gt;H695,(H694-H695)/M695,H694/M695)</f>
        <v>0.574381579018823</v>
      </c>
    </row>
    <row r="695" ht="13.85" spans="1:15">
      <c r="A695" s="43">
        <v>37671</v>
      </c>
      <c r="B695" s="11">
        <v>52518062</v>
      </c>
      <c r="C695" s="11">
        <v>4935034</v>
      </c>
      <c r="D695" s="11">
        <v>348</v>
      </c>
      <c r="E695">
        <f t="shared" si="194"/>
        <v>348</v>
      </c>
      <c r="F695">
        <f t="shared" si="184"/>
        <v>26259031</v>
      </c>
      <c r="G695">
        <f t="shared" si="185"/>
        <v>2625.9031</v>
      </c>
      <c r="H695">
        <f t="shared" si="189"/>
        <v>348000000</v>
      </c>
      <c r="I695">
        <f t="shared" si="187"/>
        <v>167040000</v>
      </c>
      <c r="K695">
        <f t="shared" si="190"/>
        <v>630900940</v>
      </c>
      <c r="L695">
        <f t="shared" si="193"/>
        <v>0.551592140598174</v>
      </c>
      <c r="M695">
        <f t="shared" si="186"/>
        <v>57453096</v>
      </c>
      <c r="N695">
        <f t="shared" si="192"/>
        <v>751417265</v>
      </c>
      <c r="O695">
        <f t="shared" si="196"/>
        <v>0.534301904866436</v>
      </c>
    </row>
    <row r="696" ht="13.9" spans="1:15">
      <c r="A696" s="42" t="s">
        <v>527</v>
      </c>
      <c r="B696" s="11">
        <v>44592024</v>
      </c>
      <c r="C696" s="11">
        <v>4069603</v>
      </c>
      <c r="D696" s="11">
        <v>322</v>
      </c>
      <c r="E696">
        <f t="shared" si="194"/>
        <v>322</v>
      </c>
      <c r="F696">
        <f t="shared" si="184"/>
        <v>22296012</v>
      </c>
      <c r="G696">
        <f t="shared" si="185"/>
        <v>2229.6012</v>
      </c>
      <c r="H696">
        <f t="shared" si="189"/>
        <v>322000000</v>
      </c>
      <c r="I696">
        <f t="shared" si="187"/>
        <v>154560000</v>
      </c>
      <c r="K696">
        <f t="shared" si="190"/>
        <v>586308916</v>
      </c>
      <c r="L696">
        <f t="shared" si="193"/>
        <v>0.549198538880824</v>
      </c>
      <c r="M696">
        <f t="shared" si="186"/>
        <v>48661627</v>
      </c>
      <c r="N696">
        <f t="shared" si="192"/>
        <v>693964169</v>
      </c>
      <c r="O696">
        <f t="shared" si="196"/>
        <v>0.359486997674838</v>
      </c>
    </row>
    <row r="697" ht="13.9" spans="1:15">
      <c r="A697" s="42" t="s">
        <v>528</v>
      </c>
      <c r="B697" s="11">
        <v>45766604</v>
      </c>
      <c r="C697" s="11">
        <v>4304748</v>
      </c>
      <c r="D697" s="11">
        <v>304</v>
      </c>
      <c r="E697">
        <f t="shared" ref="E697:E723" si="197">IF(RIGHT(D697,1)="B",VALUE(LEFT(D697,LEN(D697)-1))*1000,D697)</f>
        <v>304</v>
      </c>
      <c r="F697">
        <f t="shared" si="184"/>
        <v>22883302</v>
      </c>
      <c r="G697">
        <f t="shared" si="185"/>
        <v>2288.3302</v>
      </c>
      <c r="H697">
        <f t="shared" si="189"/>
        <v>304000000</v>
      </c>
      <c r="I697">
        <f t="shared" si="187"/>
        <v>145920000</v>
      </c>
      <c r="K697">
        <f t="shared" si="190"/>
        <v>540542312</v>
      </c>
      <c r="L697">
        <f t="shared" si="193"/>
        <v>0.56239815690876</v>
      </c>
      <c r="M697">
        <f t="shared" si="186"/>
        <v>50071352</v>
      </c>
      <c r="N697">
        <f t="shared" si="192"/>
        <v>645302542</v>
      </c>
      <c r="O697">
        <f t="shared" si="196"/>
        <v>0.548572518307174</v>
      </c>
    </row>
    <row r="698" ht="13.9" spans="1:15">
      <c r="A698" s="42" t="s">
        <v>529</v>
      </c>
      <c r="B698" s="11">
        <v>36639354</v>
      </c>
      <c r="C698" s="11">
        <v>3464733</v>
      </c>
      <c r="D698" s="11">
        <v>282</v>
      </c>
      <c r="E698">
        <f t="shared" si="197"/>
        <v>282</v>
      </c>
      <c r="F698">
        <f t="shared" si="184"/>
        <v>18319677</v>
      </c>
      <c r="G698">
        <f t="shared" si="185"/>
        <v>1831.9677</v>
      </c>
      <c r="H698">
        <f t="shared" si="189"/>
        <v>282000000</v>
      </c>
      <c r="I698">
        <f t="shared" si="187"/>
        <v>135360000</v>
      </c>
      <c r="K698">
        <f t="shared" si="190"/>
        <v>503902958</v>
      </c>
      <c r="L698">
        <f t="shared" si="193"/>
        <v>0.559631563028054</v>
      </c>
      <c r="M698">
        <f t="shared" si="186"/>
        <v>40104087</v>
      </c>
      <c r="N698">
        <f t="shared" si="192"/>
        <v>595231190</v>
      </c>
      <c r="O698">
        <f t="shared" si="196"/>
        <v>0.503367897318806</v>
      </c>
    </row>
    <row r="699" ht="13.9" spans="1:15">
      <c r="A699" s="42" t="s">
        <v>530</v>
      </c>
      <c r="B699" s="11">
        <v>39845202</v>
      </c>
      <c r="C699" s="11">
        <v>3860406</v>
      </c>
      <c r="D699" s="11">
        <v>260</v>
      </c>
      <c r="E699">
        <f t="shared" si="197"/>
        <v>260</v>
      </c>
      <c r="F699">
        <f t="shared" si="184"/>
        <v>19922601</v>
      </c>
      <c r="G699">
        <f t="shared" si="185"/>
        <v>1992.2601</v>
      </c>
      <c r="H699">
        <f t="shared" si="189"/>
        <v>260000000</v>
      </c>
      <c r="I699">
        <f t="shared" si="187"/>
        <v>124800000</v>
      </c>
      <c r="K699">
        <f t="shared" si="190"/>
        <v>464057756</v>
      </c>
      <c r="L699">
        <f t="shared" si="193"/>
        <v>0.560275087827645</v>
      </c>
      <c r="M699">
        <f t="shared" si="186"/>
        <v>43705608</v>
      </c>
      <c r="N699">
        <f t="shared" si="192"/>
        <v>555127103</v>
      </c>
      <c r="O699">
        <f t="shared" si="196"/>
        <v>0.468959028717071</v>
      </c>
    </row>
    <row r="700" ht="13.9" spans="1:15">
      <c r="A700" s="42" t="s">
        <v>531</v>
      </c>
      <c r="B700" s="11">
        <v>35041034</v>
      </c>
      <c r="C700" s="11">
        <v>3341850</v>
      </c>
      <c r="D700" s="11">
        <v>242</v>
      </c>
      <c r="E700">
        <f t="shared" si="197"/>
        <v>242</v>
      </c>
      <c r="F700">
        <f t="shared" si="184"/>
        <v>17520517</v>
      </c>
      <c r="G700">
        <f t="shared" si="185"/>
        <v>1752.0517</v>
      </c>
      <c r="H700">
        <f t="shared" si="189"/>
        <v>242000000</v>
      </c>
      <c r="I700">
        <f t="shared" si="187"/>
        <v>116160000</v>
      </c>
      <c r="K700">
        <f t="shared" si="190"/>
        <v>429016722</v>
      </c>
      <c r="L700">
        <f t="shared" si="193"/>
        <v>0.564080576793927</v>
      </c>
      <c r="M700">
        <f t="shared" si="186"/>
        <v>38382884</v>
      </c>
      <c r="N700">
        <f t="shared" si="192"/>
        <v>511421495</v>
      </c>
      <c r="O700">
        <f t="shared" si="196"/>
        <v>0.437895399779889</v>
      </c>
    </row>
    <row r="701" ht="13.85" spans="1:15">
      <c r="A701" s="43">
        <v>37518</v>
      </c>
      <c r="B701" s="11">
        <v>37420258</v>
      </c>
      <c r="C701" s="11">
        <v>3685449</v>
      </c>
      <c r="D701" s="11">
        <v>224</v>
      </c>
      <c r="E701">
        <f t="shared" si="197"/>
        <v>224</v>
      </c>
      <c r="F701">
        <f t="shared" si="184"/>
        <v>18710129</v>
      </c>
      <c r="G701">
        <f t="shared" si="185"/>
        <v>1871.0129</v>
      </c>
      <c r="H701">
        <f t="shared" si="189"/>
        <v>224000000</v>
      </c>
      <c r="I701">
        <f t="shared" si="187"/>
        <v>107520000</v>
      </c>
      <c r="K701">
        <f t="shared" si="190"/>
        <v>391596464</v>
      </c>
      <c r="L701">
        <f t="shared" si="193"/>
        <v>0.572017422506655</v>
      </c>
      <c r="M701">
        <f t="shared" si="186"/>
        <v>41105707</v>
      </c>
      <c r="N701">
        <f t="shared" si="192"/>
        <v>473038611</v>
      </c>
      <c r="O701">
        <f t="shared" si="196"/>
        <v>0.541763843298709</v>
      </c>
    </row>
    <row r="702" ht="13.85" spans="1:15">
      <c r="A702" s="43">
        <v>37426</v>
      </c>
      <c r="B702" s="11">
        <v>33693472</v>
      </c>
      <c r="C702" s="11">
        <v>3222982</v>
      </c>
      <c r="D702" s="11">
        <v>204</v>
      </c>
      <c r="E702">
        <f t="shared" si="197"/>
        <v>204</v>
      </c>
      <c r="F702">
        <f t="shared" si="184"/>
        <v>16846736</v>
      </c>
      <c r="G702">
        <f t="shared" si="185"/>
        <v>1684.6736</v>
      </c>
      <c r="H702">
        <f t="shared" si="189"/>
        <v>204000000</v>
      </c>
      <c r="I702">
        <f t="shared" si="187"/>
        <v>97920000</v>
      </c>
      <c r="K702">
        <f t="shared" si="190"/>
        <v>357902992</v>
      </c>
      <c r="L702">
        <f t="shared" si="193"/>
        <v>0.569986852750312</v>
      </c>
      <c r="M702">
        <f t="shared" si="186"/>
        <v>36916454</v>
      </c>
      <c r="N702">
        <f t="shared" si="192"/>
        <v>431932904</v>
      </c>
      <c r="O702">
        <f t="shared" si="196"/>
        <v>0.33879601071346</v>
      </c>
    </row>
    <row r="703" ht="13.85" spans="1:15">
      <c r="A703" s="43">
        <v>37306</v>
      </c>
      <c r="B703" s="11">
        <v>34817016</v>
      </c>
      <c r="C703" s="11">
        <v>3554156</v>
      </c>
      <c r="D703" s="11">
        <v>191</v>
      </c>
      <c r="E703">
        <f t="shared" si="197"/>
        <v>191</v>
      </c>
      <c r="F703">
        <f t="shared" si="184"/>
        <v>17408508</v>
      </c>
      <c r="G703">
        <f t="shared" si="185"/>
        <v>1740.8508</v>
      </c>
      <c r="H703">
        <f t="shared" si="189"/>
        <v>191000000</v>
      </c>
      <c r="I703">
        <f t="shared" si="187"/>
        <v>91680000</v>
      </c>
      <c r="K703">
        <f t="shared" si="190"/>
        <v>323085976</v>
      </c>
      <c r="L703">
        <f t="shared" si="193"/>
        <v>0.591173910934469</v>
      </c>
      <c r="M703">
        <f t="shared" si="186"/>
        <v>38371172</v>
      </c>
      <c r="N703">
        <f t="shared" si="192"/>
        <v>395016450</v>
      </c>
      <c r="O703">
        <f t="shared" si="196"/>
        <v>0.53075695995651</v>
      </c>
    </row>
    <row r="704" ht="13.9" spans="1:15">
      <c r="A704" s="42" t="s">
        <v>532</v>
      </c>
      <c r="B704" s="11">
        <v>29129006</v>
      </c>
      <c r="C704" s="11">
        <v>2900720</v>
      </c>
      <c r="D704" s="11">
        <v>174</v>
      </c>
      <c r="E704">
        <f t="shared" si="197"/>
        <v>174</v>
      </c>
      <c r="F704">
        <f t="shared" si="184"/>
        <v>14564503</v>
      </c>
      <c r="G704">
        <f t="shared" si="185"/>
        <v>1456.4503</v>
      </c>
      <c r="H704">
        <f t="shared" si="189"/>
        <v>174000000</v>
      </c>
      <c r="I704">
        <f t="shared" si="187"/>
        <v>83520000</v>
      </c>
      <c r="K704">
        <f t="shared" si="190"/>
        <v>293956970</v>
      </c>
      <c r="L704">
        <f t="shared" si="193"/>
        <v>0.591923368920288</v>
      </c>
      <c r="M704">
        <f t="shared" si="186"/>
        <v>32029726</v>
      </c>
      <c r="N704">
        <f t="shared" si="192"/>
        <v>356645278</v>
      </c>
      <c r="O704">
        <f t="shared" si="196"/>
        <v>0.368861192142349</v>
      </c>
    </row>
    <row r="705" ht="13.9" spans="1:15">
      <c r="A705" s="42" t="s">
        <v>533</v>
      </c>
      <c r="B705" s="11">
        <v>31955010</v>
      </c>
      <c r="C705" s="11">
        <v>3288600</v>
      </c>
      <c r="D705" s="11">
        <v>161</v>
      </c>
      <c r="E705">
        <f t="shared" si="197"/>
        <v>161</v>
      </c>
      <c r="F705">
        <f t="shared" si="184"/>
        <v>15977505</v>
      </c>
      <c r="G705">
        <f t="shared" si="185"/>
        <v>1597.7505</v>
      </c>
      <c r="H705">
        <f t="shared" si="189"/>
        <v>161000000</v>
      </c>
      <c r="I705">
        <f t="shared" si="187"/>
        <v>77280000</v>
      </c>
      <c r="K705">
        <f t="shared" si="190"/>
        <v>262001960</v>
      </c>
      <c r="L705">
        <f t="shared" si="193"/>
        <v>0.614499219776829</v>
      </c>
      <c r="M705">
        <f t="shared" si="186"/>
        <v>35243610</v>
      </c>
      <c r="N705">
        <f t="shared" si="192"/>
        <v>324615552</v>
      </c>
      <c r="O705">
        <f t="shared" si="196"/>
        <v>0.552403713270758</v>
      </c>
    </row>
    <row r="706" ht="13.9" spans="1:15">
      <c r="A706" s="42" t="s">
        <v>534</v>
      </c>
      <c r="B706" s="11">
        <v>27564294</v>
      </c>
      <c r="C706" s="11">
        <v>3210300</v>
      </c>
      <c r="D706" s="11">
        <v>144</v>
      </c>
      <c r="E706">
        <f t="shared" si="197"/>
        <v>144</v>
      </c>
      <c r="F706">
        <f t="shared" si="184"/>
        <v>13782147</v>
      </c>
      <c r="G706">
        <f t="shared" si="185"/>
        <v>1378.2147</v>
      </c>
      <c r="H706">
        <f t="shared" si="189"/>
        <v>144000000</v>
      </c>
      <c r="I706">
        <f t="shared" si="187"/>
        <v>69120000</v>
      </c>
      <c r="K706">
        <f t="shared" si="190"/>
        <v>234437666</v>
      </c>
      <c r="L706">
        <f t="shared" ref="L706:L716" si="198">IF(E706&gt;E707,H706/K706,0)</f>
        <v>0.614235768752279</v>
      </c>
      <c r="M706">
        <f t="shared" si="186"/>
        <v>30774594</v>
      </c>
      <c r="N706">
        <f t="shared" si="192"/>
        <v>289371942</v>
      </c>
      <c r="O706">
        <f t="shared" si="196"/>
        <v>0.436140243744826</v>
      </c>
    </row>
    <row r="707" ht="13.9" spans="1:15">
      <c r="A707" s="42" t="s">
        <v>535</v>
      </c>
      <c r="B707" s="11">
        <v>31171388</v>
      </c>
      <c r="C707" s="11">
        <v>3221219</v>
      </c>
      <c r="D707" s="11">
        <v>129</v>
      </c>
      <c r="E707">
        <f t="shared" si="197"/>
        <v>129</v>
      </c>
      <c r="F707">
        <f t="shared" si="184"/>
        <v>15585694</v>
      </c>
      <c r="G707">
        <f t="shared" si="185"/>
        <v>1558.5694</v>
      </c>
      <c r="H707">
        <f t="shared" si="189"/>
        <v>129000000</v>
      </c>
      <c r="I707">
        <f t="shared" si="187"/>
        <v>61920000</v>
      </c>
      <c r="K707">
        <f t="shared" si="190"/>
        <v>203266278</v>
      </c>
      <c r="L707">
        <f t="shared" si="198"/>
        <v>0.634635519817999</v>
      </c>
      <c r="M707">
        <f t="shared" si="186"/>
        <v>34392607</v>
      </c>
      <c r="N707">
        <f t="shared" si="192"/>
        <v>258597348</v>
      </c>
      <c r="O707">
        <f t="shared" si="196"/>
        <v>0.568077221343169</v>
      </c>
    </row>
    <row r="708" ht="13.9" spans="1:15">
      <c r="A708" s="42" t="s">
        <v>536</v>
      </c>
      <c r="B708" s="11">
        <v>27117258</v>
      </c>
      <c r="C708" s="11">
        <v>2808251</v>
      </c>
      <c r="D708" s="11">
        <v>112</v>
      </c>
      <c r="E708">
        <f t="shared" si="197"/>
        <v>112</v>
      </c>
      <c r="F708">
        <f t="shared" ref="F708:F771" si="199">B708/2</f>
        <v>13558629</v>
      </c>
      <c r="G708">
        <f t="shared" ref="G708:G771" si="200">F708/10000</f>
        <v>1355.8629</v>
      </c>
      <c r="H708">
        <f t="shared" si="189"/>
        <v>112000000</v>
      </c>
      <c r="I708">
        <f t="shared" si="187"/>
        <v>53760000</v>
      </c>
      <c r="K708">
        <f t="shared" si="190"/>
        <v>176149020</v>
      </c>
      <c r="L708">
        <f t="shared" si="198"/>
        <v>0.635825280208769</v>
      </c>
      <c r="M708">
        <f t="shared" si="186"/>
        <v>29925509</v>
      </c>
      <c r="N708">
        <f t="shared" si="192"/>
        <v>224204741</v>
      </c>
      <c r="O708">
        <f t="shared" si="196"/>
        <v>0.517452358242229</v>
      </c>
    </row>
    <row r="709" ht="13.85" spans="1:15">
      <c r="A709" s="43">
        <v>37244</v>
      </c>
      <c r="B709" s="11">
        <v>27908520</v>
      </c>
      <c r="C709" s="11">
        <v>3012201</v>
      </c>
      <c r="D709" s="11">
        <v>96</v>
      </c>
      <c r="E709">
        <f t="shared" si="197"/>
        <v>96</v>
      </c>
      <c r="F709">
        <f t="shared" si="199"/>
        <v>13954260</v>
      </c>
      <c r="G709">
        <f t="shared" si="200"/>
        <v>1395.426</v>
      </c>
      <c r="H709">
        <f t="shared" si="189"/>
        <v>96000000</v>
      </c>
      <c r="I709">
        <f t="shared" si="187"/>
        <v>46080000</v>
      </c>
      <c r="K709">
        <f t="shared" si="190"/>
        <v>148240500</v>
      </c>
      <c r="L709">
        <f t="shared" si="198"/>
        <v>0.647596304653587</v>
      </c>
      <c r="M709">
        <f t="shared" si="186"/>
        <v>30920721</v>
      </c>
      <c r="N709">
        <f t="shared" si="192"/>
        <v>194279232</v>
      </c>
      <c r="O709">
        <f t="shared" si="196"/>
        <v>0.52378723612815</v>
      </c>
    </row>
    <row r="710" ht="13.85" spans="1:15">
      <c r="A710" s="43">
        <v>37153</v>
      </c>
      <c r="B710" s="11">
        <v>24147638</v>
      </c>
      <c r="C710" s="11">
        <v>2580772</v>
      </c>
      <c r="D710" s="11">
        <v>82</v>
      </c>
      <c r="E710">
        <f t="shared" si="197"/>
        <v>82</v>
      </c>
      <c r="F710">
        <f t="shared" si="199"/>
        <v>12073819</v>
      </c>
      <c r="G710">
        <f t="shared" si="200"/>
        <v>1207.3819</v>
      </c>
      <c r="H710">
        <f t="shared" si="189"/>
        <v>82000000</v>
      </c>
      <c r="I710">
        <f t="shared" si="187"/>
        <v>39360000</v>
      </c>
      <c r="K710">
        <f t="shared" si="190"/>
        <v>124092862</v>
      </c>
      <c r="L710">
        <f t="shared" si="198"/>
        <v>0.660795461386006</v>
      </c>
      <c r="M710">
        <f t="shared" si="186"/>
        <v>26728410</v>
      </c>
      <c r="N710">
        <f t="shared" si="192"/>
        <v>163358511</v>
      </c>
      <c r="O710">
        <f t="shared" si="196"/>
        <v>0.450746996993483</v>
      </c>
    </row>
    <row r="711" ht="13.85" spans="1:15">
      <c r="A711" s="43">
        <v>37030</v>
      </c>
      <c r="B711" s="11">
        <v>25968734</v>
      </c>
      <c r="C711" s="11">
        <v>2872279</v>
      </c>
      <c r="D711" s="11">
        <v>69</v>
      </c>
      <c r="E711">
        <f t="shared" si="197"/>
        <v>69</v>
      </c>
      <c r="F711">
        <f t="shared" si="199"/>
        <v>12984367</v>
      </c>
      <c r="G711">
        <f t="shared" si="200"/>
        <v>1298.4367</v>
      </c>
      <c r="H711">
        <f t="shared" si="189"/>
        <v>69000000</v>
      </c>
      <c r="I711">
        <f t="shared" si="187"/>
        <v>33120000</v>
      </c>
      <c r="K711">
        <f t="shared" si="190"/>
        <v>98124128</v>
      </c>
      <c r="L711">
        <f t="shared" si="198"/>
        <v>0.703190962369622</v>
      </c>
      <c r="M711">
        <f t="shared" ref="M711:M774" si="201">B711+C711</f>
        <v>28841013</v>
      </c>
      <c r="N711">
        <f t="shared" si="192"/>
        <v>136630101</v>
      </c>
      <c r="O711">
        <f t="shared" si="196"/>
        <v>0.558699345131038</v>
      </c>
    </row>
    <row r="712" ht="13.85" spans="1:15">
      <c r="A712" s="44">
        <v>36941</v>
      </c>
      <c r="B712" s="15">
        <v>25950558</v>
      </c>
      <c r="C712" s="15">
        <v>2687385</v>
      </c>
      <c r="D712" s="15">
        <v>53</v>
      </c>
      <c r="E712">
        <f t="shared" si="197"/>
        <v>53</v>
      </c>
      <c r="F712">
        <f t="shared" si="199"/>
        <v>12975279</v>
      </c>
      <c r="G712">
        <f t="shared" si="200"/>
        <v>1297.5279</v>
      </c>
      <c r="H712">
        <f t="shared" si="189"/>
        <v>53000000</v>
      </c>
      <c r="I712">
        <f t="shared" si="187"/>
        <v>25440000</v>
      </c>
      <c r="K712">
        <f t="shared" si="190"/>
        <v>72173570</v>
      </c>
      <c r="L712">
        <f t="shared" si="198"/>
        <v>0.734340839728449</v>
      </c>
      <c r="M712">
        <f t="shared" si="201"/>
        <v>28637943</v>
      </c>
      <c r="N712">
        <f t="shared" si="192"/>
        <v>107789088</v>
      </c>
      <c r="O712">
        <f t="shared" si="196"/>
        <v>0.409560025731711</v>
      </c>
    </row>
    <row r="713" ht="13.9" spans="1:15">
      <c r="A713" s="41" t="s">
        <v>537</v>
      </c>
      <c r="B713" s="13">
        <v>28671968</v>
      </c>
      <c r="C713" s="13">
        <v>3069411</v>
      </c>
      <c r="D713" s="13">
        <v>40</v>
      </c>
      <c r="E713">
        <f t="shared" si="197"/>
        <v>40</v>
      </c>
      <c r="F713">
        <f t="shared" si="199"/>
        <v>14335984</v>
      </c>
      <c r="G713">
        <f t="shared" si="200"/>
        <v>1433.5984</v>
      </c>
      <c r="H713">
        <f t="shared" si="189"/>
        <v>40000000</v>
      </c>
      <c r="I713">
        <f t="shared" si="187"/>
        <v>19200000</v>
      </c>
      <c r="K713">
        <f t="shared" si="190"/>
        <v>43501602</v>
      </c>
      <c r="L713">
        <f t="shared" si="198"/>
        <v>0</v>
      </c>
      <c r="M713">
        <f t="shared" si="201"/>
        <v>31741379</v>
      </c>
      <c r="N713">
        <f t="shared" si="192"/>
        <v>79151145</v>
      </c>
      <c r="O713">
        <f>IF(H713&gt;H714,(H713-H714)/M714,0)</f>
        <v>0</v>
      </c>
    </row>
    <row r="714" ht="13.9" spans="1:15">
      <c r="A714" s="42" t="s">
        <v>538</v>
      </c>
      <c r="B714" s="11">
        <v>43501602</v>
      </c>
      <c r="C714" s="11">
        <v>3908164</v>
      </c>
      <c r="D714" s="27">
        <v>298.3</v>
      </c>
      <c r="E714">
        <f t="shared" si="197"/>
        <v>298.3</v>
      </c>
      <c r="F714">
        <f t="shared" si="199"/>
        <v>21750801</v>
      </c>
      <c r="G714">
        <f t="shared" si="200"/>
        <v>2175.0801</v>
      </c>
      <c r="H714">
        <f t="shared" si="189"/>
        <v>298300000</v>
      </c>
      <c r="I714">
        <f t="shared" si="187"/>
        <v>143184000</v>
      </c>
      <c r="K714">
        <f t="shared" si="190"/>
        <v>663128104</v>
      </c>
      <c r="L714">
        <f t="shared" si="198"/>
        <v>0.449837668167959</v>
      </c>
      <c r="M714">
        <f t="shared" si="201"/>
        <v>47409766</v>
      </c>
      <c r="N714">
        <f t="shared" si="192"/>
        <v>774586078</v>
      </c>
      <c r="O714">
        <f t="shared" ref="O714:O743" si="202">IF(H714&gt;H715,(H714-H715)/M715,0)</f>
        <v>0.404243557257314</v>
      </c>
    </row>
    <row r="715" ht="13.9" spans="1:15">
      <c r="A715" s="42" t="s">
        <v>539</v>
      </c>
      <c r="B715" s="11">
        <v>38994362</v>
      </c>
      <c r="C715" s="11">
        <v>3801620</v>
      </c>
      <c r="D715" s="11">
        <v>281</v>
      </c>
      <c r="E715">
        <f t="shared" si="197"/>
        <v>281</v>
      </c>
      <c r="F715">
        <f t="shared" si="199"/>
        <v>19497181</v>
      </c>
      <c r="G715">
        <f t="shared" si="200"/>
        <v>1949.7181</v>
      </c>
      <c r="H715">
        <f t="shared" si="189"/>
        <v>281000000</v>
      </c>
      <c r="I715">
        <f t="shared" ref="I715:I778" si="203">H715*0.48</f>
        <v>134880000</v>
      </c>
      <c r="K715">
        <f t="shared" si="190"/>
        <v>624133742</v>
      </c>
      <c r="L715">
        <f t="shared" si="198"/>
        <v>0.450224016249389</v>
      </c>
      <c r="M715">
        <f t="shared" si="201"/>
        <v>42795982</v>
      </c>
      <c r="N715">
        <f t="shared" si="192"/>
        <v>727176312</v>
      </c>
      <c r="O715">
        <f t="shared" si="202"/>
        <v>0.516772532506352</v>
      </c>
    </row>
    <row r="716" ht="13.9" spans="1:15">
      <c r="A716" s="42" t="s">
        <v>540</v>
      </c>
      <c r="B716" s="11">
        <v>33480578</v>
      </c>
      <c r="C716" s="11">
        <v>3286082</v>
      </c>
      <c r="D716" s="11">
        <v>262</v>
      </c>
      <c r="E716">
        <f t="shared" si="197"/>
        <v>262</v>
      </c>
      <c r="F716">
        <f t="shared" si="199"/>
        <v>16740289</v>
      </c>
      <c r="G716">
        <f t="shared" si="200"/>
        <v>1674.0289</v>
      </c>
      <c r="H716">
        <f t="shared" si="189"/>
        <v>262000000</v>
      </c>
      <c r="I716">
        <f t="shared" si="203"/>
        <v>125760000</v>
      </c>
      <c r="K716">
        <f t="shared" si="190"/>
        <v>590653164</v>
      </c>
      <c r="L716">
        <f t="shared" si="198"/>
        <v>0.443576731606232</v>
      </c>
      <c r="M716">
        <f t="shared" si="201"/>
        <v>36766660</v>
      </c>
      <c r="N716">
        <f t="shared" si="192"/>
        <v>684380330</v>
      </c>
      <c r="O716">
        <f t="shared" si="202"/>
        <v>0.409480057067188</v>
      </c>
    </row>
    <row r="717" ht="13.9" spans="1:15">
      <c r="A717" s="42" t="s">
        <v>541</v>
      </c>
      <c r="B717" s="11">
        <v>35483600</v>
      </c>
      <c r="C717" s="11">
        <v>3590342</v>
      </c>
      <c r="D717" s="11">
        <v>246</v>
      </c>
      <c r="E717">
        <f t="shared" si="197"/>
        <v>246</v>
      </c>
      <c r="F717">
        <f t="shared" si="199"/>
        <v>17741800</v>
      </c>
      <c r="G717">
        <f t="shared" si="200"/>
        <v>1774.18</v>
      </c>
      <c r="H717">
        <f t="shared" si="189"/>
        <v>246000000</v>
      </c>
      <c r="I717">
        <f t="shared" si="203"/>
        <v>118080000</v>
      </c>
      <c r="K717">
        <f t="shared" si="190"/>
        <v>555169564</v>
      </c>
      <c r="L717">
        <f t="shared" ref="L717:L732" si="204">IF(E717&gt;E718,H717/K717,0)</f>
        <v>0.443107864609091</v>
      </c>
      <c r="M717">
        <f t="shared" si="201"/>
        <v>39073942</v>
      </c>
      <c r="N717">
        <f t="shared" si="192"/>
        <v>647613670</v>
      </c>
      <c r="O717">
        <f t="shared" si="202"/>
        <v>0.463391372040743</v>
      </c>
    </row>
    <row r="718" ht="13.85" spans="1:15">
      <c r="A718" s="43">
        <v>41261</v>
      </c>
      <c r="B718" s="11">
        <v>31379884</v>
      </c>
      <c r="C718" s="11">
        <v>3148165</v>
      </c>
      <c r="D718" s="11">
        <v>230</v>
      </c>
      <c r="E718">
        <f t="shared" si="197"/>
        <v>230</v>
      </c>
      <c r="F718">
        <f t="shared" si="199"/>
        <v>15689942</v>
      </c>
      <c r="G718">
        <f t="shared" si="200"/>
        <v>1568.9942</v>
      </c>
      <c r="H718">
        <f t="shared" si="189"/>
        <v>230000000</v>
      </c>
      <c r="I718">
        <f t="shared" si="203"/>
        <v>110400000</v>
      </c>
      <c r="K718">
        <f t="shared" si="190"/>
        <v>523789680</v>
      </c>
      <c r="L718">
        <f t="shared" si="204"/>
        <v>0.439107544081434</v>
      </c>
      <c r="M718">
        <f t="shared" si="201"/>
        <v>34528049</v>
      </c>
      <c r="N718">
        <f t="shared" si="192"/>
        <v>608539728</v>
      </c>
      <c r="O718">
        <f t="shared" si="202"/>
        <v>0.352021752994676</v>
      </c>
    </row>
    <row r="719" ht="13.85" spans="1:15">
      <c r="A719" s="43">
        <v>41139</v>
      </c>
      <c r="B719" s="11">
        <v>33448932</v>
      </c>
      <c r="C719" s="11">
        <v>3480604</v>
      </c>
      <c r="D719" s="11">
        <v>217</v>
      </c>
      <c r="E719">
        <f t="shared" si="197"/>
        <v>217</v>
      </c>
      <c r="F719">
        <f t="shared" si="199"/>
        <v>16724466</v>
      </c>
      <c r="G719">
        <f t="shared" si="200"/>
        <v>1672.4466</v>
      </c>
      <c r="H719">
        <f t="shared" si="189"/>
        <v>217000000</v>
      </c>
      <c r="I719">
        <f t="shared" si="203"/>
        <v>104160000</v>
      </c>
      <c r="K719">
        <f t="shared" si="190"/>
        <v>490340748</v>
      </c>
      <c r="L719">
        <f t="shared" si="204"/>
        <v>0.44254939220348</v>
      </c>
      <c r="M719">
        <f t="shared" si="201"/>
        <v>36929536</v>
      </c>
      <c r="N719">
        <f t="shared" si="192"/>
        <v>574011679</v>
      </c>
      <c r="O719">
        <f t="shared" si="202"/>
        <v>0.5053597864409</v>
      </c>
    </row>
    <row r="720" ht="13.85" spans="1:15">
      <c r="A720" s="43">
        <v>41047</v>
      </c>
      <c r="B720" s="11">
        <v>30543054</v>
      </c>
      <c r="C720" s="11">
        <v>3096346</v>
      </c>
      <c r="D720" s="11">
        <v>200</v>
      </c>
      <c r="E720">
        <f t="shared" si="197"/>
        <v>200</v>
      </c>
      <c r="F720">
        <f t="shared" si="199"/>
        <v>15271527</v>
      </c>
      <c r="G720">
        <f t="shared" si="200"/>
        <v>1527.1527</v>
      </c>
      <c r="H720">
        <f t="shared" ref="H720:H783" si="205">E720*1000000</f>
        <v>200000000</v>
      </c>
      <c r="I720">
        <f t="shared" si="203"/>
        <v>96000000</v>
      </c>
      <c r="K720">
        <f t="shared" si="190"/>
        <v>459797694</v>
      </c>
      <c r="L720">
        <f t="shared" si="204"/>
        <v>0.434973908329345</v>
      </c>
      <c r="M720">
        <f t="shared" si="201"/>
        <v>33639400</v>
      </c>
      <c r="N720">
        <f t="shared" si="192"/>
        <v>537082143</v>
      </c>
      <c r="O720">
        <f t="shared" si="202"/>
        <v>0.486127160456335</v>
      </c>
    </row>
    <row r="721" ht="13.85" spans="1:15">
      <c r="A721" s="43">
        <v>40926</v>
      </c>
      <c r="B721" s="11">
        <v>31609290</v>
      </c>
      <c r="C721" s="11">
        <v>3360984</v>
      </c>
      <c r="D721" s="11">
        <v>183</v>
      </c>
      <c r="E721">
        <f t="shared" si="197"/>
        <v>183</v>
      </c>
      <c r="F721">
        <f t="shared" si="199"/>
        <v>15804645</v>
      </c>
      <c r="G721">
        <f t="shared" si="200"/>
        <v>1580.4645</v>
      </c>
      <c r="H721">
        <f t="shared" si="205"/>
        <v>183000000</v>
      </c>
      <c r="I721">
        <f t="shared" si="203"/>
        <v>87840000</v>
      </c>
      <c r="K721">
        <f t="shared" ref="K721:K784" si="206">IF(E721&gt;E722,B722+K722,B722)</f>
        <v>428188404</v>
      </c>
      <c r="L721">
        <f t="shared" si="204"/>
        <v>0.427381961516174</v>
      </c>
      <c r="M721">
        <f t="shared" si="201"/>
        <v>34970274</v>
      </c>
      <c r="N721">
        <f t="shared" si="192"/>
        <v>503442743</v>
      </c>
      <c r="O721">
        <f t="shared" si="202"/>
        <v>0.389896431810818</v>
      </c>
    </row>
    <row r="722" ht="13.9" spans="1:15">
      <c r="A722" s="42" t="s">
        <v>542</v>
      </c>
      <c r="B722" s="11">
        <v>27877814</v>
      </c>
      <c r="C722" s="11">
        <v>2899590</v>
      </c>
      <c r="D722" s="11">
        <v>171</v>
      </c>
      <c r="E722">
        <f t="shared" si="197"/>
        <v>171</v>
      </c>
      <c r="F722">
        <f t="shared" si="199"/>
        <v>13938907</v>
      </c>
      <c r="G722">
        <f t="shared" si="200"/>
        <v>1393.8907</v>
      </c>
      <c r="H722">
        <f t="shared" si="205"/>
        <v>171000000</v>
      </c>
      <c r="I722">
        <f t="shared" si="203"/>
        <v>82080000</v>
      </c>
      <c r="K722">
        <f t="shared" si="206"/>
        <v>400310590</v>
      </c>
      <c r="L722">
        <f t="shared" si="204"/>
        <v>0.427168314483012</v>
      </c>
      <c r="M722">
        <f t="shared" si="201"/>
        <v>30777404</v>
      </c>
      <c r="N722">
        <f t="shared" si="192"/>
        <v>468472469</v>
      </c>
      <c r="O722">
        <f t="shared" si="202"/>
        <v>0.511111598086884</v>
      </c>
    </row>
    <row r="723" ht="13.9" spans="1:15">
      <c r="A723" s="42" t="s">
        <v>543</v>
      </c>
      <c r="B723" s="11">
        <v>28250576</v>
      </c>
      <c r="C723" s="11">
        <v>3053742</v>
      </c>
      <c r="D723" s="11">
        <v>155</v>
      </c>
      <c r="E723">
        <f t="shared" si="197"/>
        <v>155</v>
      </c>
      <c r="F723">
        <f t="shared" si="199"/>
        <v>14125288</v>
      </c>
      <c r="G723">
        <f t="shared" si="200"/>
        <v>1412.5288</v>
      </c>
      <c r="H723">
        <f t="shared" si="205"/>
        <v>155000000</v>
      </c>
      <c r="I723">
        <f t="shared" si="203"/>
        <v>74400000</v>
      </c>
      <c r="K723">
        <f t="shared" si="206"/>
        <v>372060014</v>
      </c>
      <c r="L723">
        <f t="shared" si="204"/>
        <v>0.416599457527301</v>
      </c>
      <c r="M723">
        <f t="shared" si="201"/>
        <v>31304318</v>
      </c>
      <c r="N723">
        <f t="shared" si="192"/>
        <v>437695065</v>
      </c>
      <c r="O723">
        <f t="shared" si="202"/>
        <v>0.48123438544805</v>
      </c>
    </row>
    <row r="724" ht="13.9" spans="1:15">
      <c r="A724" s="42" t="s">
        <v>544</v>
      </c>
      <c r="B724" s="11">
        <v>30136074</v>
      </c>
      <c r="C724" s="11">
        <v>3111758</v>
      </c>
      <c r="D724" s="11">
        <v>139</v>
      </c>
      <c r="E724">
        <f t="shared" ref="E724:E754" si="207">IF(RIGHT(D724,1)="B",VALUE(LEFT(D724,LEN(D724)-1))*1000,D724)</f>
        <v>139</v>
      </c>
      <c r="F724">
        <f t="shared" si="199"/>
        <v>15068037</v>
      </c>
      <c r="G724">
        <f t="shared" si="200"/>
        <v>1506.8037</v>
      </c>
      <c r="H724">
        <f t="shared" si="205"/>
        <v>139000000</v>
      </c>
      <c r="I724">
        <f t="shared" si="203"/>
        <v>66720000</v>
      </c>
      <c r="K724">
        <f t="shared" si="206"/>
        <v>341923940</v>
      </c>
      <c r="L724">
        <f t="shared" si="204"/>
        <v>0.406523158337495</v>
      </c>
      <c r="M724">
        <f t="shared" si="201"/>
        <v>33247832</v>
      </c>
      <c r="N724">
        <f t="shared" si="192"/>
        <v>406390747</v>
      </c>
      <c r="O724">
        <f t="shared" si="202"/>
        <v>0.445752950579935</v>
      </c>
    </row>
    <row r="725" ht="13.9" spans="1:15">
      <c r="A725" s="42" t="s">
        <v>545</v>
      </c>
      <c r="B725" s="11">
        <v>30385258</v>
      </c>
      <c r="C725" s="11">
        <v>3265669</v>
      </c>
      <c r="D725" s="11">
        <v>124</v>
      </c>
      <c r="E725">
        <f t="shared" si="207"/>
        <v>124</v>
      </c>
      <c r="F725">
        <f t="shared" si="199"/>
        <v>15192629</v>
      </c>
      <c r="G725">
        <f t="shared" si="200"/>
        <v>1519.2629</v>
      </c>
      <c r="H725">
        <f t="shared" si="205"/>
        <v>124000000</v>
      </c>
      <c r="I725">
        <f t="shared" si="203"/>
        <v>59520000</v>
      </c>
      <c r="K725">
        <f t="shared" si="206"/>
        <v>311538682</v>
      </c>
      <c r="L725">
        <f t="shared" si="204"/>
        <v>0.398024409694331</v>
      </c>
      <c r="M725">
        <f t="shared" si="201"/>
        <v>33650927</v>
      </c>
      <c r="N725">
        <f t="shared" si="192"/>
        <v>373142915</v>
      </c>
      <c r="O725">
        <f t="shared" si="202"/>
        <v>0.572515639106617</v>
      </c>
    </row>
    <row r="726" ht="13.9" spans="1:15">
      <c r="A726" s="42" t="s">
        <v>546</v>
      </c>
      <c r="B726" s="11">
        <v>26871040</v>
      </c>
      <c r="C726" s="11">
        <v>2822472</v>
      </c>
      <c r="D726" s="11">
        <v>107</v>
      </c>
      <c r="E726">
        <f t="shared" si="207"/>
        <v>107</v>
      </c>
      <c r="F726">
        <f t="shared" si="199"/>
        <v>13435520</v>
      </c>
      <c r="G726">
        <f t="shared" si="200"/>
        <v>1343.552</v>
      </c>
      <c r="H726">
        <f t="shared" si="205"/>
        <v>107000000</v>
      </c>
      <c r="I726">
        <f t="shared" si="203"/>
        <v>51360000</v>
      </c>
      <c r="K726">
        <f t="shared" si="206"/>
        <v>284667642</v>
      </c>
      <c r="L726">
        <f t="shared" si="204"/>
        <v>0.375876932299878</v>
      </c>
      <c r="M726">
        <f t="shared" si="201"/>
        <v>29693512</v>
      </c>
      <c r="N726">
        <f t="shared" si="192"/>
        <v>339491988</v>
      </c>
      <c r="O726">
        <f t="shared" si="202"/>
        <v>0.467974755944145</v>
      </c>
    </row>
    <row r="727" ht="13.85" spans="1:15">
      <c r="A727" s="43">
        <v>40834</v>
      </c>
      <c r="B727" s="11">
        <v>28910624</v>
      </c>
      <c r="C727" s="11">
        <v>3142387</v>
      </c>
      <c r="D727" s="11">
        <v>92</v>
      </c>
      <c r="E727">
        <f t="shared" si="207"/>
        <v>92</v>
      </c>
      <c r="F727">
        <f t="shared" si="199"/>
        <v>14455312</v>
      </c>
      <c r="G727">
        <f t="shared" si="200"/>
        <v>1445.5312</v>
      </c>
      <c r="H727">
        <f t="shared" si="205"/>
        <v>92000000</v>
      </c>
      <c r="I727">
        <f t="shared" si="203"/>
        <v>44160000</v>
      </c>
      <c r="K727">
        <f t="shared" si="206"/>
        <v>255757018</v>
      </c>
      <c r="L727">
        <f t="shared" si="204"/>
        <v>0.35971642428205</v>
      </c>
      <c r="M727">
        <f t="shared" si="201"/>
        <v>32053011</v>
      </c>
      <c r="N727">
        <f t="shared" si="192"/>
        <v>309798476</v>
      </c>
      <c r="O727">
        <f t="shared" si="202"/>
        <v>0.737258151679069</v>
      </c>
    </row>
    <row r="728" ht="13.85" spans="1:15">
      <c r="A728" s="43">
        <v>40742</v>
      </c>
      <c r="B728" s="11">
        <v>25704060</v>
      </c>
      <c r="C728" s="11">
        <v>2779857</v>
      </c>
      <c r="D728" s="11">
        <v>71</v>
      </c>
      <c r="E728">
        <f t="shared" si="207"/>
        <v>71</v>
      </c>
      <c r="F728">
        <f t="shared" si="199"/>
        <v>12852030</v>
      </c>
      <c r="G728">
        <f t="shared" si="200"/>
        <v>1285.203</v>
      </c>
      <c r="H728">
        <f t="shared" si="205"/>
        <v>71000000</v>
      </c>
      <c r="I728">
        <f t="shared" si="203"/>
        <v>34080000</v>
      </c>
      <c r="K728">
        <f t="shared" si="206"/>
        <v>230052958</v>
      </c>
      <c r="L728">
        <f t="shared" si="204"/>
        <v>0.308624590690983</v>
      </c>
      <c r="M728">
        <f t="shared" si="201"/>
        <v>28483917</v>
      </c>
      <c r="N728">
        <f t="shared" si="192"/>
        <v>277745465</v>
      </c>
      <c r="O728">
        <f t="shared" si="202"/>
        <v>0.550126334984701</v>
      </c>
    </row>
    <row r="729" ht="13.85" spans="1:15">
      <c r="A729" s="43">
        <v>40620</v>
      </c>
      <c r="B729" s="11">
        <v>29445326</v>
      </c>
      <c r="C729" s="11">
        <v>3274431</v>
      </c>
      <c r="D729" s="11">
        <v>53</v>
      </c>
      <c r="E729">
        <f t="shared" si="207"/>
        <v>53</v>
      </c>
      <c r="F729">
        <f t="shared" si="199"/>
        <v>14722663</v>
      </c>
      <c r="G729">
        <f t="shared" si="200"/>
        <v>1472.2663</v>
      </c>
      <c r="H729">
        <f t="shared" si="205"/>
        <v>53000000</v>
      </c>
      <c r="I729">
        <f t="shared" si="203"/>
        <v>25440000</v>
      </c>
      <c r="K729">
        <f t="shared" si="206"/>
        <v>200607632</v>
      </c>
      <c r="L729">
        <f t="shared" si="204"/>
        <v>0.264197326251276</v>
      </c>
      <c r="M729">
        <f t="shared" si="201"/>
        <v>32719757</v>
      </c>
      <c r="N729">
        <f t="shared" si="192"/>
        <v>249261548</v>
      </c>
      <c r="O729">
        <f t="shared" si="202"/>
        <v>0.422712539865044</v>
      </c>
    </row>
    <row r="730" ht="13.9" spans="1:15">
      <c r="A730" s="42" t="s">
        <v>547</v>
      </c>
      <c r="B730" s="11">
        <v>27779792</v>
      </c>
      <c r="C730" s="11">
        <v>2973968</v>
      </c>
      <c r="D730" s="11">
        <v>40</v>
      </c>
      <c r="E730">
        <f t="shared" si="207"/>
        <v>40</v>
      </c>
      <c r="F730">
        <f t="shared" si="199"/>
        <v>13889896</v>
      </c>
      <c r="G730">
        <f t="shared" si="200"/>
        <v>1388.9896</v>
      </c>
      <c r="H730">
        <f t="shared" si="205"/>
        <v>40000000</v>
      </c>
      <c r="I730">
        <f t="shared" si="203"/>
        <v>19200000</v>
      </c>
      <c r="K730">
        <f t="shared" si="206"/>
        <v>172827840</v>
      </c>
      <c r="L730">
        <f t="shared" si="204"/>
        <v>0</v>
      </c>
      <c r="M730">
        <f t="shared" si="201"/>
        <v>30753760</v>
      </c>
      <c r="N730">
        <f t="shared" si="192"/>
        <v>216541791</v>
      </c>
      <c r="O730">
        <f t="shared" si="202"/>
        <v>0</v>
      </c>
    </row>
    <row r="731" ht="13.9" spans="1:15">
      <c r="A731" s="42" t="s">
        <v>548</v>
      </c>
      <c r="B731" s="11">
        <v>172827840</v>
      </c>
      <c r="C731" s="11">
        <v>12960191</v>
      </c>
      <c r="D731" s="11">
        <v>687.8</v>
      </c>
      <c r="E731">
        <f t="shared" si="207"/>
        <v>687.8</v>
      </c>
      <c r="F731">
        <f t="shared" si="199"/>
        <v>86413920</v>
      </c>
      <c r="G731">
        <f t="shared" si="200"/>
        <v>8641.392</v>
      </c>
      <c r="H731">
        <f t="shared" si="205"/>
        <v>687800000</v>
      </c>
      <c r="I731">
        <f t="shared" si="203"/>
        <v>330144000</v>
      </c>
      <c r="K731">
        <f t="shared" si="206"/>
        <v>1149066576</v>
      </c>
      <c r="L731">
        <f t="shared" si="204"/>
        <v>0.598572801929625</v>
      </c>
      <c r="M731">
        <f t="shared" si="201"/>
        <v>185788031</v>
      </c>
      <c r="N731">
        <f t="shared" si="192"/>
        <v>1433920404</v>
      </c>
      <c r="O731">
        <f t="shared" si="202"/>
        <v>0.264640885187695</v>
      </c>
    </row>
    <row r="732" ht="13.9" spans="1:15">
      <c r="A732" s="42" t="s">
        <v>549</v>
      </c>
      <c r="B732" s="11">
        <v>239698028</v>
      </c>
      <c r="C732" s="11">
        <v>16498213</v>
      </c>
      <c r="D732" s="11">
        <v>620</v>
      </c>
      <c r="E732">
        <f t="shared" si="207"/>
        <v>620</v>
      </c>
      <c r="F732">
        <f t="shared" si="199"/>
        <v>119849014</v>
      </c>
      <c r="G732">
        <f t="shared" si="200"/>
        <v>11984.9014</v>
      </c>
      <c r="H732">
        <f t="shared" si="205"/>
        <v>620000000</v>
      </c>
      <c r="I732">
        <f t="shared" si="203"/>
        <v>297600000</v>
      </c>
      <c r="K732">
        <f t="shared" si="206"/>
        <v>909368548</v>
      </c>
      <c r="L732">
        <f t="shared" si="204"/>
        <v>0.681791778881712</v>
      </c>
      <c r="M732">
        <f t="shared" si="201"/>
        <v>256196241</v>
      </c>
      <c r="N732">
        <f t="shared" si="192"/>
        <v>1248132373</v>
      </c>
      <c r="O732">
        <f t="shared" si="202"/>
        <v>0.976966548176907</v>
      </c>
    </row>
    <row r="733" ht="13.9" spans="1:15">
      <c r="A733" s="42" t="s">
        <v>550</v>
      </c>
      <c r="B733" s="11">
        <v>181349524</v>
      </c>
      <c r="C733" s="11">
        <v>13130011</v>
      </c>
      <c r="D733" s="11">
        <v>430</v>
      </c>
      <c r="E733">
        <f t="shared" si="207"/>
        <v>430</v>
      </c>
      <c r="F733">
        <f t="shared" si="199"/>
        <v>90674762</v>
      </c>
      <c r="G733">
        <f t="shared" si="200"/>
        <v>9067.4762</v>
      </c>
      <c r="H733">
        <f t="shared" si="205"/>
        <v>430000000</v>
      </c>
      <c r="I733">
        <f t="shared" si="203"/>
        <v>206400000</v>
      </c>
      <c r="K733">
        <f t="shared" si="206"/>
        <v>728019024</v>
      </c>
      <c r="L733">
        <f t="shared" ref="L733:L767" si="208">IF(E733&gt;E734,H733/K733,0)</f>
        <v>0.590643906030675</v>
      </c>
      <c r="M733">
        <f t="shared" si="201"/>
        <v>194479535</v>
      </c>
      <c r="N733">
        <f t="shared" si="192"/>
        <v>991936132</v>
      </c>
      <c r="O733">
        <f t="shared" si="202"/>
        <v>0.710087391207093</v>
      </c>
    </row>
    <row r="734" ht="13.9" spans="1:15">
      <c r="A734" s="42" t="s">
        <v>551</v>
      </c>
      <c r="B734" s="11">
        <v>111342204</v>
      </c>
      <c r="C734" s="11">
        <v>8361372</v>
      </c>
      <c r="D734" s="11">
        <v>345</v>
      </c>
      <c r="E734">
        <f t="shared" si="207"/>
        <v>345</v>
      </c>
      <c r="F734">
        <f t="shared" si="199"/>
        <v>55671102</v>
      </c>
      <c r="G734">
        <f t="shared" si="200"/>
        <v>5567.1102</v>
      </c>
      <c r="H734">
        <f t="shared" si="205"/>
        <v>345000000</v>
      </c>
      <c r="I734">
        <f t="shared" si="203"/>
        <v>165600000</v>
      </c>
      <c r="K734">
        <f t="shared" si="206"/>
        <v>616676820</v>
      </c>
      <c r="L734">
        <f t="shared" si="208"/>
        <v>0.559450248186724</v>
      </c>
      <c r="M734">
        <f t="shared" si="201"/>
        <v>119703576</v>
      </c>
      <c r="N734">
        <f t="shared" si="192"/>
        <v>797456597</v>
      </c>
      <c r="O734">
        <f t="shared" si="202"/>
        <v>0.423813761686733</v>
      </c>
    </row>
    <row r="735" ht="13.9" spans="1:15">
      <c r="A735" s="42" t="s">
        <v>552</v>
      </c>
      <c r="B735" s="11">
        <v>67461068</v>
      </c>
      <c r="C735" s="11">
        <v>5684268</v>
      </c>
      <c r="D735" s="11">
        <v>314</v>
      </c>
      <c r="E735">
        <f t="shared" si="207"/>
        <v>314</v>
      </c>
      <c r="F735">
        <f t="shared" si="199"/>
        <v>33730534</v>
      </c>
      <c r="G735">
        <f t="shared" si="200"/>
        <v>3373.0534</v>
      </c>
      <c r="H735">
        <f t="shared" si="205"/>
        <v>314000000</v>
      </c>
      <c r="I735">
        <f t="shared" si="203"/>
        <v>150720000</v>
      </c>
      <c r="K735">
        <f t="shared" si="206"/>
        <v>549215752</v>
      </c>
      <c r="L735">
        <f t="shared" si="208"/>
        <v>0.571724315729386</v>
      </c>
      <c r="M735">
        <f t="shared" si="201"/>
        <v>73145336</v>
      </c>
      <c r="N735">
        <f t="shared" ref="N735:N798" si="209">IF(H735&lt;H736,M735+M736,M735+N736)</f>
        <v>677753021</v>
      </c>
      <c r="O735">
        <f t="shared" si="202"/>
        <v>0.612731405913934</v>
      </c>
    </row>
    <row r="736" ht="13.85" spans="1:15">
      <c r="A736" s="43">
        <v>40469</v>
      </c>
      <c r="B736" s="11">
        <v>48050510</v>
      </c>
      <c r="C736" s="11">
        <v>4174657</v>
      </c>
      <c r="D736" s="11">
        <v>282</v>
      </c>
      <c r="E736">
        <f t="shared" si="207"/>
        <v>282</v>
      </c>
      <c r="F736">
        <f t="shared" si="199"/>
        <v>24025255</v>
      </c>
      <c r="G736">
        <f t="shared" si="200"/>
        <v>2402.5255</v>
      </c>
      <c r="H736">
        <f t="shared" si="205"/>
        <v>282000000</v>
      </c>
      <c r="I736">
        <f t="shared" si="203"/>
        <v>135360000</v>
      </c>
      <c r="K736">
        <f t="shared" si="206"/>
        <v>501165242</v>
      </c>
      <c r="L736">
        <f t="shared" si="208"/>
        <v>0.562688663073725</v>
      </c>
      <c r="M736">
        <f t="shared" si="201"/>
        <v>52225167</v>
      </c>
      <c r="N736">
        <f t="shared" si="209"/>
        <v>604607685</v>
      </c>
      <c r="O736">
        <f t="shared" si="202"/>
        <v>0.586697076727192</v>
      </c>
    </row>
    <row r="737" ht="13.85" spans="1:15">
      <c r="A737" s="43">
        <v>40347</v>
      </c>
      <c r="B737" s="11">
        <v>45213008</v>
      </c>
      <c r="C737" s="11">
        <v>4216248</v>
      </c>
      <c r="D737" s="11">
        <v>253</v>
      </c>
      <c r="E737">
        <f t="shared" si="207"/>
        <v>253</v>
      </c>
      <c r="F737">
        <f t="shared" si="199"/>
        <v>22606504</v>
      </c>
      <c r="G737">
        <f t="shared" si="200"/>
        <v>2260.6504</v>
      </c>
      <c r="H737">
        <f t="shared" si="205"/>
        <v>253000000</v>
      </c>
      <c r="I737">
        <f t="shared" si="203"/>
        <v>121440000</v>
      </c>
      <c r="K737">
        <f t="shared" si="206"/>
        <v>455952234</v>
      </c>
      <c r="L737">
        <f t="shared" si="208"/>
        <v>0.554882685364801</v>
      </c>
      <c r="M737">
        <f t="shared" si="201"/>
        <v>49429256</v>
      </c>
      <c r="N737">
        <f t="shared" si="209"/>
        <v>552382518</v>
      </c>
      <c r="O737">
        <f t="shared" si="202"/>
        <v>0.587637646467153</v>
      </c>
    </row>
    <row r="738" ht="13.85" spans="1:15">
      <c r="A738" s="43">
        <v>40255</v>
      </c>
      <c r="B738" s="11">
        <v>37318426</v>
      </c>
      <c r="C738" s="11">
        <v>3523069</v>
      </c>
      <c r="D738" s="11">
        <v>229</v>
      </c>
      <c r="E738">
        <f t="shared" si="207"/>
        <v>229</v>
      </c>
      <c r="F738">
        <f t="shared" si="199"/>
        <v>18659213</v>
      </c>
      <c r="G738">
        <f t="shared" si="200"/>
        <v>1865.9213</v>
      </c>
      <c r="H738">
        <f t="shared" si="205"/>
        <v>229000000</v>
      </c>
      <c r="I738">
        <f t="shared" si="203"/>
        <v>109920000</v>
      </c>
      <c r="K738">
        <f t="shared" si="206"/>
        <v>418633808</v>
      </c>
      <c r="L738">
        <f t="shared" si="208"/>
        <v>0.547017454452699</v>
      </c>
      <c r="M738">
        <f t="shared" si="201"/>
        <v>40841495</v>
      </c>
      <c r="N738">
        <f t="shared" si="209"/>
        <v>502953262</v>
      </c>
      <c r="O738">
        <f t="shared" si="202"/>
        <v>0.393271585270141</v>
      </c>
    </row>
    <row r="739" ht="13.9" spans="1:15">
      <c r="A739" s="42" t="s">
        <v>553</v>
      </c>
      <c r="B739" s="11">
        <v>37015830</v>
      </c>
      <c r="C739" s="11">
        <v>3668523</v>
      </c>
      <c r="D739" s="11">
        <v>213</v>
      </c>
      <c r="E739">
        <f t="shared" si="207"/>
        <v>213</v>
      </c>
      <c r="F739">
        <f t="shared" si="199"/>
        <v>18507915</v>
      </c>
      <c r="G739">
        <f t="shared" si="200"/>
        <v>1850.7915</v>
      </c>
      <c r="H739">
        <f t="shared" si="205"/>
        <v>213000000</v>
      </c>
      <c r="I739">
        <f t="shared" si="203"/>
        <v>102240000</v>
      </c>
      <c r="K739">
        <f t="shared" si="206"/>
        <v>381617978</v>
      </c>
      <c r="L739">
        <f t="shared" si="208"/>
        <v>0.558149804986389</v>
      </c>
      <c r="M739">
        <f t="shared" si="201"/>
        <v>40684353</v>
      </c>
      <c r="N739">
        <f t="shared" si="209"/>
        <v>462111767</v>
      </c>
      <c r="O739">
        <f t="shared" si="202"/>
        <v>0.599778130074123</v>
      </c>
    </row>
    <row r="740" ht="13.9" spans="1:15">
      <c r="A740" s="42" t="s">
        <v>554</v>
      </c>
      <c r="B740" s="11">
        <v>30337722</v>
      </c>
      <c r="C740" s="11">
        <v>3007942</v>
      </c>
      <c r="D740" s="11">
        <v>193</v>
      </c>
      <c r="E740">
        <f t="shared" si="207"/>
        <v>193</v>
      </c>
      <c r="F740">
        <f t="shared" si="199"/>
        <v>15168861</v>
      </c>
      <c r="G740">
        <f t="shared" si="200"/>
        <v>1516.8861</v>
      </c>
      <c r="H740">
        <f t="shared" si="205"/>
        <v>193000000</v>
      </c>
      <c r="I740">
        <f t="shared" si="203"/>
        <v>92640000</v>
      </c>
      <c r="K740">
        <f t="shared" si="206"/>
        <v>351280256</v>
      </c>
      <c r="L740">
        <f t="shared" si="208"/>
        <v>0.549418866285499</v>
      </c>
      <c r="M740">
        <f t="shared" si="201"/>
        <v>33345664</v>
      </c>
      <c r="N740">
        <f t="shared" si="209"/>
        <v>421427414</v>
      </c>
      <c r="O740">
        <f t="shared" si="202"/>
        <v>0.43063885187548</v>
      </c>
    </row>
    <row r="741" ht="13.9" spans="1:15">
      <c r="A741" s="42" t="s">
        <v>555</v>
      </c>
      <c r="B741" s="11">
        <v>31598040</v>
      </c>
      <c r="C741" s="11">
        <v>3233931</v>
      </c>
      <c r="D741" s="11">
        <v>178</v>
      </c>
      <c r="E741">
        <f t="shared" si="207"/>
        <v>178</v>
      </c>
      <c r="F741">
        <f t="shared" si="199"/>
        <v>15799020</v>
      </c>
      <c r="G741">
        <f t="shared" si="200"/>
        <v>1579.902</v>
      </c>
      <c r="H741">
        <f t="shared" si="205"/>
        <v>178000000</v>
      </c>
      <c r="I741">
        <f t="shared" si="203"/>
        <v>85440000</v>
      </c>
      <c r="K741">
        <f t="shared" si="206"/>
        <v>319682216</v>
      </c>
      <c r="L741">
        <f t="shared" si="208"/>
        <v>0.556802947086678</v>
      </c>
      <c r="M741">
        <f t="shared" si="201"/>
        <v>34831971</v>
      </c>
      <c r="N741">
        <f t="shared" si="209"/>
        <v>388081750</v>
      </c>
      <c r="O741">
        <f t="shared" si="202"/>
        <v>0.497059890746236</v>
      </c>
    </row>
    <row r="742" ht="13.9" spans="1:15">
      <c r="A742" s="42" t="s">
        <v>556</v>
      </c>
      <c r="B742" s="11">
        <v>27395698</v>
      </c>
      <c r="C742" s="11">
        <v>2781752</v>
      </c>
      <c r="D742" s="11">
        <v>163</v>
      </c>
      <c r="E742">
        <f t="shared" si="207"/>
        <v>163</v>
      </c>
      <c r="F742">
        <f t="shared" si="199"/>
        <v>13697849</v>
      </c>
      <c r="G742">
        <f t="shared" si="200"/>
        <v>1369.7849</v>
      </c>
      <c r="H742">
        <f t="shared" si="205"/>
        <v>163000000</v>
      </c>
      <c r="I742">
        <f t="shared" si="203"/>
        <v>78240000</v>
      </c>
      <c r="K742">
        <f t="shared" si="206"/>
        <v>292286518</v>
      </c>
      <c r="L742">
        <f t="shared" si="208"/>
        <v>0.557671975824762</v>
      </c>
      <c r="M742">
        <f t="shared" si="201"/>
        <v>30177450</v>
      </c>
      <c r="N742">
        <f t="shared" si="209"/>
        <v>353249779</v>
      </c>
      <c r="O742">
        <f t="shared" si="202"/>
        <v>0.487901030251815</v>
      </c>
    </row>
    <row r="743" ht="13.9" spans="1:15">
      <c r="A743" s="42" t="s">
        <v>557</v>
      </c>
      <c r="B743" s="11">
        <v>29733888</v>
      </c>
      <c r="C743" s="11">
        <v>3059648</v>
      </c>
      <c r="D743" s="11">
        <v>147</v>
      </c>
      <c r="E743">
        <f t="shared" si="207"/>
        <v>147</v>
      </c>
      <c r="F743">
        <f t="shared" si="199"/>
        <v>14866944</v>
      </c>
      <c r="G743">
        <f t="shared" si="200"/>
        <v>1486.6944</v>
      </c>
      <c r="H743">
        <f t="shared" si="205"/>
        <v>147000000</v>
      </c>
      <c r="I743">
        <f t="shared" si="203"/>
        <v>70560000</v>
      </c>
      <c r="K743">
        <f t="shared" si="206"/>
        <v>262552630</v>
      </c>
      <c r="L743">
        <f t="shared" si="208"/>
        <v>0.559887745173225</v>
      </c>
      <c r="M743">
        <f t="shared" si="201"/>
        <v>32793536</v>
      </c>
      <c r="N743">
        <f t="shared" si="209"/>
        <v>323072329</v>
      </c>
      <c r="O743">
        <f t="shared" si="202"/>
        <v>0.517151234500331</v>
      </c>
    </row>
    <row r="744" ht="13.85" spans="1:15">
      <c r="A744" s="43">
        <v>40165</v>
      </c>
      <c r="B744" s="11">
        <v>26297552</v>
      </c>
      <c r="C744" s="11">
        <v>2707503</v>
      </c>
      <c r="D744" s="11">
        <v>132</v>
      </c>
      <c r="E744">
        <f t="shared" si="207"/>
        <v>132</v>
      </c>
      <c r="F744">
        <f t="shared" si="199"/>
        <v>13148776</v>
      </c>
      <c r="G744">
        <f t="shared" si="200"/>
        <v>1314.8776</v>
      </c>
      <c r="H744">
        <f t="shared" si="205"/>
        <v>132000000</v>
      </c>
      <c r="I744">
        <f t="shared" si="203"/>
        <v>63360000</v>
      </c>
      <c r="K744">
        <f t="shared" si="206"/>
        <v>236255078</v>
      </c>
      <c r="L744">
        <f t="shared" si="208"/>
        <v>0.558718149541742</v>
      </c>
      <c r="M744">
        <f t="shared" si="201"/>
        <v>29005055</v>
      </c>
      <c r="N744">
        <f t="shared" si="209"/>
        <v>290278793</v>
      </c>
      <c r="O744">
        <f t="shared" ref="O744:O760" si="210">IF(H744&gt;H745,(H744-H745)/M745,0)</f>
        <v>0.574527224738581</v>
      </c>
    </row>
    <row r="745" ht="13.85" spans="1:15">
      <c r="A745" s="43">
        <v>40043</v>
      </c>
      <c r="B745" s="11">
        <v>28315432</v>
      </c>
      <c r="C745" s="11">
        <v>3014676</v>
      </c>
      <c r="D745" s="11">
        <v>114</v>
      </c>
      <c r="E745">
        <f t="shared" si="207"/>
        <v>114</v>
      </c>
      <c r="F745">
        <f t="shared" si="199"/>
        <v>14157716</v>
      </c>
      <c r="G745">
        <f t="shared" si="200"/>
        <v>1415.7716</v>
      </c>
      <c r="H745">
        <f t="shared" si="205"/>
        <v>114000000</v>
      </c>
      <c r="I745">
        <f t="shared" si="203"/>
        <v>54720000</v>
      </c>
      <c r="K745">
        <f t="shared" si="206"/>
        <v>207939646</v>
      </c>
      <c r="L745">
        <f t="shared" si="208"/>
        <v>0.548236001132752</v>
      </c>
      <c r="M745">
        <f t="shared" si="201"/>
        <v>31330108</v>
      </c>
      <c r="N745">
        <f t="shared" si="209"/>
        <v>261273738</v>
      </c>
      <c r="O745">
        <f t="shared" si="210"/>
        <v>0.524266263151406</v>
      </c>
    </row>
    <row r="746" ht="13.85" spans="1:15">
      <c r="A746" s="43">
        <v>39951</v>
      </c>
      <c r="B746" s="11">
        <v>24136414</v>
      </c>
      <c r="C746" s="11">
        <v>2567574</v>
      </c>
      <c r="D746" s="11">
        <v>100</v>
      </c>
      <c r="E746">
        <f t="shared" si="207"/>
        <v>100</v>
      </c>
      <c r="F746">
        <f t="shared" si="199"/>
        <v>12068207</v>
      </c>
      <c r="G746">
        <f t="shared" si="200"/>
        <v>1206.8207</v>
      </c>
      <c r="H746">
        <f t="shared" si="205"/>
        <v>100000000</v>
      </c>
      <c r="I746">
        <f t="shared" si="203"/>
        <v>48000000</v>
      </c>
      <c r="K746">
        <f t="shared" si="206"/>
        <v>183803232</v>
      </c>
      <c r="L746">
        <f t="shared" si="208"/>
        <v>0.544060073981724</v>
      </c>
      <c r="M746">
        <f t="shared" si="201"/>
        <v>26703988</v>
      </c>
      <c r="N746">
        <f t="shared" si="209"/>
        <v>229943630</v>
      </c>
      <c r="O746">
        <f t="shared" si="210"/>
        <v>0.34577337176443</v>
      </c>
    </row>
    <row r="747" ht="13.85" spans="1:15">
      <c r="A747" s="43">
        <v>39831</v>
      </c>
      <c r="B747" s="11">
        <v>26042204</v>
      </c>
      <c r="C747" s="11">
        <v>2878473</v>
      </c>
      <c r="D747" s="11">
        <v>90</v>
      </c>
      <c r="E747">
        <f t="shared" si="207"/>
        <v>90</v>
      </c>
      <c r="F747">
        <f t="shared" si="199"/>
        <v>13021102</v>
      </c>
      <c r="G747">
        <f t="shared" si="200"/>
        <v>1302.1102</v>
      </c>
      <c r="H747">
        <f t="shared" si="205"/>
        <v>90000000</v>
      </c>
      <c r="I747">
        <f t="shared" si="203"/>
        <v>43200000</v>
      </c>
      <c r="K747">
        <f t="shared" si="206"/>
        <v>157761028</v>
      </c>
      <c r="L747">
        <f t="shared" si="208"/>
        <v>0.570483098018352</v>
      </c>
      <c r="M747">
        <f t="shared" si="201"/>
        <v>28920677</v>
      </c>
      <c r="N747">
        <f t="shared" si="209"/>
        <v>203239642</v>
      </c>
      <c r="O747">
        <f t="shared" si="210"/>
        <v>0.414841485127539</v>
      </c>
    </row>
    <row r="748" ht="13.9" spans="1:15">
      <c r="A748" s="42" t="s">
        <v>558</v>
      </c>
      <c r="B748" s="11">
        <v>21737270</v>
      </c>
      <c r="C748" s="11">
        <v>2368323</v>
      </c>
      <c r="D748" s="11">
        <v>80</v>
      </c>
      <c r="E748">
        <f t="shared" si="207"/>
        <v>80</v>
      </c>
      <c r="F748">
        <f t="shared" si="199"/>
        <v>10868635</v>
      </c>
      <c r="G748">
        <f t="shared" si="200"/>
        <v>1086.8635</v>
      </c>
      <c r="H748">
        <f t="shared" si="205"/>
        <v>80000000</v>
      </c>
      <c r="I748">
        <f t="shared" si="203"/>
        <v>38400000</v>
      </c>
      <c r="K748">
        <f t="shared" si="206"/>
        <v>136023758</v>
      </c>
      <c r="L748">
        <f t="shared" si="208"/>
        <v>0.588132552550121</v>
      </c>
      <c r="M748">
        <f t="shared" si="201"/>
        <v>24105593</v>
      </c>
      <c r="N748">
        <f t="shared" si="209"/>
        <v>174318965</v>
      </c>
      <c r="O748">
        <f t="shared" si="210"/>
        <v>0.365830923483097</v>
      </c>
    </row>
    <row r="749" ht="13.9" spans="1:15">
      <c r="A749" s="42" t="s">
        <v>559</v>
      </c>
      <c r="B749" s="11">
        <v>24605038</v>
      </c>
      <c r="C749" s="11">
        <v>2729994</v>
      </c>
      <c r="D749" s="11">
        <v>70</v>
      </c>
      <c r="E749">
        <f t="shared" si="207"/>
        <v>70</v>
      </c>
      <c r="F749">
        <f t="shared" si="199"/>
        <v>12302519</v>
      </c>
      <c r="G749">
        <f t="shared" si="200"/>
        <v>1230.2519</v>
      </c>
      <c r="H749">
        <f t="shared" si="205"/>
        <v>70000000</v>
      </c>
      <c r="I749">
        <f t="shared" si="203"/>
        <v>33600000</v>
      </c>
      <c r="K749">
        <f t="shared" si="206"/>
        <v>111418720</v>
      </c>
      <c r="L749">
        <f t="shared" si="208"/>
        <v>0.628260672892311</v>
      </c>
      <c r="M749">
        <f t="shared" si="201"/>
        <v>27335032</v>
      </c>
      <c r="N749">
        <f t="shared" si="209"/>
        <v>150213372</v>
      </c>
      <c r="O749">
        <f t="shared" si="210"/>
        <v>0.419590407592639</v>
      </c>
    </row>
    <row r="750" ht="13.9" spans="1:15">
      <c r="A750" s="42" t="s">
        <v>560</v>
      </c>
      <c r="B750" s="11">
        <v>21466574</v>
      </c>
      <c r="C750" s="11">
        <v>2366192</v>
      </c>
      <c r="D750" s="11">
        <v>60</v>
      </c>
      <c r="E750">
        <f t="shared" si="207"/>
        <v>60</v>
      </c>
      <c r="F750">
        <f t="shared" si="199"/>
        <v>10733287</v>
      </c>
      <c r="G750">
        <f t="shared" si="200"/>
        <v>1073.3287</v>
      </c>
      <c r="H750">
        <f t="shared" si="205"/>
        <v>60000000</v>
      </c>
      <c r="I750">
        <f t="shared" si="203"/>
        <v>28800000</v>
      </c>
      <c r="K750">
        <f t="shared" si="206"/>
        <v>89952146</v>
      </c>
      <c r="L750">
        <f t="shared" si="208"/>
        <v>0.667021329318814</v>
      </c>
      <c r="M750">
        <f t="shared" si="201"/>
        <v>23832766</v>
      </c>
      <c r="N750">
        <f t="shared" si="209"/>
        <v>122878340</v>
      </c>
      <c r="O750">
        <f t="shared" si="210"/>
        <v>0.371529128440963</v>
      </c>
    </row>
    <row r="751" ht="13.9" spans="1:15">
      <c r="A751" s="42" t="s">
        <v>561</v>
      </c>
      <c r="B751" s="11">
        <v>24232630</v>
      </c>
      <c r="C751" s="11">
        <v>2683160</v>
      </c>
      <c r="D751" s="11">
        <v>50</v>
      </c>
      <c r="E751">
        <f t="shared" si="207"/>
        <v>50</v>
      </c>
      <c r="F751">
        <f t="shared" si="199"/>
        <v>12116315</v>
      </c>
      <c r="G751">
        <f t="shared" si="200"/>
        <v>1211.6315</v>
      </c>
      <c r="H751">
        <f t="shared" si="205"/>
        <v>50000000</v>
      </c>
      <c r="I751">
        <f t="shared" si="203"/>
        <v>24000000</v>
      </c>
      <c r="K751">
        <f t="shared" si="206"/>
        <v>65719516</v>
      </c>
      <c r="L751">
        <f t="shared" si="208"/>
        <v>0.760809011435812</v>
      </c>
      <c r="M751">
        <f t="shared" si="201"/>
        <v>26915790</v>
      </c>
      <c r="N751">
        <f t="shared" si="209"/>
        <v>99045574</v>
      </c>
      <c r="O751">
        <f t="shared" si="210"/>
        <v>0.418882186913526</v>
      </c>
    </row>
    <row r="752" ht="13.9" spans="1:15">
      <c r="A752" s="42" t="s">
        <v>562</v>
      </c>
      <c r="B752" s="11">
        <v>21516982</v>
      </c>
      <c r="C752" s="11">
        <v>2356079</v>
      </c>
      <c r="D752" s="11">
        <v>40</v>
      </c>
      <c r="E752">
        <f t="shared" si="207"/>
        <v>40</v>
      </c>
      <c r="F752">
        <f t="shared" si="199"/>
        <v>10758491</v>
      </c>
      <c r="G752">
        <f t="shared" si="200"/>
        <v>1075.8491</v>
      </c>
      <c r="H752">
        <f t="shared" si="205"/>
        <v>40000000</v>
      </c>
      <c r="I752">
        <f t="shared" si="203"/>
        <v>19200000</v>
      </c>
      <c r="K752">
        <f t="shared" si="206"/>
        <v>44202534</v>
      </c>
      <c r="L752">
        <f t="shared" si="208"/>
        <v>0</v>
      </c>
      <c r="M752">
        <f t="shared" si="201"/>
        <v>23873061</v>
      </c>
      <c r="N752">
        <f t="shared" si="209"/>
        <v>72129784</v>
      </c>
      <c r="O752">
        <f t="shared" si="210"/>
        <v>0</v>
      </c>
    </row>
    <row r="753" ht="13.85" spans="1:15">
      <c r="A753" s="43">
        <v>39770</v>
      </c>
      <c r="B753" s="11">
        <v>44202534</v>
      </c>
      <c r="C753" s="11">
        <v>4054189</v>
      </c>
      <c r="D753" s="27">
        <v>245.6</v>
      </c>
      <c r="E753">
        <f t="shared" si="207"/>
        <v>245.6</v>
      </c>
      <c r="F753">
        <f t="shared" si="199"/>
        <v>22101267</v>
      </c>
      <c r="G753">
        <f t="shared" si="200"/>
        <v>2210.1267</v>
      </c>
      <c r="H753">
        <f t="shared" si="205"/>
        <v>245600000</v>
      </c>
      <c r="I753">
        <f t="shared" si="203"/>
        <v>117888000</v>
      </c>
      <c r="K753">
        <f t="shared" si="206"/>
        <v>443866792</v>
      </c>
      <c r="L753">
        <f t="shared" si="208"/>
        <v>0.553319158870529</v>
      </c>
      <c r="M753">
        <f t="shared" si="201"/>
        <v>48256723</v>
      </c>
      <c r="N753">
        <f t="shared" si="209"/>
        <v>536995282</v>
      </c>
      <c r="O753">
        <f t="shared" si="210"/>
        <v>0.517785021982265</v>
      </c>
    </row>
    <row r="754" ht="13.85" spans="1:15">
      <c r="A754" s="43">
        <v>39678</v>
      </c>
      <c r="B754" s="11">
        <v>40026648</v>
      </c>
      <c r="C754" s="11">
        <v>3620810</v>
      </c>
      <c r="D754" s="11">
        <v>223</v>
      </c>
      <c r="E754">
        <f t="shared" si="207"/>
        <v>223</v>
      </c>
      <c r="F754">
        <f t="shared" si="199"/>
        <v>20013324</v>
      </c>
      <c r="G754">
        <f t="shared" si="200"/>
        <v>2001.3324</v>
      </c>
      <c r="H754">
        <f t="shared" si="205"/>
        <v>223000000</v>
      </c>
      <c r="I754">
        <f t="shared" si="203"/>
        <v>107040000</v>
      </c>
      <c r="K754">
        <f t="shared" si="206"/>
        <v>403840144</v>
      </c>
      <c r="L754">
        <f t="shared" si="208"/>
        <v>0.552198693748485</v>
      </c>
      <c r="M754">
        <f t="shared" si="201"/>
        <v>43647458</v>
      </c>
      <c r="N754">
        <f t="shared" si="209"/>
        <v>488738559</v>
      </c>
      <c r="O754">
        <f t="shared" si="210"/>
        <v>0.455284453645339</v>
      </c>
    </row>
    <row r="755" ht="13.85" spans="1:15">
      <c r="A755" s="43">
        <v>39556</v>
      </c>
      <c r="B755" s="11">
        <v>40160196</v>
      </c>
      <c r="C755" s="11">
        <v>3768385</v>
      </c>
      <c r="D755" s="11">
        <v>203</v>
      </c>
      <c r="E755">
        <f t="shared" ref="E755:E777" si="211">IF(RIGHT(D755,1)="B",VALUE(LEFT(D755,LEN(D755)-1))*1000,D755)</f>
        <v>203</v>
      </c>
      <c r="F755">
        <f t="shared" si="199"/>
        <v>20080098</v>
      </c>
      <c r="G755">
        <f t="shared" si="200"/>
        <v>2008.0098</v>
      </c>
      <c r="H755">
        <f t="shared" si="205"/>
        <v>203000000</v>
      </c>
      <c r="I755">
        <f t="shared" si="203"/>
        <v>97440000</v>
      </c>
      <c r="K755">
        <f t="shared" si="206"/>
        <v>363679948</v>
      </c>
      <c r="L755">
        <f t="shared" si="208"/>
        <v>0.558183097848441</v>
      </c>
      <c r="M755">
        <f t="shared" si="201"/>
        <v>43928581</v>
      </c>
      <c r="N755">
        <f t="shared" si="209"/>
        <v>445091101</v>
      </c>
      <c r="O755">
        <f t="shared" si="210"/>
        <v>0.444952431804087</v>
      </c>
    </row>
    <row r="756" ht="13.85" spans="1:15">
      <c r="A756" s="43">
        <v>39465</v>
      </c>
      <c r="B756" s="11">
        <v>32829698</v>
      </c>
      <c r="C756" s="11">
        <v>3129202</v>
      </c>
      <c r="D756" s="11">
        <v>187</v>
      </c>
      <c r="E756">
        <f t="shared" si="211"/>
        <v>187</v>
      </c>
      <c r="F756">
        <f t="shared" si="199"/>
        <v>16414849</v>
      </c>
      <c r="G756">
        <f t="shared" si="200"/>
        <v>1641.4849</v>
      </c>
      <c r="H756">
        <f t="shared" si="205"/>
        <v>187000000</v>
      </c>
      <c r="I756">
        <f t="shared" si="203"/>
        <v>89760000</v>
      </c>
      <c r="K756">
        <f t="shared" si="206"/>
        <v>330850250</v>
      </c>
      <c r="L756">
        <f t="shared" si="208"/>
        <v>0.565210393523958</v>
      </c>
      <c r="M756">
        <f t="shared" si="201"/>
        <v>35958900</v>
      </c>
      <c r="N756">
        <f t="shared" si="209"/>
        <v>401162520</v>
      </c>
      <c r="O756">
        <f t="shared" si="210"/>
        <v>0.517618606787021</v>
      </c>
    </row>
    <row r="757" ht="13.9" spans="1:15">
      <c r="A757" s="42" t="s">
        <v>563</v>
      </c>
      <c r="B757" s="11">
        <v>33377746</v>
      </c>
      <c r="C757" s="11">
        <v>3328817</v>
      </c>
      <c r="D757" s="11">
        <v>168</v>
      </c>
      <c r="E757">
        <f t="shared" si="211"/>
        <v>168</v>
      </c>
      <c r="F757">
        <f t="shared" si="199"/>
        <v>16688873</v>
      </c>
      <c r="G757">
        <f t="shared" si="200"/>
        <v>1668.8873</v>
      </c>
      <c r="H757">
        <f t="shared" si="205"/>
        <v>168000000</v>
      </c>
      <c r="I757">
        <f t="shared" si="203"/>
        <v>80640000</v>
      </c>
      <c r="K757">
        <f t="shared" si="206"/>
        <v>297472504</v>
      </c>
      <c r="L757">
        <f t="shared" si="208"/>
        <v>0.564758079287893</v>
      </c>
      <c r="M757">
        <f t="shared" si="201"/>
        <v>36706563</v>
      </c>
      <c r="N757">
        <f t="shared" si="209"/>
        <v>365203620</v>
      </c>
      <c r="O757">
        <f t="shared" si="210"/>
        <v>0.5378515734041</v>
      </c>
    </row>
    <row r="758" ht="13.9" spans="1:15">
      <c r="A758" s="42" t="s">
        <v>564</v>
      </c>
      <c r="B758" s="11">
        <v>35691998</v>
      </c>
      <c r="C758" s="11">
        <v>3352231</v>
      </c>
      <c r="D758" s="11">
        <v>147</v>
      </c>
      <c r="E758">
        <f t="shared" si="211"/>
        <v>147</v>
      </c>
      <c r="F758">
        <f t="shared" si="199"/>
        <v>17845999</v>
      </c>
      <c r="G758">
        <f t="shared" si="200"/>
        <v>1784.5999</v>
      </c>
      <c r="H758">
        <f t="shared" si="205"/>
        <v>147000000</v>
      </c>
      <c r="I758">
        <f t="shared" si="203"/>
        <v>70560000</v>
      </c>
      <c r="K758">
        <f t="shared" si="206"/>
        <v>261780506</v>
      </c>
      <c r="L758">
        <f t="shared" si="208"/>
        <v>0.561539139205423</v>
      </c>
      <c r="M758">
        <f t="shared" si="201"/>
        <v>39044229</v>
      </c>
      <c r="N758">
        <f t="shared" si="209"/>
        <v>328497057</v>
      </c>
      <c r="O758">
        <f t="shared" si="210"/>
        <v>0.445962079634504</v>
      </c>
    </row>
    <row r="759" ht="13.9" spans="1:15">
      <c r="A759" s="42" t="s">
        <v>565</v>
      </c>
      <c r="B759" s="11">
        <v>34669862</v>
      </c>
      <c r="C759" s="11">
        <v>3449971</v>
      </c>
      <c r="D759" s="11">
        <v>130</v>
      </c>
      <c r="E759">
        <f t="shared" si="211"/>
        <v>130</v>
      </c>
      <c r="F759">
        <f t="shared" si="199"/>
        <v>17334931</v>
      </c>
      <c r="G759">
        <f t="shared" si="200"/>
        <v>1733.4931</v>
      </c>
      <c r="H759">
        <f t="shared" si="205"/>
        <v>130000000</v>
      </c>
      <c r="I759">
        <f t="shared" si="203"/>
        <v>62400000</v>
      </c>
      <c r="K759">
        <f t="shared" si="206"/>
        <v>227110644</v>
      </c>
      <c r="L759">
        <f t="shared" si="208"/>
        <v>0.572408222311236</v>
      </c>
      <c r="M759">
        <f t="shared" si="201"/>
        <v>38119833</v>
      </c>
      <c r="N759">
        <f t="shared" si="209"/>
        <v>289452828</v>
      </c>
      <c r="O759">
        <f t="shared" si="210"/>
        <v>0.650324023944931</v>
      </c>
    </row>
    <row r="760" ht="13.9" spans="1:15">
      <c r="A760" s="42" t="s">
        <v>566</v>
      </c>
      <c r="B760" s="11">
        <v>27916646</v>
      </c>
      <c r="C760" s="11">
        <v>2837254</v>
      </c>
      <c r="D760" s="11">
        <v>110</v>
      </c>
      <c r="E760">
        <f t="shared" si="211"/>
        <v>110</v>
      </c>
      <c r="F760">
        <f t="shared" si="199"/>
        <v>13958323</v>
      </c>
      <c r="G760">
        <f t="shared" si="200"/>
        <v>1395.8323</v>
      </c>
      <c r="H760">
        <f t="shared" si="205"/>
        <v>110000000</v>
      </c>
      <c r="I760">
        <f t="shared" si="203"/>
        <v>52800000</v>
      </c>
      <c r="K760">
        <f t="shared" si="206"/>
        <v>199193998</v>
      </c>
      <c r="L760">
        <f t="shared" si="208"/>
        <v>0.552225474183213</v>
      </c>
      <c r="M760">
        <f t="shared" si="201"/>
        <v>30753900</v>
      </c>
      <c r="N760">
        <f t="shared" si="209"/>
        <v>251332995</v>
      </c>
      <c r="O760">
        <f t="shared" si="210"/>
        <v>0.301619091282002</v>
      </c>
    </row>
    <row r="761" ht="13.9" spans="1:15">
      <c r="A761" s="42" t="s">
        <v>567</v>
      </c>
      <c r="B761" s="11">
        <v>30023546</v>
      </c>
      <c r="C761" s="11">
        <v>3130854</v>
      </c>
      <c r="D761" s="11">
        <v>100</v>
      </c>
      <c r="E761">
        <f t="shared" si="211"/>
        <v>100</v>
      </c>
      <c r="F761">
        <f t="shared" si="199"/>
        <v>15011773</v>
      </c>
      <c r="G761">
        <f t="shared" si="200"/>
        <v>1501.1773</v>
      </c>
      <c r="H761">
        <f t="shared" si="205"/>
        <v>100000000</v>
      </c>
      <c r="I761">
        <f t="shared" si="203"/>
        <v>48000000</v>
      </c>
      <c r="K761">
        <f t="shared" si="206"/>
        <v>169170452</v>
      </c>
      <c r="L761">
        <f t="shared" si="208"/>
        <v>0.591119777820302</v>
      </c>
      <c r="M761">
        <f t="shared" si="201"/>
        <v>33154400</v>
      </c>
      <c r="N761">
        <f t="shared" si="209"/>
        <v>220579095</v>
      </c>
      <c r="O761">
        <f t="shared" ref="O761:O775" si="212">IF(H761&gt;H762,(H761-H762)/M762,0)</f>
        <v>0.38262147055129</v>
      </c>
    </row>
    <row r="762" ht="13.85" spans="1:15">
      <c r="A762" s="43">
        <v>39404</v>
      </c>
      <c r="B762" s="11">
        <v>23623992</v>
      </c>
      <c r="C762" s="11">
        <v>2511499</v>
      </c>
      <c r="D762" s="11">
        <v>90</v>
      </c>
      <c r="E762">
        <f t="shared" si="211"/>
        <v>90</v>
      </c>
      <c r="F762">
        <f t="shared" si="199"/>
        <v>11811996</v>
      </c>
      <c r="G762">
        <f t="shared" si="200"/>
        <v>1181.1996</v>
      </c>
      <c r="H762">
        <f t="shared" si="205"/>
        <v>90000000</v>
      </c>
      <c r="I762">
        <f t="shared" si="203"/>
        <v>43200000</v>
      </c>
      <c r="K762">
        <f t="shared" si="206"/>
        <v>145546460</v>
      </c>
      <c r="L762">
        <f t="shared" si="208"/>
        <v>0.618359251059765</v>
      </c>
      <c r="M762">
        <f t="shared" si="201"/>
        <v>26135491</v>
      </c>
      <c r="N762">
        <f t="shared" si="209"/>
        <v>187424695</v>
      </c>
      <c r="O762">
        <f t="shared" si="212"/>
        <v>0.358012123364533</v>
      </c>
    </row>
    <row r="763" ht="13.85" spans="1:15">
      <c r="A763" s="43">
        <v>39281</v>
      </c>
      <c r="B763" s="11">
        <v>25167654</v>
      </c>
      <c r="C763" s="11">
        <v>2764361</v>
      </c>
      <c r="D763" s="11">
        <v>80</v>
      </c>
      <c r="E763">
        <f t="shared" si="211"/>
        <v>80</v>
      </c>
      <c r="F763">
        <f t="shared" si="199"/>
        <v>12583827</v>
      </c>
      <c r="G763">
        <f t="shared" si="200"/>
        <v>1258.3827</v>
      </c>
      <c r="H763">
        <f t="shared" si="205"/>
        <v>80000000</v>
      </c>
      <c r="I763">
        <f t="shared" si="203"/>
        <v>38400000</v>
      </c>
      <c r="K763">
        <f t="shared" si="206"/>
        <v>120378806</v>
      </c>
      <c r="L763">
        <f t="shared" si="208"/>
        <v>0.664568811224129</v>
      </c>
      <c r="M763">
        <f t="shared" si="201"/>
        <v>27932015</v>
      </c>
      <c r="N763">
        <f t="shared" si="209"/>
        <v>161289204</v>
      </c>
      <c r="O763">
        <f t="shared" si="212"/>
        <v>0.4169112719842</v>
      </c>
    </row>
    <row r="764" ht="13.85" spans="1:15">
      <c r="A764" s="43">
        <v>39190</v>
      </c>
      <c r="B764" s="11">
        <v>21648058</v>
      </c>
      <c r="C764" s="11">
        <v>2337861</v>
      </c>
      <c r="D764" s="11">
        <v>70</v>
      </c>
      <c r="E764">
        <f t="shared" si="211"/>
        <v>70</v>
      </c>
      <c r="F764">
        <f t="shared" si="199"/>
        <v>10824029</v>
      </c>
      <c r="G764">
        <f t="shared" si="200"/>
        <v>1082.4029</v>
      </c>
      <c r="H764">
        <f t="shared" si="205"/>
        <v>70000000</v>
      </c>
      <c r="I764">
        <f t="shared" si="203"/>
        <v>33600000</v>
      </c>
      <c r="K764">
        <f t="shared" si="206"/>
        <v>98730748</v>
      </c>
      <c r="L764">
        <f t="shared" si="208"/>
        <v>0.708998983781628</v>
      </c>
      <c r="M764">
        <f t="shared" si="201"/>
        <v>23985919</v>
      </c>
      <c r="N764">
        <f t="shared" si="209"/>
        <v>133357189</v>
      </c>
      <c r="O764">
        <f t="shared" si="212"/>
        <v>0.365710594336035</v>
      </c>
    </row>
    <row r="765" ht="13.9" spans="1:15">
      <c r="A765" s="42" t="s">
        <v>568</v>
      </c>
      <c r="B765" s="11">
        <v>24592874</v>
      </c>
      <c r="C765" s="11">
        <v>2751152</v>
      </c>
      <c r="D765" s="11">
        <v>60</v>
      </c>
      <c r="E765">
        <f t="shared" si="211"/>
        <v>60</v>
      </c>
      <c r="F765">
        <f t="shared" si="199"/>
        <v>12296437</v>
      </c>
      <c r="G765">
        <f t="shared" si="200"/>
        <v>1229.6437</v>
      </c>
      <c r="H765">
        <f t="shared" si="205"/>
        <v>60000000</v>
      </c>
      <c r="I765">
        <f t="shared" si="203"/>
        <v>28800000</v>
      </c>
      <c r="K765">
        <f t="shared" si="206"/>
        <v>74137874</v>
      </c>
      <c r="L765">
        <f t="shared" si="208"/>
        <v>0.809302948180035</v>
      </c>
      <c r="M765">
        <f t="shared" si="201"/>
        <v>27344026</v>
      </c>
      <c r="N765">
        <f t="shared" si="209"/>
        <v>109371270</v>
      </c>
      <c r="O765">
        <f t="shared" si="212"/>
        <v>0.427196399315341</v>
      </c>
    </row>
    <row r="766" ht="13.9" spans="1:15">
      <c r="A766" s="42" t="s">
        <v>569</v>
      </c>
      <c r="B766" s="11">
        <v>21089532</v>
      </c>
      <c r="C766" s="11">
        <v>2318905</v>
      </c>
      <c r="D766" s="11">
        <v>50</v>
      </c>
      <c r="E766">
        <f t="shared" si="211"/>
        <v>50</v>
      </c>
      <c r="F766">
        <f t="shared" si="199"/>
        <v>10544766</v>
      </c>
      <c r="G766">
        <f t="shared" si="200"/>
        <v>1054.4766</v>
      </c>
      <c r="H766">
        <f t="shared" si="205"/>
        <v>50000000</v>
      </c>
      <c r="I766">
        <f t="shared" si="203"/>
        <v>24000000</v>
      </c>
      <c r="K766">
        <f t="shared" si="206"/>
        <v>53048342</v>
      </c>
      <c r="L766">
        <f t="shared" si="208"/>
        <v>0.942536526400769</v>
      </c>
      <c r="M766">
        <f t="shared" si="201"/>
        <v>23408437</v>
      </c>
      <c r="N766">
        <f t="shared" si="209"/>
        <v>82027244</v>
      </c>
      <c r="O766">
        <f t="shared" si="212"/>
        <v>0.371755559121104</v>
      </c>
    </row>
    <row r="767" ht="13.9" spans="1:15">
      <c r="A767" s="42" t="s">
        <v>570</v>
      </c>
      <c r="B767" s="11">
        <v>24224306</v>
      </c>
      <c r="C767" s="11">
        <v>2675090</v>
      </c>
      <c r="D767" s="11">
        <v>40</v>
      </c>
      <c r="E767">
        <f t="shared" si="211"/>
        <v>40</v>
      </c>
      <c r="F767">
        <f t="shared" si="199"/>
        <v>12112153</v>
      </c>
      <c r="G767">
        <f t="shared" si="200"/>
        <v>1211.2153</v>
      </c>
      <c r="H767">
        <f t="shared" si="205"/>
        <v>40000000</v>
      </c>
      <c r="I767">
        <f t="shared" si="203"/>
        <v>19200000</v>
      </c>
      <c r="K767">
        <f t="shared" si="206"/>
        <v>28824036</v>
      </c>
      <c r="L767">
        <f t="shared" si="208"/>
        <v>0</v>
      </c>
      <c r="M767">
        <f t="shared" si="201"/>
        <v>26899396</v>
      </c>
      <c r="N767">
        <f t="shared" si="209"/>
        <v>58618807</v>
      </c>
      <c r="O767">
        <f t="shared" si="212"/>
        <v>0</v>
      </c>
    </row>
    <row r="768" ht="13.9" spans="1:15">
      <c r="A768" s="42" t="s">
        <v>571</v>
      </c>
      <c r="B768" s="11">
        <v>28824036</v>
      </c>
      <c r="C768" s="11">
        <v>2895375</v>
      </c>
      <c r="D768" s="11">
        <v>150.4</v>
      </c>
      <c r="E768">
        <f t="shared" si="211"/>
        <v>150.4</v>
      </c>
      <c r="F768">
        <f t="shared" si="199"/>
        <v>14412018</v>
      </c>
      <c r="G768">
        <f t="shared" si="200"/>
        <v>1441.2018</v>
      </c>
      <c r="H768">
        <f t="shared" si="205"/>
        <v>150400000</v>
      </c>
      <c r="I768">
        <f t="shared" si="203"/>
        <v>72192000</v>
      </c>
      <c r="K768">
        <f t="shared" si="206"/>
        <v>265026560</v>
      </c>
      <c r="L768">
        <f t="shared" ref="L768:L798" si="213">IF(E768&gt;E769,H768/K768,0)</f>
        <v>0.567490292293723</v>
      </c>
      <c r="M768">
        <f t="shared" si="201"/>
        <v>31719411</v>
      </c>
      <c r="N768">
        <f t="shared" si="209"/>
        <v>324179839</v>
      </c>
      <c r="O768">
        <f t="shared" si="212"/>
        <v>0.384022860708947</v>
      </c>
    </row>
    <row r="769" ht="13.9" spans="1:15">
      <c r="A769" s="42" t="s">
        <v>572</v>
      </c>
      <c r="B769" s="11">
        <v>31639224</v>
      </c>
      <c r="C769" s="11">
        <v>3254532</v>
      </c>
      <c r="D769" s="11">
        <v>137</v>
      </c>
      <c r="E769">
        <f t="shared" si="211"/>
        <v>137</v>
      </c>
      <c r="F769">
        <f t="shared" si="199"/>
        <v>15819612</v>
      </c>
      <c r="G769">
        <f t="shared" si="200"/>
        <v>1581.9612</v>
      </c>
      <c r="H769">
        <f t="shared" si="205"/>
        <v>137000000</v>
      </c>
      <c r="I769">
        <f t="shared" si="203"/>
        <v>65760000</v>
      </c>
      <c r="K769">
        <f t="shared" si="206"/>
        <v>233387336</v>
      </c>
      <c r="L769">
        <f t="shared" si="213"/>
        <v>0.587007000242721</v>
      </c>
      <c r="M769">
        <f t="shared" si="201"/>
        <v>34893756</v>
      </c>
      <c r="N769">
        <f t="shared" si="209"/>
        <v>292460428</v>
      </c>
      <c r="O769">
        <f t="shared" si="212"/>
        <v>0.525295679088465</v>
      </c>
    </row>
    <row r="770" ht="13.9" spans="1:15">
      <c r="A770" s="42" t="s">
        <v>573</v>
      </c>
      <c r="B770" s="11">
        <v>27631664</v>
      </c>
      <c r="C770" s="11">
        <v>2827372</v>
      </c>
      <c r="D770" s="11">
        <v>121</v>
      </c>
      <c r="E770">
        <f t="shared" si="211"/>
        <v>121</v>
      </c>
      <c r="F770">
        <f t="shared" si="199"/>
        <v>13815832</v>
      </c>
      <c r="G770">
        <f t="shared" si="200"/>
        <v>1381.5832</v>
      </c>
      <c r="H770">
        <f t="shared" si="205"/>
        <v>121000000</v>
      </c>
      <c r="I770">
        <f t="shared" si="203"/>
        <v>58080000</v>
      </c>
      <c r="K770">
        <f t="shared" si="206"/>
        <v>205755672</v>
      </c>
      <c r="L770">
        <f t="shared" si="213"/>
        <v>0.588076133327688</v>
      </c>
      <c r="M770">
        <f t="shared" si="201"/>
        <v>30459036</v>
      </c>
      <c r="N770">
        <f t="shared" si="209"/>
        <v>257566672</v>
      </c>
      <c r="O770">
        <f t="shared" si="212"/>
        <v>0.490228144518644</v>
      </c>
    </row>
    <row r="771" ht="13.85" spans="1:15">
      <c r="A771" s="43">
        <v>38978</v>
      </c>
      <c r="B771" s="11">
        <v>29527152</v>
      </c>
      <c r="C771" s="11">
        <v>3110713</v>
      </c>
      <c r="D771" s="11">
        <v>105</v>
      </c>
      <c r="E771">
        <f t="shared" si="211"/>
        <v>105</v>
      </c>
      <c r="F771">
        <f t="shared" si="199"/>
        <v>14763576</v>
      </c>
      <c r="G771">
        <f t="shared" si="200"/>
        <v>1476.3576</v>
      </c>
      <c r="H771">
        <f t="shared" si="205"/>
        <v>105000000</v>
      </c>
      <c r="I771">
        <f t="shared" si="203"/>
        <v>50400000</v>
      </c>
      <c r="K771">
        <f t="shared" si="206"/>
        <v>176228520</v>
      </c>
      <c r="L771">
        <f t="shared" si="213"/>
        <v>0.595817294499211</v>
      </c>
      <c r="M771">
        <f t="shared" si="201"/>
        <v>32637865</v>
      </c>
      <c r="N771">
        <f t="shared" si="209"/>
        <v>227107636</v>
      </c>
      <c r="O771">
        <f t="shared" si="212"/>
        <v>0.662360781883049</v>
      </c>
    </row>
    <row r="772" ht="13.85" spans="1:15">
      <c r="A772" s="43">
        <v>38886</v>
      </c>
      <c r="B772" s="11">
        <v>24522080</v>
      </c>
      <c r="C772" s="11">
        <v>2653442</v>
      </c>
      <c r="D772" s="11">
        <v>87</v>
      </c>
      <c r="E772">
        <f t="shared" si="211"/>
        <v>87</v>
      </c>
      <c r="F772">
        <f t="shared" ref="F772:F835" si="214">B772/2</f>
        <v>12261040</v>
      </c>
      <c r="G772">
        <f t="shared" ref="G772:G835" si="215">F772/10000</f>
        <v>1226.104</v>
      </c>
      <c r="H772">
        <f t="shared" si="205"/>
        <v>87000000</v>
      </c>
      <c r="I772">
        <f t="shared" si="203"/>
        <v>41760000</v>
      </c>
      <c r="K772">
        <f t="shared" si="206"/>
        <v>151706440</v>
      </c>
      <c r="L772">
        <f t="shared" si="213"/>
        <v>0.573475984275948</v>
      </c>
      <c r="M772">
        <f t="shared" si="201"/>
        <v>27175522</v>
      </c>
      <c r="N772">
        <f t="shared" si="209"/>
        <v>194469771</v>
      </c>
      <c r="O772">
        <f t="shared" si="212"/>
        <v>0.427496819012612</v>
      </c>
    </row>
    <row r="773" ht="13.85" spans="1:15">
      <c r="A773" s="43">
        <v>38766</v>
      </c>
      <c r="B773" s="11">
        <v>27371306</v>
      </c>
      <c r="C773" s="11">
        <v>3038277</v>
      </c>
      <c r="D773" s="11">
        <v>74</v>
      </c>
      <c r="E773">
        <f t="shared" si="211"/>
        <v>74</v>
      </c>
      <c r="F773">
        <f t="shared" si="214"/>
        <v>13685653</v>
      </c>
      <c r="G773">
        <f t="shared" si="215"/>
        <v>1368.5653</v>
      </c>
      <c r="H773">
        <f t="shared" si="205"/>
        <v>74000000</v>
      </c>
      <c r="I773">
        <f t="shared" si="203"/>
        <v>35520000</v>
      </c>
      <c r="K773">
        <f t="shared" si="206"/>
        <v>124335134</v>
      </c>
      <c r="L773">
        <f t="shared" si="213"/>
        <v>0.595165643204277</v>
      </c>
      <c r="M773">
        <f t="shared" si="201"/>
        <v>30409583</v>
      </c>
      <c r="N773">
        <f t="shared" si="209"/>
        <v>167294249</v>
      </c>
      <c r="O773">
        <f t="shared" si="212"/>
        <v>0.569529736042494</v>
      </c>
    </row>
    <row r="774" ht="13.9" spans="1:15">
      <c r="A774" s="42" t="s">
        <v>574</v>
      </c>
      <c r="B774" s="11">
        <v>22131814</v>
      </c>
      <c r="C774" s="11">
        <v>2449870</v>
      </c>
      <c r="D774" s="11">
        <v>60</v>
      </c>
      <c r="E774">
        <f t="shared" si="211"/>
        <v>60</v>
      </c>
      <c r="F774">
        <f t="shared" si="214"/>
        <v>11065907</v>
      </c>
      <c r="G774">
        <f t="shared" si="215"/>
        <v>1106.5907</v>
      </c>
      <c r="H774">
        <f t="shared" si="205"/>
        <v>60000000</v>
      </c>
      <c r="I774">
        <f t="shared" si="203"/>
        <v>28800000</v>
      </c>
      <c r="K774">
        <f t="shared" si="206"/>
        <v>102203320</v>
      </c>
      <c r="L774">
        <f t="shared" si="213"/>
        <v>0.587065077729373</v>
      </c>
      <c r="M774">
        <f t="shared" si="201"/>
        <v>24581684</v>
      </c>
      <c r="N774">
        <f t="shared" si="209"/>
        <v>136884666</v>
      </c>
      <c r="O774">
        <f t="shared" si="212"/>
        <v>0.34943112438235</v>
      </c>
    </row>
    <row r="775" ht="13.9" spans="1:15">
      <c r="A775" s="42" t="s">
        <v>575</v>
      </c>
      <c r="B775" s="11">
        <v>25745054</v>
      </c>
      <c r="C775" s="11">
        <v>2872889</v>
      </c>
      <c r="D775" s="11">
        <v>50</v>
      </c>
      <c r="E775">
        <f t="shared" si="211"/>
        <v>50</v>
      </c>
      <c r="F775">
        <f t="shared" si="214"/>
        <v>12872527</v>
      </c>
      <c r="G775">
        <f t="shared" si="215"/>
        <v>1287.2527</v>
      </c>
      <c r="H775">
        <f t="shared" si="205"/>
        <v>50000000</v>
      </c>
      <c r="I775">
        <f t="shared" si="203"/>
        <v>24000000</v>
      </c>
      <c r="K775">
        <f t="shared" si="206"/>
        <v>76458266</v>
      </c>
      <c r="L775">
        <f t="shared" si="213"/>
        <v>0.653951529583472</v>
      </c>
      <c r="M775">
        <f t="shared" ref="M775:M838" si="216">B775+C775</f>
        <v>28617943</v>
      </c>
      <c r="N775">
        <f t="shared" si="209"/>
        <v>112302982</v>
      </c>
      <c r="O775">
        <f t="shared" si="212"/>
        <v>0.393346960969912</v>
      </c>
    </row>
    <row r="776" ht="13.9" spans="1:15">
      <c r="A776" s="42" t="s">
        <v>576</v>
      </c>
      <c r="B776" s="11">
        <v>22910442</v>
      </c>
      <c r="C776" s="11">
        <v>2512406</v>
      </c>
      <c r="D776" s="11">
        <v>40</v>
      </c>
      <c r="E776">
        <f t="shared" si="211"/>
        <v>40</v>
      </c>
      <c r="F776">
        <f t="shared" si="214"/>
        <v>11455221</v>
      </c>
      <c r="G776">
        <f t="shared" si="215"/>
        <v>1145.5221</v>
      </c>
      <c r="H776">
        <f t="shared" si="205"/>
        <v>40000000</v>
      </c>
      <c r="I776">
        <f t="shared" si="203"/>
        <v>19200000</v>
      </c>
      <c r="K776">
        <f t="shared" si="206"/>
        <v>53547824</v>
      </c>
      <c r="L776">
        <f t="shared" si="213"/>
        <v>0</v>
      </c>
      <c r="M776">
        <f t="shared" si="216"/>
        <v>25422848</v>
      </c>
      <c r="N776">
        <f t="shared" si="209"/>
        <v>83685039</v>
      </c>
      <c r="O776">
        <f t="shared" ref="O776:O808" si="217">IF(H776&gt;H777,(H776-H777)/M777,0)</f>
        <v>0</v>
      </c>
    </row>
    <row r="777" ht="13.9" spans="1:15">
      <c r="A777" s="42" t="s">
        <v>577</v>
      </c>
      <c r="B777" s="11">
        <v>53547824</v>
      </c>
      <c r="C777" s="11">
        <v>4714367</v>
      </c>
      <c r="D777" s="27">
        <v>315</v>
      </c>
      <c r="E777">
        <f t="shared" si="211"/>
        <v>315</v>
      </c>
      <c r="F777">
        <f t="shared" si="214"/>
        <v>26773912</v>
      </c>
      <c r="G777">
        <f t="shared" si="215"/>
        <v>2677.3912</v>
      </c>
      <c r="H777">
        <f t="shared" si="205"/>
        <v>315000000</v>
      </c>
      <c r="I777">
        <f t="shared" si="203"/>
        <v>151200000</v>
      </c>
      <c r="K777">
        <f t="shared" si="206"/>
        <v>533642752</v>
      </c>
      <c r="L777">
        <f t="shared" si="213"/>
        <v>0.590282541680619</v>
      </c>
      <c r="M777">
        <f t="shared" si="216"/>
        <v>58262191</v>
      </c>
      <c r="N777">
        <f t="shared" si="209"/>
        <v>644360456</v>
      </c>
      <c r="O777">
        <f t="shared" si="217"/>
        <v>0.736648467520727</v>
      </c>
    </row>
    <row r="778" ht="13.9" spans="1:15">
      <c r="A778" s="42" t="s">
        <v>578</v>
      </c>
      <c r="B778" s="11">
        <v>43653326</v>
      </c>
      <c r="C778" s="11">
        <v>3859160</v>
      </c>
      <c r="D778" s="11">
        <v>280</v>
      </c>
      <c r="E778">
        <f t="shared" ref="E778:E800" si="218">IF(RIGHT(D778,1)="B",VALUE(LEFT(D778,LEN(D778)-1))*1000,D778)</f>
        <v>280</v>
      </c>
      <c r="F778">
        <f t="shared" si="214"/>
        <v>21826663</v>
      </c>
      <c r="G778">
        <f t="shared" si="215"/>
        <v>2182.6663</v>
      </c>
      <c r="H778">
        <f t="shared" si="205"/>
        <v>280000000</v>
      </c>
      <c r="I778">
        <f t="shared" si="203"/>
        <v>134400000</v>
      </c>
      <c r="K778">
        <f t="shared" si="206"/>
        <v>489989426</v>
      </c>
      <c r="L778">
        <f t="shared" si="213"/>
        <v>0.571440902890015</v>
      </c>
      <c r="M778">
        <f t="shared" si="216"/>
        <v>47512486</v>
      </c>
      <c r="N778">
        <f t="shared" si="209"/>
        <v>586098265</v>
      </c>
      <c r="O778">
        <f t="shared" si="217"/>
        <v>0.458970428355704</v>
      </c>
    </row>
    <row r="779" ht="13.85" spans="1:15">
      <c r="A779" s="43">
        <v>38704</v>
      </c>
      <c r="B779" s="11">
        <v>45947538</v>
      </c>
      <c r="C779" s="11">
        <v>4164623</v>
      </c>
      <c r="D779" s="11">
        <v>257</v>
      </c>
      <c r="E779">
        <f t="shared" si="218"/>
        <v>257</v>
      </c>
      <c r="F779">
        <f t="shared" si="214"/>
        <v>22973769</v>
      </c>
      <c r="G779">
        <f t="shared" si="215"/>
        <v>2297.3769</v>
      </c>
      <c r="H779">
        <f t="shared" si="205"/>
        <v>257000000</v>
      </c>
      <c r="I779">
        <f t="shared" ref="I779:I842" si="219">H779*0.48</f>
        <v>123360000</v>
      </c>
      <c r="K779">
        <f t="shared" si="206"/>
        <v>444041888</v>
      </c>
      <c r="L779">
        <f t="shared" si="213"/>
        <v>0.578774225912669</v>
      </c>
      <c r="M779">
        <f t="shared" si="216"/>
        <v>50112161</v>
      </c>
      <c r="N779">
        <f t="shared" si="209"/>
        <v>538585779</v>
      </c>
      <c r="O779">
        <f t="shared" si="217"/>
        <v>0.543642264543665</v>
      </c>
    </row>
    <row r="780" ht="13.85" spans="1:15">
      <c r="A780" s="43">
        <v>38613</v>
      </c>
      <c r="B780" s="11">
        <v>40479512</v>
      </c>
      <c r="C780" s="11">
        <v>3667166</v>
      </c>
      <c r="D780" s="11">
        <v>233</v>
      </c>
      <c r="E780">
        <f t="shared" si="218"/>
        <v>233</v>
      </c>
      <c r="F780">
        <f t="shared" si="214"/>
        <v>20239756</v>
      </c>
      <c r="G780">
        <f t="shared" si="215"/>
        <v>2023.9756</v>
      </c>
      <c r="H780">
        <f t="shared" si="205"/>
        <v>233000000</v>
      </c>
      <c r="I780">
        <f t="shared" si="219"/>
        <v>111840000</v>
      </c>
      <c r="K780">
        <f t="shared" si="206"/>
        <v>403562376</v>
      </c>
      <c r="L780">
        <f t="shared" si="213"/>
        <v>0.577358083549394</v>
      </c>
      <c r="M780">
        <f t="shared" si="216"/>
        <v>44146678</v>
      </c>
      <c r="N780">
        <f t="shared" si="209"/>
        <v>488473618</v>
      </c>
      <c r="O780">
        <f t="shared" si="217"/>
        <v>0.404963265782161</v>
      </c>
    </row>
    <row r="781" ht="13.85" spans="1:15">
      <c r="A781" s="43">
        <v>38490</v>
      </c>
      <c r="B781" s="11">
        <v>40602162</v>
      </c>
      <c r="C781" s="11">
        <v>3846314</v>
      </c>
      <c r="D781" s="11">
        <v>215</v>
      </c>
      <c r="E781">
        <f t="shared" si="218"/>
        <v>215</v>
      </c>
      <c r="F781">
        <f t="shared" si="214"/>
        <v>20301081</v>
      </c>
      <c r="G781">
        <f t="shared" si="215"/>
        <v>2030.1081</v>
      </c>
      <c r="H781">
        <f t="shared" si="205"/>
        <v>215000000</v>
      </c>
      <c r="I781">
        <f t="shared" si="219"/>
        <v>103200000</v>
      </c>
      <c r="K781">
        <f t="shared" si="206"/>
        <v>362960214</v>
      </c>
      <c r="L781">
        <f t="shared" si="213"/>
        <v>0.592351425051783</v>
      </c>
      <c r="M781">
        <f t="shared" si="216"/>
        <v>44448476</v>
      </c>
      <c r="N781">
        <f t="shared" si="209"/>
        <v>444326940</v>
      </c>
      <c r="O781">
        <f t="shared" si="217"/>
        <v>0.530272599886787</v>
      </c>
    </row>
    <row r="782" ht="13.85" spans="1:15">
      <c r="A782" s="43">
        <v>38401</v>
      </c>
      <c r="B782" s="11">
        <v>34439020</v>
      </c>
      <c r="C782" s="11">
        <v>3277430</v>
      </c>
      <c r="D782" s="11">
        <v>195</v>
      </c>
      <c r="E782">
        <f t="shared" si="218"/>
        <v>195</v>
      </c>
      <c r="F782">
        <f t="shared" si="214"/>
        <v>17219510</v>
      </c>
      <c r="G782">
        <f t="shared" si="215"/>
        <v>1721.951</v>
      </c>
      <c r="H782">
        <f t="shared" si="205"/>
        <v>195000000</v>
      </c>
      <c r="I782">
        <f t="shared" si="219"/>
        <v>93600000</v>
      </c>
      <c r="K782">
        <f t="shared" si="206"/>
        <v>328521194</v>
      </c>
      <c r="L782">
        <f t="shared" si="213"/>
        <v>0.593569010345189</v>
      </c>
      <c r="M782">
        <f t="shared" si="216"/>
        <v>37716450</v>
      </c>
      <c r="N782">
        <f t="shared" si="209"/>
        <v>399878464</v>
      </c>
      <c r="O782">
        <f t="shared" si="217"/>
        <v>0.453120539201358</v>
      </c>
    </row>
    <row r="783" ht="13.9" spans="1:15">
      <c r="A783" s="42" t="s">
        <v>579</v>
      </c>
      <c r="B783" s="11">
        <v>36210458</v>
      </c>
      <c r="C783" s="11">
        <v>3514071</v>
      </c>
      <c r="D783" s="11">
        <v>177</v>
      </c>
      <c r="E783">
        <f t="shared" si="218"/>
        <v>177</v>
      </c>
      <c r="F783">
        <f t="shared" si="214"/>
        <v>18105229</v>
      </c>
      <c r="G783">
        <f t="shared" si="215"/>
        <v>1810.5229</v>
      </c>
      <c r="H783">
        <f t="shared" si="205"/>
        <v>177000000</v>
      </c>
      <c r="I783">
        <f t="shared" si="219"/>
        <v>84960000</v>
      </c>
      <c r="K783">
        <f t="shared" si="206"/>
        <v>292310736</v>
      </c>
      <c r="L783">
        <f t="shared" si="213"/>
        <v>0.605520010732688</v>
      </c>
      <c r="M783">
        <f t="shared" si="216"/>
        <v>39724529</v>
      </c>
      <c r="N783">
        <f t="shared" si="209"/>
        <v>362162014</v>
      </c>
      <c r="O783">
        <f t="shared" si="217"/>
        <v>0.543004498763693</v>
      </c>
    </row>
    <row r="784" ht="13.9" spans="1:15">
      <c r="A784" s="42" t="s">
        <v>580</v>
      </c>
      <c r="B784" s="11">
        <v>31911952</v>
      </c>
      <c r="C784" s="11">
        <v>3078550</v>
      </c>
      <c r="D784" s="11">
        <v>158</v>
      </c>
      <c r="E784">
        <f t="shared" si="218"/>
        <v>158</v>
      </c>
      <c r="F784">
        <f t="shared" si="214"/>
        <v>15955976</v>
      </c>
      <c r="G784">
        <f t="shared" si="215"/>
        <v>1595.5976</v>
      </c>
      <c r="H784">
        <f t="shared" ref="H784:H847" si="220">E784*1000000</f>
        <v>158000000</v>
      </c>
      <c r="I784">
        <f t="shared" si="219"/>
        <v>75840000</v>
      </c>
      <c r="K784">
        <f t="shared" si="206"/>
        <v>260398784</v>
      </c>
      <c r="L784">
        <f t="shared" si="213"/>
        <v>0.606761665983817</v>
      </c>
      <c r="M784">
        <f t="shared" si="216"/>
        <v>34990502</v>
      </c>
      <c r="N784">
        <f t="shared" si="209"/>
        <v>322437485</v>
      </c>
      <c r="O784">
        <f t="shared" si="217"/>
        <v>0.420766311176989</v>
      </c>
    </row>
    <row r="785" ht="13.9" spans="1:15">
      <c r="A785" s="42" t="s">
        <v>581</v>
      </c>
      <c r="B785" s="11">
        <v>34586912</v>
      </c>
      <c r="C785" s="11">
        <v>3438946</v>
      </c>
      <c r="D785" s="11">
        <v>142</v>
      </c>
      <c r="E785">
        <f t="shared" si="218"/>
        <v>142</v>
      </c>
      <c r="F785">
        <f t="shared" si="214"/>
        <v>17293456</v>
      </c>
      <c r="G785">
        <f t="shared" si="215"/>
        <v>1729.3456</v>
      </c>
      <c r="H785">
        <f t="shared" si="220"/>
        <v>142000000</v>
      </c>
      <c r="I785">
        <f t="shared" si="219"/>
        <v>68160000</v>
      </c>
      <c r="K785">
        <f t="shared" ref="K785:K848" si="221">IF(E785&gt;E786,B786+K786,B786)</f>
        <v>225811872</v>
      </c>
      <c r="L785">
        <f t="shared" si="213"/>
        <v>0.62884204777329</v>
      </c>
      <c r="M785">
        <f t="shared" si="216"/>
        <v>38025858</v>
      </c>
      <c r="N785">
        <f t="shared" si="209"/>
        <v>287446983</v>
      </c>
      <c r="O785">
        <f t="shared" si="217"/>
        <v>0.610437591577084</v>
      </c>
    </row>
    <row r="786" ht="13.9" spans="1:15">
      <c r="A786" s="42" t="s">
        <v>582</v>
      </c>
      <c r="B786" s="11">
        <v>29848500</v>
      </c>
      <c r="C786" s="11">
        <v>2914882</v>
      </c>
      <c r="D786" s="11">
        <v>122</v>
      </c>
      <c r="E786">
        <f t="shared" si="218"/>
        <v>122</v>
      </c>
      <c r="F786">
        <f t="shared" si="214"/>
        <v>14924250</v>
      </c>
      <c r="G786">
        <f t="shared" si="215"/>
        <v>1492.425</v>
      </c>
      <c r="H786">
        <f t="shared" si="220"/>
        <v>122000000</v>
      </c>
      <c r="I786">
        <f t="shared" si="219"/>
        <v>58560000</v>
      </c>
      <c r="K786">
        <f t="shared" si="221"/>
        <v>195963372</v>
      </c>
      <c r="L786">
        <f t="shared" si="213"/>
        <v>0.622565323074763</v>
      </c>
      <c r="M786">
        <f t="shared" si="216"/>
        <v>32763382</v>
      </c>
      <c r="N786">
        <f t="shared" si="209"/>
        <v>249421125</v>
      </c>
      <c r="O786">
        <f t="shared" si="217"/>
        <v>0.447476808325798</v>
      </c>
    </row>
    <row r="787" ht="13.9" spans="1:15">
      <c r="A787" s="42" t="s">
        <v>583</v>
      </c>
      <c r="B787" s="11">
        <v>32426648</v>
      </c>
      <c r="C787" s="11">
        <v>3329395</v>
      </c>
      <c r="D787" s="11">
        <v>106</v>
      </c>
      <c r="E787">
        <f t="shared" si="218"/>
        <v>106</v>
      </c>
      <c r="F787">
        <f t="shared" si="214"/>
        <v>16213324</v>
      </c>
      <c r="G787">
        <f t="shared" si="215"/>
        <v>1621.3324</v>
      </c>
      <c r="H787">
        <f t="shared" si="220"/>
        <v>106000000</v>
      </c>
      <c r="I787">
        <f t="shared" si="219"/>
        <v>50880000</v>
      </c>
      <c r="K787">
        <f t="shared" si="221"/>
        <v>163536724</v>
      </c>
      <c r="L787">
        <f t="shared" si="213"/>
        <v>0.648172455747615</v>
      </c>
      <c r="M787">
        <f t="shared" si="216"/>
        <v>35756043</v>
      </c>
      <c r="N787">
        <f t="shared" si="209"/>
        <v>216657743</v>
      </c>
      <c r="O787">
        <f t="shared" si="217"/>
        <v>0.589285772471494</v>
      </c>
    </row>
    <row r="788" ht="13.85" spans="1:15">
      <c r="A788" s="43">
        <v>38309</v>
      </c>
      <c r="B788" s="11">
        <v>26108290</v>
      </c>
      <c r="C788" s="11">
        <v>2740192</v>
      </c>
      <c r="D788" s="11">
        <v>89</v>
      </c>
      <c r="E788">
        <f t="shared" si="218"/>
        <v>89</v>
      </c>
      <c r="F788">
        <f t="shared" si="214"/>
        <v>13054145</v>
      </c>
      <c r="G788">
        <f t="shared" si="215"/>
        <v>1305.4145</v>
      </c>
      <c r="H788">
        <f t="shared" si="220"/>
        <v>89000000</v>
      </c>
      <c r="I788">
        <f t="shared" si="219"/>
        <v>42720000</v>
      </c>
      <c r="K788">
        <f t="shared" si="221"/>
        <v>137428434</v>
      </c>
      <c r="L788">
        <f t="shared" si="213"/>
        <v>0.647609795218943</v>
      </c>
      <c r="M788">
        <f t="shared" si="216"/>
        <v>28848482</v>
      </c>
      <c r="N788">
        <f t="shared" si="209"/>
        <v>180901700</v>
      </c>
      <c r="O788">
        <f t="shared" si="217"/>
        <v>0.473347356616932</v>
      </c>
    </row>
    <row r="789" ht="13.85" spans="1:15">
      <c r="A789" s="43">
        <v>38186</v>
      </c>
      <c r="B789" s="11">
        <v>28615434</v>
      </c>
      <c r="C789" s="11">
        <v>3073768</v>
      </c>
      <c r="D789" s="11">
        <v>74</v>
      </c>
      <c r="E789">
        <f t="shared" si="218"/>
        <v>74</v>
      </c>
      <c r="F789">
        <f t="shared" si="214"/>
        <v>14307717</v>
      </c>
      <c r="G789">
        <f t="shared" si="215"/>
        <v>1430.7717</v>
      </c>
      <c r="H789">
        <f t="shared" si="220"/>
        <v>74000000</v>
      </c>
      <c r="I789">
        <f t="shared" si="219"/>
        <v>35520000</v>
      </c>
      <c r="K789">
        <f t="shared" si="221"/>
        <v>108813000</v>
      </c>
      <c r="L789">
        <f t="shared" si="213"/>
        <v>0.680065800961282</v>
      </c>
      <c r="M789">
        <f t="shared" si="216"/>
        <v>31689202</v>
      </c>
      <c r="N789">
        <f t="shared" si="209"/>
        <v>152053218</v>
      </c>
      <c r="O789">
        <f t="shared" si="217"/>
        <v>0.52992048391733</v>
      </c>
    </row>
    <row r="790" ht="13.85" spans="1:15">
      <c r="A790" s="43">
        <v>38095</v>
      </c>
      <c r="B790" s="11">
        <v>23836474</v>
      </c>
      <c r="C790" s="11">
        <v>2582584</v>
      </c>
      <c r="D790" s="11">
        <v>60</v>
      </c>
      <c r="E790">
        <f t="shared" si="218"/>
        <v>60</v>
      </c>
      <c r="F790">
        <f t="shared" si="214"/>
        <v>11918237</v>
      </c>
      <c r="G790">
        <f t="shared" si="215"/>
        <v>1191.8237</v>
      </c>
      <c r="H790">
        <f t="shared" si="220"/>
        <v>60000000</v>
      </c>
      <c r="I790">
        <f t="shared" si="219"/>
        <v>28800000</v>
      </c>
      <c r="K790">
        <f t="shared" si="221"/>
        <v>84976526</v>
      </c>
      <c r="L790">
        <f t="shared" si="213"/>
        <v>0.706077346583926</v>
      </c>
      <c r="M790">
        <f t="shared" si="216"/>
        <v>26419058</v>
      </c>
      <c r="N790">
        <f t="shared" si="209"/>
        <v>120364016</v>
      </c>
      <c r="O790">
        <f t="shared" si="217"/>
        <v>0.284546401593483</v>
      </c>
    </row>
    <row r="791" ht="13.9" spans="1:15">
      <c r="A791" s="42" t="s">
        <v>584</v>
      </c>
      <c r="B791" s="11">
        <v>31875956</v>
      </c>
      <c r="C791" s="11">
        <v>3267697</v>
      </c>
      <c r="D791" s="11">
        <v>50</v>
      </c>
      <c r="E791">
        <f t="shared" si="218"/>
        <v>50</v>
      </c>
      <c r="F791">
        <f t="shared" si="214"/>
        <v>15937978</v>
      </c>
      <c r="G791">
        <f t="shared" si="215"/>
        <v>1593.7978</v>
      </c>
      <c r="H791">
        <f t="shared" si="220"/>
        <v>50000000</v>
      </c>
      <c r="I791">
        <f t="shared" si="219"/>
        <v>24000000</v>
      </c>
      <c r="K791">
        <f t="shared" si="221"/>
        <v>53100570</v>
      </c>
      <c r="L791">
        <f t="shared" si="213"/>
        <v>0.941609478015019</v>
      </c>
      <c r="M791">
        <f t="shared" si="216"/>
        <v>35143653</v>
      </c>
      <c r="N791">
        <f t="shared" si="209"/>
        <v>93944958</v>
      </c>
      <c r="O791">
        <f t="shared" si="217"/>
        <v>0.362945789981273</v>
      </c>
    </row>
    <row r="792" ht="13.9" spans="1:15">
      <c r="A792" s="42" t="s">
        <v>585</v>
      </c>
      <c r="B792" s="11">
        <v>24894038</v>
      </c>
      <c r="C792" s="11">
        <v>2658286</v>
      </c>
      <c r="D792" s="11">
        <v>40</v>
      </c>
      <c r="E792">
        <f t="shared" si="218"/>
        <v>40</v>
      </c>
      <c r="F792">
        <f t="shared" si="214"/>
        <v>12447019</v>
      </c>
      <c r="G792">
        <f t="shared" si="215"/>
        <v>1244.7019</v>
      </c>
      <c r="H792">
        <f t="shared" si="220"/>
        <v>40000000</v>
      </c>
      <c r="I792">
        <f t="shared" si="219"/>
        <v>19200000</v>
      </c>
      <c r="K792">
        <f t="shared" si="221"/>
        <v>28206532</v>
      </c>
      <c r="L792">
        <f t="shared" si="213"/>
        <v>0</v>
      </c>
      <c r="M792">
        <f t="shared" si="216"/>
        <v>27552324</v>
      </c>
      <c r="N792">
        <f t="shared" si="209"/>
        <v>58801305</v>
      </c>
      <c r="O792">
        <f t="shared" si="217"/>
        <v>0</v>
      </c>
    </row>
    <row r="793" ht="13.9" spans="1:15">
      <c r="A793" s="42" t="s">
        <v>586</v>
      </c>
      <c r="B793" s="11">
        <v>28206532</v>
      </c>
      <c r="C793" s="11">
        <v>3042449</v>
      </c>
      <c r="D793" s="11">
        <v>55.9</v>
      </c>
      <c r="E793">
        <f t="shared" si="218"/>
        <v>55.9</v>
      </c>
      <c r="F793">
        <f t="shared" si="214"/>
        <v>14103266</v>
      </c>
      <c r="G793">
        <f t="shared" si="215"/>
        <v>1410.3266</v>
      </c>
      <c r="H793">
        <f t="shared" si="220"/>
        <v>55900000</v>
      </c>
      <c r="I793">
        <f t="shared" si="219"/>
        <v>26832000</v>
      </c>
      <c r="K793">
        <f t="shared" si="221"/>
        <v>114264140</v>
      </c>
      <c r="L793">
        <f t="shared" si="213"/>
        <v>0.489217352005625</v>
      </c>
      <c r="M793">
        <f t="shared" si="216"/>
        <v>31248981</v>
      </c>
      <c r="N793">
        <f t="shared" si="209"/>
        <v>155324266</v>
      </c>
      <c r="O793">
        <f t="shared" si="217"/>
        <v>0.581871880375339</v>
      </c>
    </row>
    <row r="794" ht="13.9" spans="1:15">
      <c r="A794" s="42" t="s">
        <v>587</v>
      </c>
      <c r="B794" s="11">
        <v>24681712</v>
      </c>
      <c r="C794" s="11">
        <v>2643891</v>
      </c>
      <c r="D794" s="11">
        <v>40</v>
      </c>
      <c r="E794">
        <f t="shared" si="218"/>
        <v>40</v>
      </c>
      <c r="F794">
        <f t="shared" si="214"/>
        <v>12340856</v>
      </c>
      <c r="G794">
        <f t="shared" si="215"/>
        <v>1234.0856</v>
      </c>
      <c r="H794">
        <f t="shared" si="220"/>
        <v>40000000</v>
      </c>
      <c r="I794">
        <f t="shared" si="219"/>
        <v>19200000</v>
      </c>
      <c r="K794">
        <f t="shared" si="221"/>
        <v>89582428</v>
      </c>
      <c r="L794">
        <f t="shared" si="213"/>
        <v>0</v>
      </c>
      <c r="M794">
        <f t="shared" si="216"/>
        <v>27325603</v>
      </c>
      <c r="N794">
        <f t="shared" si="209"/>
        <v>124075285</v>
      </c>
      <c r="O794">
        <f t="shared" si="217"/>
        <v>0</v>
      </c>
    </row>
    <row r="795" ht="13.9" spans="1:15">
      <c r="A795" s="42" t="s">
        <v>588</v>
      </c>
      <c r="B795" s="11">
        <v>89582428</v>
      </c>
      <c r="C795" s="11">
        <v>7167254</v>
      </c>
      <c r="D795" s="27">
        <v>456.7</v>
      </c>
      <c r="E795">
        <f t="shared" si="218"/>
        <v>456.7</v>
      </c>
      <c r="F795">
        <f t="shared" si="214"/>
        <v>44791214</v>
      </c>
      <c r="G795">
        <f t="shared" si="215"/>
        <v>4479.1214</v>
      </c>
      <c r="H795">
        <f t="shared" si="220"/>
        <v>456700000</v>
      </c>
      <c r="I795">
        <f t="shared" si="219"/>
        <v>219216000</v>
      </c>
      <c r="K795">
        <f t="shared" si="221"/>
        <v>962441048</v>
      </c>
      <c r="L795">
        <f t="shared" si="213"/>
        <v>0.47452257044631</v>
      </c>
      <c r="M795">
        <f t="shared" si="216"/>
        <v>96749682</v>
      </c>
      <c r="N795">
        <f t="shared" si="209"/>
        <v>1144668469</v>
      </c>
      <c r="O795">
        <f t="shared" si="217"/>
        <v>0.468807389385503</v>
      </c>
    </row>
    <row r="796" ht="13.9" spans="1:15">
      <c r="A796" s="42" t="s">
        <v>589</v>
      </c>
      <c r="B796" s="11">
        <v>72492378</v>
      </c>
      <c r="C796" s="11">
        <v>5791371</v>
      </c>
      <c r="D796" s="11">
        <v>420</v>
      </c>
      <c r="E796">
        <f t="shared" si="218"/>
        <v>420</v>
      </c>
      <c r="F796">
        <f t="shared" si="214"/>
        <v>36246189</v>
      </c>
      <c r="G796">
        <f t="shared" si="215"/>
        <v>3624.6189</v>
      </c>
      <c r="H796">
        <f t="shared" si="220"/>
        <v>420000000</v>
      </c>
      <c r="I796">
        <f t="shared" si="219"/>
        <v>201600000</v>
      </c>
      <c r="K796">
        <f t="shared" si="221"/>
        <v>889948670</v>
      </c>
      <c r="L796">
        <f t="shared" si="213"/>
        <v>0.471937330947413</v>
      </c>
      <c r="M796">
        <f t="shared" si="216"/>
        <v>78283749</v>
      </c>
      <c r="N796">
        <f t="shared" si="209"/>
        <v>1047918787</v>
      </c>
      <c r="O796">
        <f t="shared" si="217"/>
        <v>0.510262650263968</v>
      </c>
    </row>
    <row r="797" ht="13.85" spans="1:15">
      <c r="A797" s="43">
        <v>37912</v>
      </c>
      <c r="B797" s="11">
        <v>63191186</v>
      </c>
      <c r="C797" s="11">
        <v>5400940</v>
      </c>
      <c r="D797" s="11">
        <v>385</v>
      </c>
      <c r="E797">
        <f t="shared" si="218"/>
        <v>385</v>
      </c>
      <c r="F797">
        <f t="shared" si="214"/>
        <v>31595593</v>
      </c>
      <c r="G797">
        <f t="shared" si="215"/>
        <v>3159.5593</v>
      </c>
      <c r="H797">
        <f t="shared" si="220"/>
        <v>385000000</v>
      </c>
      <c r="I797">
        <f t="shared" si="219"/>
        <v>184800000</v>
      </c>
      <c r="K797">
        <f t="shared" si="221"/>
        <v>826757484</v>
      </c>
      <c r="L797">
        <f t="shared" si="213"/>
        <v>0.465674647585047</v>
      </c>
      <c r="M797">
        <f t="shared" si="216"/>
        <v>68592126</v>
      </c>
      <c r="N797">
        <f t="shared" si="209"/>
        <v>969635038</v>
      </c>
      <c r="O797">
        <f t="shared" si="217"/>
        <v>0.62290057254327</v>
      </c>
    </row>
    <row r="798" ht="13.85" spans="1:15">
      <c r="A798" s="43">
        <v>37820</v>
      </c>
      <c r="B798" s="11">
        <v>54714824</v>
      </c>
      <c r="C798" s="11">
        <v>4684704</v>
      </c>
      <c r="D798" s="11">
        <v>348</v>
      </c>
      <c r="E798">
        <f t="shared" si="218"/>
        <v>348</v>
      </c>
      <c r="F798">
        <f t="shared" si="214"/>
        <v>27357412</v>
      </c>
      <c r="G798">
        <f t="shared" si="215"/>
        <v>2735.7412</v>
      </c>
      <c r="H798">
        <f t="shared" si="220"/>
        <v>348000000</v>
      </c>
      <c r="I798">
        <f t="shared" si="219"/>
        <v>167040000</v>
      </c>
      <c r="K798">
        <f t="shared" si="221"/>
        <v>772042660</v>
      </c>
      <c r="L798">
        <f t="shared" si="213"/>
        <v>0.450752293921168</v>
      </c>
      <c r="M798">
        <f t="shared" si="216"/>
        <v>59399528</v>
      </c>
      <c r="N798">
        <f t="shared" si="209"/>
        <v>901042912</v>
      </c>
      <c r="O798">
        <f t="shared" si="217"/>
        <v>0.446923349864642</v>
      </c>
    </row>
    <row r="799" ht="13.85" spans="1:15">
      <c r="A799" s="43">
        <v>37698</v>
      </c>
      <c r="B799" s="11">
        <v>55422738</v>
      </c>
      <c r="C799" s="11">
        <v>4990306</v>
      </c>
      <c r="D799" s="11">
        <v>321</v>
      </c>
      <c r="E799">
        <f t="shared" si="218"/>
        <v>321</v>
      </c>
      <c r="F799">
        <f t="shared" si="214"/>
        <v>27711369</v>
      </c>
      <c r="G799">
        <f t="shared" si="215"/>
        <v>2771.1369</v>
      </c>
      <c r="H799">
        <f t="shared" si="220"/>
        <v>321000000</v>
      </c>
      <c r="I799">
        <f t="shared" si="219"/>
        <v>154080000</v>
      </c>
      <c r="K799">
        <f t="shared" si="221"/>
        <v>716619922</v>
      </c>
      <c r="L799">
        <f t="shared" ref="L799:L830" si="222">IF(E799&gt;E800,H799/K799,0)</f>
        <v>0.447936193434488</v>
      </c>
      <c r="M799">
        <f t="shared" si="216"/>
        <v>60413044</v>
      </c>
      <c r="N799">
        <f t="shared" ref="N799:N862" si="223">IF(H799&lt;H800,M799+M800,M799+N800)</f>
        <v>841643384</v>
      </c>
      <c r="O799">
        <f t="shared" si="217"/>
        <v>0.562833234964825</v>
      </c>
    </row>
    <row r="800" ht="13.9" spans="1:15">
      <c r="A800" s="42" t="s">
        <v>590</v>
      </c>
      <c r="B800" s="11">
        <v>45712126</v>
      </c>
      <c r="C800" s="11">
        <v>4036180</v>
      </c>
      <c r="D800" s="11">
        <v>293</v>
      </c>
      <c r="E800">
        <f t="shared" si="218"/>
        <v>293</v>
      </c>
      <c r="F800">
        <f t="shared" si="214"/>
        <v>22856063</v>
      </c>
      <c r="G800">
        <f t="shared" si="215"/>
        <v>2285.6063</v>
      </c>
      <c r="H800">
        <f t="shared" si="220"/>
        <v>293000000</v>
      </c>
      <c r="I800">
        <f t="shared" si="219"/>
        <v>140640000</v>
      </c>
      <c r="K800">
        <f t="shared" si="221"/>
        <v>670907796</v>
      </c>
      <c r="L800">
        <f t="shared" si="222"/>
        <v>0.436721710117078</v>
      </c>
      <c r="M800">
        <f t="shared" si="216"/>
        <v>49748306</v>
      </c>
      <c r="N800">
        <f t="shared" si="223"/>
        <v>781230340</v>
      </c>
      <c r="O800">
        <f t="shared" si="217"/>
        <v>0.480288490084454</v>
      </c>
    </row>
    <row r="801" ht="13.9" spans="1:15">
      <c r="A801" s="42" t="s">
        <v>591</v>
      </c>
      <c r="B801" s="11">
        <v>45733736</v>
      </c>
      <c r="C801" s="11">
        <v>4236231</v>
      </c>
      <c r="D801" s="11">
        <v>269</v>
      </c>
      <c r="E801">
        <f t="shared" ref="E801:E817" si="224">IF(RIGHT(D801,1)="B",VALUE(LEFT(D801,LEN(D801)-1))*1000,D801)</f>
        <v>269</v>
      </c>
      <c r="F801">
        <f t="shared" si="214"/>
        <v>22866868</v>
      </c>
      <c r="G801">
        <f t="shared" si="215"/>
        <v>2286.6868</v>
      </c>
      <c r="H801">
        <f t="shared" si="220"/>
        <v>269000000</v>
      </c>
      <c r="I801">
        <f t="shared" si="219"/>
        <v>129120000</v>
      </c>
      <c r="K801">
        <f t="shared" si="221"/>
        <v>625174060</v>
      </c>
      <c r="L801">
        <f t="shared" si="222"/>
        <v>0.430280168694139</v>
      </c>
      <c r="M801">
        <f t="shared" si="216"/>
        <v>49969967</v>
      </c>
      <c r="N801">
        <f t="shared" si="223"/>
        <v>731482034</v>
      </c>
      <c r="O801">
        <f t="shared" si="217"/>
        <v>0.537724092131776</v>
      </c>
    </row>
    <row r="802" ht="13.9" spans="1:15">
      <c r="A802" s="42" t="s">
        <v>592</v>
      </c>
      <c r="B802" s="11">
        <v>39219666</v>
      </c>
      <c r="C802" s="11">
        <v>3553199</v>
      </c>
      <c r="D802" s="11">
        <v>246</v>
      </c>
      <c r="E802">
        <f t="shared" si="224"/>
        <v>246</v>
      </c>
      <c r="F802">
        <f t="shared" si="214"/>
        <v>19609833</v>
      </c>
      <c r="G802">
        <f t="shared" si="215"/>
        <v>1960.9833</v>
      </c>
      <c r="H802">
        <f t="shared" si="220"/>
        <v>246000000</v>
      </c>
      <c r="I802">
        <f t="shared" si="219"/>
        <v>118080000</v>
      </c>
      <c r="K802">
        <f t="shared" si="221"/>
        <v>585954394</v>
      </c>
      <c r="L802">
        <f t="shared" si="222"/>
        <v>0.419827895342995</v>
      </c>
      <c r="M802">
        <f t="shared" si="216"/>
        <v>42772865</v>
      </c>
      <c r="N802">
        <f t="shared" si="223"/>
        <v>681512067</v>
      </c>
      <c r="O802">
        <f t="shared" si="217"/>
        <v>0.494957928145709</v>
      </c>
    </row>
    <row r="803" ht="13.9" spans="1:15">
      <c r="A803" s="42" t="s">
        <v>593</v>
      </c>
      <c r="B803" s="11">
        <v>42525078</v>
      </c>
      <c r="C803" s="11">
        <v>3943518</v>
      </c>
      <c r="D803" s="11">
        <v>223</v>
      </c>
      <c r="E803">
        <f t="shared" si="224"/>
        <v>223</v>
      </c>
      <c r="F803">
        <f t="shared" si="214"/>
        <v>21262539</v>
      </c>
      <c r="G803">
        <f t="shared" si="215"/>
        <v>2126.2539</v>
      </c>
      <c r="H803">
        <f t="shared" si="220"/>
        <v>223000000</v>
      </c>
      <c r="I803">
        <f t="shared" si="219"/>
        <v>107040000</v>
      </c>
      <c r="K803">
        <f t="shared" si="221"/>
        <v>543429316</v>
      </c>
      <c r="L803">
        <f t="shared" si="222"/>
        <v>0.410356956156557</v>
      </c>
      <c r="M803">
        <f t="shared" si="216"/>
        <v>46468596</v>
      </c>
      <c r="N803">
        <f t="shared" si="223"/>
        <v>638739202</v>
      </c>
      <c r="O803">
        <f t="shared" si="217"/>
        <v>0.493942279535223</v>
      </c>
    </row>
    <row r="804" ht="13.9" spans="1:15">
      <c r="A804" s="42" t="s">
        <v>594</v>
      </c>
      <c r="B804" s="11">
        <v>37030108</v>
      </c>
      <c r="C804" s="11">
        <v>3460453</v>
      </c>
      <c r="D804" s="11">
        <v>203</v>
      </c>
      <c r="E804">
        <f t="shared" si="224"/>
        <v>203</v>
      </c>
      <c r="F804">
        <f t="shared" si="214"/>
        <v>18515054</v>
      </c>
      <c r="G804">
        <f t="shared" si="215"/>
        <v>1851.5054</v>
      </c>
      <c r="H804">
        <f t="shared" si="220"/>
        <v>203000000</v>
      </c>
      <c r="I804">
        <f t="shared" si="219"/>
        <v>97440000</v>
      </c>
      <c r="K804">
        <f t="shared" si="221"/>
        <v>506399208</v>
      </c>
      <c r="L804">
        <f t="shared" si="222"/>
        <v>0.400869505309337</v>
      </c>
      <c r="M804">
        <f t="shared" si="216"/>
        <v>40490561</v>
      </c>
      <c r="N804">
        <f t="shared" si="223"/>
        <v>592270606</v>
      </c>
      <c r="O804">
        <f t="shared" si="217"/>
        <v>0.471818211323751</v>
      </c>
    </row>
    <row r="805" ht="13.85" spans="1:15">
      <c r="A805" s="43">
        <v>37547</v>
      </c>
      <c r="B805" s="11">
        <v>36681166</v>
      </c>
      <c r="C805" s="11">
        <v>3588581</v>
      </c>
      <c r="D805" s="11">
        <v>184</v>
      </c>
      <c r="E805">
        <f t="shared" si="224"/>
        <v>184</v>
      </c>
      <c r="F805">
        <f t="shared" si="214"/>
        <v>18340583</v>
      </c>
      <c r="G805">
        <f t="shared" si="215"/>
        <v>1834.0583</v>
      </c>
      <c r="H805">
        <f t="shared" si="220"/>
        <v>184000000</v>
      </c>
      <c r="I805">
        <f t="shared" si="219"/>
        <v>88320000</v>
      </c>
      <c r="K805">
        <f t="shared" si="221"/>
        <v>469718042</v>
      </c>
      <c r="L805">
        <f t="shared" si="222"/>
        <v>0.39172436131376</v>
      </c>
      <c r="M805">
        <f t="shared" si="216"/>
        <v>40269747</v>
      </c>
      <c r="N805">
        <f t="shared" si="223"/>
        <v>551780045</v>
      </c>
      <c r="O805">
        <f t="shared" si="217"/>
        <v>0.552518882696315</v>
      </c>
    </row>
    <row r="806" ht="13.85" spans="1:15">
      <c r="A806" s="43">
        <v>37455</v>
      </c>
      <c r="B806" s="11">
        <v>31305276</v>
      </c>
      <c r="C806" s="11">
        <v>3082689</v>
      </c>
      <c r="D806" s="11">
        <v>165</v>
      </c>
      <c r="E806">
        <f t="shared" si="224"/>
        <v>165</v>
      </c>
      <c r="F806">
        <f t="shared" si="214"/>
        <v>15652638</v>
      </c>
      <c r="G806">
        <f t="shared" si="215"/>
        <v>1565.2638</v>
      </c>
      <c r="H806">
        <f t="shared" si="220"/>
        <v>165000000</v>
      </c>
      <c r="I806">
        <f t="shared" si="219"/>
        <v>79200000</v>
      </c>
      <c r="K806">
        <f t="shared" si="221"/>
        <v>438412766</v>
      </c>
      <c r="L806">
        <f t="shared" si="222"/>
        <v>0.376357653782372</v>
      </c>
      <c r="M806">
        <f t="shared" si="216"/>
        <v>34387965</v>
      </c>
      <c r="N806">
        <f t="shared" si="223"/>
        <v>511510298</v>
      </c>
      <c r="O806">
        <f t="shared" si="217"/>
        <v>0.505711377873863</v>
      </c>
    </row>
    <row r="807" ht="13.85" spans="1:15">
      <c r="A807" s="43">
        <v>37333</v>
      </c>
      <c r="B807" s="11">
        <v>35875122</v>
      </c>
      <c r="C807" s="11">
        <v>3673128</v>
      </c>
      <c r="D807" s="11">
        <v>145</v>
      </c>
      <c r="E807">
        <f t="shared" si="224"/>
        <v>145</v>
      </c>
      <c r="F807">
        <f t="shared" si="214"/>
        <v>17937561</v>
      </c>
      <c r="G807">
        <f t="shared" si="215"/>
        <v>1793.7561</v>
      </c>
      <c r="H807">
        <f t="shared" si="220"/>
        <v>145000000</v>
      </c>
      <c r="I807">
        <f t="shared" si="219"/>
        <v>69600000</v>
      </c>
      <c r="K807">
        <f t="shared" si="221"/>
        <v>402537644</v>
      </c>
      <c r="L807">
        <f t="shared" si="222"/>
        <v>0.36021475795193</v>
      </c>
      <c r="M807">
        <f t="shared" si="216"/>
        <v>39548250</v>
      </c>
      <c r="N807">
        <f t="shared" si="223"/>
        <v>477122333</v>
      </c>
      <c r="O807">
        <f t="shared" si="217"/>
        <v>0.542447365202056</v>
      </c>
    </row>
    <row r="808" ht="13.9" spans="1:15">
      <c r="A808" s="42" t="s">
        <v>595</v>
      </c>
      <c r="B808" s="11">
        <v>30194364</v>
      </c>
      <c r="C808" s="11">
        <v>2988579</v>
      </c>
      <c r="D808" s="11">
        <v>127</v>
      </c>
      <c r="E808">
        <f t="shared" si="224"/>
        <v>127</v>
      </c>
      <c r="F808">
        <f t="shared" si="214"/>
        <v>15097182</v>
      </c>
      <c r="G808">
        <f t="shared" si="215"/>
        <v>1509.7182</v>
      </c>
      <c r="H808">
        <f t="shared" si="220"/>
        <v>127000000</v>
      </c>
      <c r="I808">
        <f t="shared" si="219"/>
        <v>60960000</v>
      </c>
      <c r="K808">
        <f t="shared" si="221"/>
        <v>372343280</v>
      </c>
      <c r="L808">
        <f t="shared" si="222"/>
        <v>0.341083099445222</v>
      </c>
      <c r="M808">
        <f t="shared" si="216"/>
        <v>33182943</v>
      </c>
      <c r="N808">
        <f t="shared" si="223"/>
        <v>437574083</v>
      </c>
      <c r="O808">
        <f t="shared" si="217"/>
        <v>0.411492265728537</v>
      </c>
    </row>
    <row r="809" ht="13.9" spans="1:15">
      <c r="A809" s="42" t="s">
        <v>596</v>
      </c>
      <c r="B809" s="11">
        <v>33101656</v>
      </c>
      <c r="C809" s="11">
        <v>3351034</v>
      </c>
      <c r="D809" s="11">
        <v>112</v>
      </c>
      <c r="E809">
        <f t="shared" si="224"/>
        <v>112</v>
      </c>
      <c r="F809">
        <f t="shared" si="214"/>
        <v>16550828</v>
      </c>
      <c r="G809">
        <f t="shared" si="215"/>
        <v>1655.0828</v>
      </c>
      <c r="H809">
        <f t="shared" si="220"/>
        <v>112000000</v>
      </c>
      <c r="I809">
        <f t="shared" si="219"/>
        <v>53760000</v>
      </c>
      <c r="K809">
        <f t="shared" si="221"/>
        <v>339241624</v>
      </c>
      <c r="L809">
        <f t="shared" si="222"/>
        <v>0.330148166016326</v>
      </c>
      <c r="M809">
        <f t="shared" si="216"/>
        <v>36452690</v>
      </c>
      <c r="N809">
        <f t="shared" si="223"/>
        <v>404391140</v>
      </c>
      <c r="O809">
        <f t="shared" ref="O809:O833" si="225">IF(H809&gt;H810,(H809-H810)/M810,0)</f>
        <v>0.668408963751881</v>
      </c>
    </row>
    <row r="810" ht="13.9" spans="1:15">
      <c r="A810" s="42" t="s">
        <v>597</v>
      </c>
      <c r="B810" s="11">
        <v>27141800</v>
      </c>
      <c r="C810" s="11">
        <v>2780001</v>
      </c>
      <c r="D810" s="11">
        <v>92</v>
      </c>
      <c r="E810">
        <f t="shared" si="224"/>
        <v>92</v>
      </c>
      <c r="F810">
        <f t="shared" si="214"/>
        <v>13570900</v>
      </c>
      <c r="G810">
        <f t="shared" si="215"/>
        <v>1357.09</v>
      </c>
      <c r="H810">
        <f t="shared" si="220"/>
        <v>92000000</v>
      </c>
      <c r="I810">
        <f t="shared" si="219"/>
        <v>44160000</v>
      </c>
      <c r="K810">
        <f t="shared" si="221"/>
        <v>312099824</v>
      </c>
      <c r="L810">
        <f t="shared" si="222"/>
        <v>0.294777481194607</v>
      </c>
      <c r="M810">
        <f t="shared" si="216"/>
        <v>29921801</v>
      </c>
      <c r="N810">
        <f t="shared" si="223"/>
        <v>367938450</v>
      </c>
      <c r="O810">
        <f t="shared" si="225"/>
        <v>0.422035638256855</v>
      </c>
    </row>
    <row r="811" ht="13.9" spans="1:15">
      <c r="A811" s="42" t="s">
        <v>598</v>
      </c>
      <c r="B811" s="11">
        <v>30049118</v>
      </c>
      <c r="C811" s="11">
        <v>3123436</v>
      </c>
      <c r="D811" s="11">
        <v>78</v>
      </c>
      <c r="E811">
        <f t="shared" si="224"/>
        <v>78</v>
      </c>
      <c r="F811">
        <f t="shared" si="214"/>
        <v>15024559</v>
      </c>
      <c r="G811">
        <f t="shared" si="215"/>
        <v>1502.4559</v>
      </c>
      <c r="H811">
        <f t="shared" si="220"/>
        <v>78000000</v>
      </c>
      <c r="I811">
        <f t="shared" si="219"/>
        <v>37440000</v>
      </c>
      <c r="K811">
        <f t="shared" si="221"/>
        <v>282050706</v>
      </c>
      <c r="L811">
        <f t="shared" si="222"/>
        <v>0.276546019352988</v>
      </c>
      <c r="M811">
        <f t="shared" si="216"/>
        <v>33172554</v>
      </c>
      <c r="N811">
        <f t="shared" si="223"/>
        <v>338016649</v>
      </c>
      <c r="O811">
        <f t="shared" si="225"/>
        <v>0.585326094312862</v>
      </c>
    </row>
    <row r="812" ht="13.9" spans="1:15">
      <c r="A812" s="42" t="s">
        <v>599</v>
      </c>
      <c r="B812" s="11">
        <v>24774300</v>
      </c>
      <c r="C812" s="11">
        <v>2560890</v>
      </c>
      <c r="D812" s="11">
        <v>62</v>
      </c>
      <c r="E812">
        <f t="shared" si="224"/>
        <v>62</v>
      </c>
      <c r="F812">
        <f t="shared" si="214"/>
        <v>12387150</v>
      </c>
      <c r="G812">
        <f t="shared" si="215"/>
        <v>1238.715</v>
      </c>
      <c r="H812">
        <f t="shared" si="220"/>
        <v>62000000</v>
      </c>
      <c r="I812">
        <f t="shared" si="219"/>
        <v>29760000</v>
      </c>
      <c r="K812">
        <f t="shared" si="221"/>
        <v>257276406</v>
      </c>
      <c r="L812">
        <f t="shared" si="222"/>
        <v>0.240985953449614</v>
      </c>
      <c r="M812">
        <f t="shared" si="216"/>
        <v>27335190</v>
      </c>
      <c r="N812">
        <f t="shared" si="223"/>
        <v>304844095</v>
      </c>
      <c r="O812">
        <f t="shared" si="225"/>
        <v>0.3795420508871</v>
      </c>
    </row>
    <row r="813" ht="13.9" spans="1:15">
      <c r="A813" s="42" t="s">
        <v>600</v>
      </c>
      <c r="B813" s="11">
        <v>28587842</v>
      </c>
      <c r="C813" s="11">
        <v>3029208</v>
      </c>
      <c r="D813" s="11">
        <v>50</v>
      </c>
      <c r="E813">
        <f t="shared" si="224"/>
        <v>50</v>
      </c>
      <c r="F813">
        <f t="shared" si="214"/>
        <v>14293921</v>
      </c>
      <c r="G813">
        <f t="shared" si="215"/>
        <v>1429.3921</v>
      </c>
      <c r="H813">
        <f t="shared" si="220"/>
        <v>50000000</v>
      </c>
      <c r="I813">
        <f t="shared" si="219"/>
        <v>24000000</v>
      </c>
      <c r="K813">
        <f t="shared" si="221"/>
        <v>228688564</v>
      </c>
      <c r="L813">
        <f t="shared" si="222"/>
        <v>0.218637955153717</v>
      </c>
      <c r="M813">
        <f t="shared" si="216"/>
        <v>31617050</v>
      </c>
      <c r="N813">
        <f t="shared" si="223"/>
        <v>277508905</v>
      </c>
      <c r="O813">
        <f t="shared" si="225"/>
        <v>0.335742994378286</v>
      </c>
    </row>
    <row r="814" ht="13.85" spans="1:15">
      <c r="A814" s="43">
        <v>37182</v>
      </c>
      <c r="B814" s="11">
        <v>26996476</v>
      </c>
      <c r="C814" s="11">
        <v>2788211</v>
      </c>
      <c r="D814" s="11">
        <v>40</v>
      </c>
      <c r="E814">
        <f t="shared" si="224"/>
        <v>40</v>
      </c>
      <c r="F814">
        <f t="shared" si="214"/>
        <v>13498238</v>
      </c>
      <c r="G814">
        <f t="shared" si="215"/>
        <v>1349.8238</v>
      </c>
      <c r="H814">
        <f t="shared" si="220"/>
        <v>40000000</v>
      </c>
      <c r="I814">
        <f t="shared" si="219"/>
        <v>19200000</v>
      </c>
      <c r="K814">
        <f t="shared" si="221"/>
        <v>201692088</v>
      </c>
      <c r="L814">
        <f t="shared" si="222"/>
        <v>0</v>
      </c>
      <c r="M814">
        <f t="shared" si="216"/>
        <v>29784687</v>
      </c>
      <c r="N814">
        <f t="shared" si="223"/>
        <v>245891855</v>
      </c>
      <c r="O814">
        <f t="shared" si="225"/>
        <v>0</v>
      </c>
    </row>
    <row r="815" ht="13.85" spans="1:15">
      <c r="A815" s="43">
        <v>37060</v>
      </c>
      <c r="B815" s="11">
        <v>201692088</v>
      </c>
      <c r="C815" s="11">
        <v>14415080</v>
      </c>
      <c r="D815" s="27">
        <v>559.7</v>
      </c>
      <c r="E815">
        <f t="shared" si="224"/>
        <v>559.7</v>
      </c>
      <c r="F815">
        <f t="shared" si="214"/>
        <v>100846044</v>
      </c>
      <c r="G815">
        <f t="shared" si="215"/>
        <v>10084.6044</v>
      </c>
      <c r="H815">
        <f t="shared" si="220"/>
        <v>559700000</v>
      </c>
      <c r="I815">
        <f t="shared" si="219"/>
        <v>268656000</v>
      </c>
      <c r="K815">
        <f t="shared" si="221"/>
        <v>932405970</v>
      </c>
      <c r="L815">
        <f t="shared" si="222"/>
        <v>0.600275006819186</v>
      </c>
      <c r="M815">
        <f t="shared" si="216"/>
        <v>216107168</v>
      </c>
      <c r="N815">
        <f t="shared" si="223"/>
        <v>1228174458</v>
      </c>
      <c r="O815">
        <f t="shared" si="225"/>
        <v>0.624908351737156</v>
      </c>
    </row>
    <row r="816" ht="13.85" spans="1:15">
      <c r="A816" s="44">
        <v>36968</v>
      </c>
      <c r="B816" s="15">
        <v>149143678</v>
      </c>
      <c r="C816" s="15">
        <v>10399717</v>
      </c>
      <c r="D816" s="32">
        <v>460</v>
      </c>
      <c r="E816">
        <f t="shared" si="224"/>
        <v>460</v>
      </c>
      <c r="F816">
        <f t="shared" si="214"/>
        <v>74571839</v>
      </c>
      <c r="G816">
        <f t="shared" si="215"/>
        <v>7457.1839</v>
      </c>
      <c r="H816">
        <f t="shared" si="220"/>
        <v>460000000</v>
      </c>
      <c r="I816">
        <f t="shared" si="219"/>
        <v>220800000</v>
      </c>
      <c r="K816">
        <f t="shared" si="221"/>
        <v>783262292</v>
      </c>
      <c r="L816">
        <f t="shared" si="222"/>
        <v>0.587287304263589</v>
      </c>
      <c r="M816">
        <f t="shared" si="216"/>
        <v>159543395</v>
      </c>
      <c r="N816">
        <f t="shared" si="223"/>
        <v>1012067290</v>
      </c>
      <c r="O816">
        <f t="shared" si="225"/>
        <v>0.618236985627438</v>
      </c>
    </row>
    <row r="817" ht="13.9" spans="1:15">
      <c r="A817" s="41" t="s">
        <v>601</v>
      </c>
      <c r="B817" s="13">
        <v>114268872</v>
      </c>
      <c r="C817" s="13">
        <v>8661334</v>
      </c>
      <c r="D817" s="13">
        <v>384</v>
      </c>
      <c r="E817">
        <f t="shared" si="224"/>
        <v>384</v>
      </c>
      <c r="F817">
        <f t="shared" si="214"/>
        <v>57134436</v>
      </c>
      <c r="G817">
        <f t="shared" si="215"/>
        <v>5713.4436</v>
      </c>
      <c r="H817">
        <f t="shared" si="220"/>
        <v>384000000</v>
      </c>
      <c r="I817">
        <f t="shared" si="219"/>
        <v>184320000</v>
      </c>
      <c r="K817">
        <f t="shared" si="221"/>
        <v>668993420</v>
      </c>
      <c r="L817">
        <f t="shared" si="222"/>
        <v>0.57399667697778</v>
      </c>
      <c r="M817">
        <f t="shared" si="216"/>
        <v>122930206</v>
      </c>
      <c r="N817">
        <f t="shared" si="223"/>
        <v>852523895</v>
      </c>
      <c r="O817">
        <f t="shared" si="225"/>
        <v>0.680673853211554</v>
      </c>
    </row>
    <row r="818" ht="13.9" spans="1:15">
      <c r="A818" s="42" t="s">
        <v>602</v>
      </c>
      <c r="B818" s="11">
        <v>63996728</v>
      </c>
      <c r="C818" s="11">
        <v>5052494</v>
      </c>
      <c r="D818" s="11">
        <v>337</v>
      </c>
      <c r="E818">
        <f t="shared" ref="E818:E849" si="226">IF(RIGHT(D818,1)="B",VALUE(LEFT(D818,LEN(D818)-1))*1000,D818)</f>
        <v>337</v>
      </c>
      <c r="F818">
        <f t="shared" si="214"/>
        <v>31998364</v>
      </c>
      <c r="G818">
        <f t="shared" si="215"/>
        <v>3199.8364</v>
      </c>
      <c r="H818">
        <f t="shared" si="220"/>
        <v>337000000</v>
      </c>
      <c r="I818">
        <f t="shared" si="219"/>
        <v>161760000</v>
      </c>
      <c r="K818">
        <f t="shared" si="221"/>
        <v>604996692</v>
      </c>
      <c r="L818">
        <f t="shared" si="222"/>
        <v>0.557027839087755</v>
      </c>
      <c r="M818">
        <f t="shared" si="216"/>
        <v>69049222</v>
      </c>
      <c r="N818">
        <f t="shared" si="223"/>
        <v>729593689</v>
      </c>
      <c r="O818">
        <f t="shared" si="225"/>
        <v>0.513024976205</v>
      </c>
    </row>
    <row r="819" ht="13.9" spans="1:15">
      <c r="A819" s="42" t="s">
        <v>603</v>
      </c>
      <c r="B819" s="11">
        <v>66703416</v>
      </c>
      <c r="C819" s="11">
        <v>5417829</v>
      </c>
      <c r="D819" s="11">
        <v>300</v>
      </c>
      <c r="E819">
        <f t="shared" si="226"/>
        <v>300</v>
      </c>
      <c r="F819">
        <f t="shared" si="214"/>
        <v>33351708</v>
      </c>
      <c r="G819">
        <f t="shared" si="215"/>
        <v>3335.1708</v>
      </c>
      <c r="H819">
        <f t="shared" si="220"/>
        <v>300000000</v>
      </c>
      <c r="I819">
        <f t="shared" si="219"/>
        <v>144000000</v>
      </c>
      <c r="K819">
        <f t="shared" si="221"/>
        <v>538293276</v>
      </c>
      <c r="L819">
        <f t="shared" si="222"/>
        <v>0.557317011702743</v>
      </c>
      <c r="M819">
        <f t="shared" si="216"/>
        <v>72121245</v>
      </c>
      <c r="N819">
        <f t="shared" si="223"/>
        <v>660544467</v>
      </c>
      <c r="O819">
        <f t="shared" si="225"/>
        <v>0.588857583615687</v>
      </c>
    </row>
    <row r="820" ht="13.9" spans="1:15">
      <c r="A820" s="42" t="s">
        <v>604</v>
      </c>
      <c r="B820" s="11">
        <v>48535172</v>
      </c>
      <c r="C820" s="11">
        <v>4109136</v>
      </c>
      <c r="D820" s="11">
        <v>269</v>
      </c>
      <c r="E820">
        <f t="shared" si="226"/>
        <v>269</v>
      </c>
      <c r="F820">
        <f t="shared" si="214"/>
        <v>24267586</v>
      </c>
      <c r="G820">
        <f t="shared" si="215"/>
        <v>2426.7586</v>
      </c>
      <c r="H820">
        <f t="shared" si="220"/>
        <v>269000000</v>
      </c>
      <c r="I820">
        <f t="shared" si="219"/>
        <v>129120000</v>
      </c>
      <c r="K820">
        <f t="shared" si="221"/>
        <v>489758104</v>
      </c>
      <c r="L820">
        <f t="shared" si="222"/>
        <v>0.549250737870383</v>
      </c>
      <c r="M820">
        <f t="shared" si="216"/>
        <v>52644308</v>
      </c>
      <c r="N820">
        <f t="shared" si="223"/>
        <v>588423222</v>
      </c>
      <c r="O820">
        <f t="shared" si="225"/>
        <v>0.385548842067973</v>
      </c>
    </row>
    <row r="821" ht="13.9" spans="1:15">
      <c r="A821" s="42" t="s">
        <v>605</v>
      </c>
      <c r="B821" s="11">
        <v>45240888</v>
      </c>
      <c r="C821" s="11">
        <v>4039509</v>
      </c>
      <c r="D821" s="11">
        <v>250</v>
      </c>
      <c r="E821">
        <f t="shared" si="226"/>
        <v>250</v>
      </c>
      <c r="F821">
        <f t="shared" si="214"/>
        <v>22620444</v>
      </c>
      <c r="G821">
        <f t="shared" si="215"/>
        <v>2262.0444</v>
      </c>
      <c r="H821">
        <f t="shared" si="220"/>
        <v>250000000</v>
      </c>
      <c r="I821">
        <f t="shared" si="219"/>
        <v>120000000</v>
      </c>
      <c r="K821">
        <f t="shared" si="221"/>
        <v>444517216</v>
      </c>
      <c r="L821">
        <f t="shared" si="222"/>
        <v>0.562407913577862</v>
      </c>
      <c r="M821">
        <f t="shared" si="216"/>
        <v>49280397</v>
      </c>
      <c r="N821">
        <f t="shared" si="223"/>
        <v>535778914</v>
      </c>
      <c r="O821">
        <f t="shared" si="225"/>
        <v>0.499058395630872</v>
      </c>
    </row>
    <row r="822" ht="13.9" spans="1:15">
      <c r="A822" s="42" t="s">
        <v>606</v>
      </c>
      <c r="B822" s="11">
        <v>38638204</v>
      </c>
      <c r="C822" s="11">
        <v>3441040</v>
      </c>
      <c r="D822" s="11">
        <v>229</v>
      </c>
      <c r="E822">
        <f t="shared" si="226"/>
        <v>229</v>
      </c>
      <c r="F822">
        <f t="shared" si="214"/>
        <v>19319102</v>
      </c>
      <c r="G822">
        <f t="shared" si="215"/>
        <v>1931.9102</v>
      </c>
      <c r="H822">
        <f t="shared" si="220"/>
        <v>229000000</v>
      </c>
      <c r="I822">
        <f t="shared" si="219"/>
        <v>109920000</v>
      </c>
      <c r="K822">
        <f t="shared" si="221"/>
        <v>405879012</v>
      </c>
      <c r="L822">
        <f t="shared" si="222"/>
        <v>0.564207542714724</v>
      </c>
      <c r="M822">
        <f t="shared" si="216"/>
        <v>42079244</v>
      </c>
      <c r="N822">
        <f t="shared" si="223"/>
        <v>486498517</v>
      </c>
      <c r="O822">
        <f t="shared" si="225"/>
        <v>0.406990721617054</v>
      </c>
    </row>
    <row r="823" ht="13.85" spans="1:15">
      <c r="A823" s="43">
        <v>41169</v>
      </c>
      <c r="B823" s="11">
        <v>38259490</v>
      </c>
      <c r="C823" s="11">
        <v>3510504</v>
      </c>
      <c r="D823" s="11">
        <v>212</v>
      </c>
      <c r="E823">
        <f t="shared" si="226"/>
        <v>212</v>
      </c>
      <c r="F823">
        <f t="shared" si="214"/>
        <v>19129745</v>
      </c>
      <c r="G823">
        <f t="shared" si="215"/>
        <v>1912.9745</v>
      </c>
      <c r="H823">
        <f t="shared" si="220"/>
        <v>212000000</v>
      </c>
      <c r="I823">
        <f t="shared" si="219"/>
        <v>101760000</v>
      </c>
      <c r="K823">
        <f t="shared" si="221"/>
        <v>367619522</v>
      </c>
      <c r="L823">
        <f t="shared" si="222"/>
        <v>0.576683193663475</v>
      </c>
      <c r="M823">
        <f t="shared" si="216"/>
        <v>41769994</v>
      </c>
      <c r="N823">
        <f t="shared" si="223"/>
        <v>444419273</v>
      </c>
      <c r="O823">
        <f t="shared" si="225"/>
        <v>0.526541808638966</v>
      </c>
    </row>
    <row r="824" ht="13.85" spans="1:15">
      <c r="A824" s="43">
        <v>41077</v>
      </c>
      <c r="B824" s="11">
        <v>32978968</v>
      </c>
      <c r="C824" s="11">
        <v>3105536</v>
      </c>
      <c r="D824" s="11">
        <v>193</v>
      </c>
      <c r="E824">
        <f t="shared" si="226"/>
        <v>193</v>
      </c>
      <c r="F824">
        <f t="shared" si="214"/>
        <v>16489484</v>
      </c>
      <c r="G824">
        <f t="shared" si="215"/>
        <v>1648.9484</v>
      </c>
      <c r="H824">
        <f t="shared" si="220"/>
        <v>193000000</v>
      </c>
      <c r="I824">
        <f t="shared" si="219"/>
        <v>92640000</v>
      </c>
      <c r="K824">
        <f t="shared" si="221"/>
        <v>334640554</v>
      </c>
      <c r="L824">
        <f t="shared" si="222"/>
        <v>0.576738227608839</v>
      </c>
      <c r="M824">
        <f t="shared" si="216"/>
        <v>36084504</v>
      </c>
      <c r="N824">
        <f t="shared" si="223"/>
        <v>402649279</v>
      </c>
      <c r="O824">
        <f t="shared" si="225"/>
        <v>0.43258357947339</v>
      </c>
    </row>
    <row r="825" ht="13.85" spans="1:15">
      <c r="A825" s="43">
        <v>40956</v>
      </c>
      <c r="B825" s="11">
        <v>33842134</v>
      </c>
      <c r="C825" s="11">
        <v>3144938</v>
      </c>
      <c r="D825" s="11">
        <v>177</v>
      </c>
      <c r="E825">
        <f t="shared" si="226"/>
        <v>177</v>
      </c>
      <c r="F825">
        <f t="shared" si="214"/>
        <v>16921067</v>
      </c>
      <c r="G825">
        <f t="shared" si="215"/>
        <v>1692.1067</v>
      </c>
      <c r="H825">
        <f t="shared" si="220"/>
        <v>177000000</v>
      </c>
      <c r="I825">
        <f t="shared" si="219"/>
        <v>84960000</v>
      </c>
      <c r="K825">
        <f t="shared" si="221"/>
        <v>300798420</v>
      </c>
      <c r="L825">
        <f t="shared" si="222"/>
        <v>0.588433941907009</v>
      </c>
      <c r="M825">
        <f t="shared" si="216"/>
        <v>36987072</v>
      </c>
      <c r="N825">
        <f t="shared" si="223"/>
        <v>366564775</v>
      </c>
      <c r="O825">
        <f t="shared" si="225"/>
        <v>0.437925882921141</v>
      </c>
    </row>
    <row r="826" ht="13.9" spans="1:15">
      <c r="A826" s="42" t="s">
        <v>607</v>
      </c>
      <c r="B826" s="11">
        <v>29306014</v>
      </c>
      <c r="C826" s="11">
        <v>2662866</v>
      </c>
      <c r="D826" s="11">
        <v>163</v>
      </c>
      <c r="E826">
        <f t="shared" si="226"/>
        <v>163</v>
      </c>
      <c r="F826">
        <f t="shared" si="214"/>
        <v>14653007</v>
      </c>
      <c r="G826">
        <f t="shared" si="215"/>
        <v>1465.3007</v>
      </c>
      <c r="H826">
        <f t="shared" si="220"/>
        <v>163000000</v>
      </c>
      <c r="I826">
        <f t="shared" si="219"/>
        <v>78240000</v>
      </c>
      <c r="K826">
        <f t="shared" si="221"/>
        <v>271492406</v>
      </c>
      <c r="L826">
        <f t="shared" si="222"/>
        <v>0.600385117217606</v>
      </c>
      <c r="M826">
        <f t="shared" si="216"/>
        <v>31968880</v>
      </c>
      <c r="N826">
        <f t="shared" si="223"/>
        <v>329577703</v>
      </c>
      <c r="O826">
        <f t="shared" si="225"/>
        <v>0.449226034882017</v>
      </c>
    </row>
    <row r="827" ht="13.9" spans="1:15">
      <c r="A827" s="42" t="s">
        <v>608</v>
      </c>
      <c r="B827" s="11">
        <v>28442720</v>
      </c>
      <c r="C827" s="11">
        <v>2721992</v>
      </c>
      <c r="D827" s="11">
        <v>149</v>
      </c>
      <c r="E827">
        <f t="shared" si="226"/>
        <v>149</v>
      </c>
      <c r="F827">
        <f t="shared" si="214"/>
        <v>14221360</v>
      </c>
      <c r="G827">
        <f t="shared" si="215"/>
        <v>1422.136</v>
      </c>
      <c r="H827">
        <f t="shared" si="220"/>
        <v>149000000</v>
      </c>
      <c r="I827">
        <f t="shared" si="219"/>
        <v>71520000</v>
      </c>
      <c r="K827">
        <f t="shared" si="221"/>
        <v>243049686</v>
      </c>
      <c r="L827">
        <f t="shared" si="222"/>
        <v>0.61304337583057</v>
      </c>
      <c r="M827">
        <f t="shared" si="216"/>
        <v>31164712</v>
      </c>
      <c r="N827">
        <f t="shared" si="223"/>
        <v>297608823</v>
      </c>
      <c r="O827">
        <f t="shared" si="225"/>
        <v>0.458817714841854</v>
      </c>
    </row>
    <row r="828" ht="13.9" spans="1:15">
      <c r="A828" s="42" t="s">
        <v>609</v>
      </c>
      <c r="B828" s="11">
        <v>29925352</v>
      </c>
      <c r="C828" s="11">
        <v>2767370</v>
      </c>
      <c r="D828" s="11">
        <v>134</v>
      </c>
      <c r="E828">
        <f t="shared" si="226"/>
        <v>134</v>
      </c>
      <c r="F828">
        <f t="shared" si="214"/>
        <v>14962676</v>
      </c>
      <c r="G828">
        <f t="shared" si="215"/>
        <v>1496.2676</v>
      </c>
      <c r="H828">
        <f t="shared" si="220"/>
        <v>134000000</v>
      </c>
      <c r="I828">
        <f t="shared" si="219"/>
        <v>64320000</v>
      </c>
      <c r="K828">
        <f t="shared" si="221"/>
        <v>213124334</v>
      </c>
      <c r="L828">
        <f t="shared" si="222"/>
        <v>0.62874096770198</v>
      </c>
      <c r="M828">
        <f t="shared" si="216"/>
        <v>32692722</v>
      </c>
      <c r="N828">
        <f t="shared" si="223"/>
        <v>266444111</v>
      </c>
      <c r="O828">
        <f t="shared" si="225"/>
        <v>0.46415308585681</v>
      </c>
    </row>
    <row r="829" ht="13.9" spans="1:15">
      <c r="A829" s="42" t="s">
        <v>610</v>
      </c>
      <c r="B829" s="11">
        <v>29509730</v>
      </c>
      <c r="C829" s="11">
        <v>2807194</v>
      </c>
      <c r="D829" s="11">
        <v>119</v>
      </c>
      <c r="E829">
        <f t="shared" si="226"/>
        <v>119</v>
      </c>
      <c r="F829">
        <f t="shared" si="214"/>
        <v>14754865</v>
      </c>
      <c r="G829">
        <f t="shared" si="215"/>
        <v>1475.4865</v>
      </c>
      <c r="H829">
        <f t="shared" si="220"/>
        <v>119000000</v>
      </c>
      <c r="I829">
        <f t="shared" si="219"/>
        <v>57120000</v>
      </c>
      <c r="K829">
        <f t="shared" si="221"/>
        <v>183614604</v>
      </c>
      <c r="L829">
        <f t="shared" si="222"/>
        <v>0.648096596935176</v>
      </c>
      <c r="M829">
        <f t="shared" si="216"/>
        <v>32316924</v>
      </c>
      <c r="N829">
        <f t="shared" si="223"/>
        <v>233751389</v>
      </c>
      <c r="O829">
        <f t="shared" si="225"/>
        <v>0.553864672098441</v>
      </c>
    </row>
    <row r="830" ht="13.9" spans="1:15">
      <c r="A830" s="42" t="s">
        <v>611</v>
      </c>
      <c r="B830" s="11">
        <v>26385356</v>
      </c>
      <c r="C830" s="11">
        <v>2502567</v>
      </c>
      <c r="D830" s="11">
        <v>103</v>
      </c>
      <c r="E830">
        <f t="shared" si="226"/>
        <v>103</v>
      </c>
      <c r="F830">
        <f t="shared" si="214"/>
        <v>13192678</v>
      </c>
      <c r="G830">
        <f t="shared" si="215"/>
        <v>1319.2678</v>
      </c>
      <c r="H830">
        <f t="shared" si="220"/>
        <v>103000000</v>
      </c>
      <c r="I830">
        <f t="shared" si="219"/>
        <v>49440000</v>
      </c>
      <c r="K830">
        <f t="shared" si="221"/>
        <v>157229248</v>
      </c>
      <c r="L830">
        <f t="shared" si="222"/>
        <v>0.655094400756785</v>
      </c>
      <c r="M830">
        <f t="shared" si="216"/>
        <v>28887923</v>
      </c>
      <c r="N830">
        <f t="shared" si="223"/>
        <v>201434465</v>
      </c>
      <c r="O830">
        <f t="shared" si="225"/>
        <v>0.444187453529023</v>
      </c>
    </row>
    <row r="831" ht="13.85" spans="1:15">
      <c r="A831" s="43">
        <v>40864</v>
      </c>
      <c r="B831" s="11">
        <v>26639324</v>
      </c>
      <c r="C831" s="11">
        <v>2627599</v>
      </c>
      <c r="D831" s="11">
        <v>90</v>
      </c>
      <c r="E831">
        <f t="shared" si="226"/>
        <v>90</v>
      </c>
      <c r="F831">
        <f t="shared" si="214"/>
        <v>13319662</v>
      </c>
      <c r="G831">
        <f t="shared" si="215"/>
        <v>1331.9662</v>
      </c>
      <c r="H831">
        <f t="shared" si="220"/>
        <v>90000000</v>
      </c>
      <c r="I831">
        <f t="shared" si="219"/>
        <v>43200000</v>
      </c>
      <c r="K831">
        <f t="shared" si="221"/>
        <v>130589924</v>
      </c>
      <c r="L831">
        <f t="shared" ref="L831:L862" si="227">IF(E831&gt;E832,H831/K831,0)</f>
        <v>0.689180277032706</v>
      </c>
      <c r="M831">
        <f t="shared" si="216"/>
        <v>29266923</v>
      </c>
      <c r="N831">
        <f t="shared" si="223"/>
        <v>172546542</v>
      </c>
      <c r="O831">
        <f t="shared" si="225"/>
        <v>0.582000945635136</v>
      </c>
    </row>
    <row r="832" ht="13.85" spans="1:15">
      <c r="A832" s="43">
        <v>40772</v>
      </c>
      <c r="B832" s="11">
        <v>23435234</v>
      </c>
      <c r="C832" s="11">
        <v>2337920</v>
      </c>
      <c r="D832" s="11">
        <v>75</v>
      </c>
      <c r="E832">
        <f t="shared" si="226"/>
        <v>75</v>
      </c>
      <c r="F832">
        <f t="shared" si="214"/>
        <v>11717617</v>
      </c>
      <c r="G832">
        <f t="shared" si="215"/>
        <v>1171.7617</v>
      </c>
      <c r="H832">
        <f t="shared" si="220"/>
        <v>75000000</v>
      </c>
      <c r="I832">
        <f t="shared" si="219"/>
        <v>36000000</v>
      </c>
      <c r="K832">
        <f t="shared" si="221"/>
        <v>107154690</v>
      </c>
      <c r="L832">
        <f t="shared" si="227"/>
        <v>0.699922700536953</v>
      </c>
      <c r="M832">
        <f t="shared" si="216"/>
        <v>25773154</v>
      </c>
      <c r="N832">
        <f t="shared" si="223"/>
        <v>143279619</v>
      </c>
      <c r="O832">
        <f t="shared" si="225"/>
        <v>0.388415075462517</v>
      </c>
    </row>
    <row r="833" ht="13.85" spans="1:15">
      <c r="A833" s="43">
        <v>40650</v>
      </c>
      <c r="B833" s="11">
        <v>25735618</v>
      </c>
      <c r="C833" s="11">
        <v>2584601</v>
      </c>
      <c r="D833" s="11">
        <v>64</v>
      </c>
      <c r="E833">
        <f t="shared" si="226"/>
        <v>64</v>
      </c>
      <c r="F833">
        <f t="shared" si="214"/>
        <v>12867809</v>
      </c>
      <c r="G833">
        <f t="shared" si="215"/>
        <v>1286.7809</v>
      </c>
      <c r="H833">
        <f t="shared" si="220"/>
        <v>64000000</v>
      </c>
      <c r="I833">
        <f t="shared" si="219"/>
        <v>30720000</v>
      </c>
      <c r="K833">
        <f t="shared" si="221"/>
        <v>81419072</v>
      </c>
      <c r="L833">
        <f t="shared" si="227"/>
        <v>0.786056613369408</v>
      </c>
      <c r="M833">
        <f t="shared" si="216"/>
        <v>28320219</v>
      </c>
      <c r="N833">
        <f t="shared" si="223"/>
        <v>117506465</v>
      </c>
      <c r="O833">
        <f t="shared" si="225"/>
        <v>0.490953988651353</v>
      </c>
    </row>
    <row r="834" ht="13.85" spans="1:15">
      <c r="A834" s="43">
        <v>40560</v>
      </c>
      <c r="B834" s="11">
        <v>22186600</v>
      </c>
      <c r="C834" s="11">
        <v>2255609</v>
      </c>
      <c r="D834" s="11">
        <v>52</v>
      </c>
      <c r="E834">
        <f t="shared" si="226"/>
        <v>52</v>
      </c>
      <c r="F834">
        <f t="shared" si="214"/>
        <v>11093300</v>
      </c>
      <c r="G834">
        <f t="shared" si="215"/>
        <v>1109.33</v>
      </c>
      <c r="H834">
        <f t="shared" si="220"/>
        <v>52000000</v>
      </c>
      <c r="I834">
        <f t="shared" si="219"/>
        <v>24960000</v>
      </c>
      <c r="K834">
        <f t="shared" si="221"/>
        <v>59232472</v>
      </c>
      <c r="L834">
        <f t="shared" si="227"/>
        <v>0.877896840098114</v>
      </c>
      <c r="M834">
        <f t="shared" si="216"/>
        <v>24442209</v>
      </c>
      <c r="N834">
        <f t="shared" si="223"/>
        <v>89186246</v>
      </c>
      <c r="O834">
        <f t="shared" ref="O834:O851" si="228">IF(H834&gt;H835,(H834-H835)/M835,0)</f>
        <v>0.447102818446747</v>
      </c>
    </row>
    <row r="835" ht="13.9" spans="1:15">
      <c r="A835" s="42" t="s">
        <v>612</v>
      </c>
      <c r="B835" s="11">
        <v>24373782</v>
      </c>
      <c r="C835" s="11">
        <v>2465682</v>
      </c>
      <c r="D835" s="11">
        <v>40</v>
      </c>
      <c r="E835">
        <f t="shared" si="226"/>
        <v>40</v>
      </c>
      <c r="F835">
        <f t="shared" si="214"/>
        <v>12186891</v>
      </c>
      <c r="G835">
        <f t="shared" si="215"/>
        <v>1218.6891</v>
      </c>
      <c r="H835">
        <f t="shared" si="220"/>
        <v>40000000</v>
      </c>
      <c r="I835">
        <f t="shared" si="219"/>
        <v>19200000</v>
      </c>
      <c r="K835">
        <f t="shared" si="221"/>
        <v>34858690</v>
      </c>
      <c r="L835">
        <f t="shared" si="227"/>
        <v>0</v>
      </c>
      <c r="M835">
        <f t="shared" si="216"/>
        <v>26839464</v>
      </c>
      <c r="N835">
        <f t="shared" si="223"/>
        <v>64744037</v>
      </c>
      <c r="O835">
        <f t="shared" si="228"/>
        <v>0</v>
      </c>
    </row>
    <row r="836" ht="13.9" spans="1:15">
      <c r="A836" s="42" t="s">
        <v>613</v>
      </c>
      <c r="B836" s="11">
        <v>34858690</v>
      </c>
      <c r="C836" s="11">
        <v>3045883</v>
      </c>
      <c r="D836" s="11">
        <v>191</v>
      </c>
      <c r="E836">
        <f t="shared" si="226"/>
        <v>191</v>
      </c>
      <c r="F836">
        <f t="shared" ref="F836:F899" si="229">B836/2</f>
        <v>17429345</v>
      </c>
      <c r="G836">
        <f t="shared" ref="G836:G899" si="230">F836/10000</f>
        <v>1742.9345</v>
      </c>
      <c r="H836">
        <f t="shared" si="220"/>
        <v>191000000</v>
      </c>
      <c r="I836">
        <f t="shared" si="219"/>
        <v>91680000</v>
      </c>
      <c r="K836">
        <f t="shared" si="221"/>
        <v>314841614</v>
      </c>
      <c r="L836">
        <f t="shared" si="227"/>
        <v>0.606654239804526</v>
      </c>
      <c r="M836">
        <f t="shared" si="216"/>
        <v>37904573</v>
      </c>
      <c r="N836">
        <f t="shared" si="223"/>
        <v>383654835</v>
      </c>
      <c r="O836">
        <f t="shared" si="228"/>
        <v>0.46322846149784</v>
      </c>
    </row>
    <row r="837" ht="13.9" spans="1:15">
      <c r="A837" s="42" t="s">
        <v>614</v>
      </c>
      <c r="B837" s="11">
        <v>35624078</v>
      </c>
      <c r="C837" s="11">
        <v>3233638</v>
      </c>
      <c r="D837" s="11">
        <v>173</v>
      </c>
      <c r="E837">
        <f t="shared" si="226"/>
        <v>173</v>
      </c>
      <c r="F837">
        <f t="shared" si="229"/>
        <v>17812039</v>
      </c>
      <c r="G837">
        <f t="shared" si="230"/>
        <v>1781.2039</v>
      </c>
      <c r="H837">
        <f t="shared" si="220"/>
        <v>173000000</v>
      </c>
      <c r="I837">
        <f t="shared" si="219"/>
        <v>83040000</v>
      </c>
      <c r="K837">
        <f t="shared" si="221"/>
        <v>279217536</v>
      </c>
      <c r="L837">
        <f t="shared" si="227"/>
        <v>0.619588592028833</v>
      </c>
      <c r="M837">
        <f t="shared" si="216"/>
        <v>38857716</v>
      </c>
      <c r="N837">
        <f t="shared" si="223"/>
        <v>345750262</v>
      </c>
      <c r="O837">
        <f t="shared" si="228"/>
        <v>0.496635469974033</v>
      </c>
    </row>
    <row r="838" ht="13.9" spans="1:15">
      <c r="A838" s="42" t="s">
        <v>615</v>
      </c>
      <c r="B838" s="11">
        <v>31371272</v>
      </c>
      <c r="C838" s="11">
        <v>2859066</v>
      </c>
      <c r="D838" s="11">
        <v>156</v>
      </c>
      <c r="E838">
        <f t="shared" si="226"/>
        <v>156</v>
      </c>
      <c r="F838">
        <f t="shared" si="229"/>
        <v>15685636</v>
      </c>
      <c r="G838">
        <f t="shared" si="230"/>
        <v>1568.5636</v>
      </c>
      <c r="H838">
        <f t="shared" si="220"/>
        <v>156000000</v>
      </c>
      <c r="I838">
        <f t="shared" si="219"/>
        <v>74880000</v>
      </c>
      <c r="K838">
        <f t="shared" si="221"/>
        <v>247846264</v>
      </c>
      <c r="L838">
        <f t="shared" si="227"/>
        <v>0.629422439064887</v>
      </c>
      <c r="M838">
        <f t="shared" si="216"/>
        <v>34230338</v>
      </c>
      <c r="N838">
        <f t="shared" si="223"/>
        <v>306892546</v>
      </c>
      <c r="O838">
        <f t="shared" si="228"/>
        <v>0.363438033214266</v>
      </c>
    </row>
    <row r="839" ht="13.9" spans="1:15">
      <c r="A839" s="42" t="s">
        <v>616</v>
      </c>
      <c r="B839" s="11">
        <v>32707574</v>
      </c>
      <c r="C839" s="11">
        <v>3061935</v>
      </c>
      <c r="D839" s="11">
        <v>143</v>
      </c>
      <c r="E839">
        <f t="shared" si="226"/>
        <v>143</v>
      </c>
      <c r="F839">
        <f t="shared" si="229"/>
        <v>16353787</v>
      </c>
      <c r="G839">
        <f t="shared" si="230"/>
        <v>1635.3787</v>
      </c>
      <c r="H839">
        <f t="shared" si="220"/>
        <v>143000000</v>
      </c>
      <c r="I839">
        <f t="shared" si="219"/>
        <v>68640000</v>
      </c>
      <c r="K839">
        <f t="shared" si="221"/>
        <v>215138690</v>
      </c>
      <c r="L839">
        <f t="shared" si="227"/>
        <v>0.664687509252752</v>
      </c>
      <c r="M839">
        <f t="shared" ref="M839:M902" si="231">B839+C839</f>
        <v>35769509</v>
      </c>
      <c r="N839">
        <f t="shared" si="223"/>
        <v>272662208</v>
      </c>
      <c r="O839">
        <f t="shared" si="228"/>
        <v>0.4813248060975</v>
      </c>
    </row>
    <row r="840" ht="13.85" spans="1:15">
      <c r="A840" s="43">
        <v>40499</v>
      </c>
      <c r="B840" s="11">
        <v>28477244</v>
      </c>
      <c r="C840" s="11">
        <v>2686743</v>
      </c>
      <c r="D840" s="11">
        <v>128</v>
      </c>
      <c r="E840">
        <f t="shared" si="226"/>
        <v>128</v>
      </c>
      <c r="F840">
        <f t="shared" si="229"/>
        <v>14238622</v>
      </c>
      <c r="G840">
        <f t="shared" si="230"/>
        <v>1423.8622</v>
      </c>
      <c r="H840">
        <f t="shared" si="220"/>
        <v>128000000</v>
      </c>
      <c r="I840">
        <f t="shared" si="219"/>
        <v>61440000</v>
      </c>
      <c r="K840">
        <f t="shared" si="221"/>
        <v>186661446</v>
      </c>
      <c r="L840">
        <f t="shared" si="227"/>
        <v>0.685733464209851</v>
      </c>
      <c r="M840">
        <f t="shared" si="231"/>
        <v>31163987</v>
      </c>
      <c r="N840">
        <f t="shared" si="223"/>
        <v>236892699</v>
      </c>
      <c r="O840">
        <f t="shared" si="228"/>
        <v>0.48330499907432</v>
      </c>
    </row>
    <row r="841" ht="13.85" spans="1:15">
      <c r="A841" s="43">
        <v>40376</v>
      </c>
      <c r="B841" s="11">
        <v>30185504</v>
      </c>
      <c r="C841" s="11">
        <v>2919885</v>
      </c>
      <c r="D841" s="11">
        <v>112</v>
      </c>
      <c r="E841">
        <f t="shared" si="226"/>
        <v>112</v>
      </c>
      <c r="F841">
        <f t="shared" si="229"/>
        <v>15092752</v>
      </c>
      <c r="G841">
        <f t="shared" si="230"/>
        <v>1509.2752</v>
      </c>
      <c r="H841">
        <f t="shared" si="220"/>
        <v>112000000</v>
      </c>
      <c r="I841">
        <f t="shared" si="219"/>
        <v>53760000</v>
      </c>
      <c r="K841">
        <f t="shared" si="221"/>
        <v>156475942</v>
      </c>
      <c r="L841">
        <f t="shared" si="227"/>
        <v>0.715764983220232</v>
      </c>
      <c r="M841">
        <f t="shared" si="231"/>
        <v>33105389</v>
      </c>
      <c r="N841">
        <f t="shared" si="223"/>
        <v>205728712</v>
      </c>
      <c r="O841">
        <f t="shared" si="228"/>
        <v>0.637238655151717</v>
      </c>
    </row>
    <row r="842" ht="13.85" spans="1:15">
      <c r="A842" s="43">
        <v>40285</v>
      </c>
      <c r="B842" s="11">
        <v>25693148</v>
      </c>
      <c r="C842" s="11">
        <v>2553726</v>
      </c>
      <c r="D842" s="11">
        <v>94</v>
      </c>
      <c r="E842">
        <f t="shared" si="226"/>
        <v>94</v>
      </c>
      <c r="F842">
        <f t="shared" si="229"/>
        <v>12846574</v>
      </c>
      <c r="G842">
        <f t="shared" si="230"/>
        <v>1284.6574</v>
      </c>
      <c r="H842">
        <f t="shared" si="220"/>
        <v>94000000</v>
      </c>
      <c r="I842">
        <f t="shared" si="219"/>
        <v>45120000</v>
      </c>
      <c r="K842">
        <f t="shared" si="221"/>
        <v>130782794</v>
      </c>
      <c r="L842">
        <f t="shared" si="227"/>
        <v>0.718748981612979</v>
      </c>
      <c r="M842">
        <f t="shared" si="231"/>
        <v>28246874</v>
      </c>
      <c r="N842">
        <f t="shared" si="223"/>
        <v>172623323</v>
      </c>
      <c r="O842">
        <f t="shared" si="228"/>
        <v>0.470868112969467</v>
      </c>
    </row>
    <row r="843" ht="13.9" spans="1:15">
      <c r="A843" s="42" t="s">
        <v>617</v>
      </c>
      <c r="B843" s="11">
        <v>27008488</v>
      </c>
      <c r="C843" s="11">
        <v>2723829</v>
      </c>
      <c r="D843" s="11">
        <v>80</v>
      </c>
      <c r="E843">
        <f t="shared" si="226"/>
        <v>80</v>
      </c>
      <c r="F843">
        <f t="shared" si="229"/>
        <v>13504244</v>
      </c>
      <c r="G843">
        <f t="shared" si="230"/>
        <v>1350.4244</v>
      </c>
      <c r="H843">
        <f t="shared" si="220"/>
        <v>80000000</v>
      </c>
      <c r="I843">
        <f t="shared" ref="I843:I906" si="232">H843*0.48</f>
        <v>38400000</v>
      </c>
      <c r="K843">
        <f t="shared" si="221"/>
        <v>103774306</v>
      </c>
      <c r="L843">
        <f t="shared" si="227"/>
        <v>0.770903734109289</v>
      </c>
      <c r="M843">
        <f t="shared" si="231"/>
        <v>29732317</v>
      </c>
      <c r="N843">
        <f t="shared" si="223"/>
        <v>144376449</v>
      </c>
      <c r="O843">
        <f t="shared" si="228"/>
        <v>0.545763241902267</v>
      </c>
    </row>
    <row r="844" ht="13.9" spans="1:15">
      <c r="A844" s="42" t="s">
        <v>618</v>
      </c>
      <c r="B844" s="11">
        <v>23303788</v>
      </c>
      <c r="C844" s="11">
        <v>2348361</v>
      </c>
      <c r="D844" s="11">
        <v>66</v>
      </c>
      <c r="E844">
        <f t="shared" si="226"/>
        <v>66</v>
      </c>
      <c r="F844">
        <f t="shared" si="229"/>
        <v>11651894</v>
      </c>
      <c r="G844">
        <f t="shared" si="230"/>
        <v>1165.1894</v>
      </c>
      <c r="H844">
        <f t="shared" si="220"/>
        <v>66000000</v>
      </c>
      <c r="I844">
        <f t="shared" si="232"/>
        <v>31680000</v>
      </c>
      <c r="K844">
        <f t="shared" si="221"/>
        <v>80470518</v>
      </c>
      <c r="L844">
        <f t="shared" si="227"/>
        <v>0.820176154451994</v>
      </c>
      <c r="M844">
        <f t="shared" si="231"/>
        <v>25652149</v>
      </c>
      <c r="N844">
        <f t="shared" si="223"/>
        <v>114644132</v>
      </c>
      <c r="O844">
        <f t="shared" si="228"/>
        <v>0.471954999889454</v>
      </c>
    </row>
    <row r="845" ht="13.9" spans="1:15">
      <c r="A845" s="42" t="s">
        <v>619</v>
      </c>
      <c r="B845" s="11">
        <v>24972612</v>
      </c>
      <c r="C845" s="11">
        <v>2572387</v>
      </c>
      <c r="D845" s="11">
        <v>53</v>
      </c>
      <c r="E845">
        <f t="shared" si="226"/>
        <v>53</v>
      </c>
      <c r="F845">
        <f t="shared" si="229"/>
        <v>12486306</v>
      </c>
      <c r="G845">
        <f t="shared" si="230"/>
        <v>1248.6306</v>
      </c>
      <c r="H845">
        <f t="shared" si="220"/>
        <v>53000000</v>
      </c>
      <c r="I845">
        <f t="shared" si="232"/>
        <v>25440000</v>
      </c>
      <c r="K845">
        <f t="shared" si="221"/>
        <v>55497906</v>
      </c>
      <c r="L845">
        <f t="shared" si="227"/>
        <v>0.95499098650677</v>
      </c>
      <c r="M845">
        <f t="shared" si="231"/>
        <v>27544999</v>
      </c>
      <c r="N845">
        <f t="shared" si="223"/>
        <v>88991983</v>
      </c>
      <c r="O845">
        <f t="shared" si="228"/>
        <v>0.518021200455954</v>
      </c>
    </row>
    <row r="846" ht="13.9" spans="1:15">
      <c r="A846" s="42" t="s">
        <v>620</v>
      </c>
      <c r="B846" s="11">
        <v>22491096</v>
      </c>
      <c r="C846" s="11">
        <v>2604402</v>
      </c>
      <c r="D846" s="11">
        <v>40</v>
      </c>
      <c r="E846">
        <f t="shared" si="226"/>
        <v>40</v>
      </c>
      <c r="F846">
        <f t="shared" si="229"/>
        <v>11245548</v>
      </c>
      <c r="G846">
        <f t="shared" si="230"/>
        <v>1124.5548</v>
      </c>
      <c r="H846">
        <f t="shared" si="220"/>
        <v>40000000</v>
      </c>
      <c r="I846">
        <f t="shared" si="232"/>
        <v>19200000</v>
      </c>
      <c r="K846">
        <f t="shared" si="221"/>
        <v>33006810</v>
      </c>
      <c r="L846">
        <f t="shared" si="227"/>
        <v>0</v>
      </c>
      <c r="M846">
        <f t="shared" si="231"/>
        <v>25095498</v>
      </c>
      <c r="N846">
        <f t="shared" si="223"/>
        <v>61446984</v>
      </c>
      <c r="O846">
        <f t="shared" si="228"/>
        <v>0</v>
      </c>
    </row>
    <row r="847" ht="13.9" spans="1:15">
      <c r="A847" s="42" t="s">
        <v>621</v>
      </c>
      <c r="B847" s="11">
        <v>33006810</v>
      </c>
      <c r="C847" s="11">
        <v>3344676</v>
      </c>
      <c r="D847" s="11">
        <v>132</v>
      </c>
      <c r="E847">
        <f t="shared" si="226"/>
        <v>132</v>
      </c>
      <c r="F847">
        <f t="shared" si="229"/>
        <v>16503405</v>
      </c>
      <c r="G847">
        <f t="shared" si="230"/>
        <v>1650.3405</v>
      </c>
      <c r="H847">
        <f t="shared" si="220"/>
        <v>132000000</v>
      </c>
      <c r="I847">
        <f t="shared" si="232"/>
        <v>63360000</v>
      </c>
      <c r="K847">
        <f t="shared" si="221"/>
        <v>632798108</v>
      </c>
      <c r="L847">
        <f t="shared" si="227"/>
        <v>0.208597336703794</v>
      </c>
      <c r="M847">
        <f t="shared" si="231"/>
        <v>36351486</v>
      </c>
      <c r="N847">
        <f t="shared" si="223"/>
        <v>717226466</v>
      </c>
      <c r="O847">
        <f t="shared" si="228"/>
        <v>0.535249602474843</v>
      </c>
    </row>
    <row r="848" ht="13.9" spans="1:15">
      <c r="A848" s="42" t="s">
        <v>622</v>
      </c>
      <c r="B848" s="11">
        <v>28866102</v>
      </c>
      <c r="C848" s="11">
        <v>2894781</v>
      </c>
      <c r="D848" s="11">
        <v>115</v>
      </c>
      <c r="E848">
        <f t="shared" si="226"/>
        <v>115</v>
      </c>
      <c r="F848">
        <f t="shared" si="229"/>
        <v>14433051</v>
      </c>
      <c r="G848">
        <f t="shared" si="230"/>
        <v>1443.3051</v>
      </c>
      <c r="H848">
        <f t="shared" ref="H848:H911" si="233">E848*1000000</f>
        <v>115000000</v>
      </c>
      <c r="I848">
        <f t="shared" si="232"/>
        <v>55200000</v>
      </c>
      <c r="K848">
        <f t="shared" si="221"/>
        <v>603932006</v>
      </c>
      <c r="L848">
        <f t="shared" si="227"/>
        <v>0.19041878697848</v>
      </c>
      <c r="M848">
        <f t="shared" si="231"/>
        <v>31760883</v>
      </c>
      <c r="N848">
        <f t="shared" si="223"/>
        <v>680874980</v>
      </c>
      <c r="O848">
        <f t="shared" si="228"/>
        <v>0.374205777023328</v>
      </c>
    </row>
    <row r="849" ht="13.85" spans="1:15">
      <c r="A849" s="43">
        <v>40073</v>
      </c>
      <c r="B849" s="11">
        <v>31563578</v>
      </c>
      <c r="C849" s="11">
        <v>3176666</v>
      </c>
      <c r="D849" s="11">
        <v>102</v>
      </c>
      <c r="E849">
        <f t="shared" si="226"/>
        <v>102</v>
      </c>
      <c r="F849">
        <f t="shared" si="229"/>
        <v>15781789</v>
      </c>
      <c r="G849">
        <f t="shared" si="230"/>
        <v>1578.1789</v>
      </c>
      <c r="H849">
        <f t="shared" si="233"/>
        <v>102000000</v>
      </c>
      <c r="I849">
        <f t="shared" si="232"/>
        <v>48960000</v>
      </c>
      <c r="K849">
        <f t="shared" ref="K849:K912" si="234">IF(E849&gt;E850,B850+K850,B850)</f>
        <v>572368428</v>
      </c>
      <c r="L849">
        <f t="shared" si="227"/>
        <v>0.178206894388661</v>
      </c>
      <c r="M849">
        <f t="shared" si="231"/>
        <v>34740244</v>
      </c>
      <c r="N849">
        <f t="shared" si="223"/>
        <v>649114097</v>
      </c>
      <c r="O849">
        <f t="shared" si="228"/>
        <v>0.643789265003754</v>
      </c>
    </row>
    <row r="850" ht="13.85" spans="1:15">
      <c r="A850" s="43">
        <v>39981</v>
      </c>
      <c r="B850" s="11">
        <v>26795516</v>
      </c>
      <c r="C850" s="11">
        <v>2717247</v>
      </c>
      <c r="D850" s="11">
        <v>83</v>
      </c>
      <c r="E850">
        <f t="shared" ref="E850:E881" si="235">IF(RIGHT(D850,1)="B",VALUE(LEFT(D850,LEN(D850)-1))*1000,D850)</f>
        <v>83</v>
      </c>
      <c r="F850">
        <f t="shared" si="229"/>
        <v>13397758</v>
      </c>
      <c r="G850">
        <f t="shared" si="230"/>
        <v>1339.7758</v>
      </c>
      <c r="H850">
        <f t="shared" si="233"/>
        <v>83000000</v>
      </c>
      <c r="I850">
        <f t="shared" si="232"/>
        <v>39840000</v>
      </c>
      <c r="K850">
        <f t="shared" si="234"/>
        <v>545572912</v>
      </c>
      <c r="L850">
        <f t="shared" si="227"/>
        <v>0.152133652852618</v>
      </c>
      <c r="M850">
        <f t="shared" si="231"/>
        <v>29512763</v>
      </c>
      <c r="N850">
        <f t="shared" si="223"/>
        <v>614373853</v>
      </c>
      <c r="O850">
        <f t="shared" si="228"/>
        <v>0.443018554768922</v>
      </c>
    </row>
    <row r="851" ht="13.85" spans="1:15">
      <c r="A851" s="43">
        <v>39861</v>
      </c>
      <c r="B851" s="11">
        <v>30533970</v>
      </c>
      <c r="C851" s="11">
        <v>3324657</v>
      </c>
      <c r="D851" s="11">
        <v>68</v>
      </c>
      <c r="E851">
        <f t="shared" si="235"/>
        <v>68</v>
      </c>
      <c r="F851">
        <f t="shared" si="229"/>
        <v>15266985</v>
      </c>
      <c r="G851">
        <f t="shared" si="230"/>
        <v>1526.6985</v>
      </c>
      <c r="H851">
        <f t="shared" si="233"/>
        <v>68000000</v>
      </c>
      <c r="I851">
        <f t="shared" si="232"/>
        <v>32640000</v>
      </c>
      <c r="K851">
        <f t="shared" si="234"/>
        <v>515038942</v>
      </c>
      <c r="L851">
        <f t="shared" si="227"/>
        <v>0.132028851519348</v>
      </c>
      <c r="M851">
        <f t="shared" si="231"/>
        <v>33858627</v>
      </c>
      <c r="N851">
        <f t="shared" si="223"/>
        <v>584861090</v>
      </c>
      <c r="O851">
        <f t="shared" si="228"/>
        <v>0.508963180924874</v>
      </c>
    </row>
    <row r="852" ht="13.9" spans="1:15">
      <c r="A852" s="42" t="s">
        <v>623</v>
      </c>
      <c r="B852" s="11">
        <v>26629554</v>
      </c>
      <c r="C852" s="11">
        <v>2842126</v>
      </c>
      <c r="D852" s="11">
        <v>53</v>
      </c>
      <c r="E852">
        <f t="shared" si="235"/>
        <v>53</v>
      </c>
      <c r="F852">
        <f t="shared" si="229"/>
        <v>13314777</v>
      </c>
      <c r="G852">
        <f t="shared" si="230"/>
        <v>1331.4777</v>
      </c>
      <c r="H852">
        <f t="shared" si="233"/>
        <v>53000000</v>
      </c>
      <c r="I852">
        <f t="shared" si="232"/>
        <v>25440000</v>
      </c>
      <c r="K852">
        <f t="shared" si="234"/>
        <v>488409388</v>
      </c>
      <c r="L852">
        <f t="shared" si="227"/>
        <v>0.108515522637743</v>
      </c>
      <c r="M852">
        <f t="shared" si="231"/>
        <v>29471680</v>
      </c>
      <c r="N852">
        <f t="shared" si="223"/>
        <v>551002463</v>
      </c>
      <c r="O852">
        <f t="shared" ref="O852:O870" si="236">IF(H852&gt;H853,(H852-H853)/M853,0)</f>
        <v>0.382127991419169</v>
      </c>
    </row>
    <row r="853" ht="13.9" spans="1:15">
      <c r="A853" s="42" t="s">
        <v>624</v>
      </c>
      <c r="B853" s="11">
        <v>30726184</v>
      </c>
      <c r="C853" s="11">
        <v>3293831</v>
      </c>
      <c r="D853" s="11">
        <v>40</v>
      </c>
      <c r="E853">
        <f t="shared" si="235"/>
        <v>40</v>
      </c>
      <c r="F853">
        <f t="shared" si="229"/>
        <v>15363092</v>
      </c>
      <c r="G853">
        <f t="shared" si="230"/>
        <v>1536.3092</v>
      </c>
      <c r="H853">
        <f t="shared" si="233"/>
        <v>40000000</v>
      </c>
      <c r="I853">
        <f t="shared" si="232"/>
        <v>19200000</v>
      </c>
      <c r="K853">
        <f t="shared" si="234"/>
        <v>457683204</v>
      </c>
      <c r="L853">
        <f t="shared" si="227"/>
        <v>0</v>
      </c>
      <c r="M853">
        <f t="shared" si="231"/>
        <v>34020015</v>
      </c>
      <c r="N853">
        <f t="shared" si="223"/>
        <v>521530783</v>
      </c>
      <c r="O853">
        <f t="shared" si="236"/>
        <v>0</v>
      </c>
    </row>
    <row r="854" ht="13.9" spans="1:15">
      <c r="A854" s="42" t="s">
        <v>625</v>
      </c>
      <c r="B854" s="11">
        <v>457683204</v>
      </c>
      <c r="C854" s="11">
        <v>29827564</v>
      </c>
      <c r="D854" s="11">
        <v>758.7</v>
      </c>
      <c r="E854">
        <f t="shared" si="235"/>
        <v>758.7</v>
      </c>
      <c r="F854">
        <f t="shared" si="229"/>
        <v>228841602</v>
      </c>
      <c r="G854">
        <f t="shared" si="230"/>
        <v>22884.1602</v>
      </c>
      <c r="H854">
        <f t="shared" si="233"/>
        <v>758700000</v>
      </c>
      <c r="I854">
        <f t="shared" si="232"/>
        <v>364176000</v>
      </c>
      <c r="K854">
        <f t="shared" si="234"/>
        <v>1197897292</v>
      </c>
      <c r="L854">
        <f t="shared" si="227"/>
        <v>0.633359808947627</v>
      </c>
      <c r="M854">
        <f t="shared" si="231"/>
        <v>487510768</v>
      </c>
      <c r="N854">
        <f t="shared" si="223"/>
        <v>1784878880</v>
      </c>
      <c r="O854">
        <f t="shared" si="236"/>
        <v>0.920980146348233</v>
      </c>
    </row>
    <row r="855" ht="13.9" spans="1:15">
      <c r="A855" s="42" t="s">
        <v>626</v>
      </c>
      <c r="B855" s="11">
        <v>227374398</v>
      </c>
      <c r="C855" s="11">
        <v>15519003</v>
      </c>
      <c r="D855" s="11">
        <v>535</v>
      </c>
      <c r="E855">
        <f t="shared" si="235"/>
        <v>535</v>
      </c>
      <c r="F855">
        <f t="shared" si="229"/>
        <v>113687199</v>
      </c>
      <c r="G855">
        <f t="shared" si="230"/>
        <v>11368.7199</v>
      </c>
      <c r="H855">
        <f t="shared" si="233"/>
        <v>535000000</v>
      </c>
      <c r="I855">
        <f t="shared" si="232"/>
        <v>256800000</v>
      </c>
      <c r="K855">
        <f t="shared" si="234"/>
        <v>970522894</v>
      </c>
      <c r="L855">
        <f t="shared" si="227"/>
        <v>0.551249232045422</v>
      </c>
      <c r="M855">
        <f t="shared" si="231"/>
        <v>242893401</v>
      </c>
      <c r="N855">
        <f t="shared" si="223"/>
        <v>1297368112</v>
      </c>
      <c r="O855">
        <f t="shared" si="236"/>
        <v>0.75432566435814</v>
      </c>
    </row>
    <row r="856" ht="13.9" spans="1:15">
      <c r="A856" s="42" t="s">
        <v>627</v>
      </c>
      <c r="B856" s="11">
        <v>129941192</v>
      </c>
      <c r="C856" s="11">
        <v>9255981</v>
      </c>
      <c r="D856" s="11">
        <v>430</v>
      </c>
      <c r="E856">
        <f t="shared" si="235"/>
        <v>430</v>
      </c>
      <c r="F856">
        <f t="shared" si="229"/>
        <v>64970596</v>
      </c>
      <c r="G856">
        <f t="shared" si="230"/>
        <v>6497.0596</v>
      </c>
      <c r="H856">
        <f t="shared" si="233"/>
        <v>430000000</v>
      </c>
      <c r="I856">
        <f t="shared" si="232"/>
        <v>206400000</v>
      </c>
      <c r="K856">
        <f t="shared" si="234"/>
        <v>840581702</v>
      </c>
      <c r="L856">
        <f t="shared" si="227"/>
        <v>0.511550511957254</v>
      </c>
      <c r="M856">
        <f t="shared" si="231"/>
        <v>139197173</v>
      </c>
      <c r="N856">
        <f t="shared" si="223"/>
        <v>1054474711</v>
      </c>
      <c r="O856">
        <f t="shared" si="236"/>
        <v>0.637685860761172</v>
      </c>
    </row>
    <row r="857" ht="13.85" spans="1:15">
      <c r="A857" s="43">
        <v>39799</v>
      </c>
      <c r="B857" s="11">
        <v>107894982</v>
      </c>
      <c r="C857" s="11">
        <v>8149617</v>
      </c>
      <c r="D857" s="11">
        <v>356</v>
      </c>
      <c r="E857">
        <f t="shared" si="235"/>
        <v>356</v>
      </c>
      <c r="F857">
        <f t="shared" si="229"/>
        <v>53947491</v>
      </c>
      <c r="G857">
        <f t="shared" si="230"/>
        <v>5394.7491</v>
      </c>
      <c r="H857">
        <f t="shared" si="233"/>
        <v>356000000</v>
      </c>
      <c r="I857">
        <f t="shared" si="232"/>
        <v>170880000</v>
      </c>
      <c r="K857">
        <f t="shared" si="234"/>
        <v>732686720</v>
      </c>
      <c r="L857">
        <f t="shared" si="227"/>
        <v>0.485882970555274</v>
      </c>
      <c r="M857">
        <f t="shared" si="231"/>
        <v>116044599</v>
      </c>
      <c r="N857">
        <f t="shared" si="223"/>
        <v>915277538</v>
      </c>
      <c r="O857">
        <f t="shared" si="236"/>
        <v>0.596481249983186</v>
      </c>
    </row>
    <row r="858" ht="13.85" spans="1:15">
      <c r="A858" s="43">
        <v>39708</v>
      </c>
      <c r="B858" s="11">
        <v>76183440</v>
      </c>
      <c r="C858" s="11">
        <v>5964993</v>
      </c>
      <c r="D858" s="11">
        <v>307</v>
      </c>
      <c r="E858">
        <f t="shared" si="235"/>
        <v>307</v>
      </c>
      <c r="F858">
        <f t="shared" si="229"/>
        <v>38091720</v>
      </c>
      <c r="G858">
        <f t="shared" si="230"/>
        <v>3809.172</v>
      </c>
      <c r="H858">
        <f t="shared" si="233"/>
        <v>307000000</v>
      </c>
      <c r="I858">
        <f t="shared" si="232"/>
        <v>147360000</v>
      </c>
      <c r="K858">
        <f t="shared" si="234"/>
        <v>656503280</v>
      </c>
      <c r="L858">
        <f t="shared" si="227"/>
        <v>0.467629042158022</v>
      </c>
      <c r="M858">
        <f t="shared" si="231"/>
        <v>82148433</v>
      </c>
      <c r="N858">
        <f t="shared" si="223"/>
        <v>799232939</v>
      </c>
      <c r="O858">
        <f t="shared" si="236"/>
        <v>0.335406887925433</v>
      </c>
    </row>
    <row r="859" ht="13.85" spans="1:15">
      <c r="A859" s="43">
        <v>39585</v>
      </c>
      <c r="B859" s="11">
        <v>57610230</v>
      </c>
      <c r="C859" s="11">
        <v>5000291</v>
      </c>
      <c r="D859" s="11">
        <v>286</v>
      </c>
      <c r="E859">
        <f t="shared" si="235"/>
        <v>286</v>
      </c>
      <c r="F859">
        <f t="shared" si="229"/>
        <v>28805115</v>
      </c>
      <c r="G859">
        <f t="shared" si="230"/>
        <v>2880.5115</v>
      </c>
      <c r="H859">
        <f t="shared" si="233"/>
        <v>286000000</v>
      </c>
      <c r="I859">
        <f t="shared" si="232"/>
        <v>137280000</v>
      </c>
      <c r="K859">
        <f t="shared" si="234"/>
        <v>598893050</v>
      </c>
      <c r="L859">
        <f t="shared" si="227"/>
        <v>0.477547702381919</v>
      </c>
      <c r="M859">
        <f t="shared" si="231"/>
        <v>62610521</v>
      </c>
      <c r="N859">
        <f t="shared" si="223"/>
        <v>717084506</v>
      </c>
      <c r="O859">
        <f t="shared" si="236"/>
        <v>0.549024723461737</v>
      </c>
    </row>
    <row r="860" ht="13.85" spans="1:15">
      <c r="A860" s="43">
        <v>39495</v>
      </c>
      <c r="B860" s="11">
        <v>41757190</v>
      </c>
      <c r="C860" s="11">
        <v>3778100</v>
      </c>
      <c r="D860" s="11">
        <v>261</v>
      </c>
      <c r="E860">
        <f t="shared" si="235"/>
        <v>261</v>
      </c>
      <c r="F860">
        <f t="shared" si="229"/>
        <v>20878595</v>
      </c>
      <c r="G860">
        <f t="shared" si="230"/>
        <v>2087.8595</v>
      </c>
      <c r="H860">
        <f t="shared" si="233"/>
        <v>261000000</v>
      </c>
      <c r="I860">
        <f t="shared" si="232"/>
        <v>125280000</v>
      </c>
      <c r="K860">
        <f t="shared" si="234"/>
        <v>557135860</v>
      </c>
      <c r="L860">
        <f t="shared" si="227"/>
        <v>0.468467421931879</v>
      </c>
      <c r="M860">
        <f t="shared" si="231"/>
        <v>45535290</v>
      </c>
      <c r="N860">
        <f t="shared" si="223"/>
        <v>654473985</v>
      </c>
      <c r="O860">
        <f t="shared" si="236"/>
        <v>0.474093903650198</v>
      </c>
    </row>
    <row r="861" ht="13.9" spans="1:15">
      <c r="A861" s="42" t="s">
        <v>628</v>
      </c>
      <c r="B861" s="11">
        <v>42451532</v>
      </c>
      <c r="C861" s="11">
        <v>3952777</v>
      </c>
      <c r="D861" s="11">
        <v>239</v>
      </c>
      <c r="E861">
        <f t="shared" si="235"/>
        <v>239</v>
      </c>
      <c r="F861">
        <f t="shared" si="229"/>
        <v>21225766</v>
      </c>
      <c r="G861">
        <f t="shared" si="230"/>
        <v>2122.5766</v>
      </c>
      <c r="H861">
        <f t="shared" si="233"/>
        <v>239000000</v>
      </c>
      <c r="I861">
        <f t="shared" si="232"/>
        <v>114720000</v>
      </c>
      <c r="K861">
        <f t="shared" si="234"/>
        <v>514684328</v>
      </c>
      <c r="L861">
        <f t="shared" si="227"/>
        <v>0.464362303256298</v>
      </c>
      <c r="M861">
        <f t="shared" si="231"/>
        <v>46404309</v>
      </c>
      <c r="N861">
        <f t="shared" si="223"/>
        <v>608938695</v>
      </c>
      <c r="O861">
        <f t="shared" si="236"/>
        <v>0.475336324216199</v>
      </c>
    </row>
    <row r="862" ht="13.9" spans="1:15">
      <c r="A862" s="42" t="s">
        <v>629</v>
      </c>
      <c r="B862" s="11">
        <v>36596148</v>
      </c>
      <c r="C862" s="11">
        <v>3375550</v>
      </c>
      <c r="D862" s="11">
        <v>220</v>
      </c>
      <c r="E862">
        <f t="shared" si="235"/>
        <v>220</v>
      </c>
      <c r="F862">
        <f t="shared" si="229"/>
        <v>18298074</v>
      </c>
      <c r="G862">
        <f t="shared" si="230"/>
        <v>1829.8074</v>
      </c>
      <c r="H862">
        <f t="shared" si="233"/>
        <v>220000000</v>
      </c>
      <c r="I862">
        <f t="shared" si="232"/>
        <v>105600000</v>
      </c>
      <c r="K862">
        <f t="shared" si="234"/>
        <v>478088180</v>
      </c>
      <c r="L862">
        <f t="shared" si="227"/>
        <v>0.460166155958928</v>
      </c>
      <c r="M862">
        <f t="shared" si="231"/>
        <v>39971698</v>
      </c>
      <c r="N862">
        <f t="shared" si="223"/>
        <v>562534386</v>
      </c>
      <c r="O862">
        <f t="shared" si="236"/>
        <v>0.361730809577667</v>
      </c>
    </row>
    <row r="863" ht="13.9" spans="1:15">
      <c r="A863" s="42" t="s">
        <v>630</v>
      </c>
      <c r="B863" s="11">
        <v>37852066</v>
      </c>
      <c r="C863" s="11">
        <v>3615234</v>
      </c>
      <c r="D863" s="11">
        <v>205</v>
      </c>
      <c r="E863">
        <f t="shared" si="235"/>
        <v>205</v>
      </c>
      <c r="F863">
        <f t="shared" si="229"/>
        <v>18926033</v>
      </c>
      <c r="G863">
        <f t="shared" si="230"/>
        <v>1892.6033</v>
      </c>
      <c r="H863">
        <f t="shared" si="233"/>
        <v>205000000</v>
      </c>
      <c r="I863">
        <f t="shared" si="232"/>
        <v>98400000</v>
      </c>
      <c r="K863">
        <f t="shared" si="234"/>
        <v>440236114</v>
      </c>
      <c r="L863">
        <f t="shared" ref="L863:L892" si="237">IF(E863&gt;E864,H863/K863,0)</f>
        <v>0.465659207595132</v>
      </c>
      <c r="M863">
        <f t="shared" si="231"/>
        <v>41467300</v>
      </c>
      <c r="N863">
        <f t="shared" ref="N863:N926" si="238">IF(H863&lt;H864,M863+M864,M863+N864)</f>
        <v>522562688</v>
      </c>
      <c r="O863">
        <f t="shared" si="236"/>
        <v>0.511833563554175</v>
      </c>
    </row>
    <row r="864" ht="13.9" spans="1:15">
      <c r="A864" s="42" t="s">
        <v>631</v>
      </c>
      <c r="B864" s="11">
        <v>32074744</v>
      </c>
      <c r="C864" s="11">
        <v>3092938</v>
      </c>
      <c r="D864" s="11">
        <v>187</v>
      </c>
      <c r="E864">
        <f t="shared" si="235"/>
        <v>187</v>
      </c>
      <c r="F864">
        <f t="shared" si="229"/>
        <v>16037372</v>
      </c>
      <c r="G864">
        <f t="shared" si="230"/>
        <v>1603.7372</v>
      </c>
      <c r="H864">
        <f t="shared" si="233"/>
        <v>187000000</v>
      </c>
      <c r="I864">
        <f t="shared" si="232"/>
        <v>89760000</v>
      </c>
      <c r="K864">
        <f t="shared" si="234"/>
        <v>408161370</v>
      </c>
      <c r="L864">
        <f t="shared" si="237"/>
        <v>0.458152127429404</v>
      </c>
      <c r="M864">
        <f t="shared" si="231"/>
        <v>35167682</v>
      </c>
      <c r="N864">
        <f t="shared" si="238"/>
        <v>481095388</v>
      </c>
      <c r="O864">
        <f t="shared" si="236"/>
        <v>0.397749965568111</v>
      </c>
    </row>
    <row r="865" ht="13.9" spans="1:15">
      <c r="A865" s="42" t="s">
        <v>632</v>
      </c>
      <c r="B865" s="11">
        <v>34337890</v>
      </c>
      <c r="C865" s="11">
        <v>3374244</v>
      </c>
      <c r="D865" s="11">
        <v>172</v>
      </c>
      <c r="E865">
        <f t="shared" si="235"/>
        <v>172</v>
      </c>
      <c r="F865">
        <f t="shared" si="229"/>
        <v>17168945</v>
      </c>
      <c r="G865">
        <f t="shared" si="230"/>
        <v>1716.8945</v>
      </c>
      <c r="H865">
        <f t="shared" si="233"/>
        <v>172000000</v>
      </c>
      <c r="I865">
        <f t="shared" si="232"/>
        <v>82560000</v>
      </c>
      <c r="K865">
        <f t="shared" si="234"/>
        <v>373823480</v>
      </c>
      <c r="L865">
        <f t="shared" si="237"/>
        <v>0.460110210305677</v>
      </c>
      <c r="M865">
        <f t="shared" si="231"/>
        <v>37712134</v>
      </c>
      <c r="N865">
        <f t="shared" si="238"/>
        <v>445927706</v>
      </c>
      <c r="O865">
        <f t="shared" si="236"/>
        <v>0.514124528037464</v>
      </c>
    </row>
    <row r="866" ht="13.85" spans="1:15">
      <c r="A866" s="43">
        <v>39433</v>
      </c>
      <c r="B866" s="11">
        <v>30129106</v>
      </c>
      <c r="C866" s="11">
        <v>2936813</v>
      </c>
      <c r="D866" s="11">
        <v>155</v>
      </c>
      <c r="E866">
        <f t="shared" si="235"/>
        <v>155</v>
      </c>
      <c r="F866">
        <f t="shared" si="229"/>
        <v>15064553</v>
      </c>
      <c r="G866">
        <f t="shared" si="230"/>
        <v>1506.4553</v>
      </c>
      <c r="H866">
        <f t="shared" si="233"/>
        <v>155000000</v>
      </c>
      <c r="I866">
        <f t="shared" si="232"/>
        <v>74400000</v>
      </c>
      <c r="K866">
        <f t="shared" si="234"/>
        <v>343694374</v>
      </c>
      <c r="L866">
        <f t="shared" si="237"/>
        <v>0.450982069319529</v>
      </c>
      <c r="M866">
        <f t="shared" si="231"/>
        <v>33065919</v>
      </c>
      <c r="N866">
        <f t="shared" si="238"/>
        <v>408215572</v>
      </c>
      <c r="O866">
        <f t="shared" si="236"/>
        <v>0.429376226835224</v>
      </c>
    </row>
    <row r="867" ht="13.85" spans="1:15">
      <c r="A867" s="43">
        <v>39311</v>
      </c>
      <c r="B867" s="11">
        <v>31734290</v>
      </c>
      <c r="C867" s="11">
        <v>3200108</v>
      </c>
      <c r="D867" s="11">
        <v>140</v>
      </c>
      <c r="E867">
        <f t="shared" si="235"/>
        <v>140</v>
      </c>
      <c r="F867">
        <f t="shared" si="229"/>
        <v>15867145</v>
      </c>
      <c r="G867">
        <f t="shared" si="230"/>
        <v>1586.7145</v>
      </c>
      <c r="H867">
        <f t="shared" si="233"/>
        <v>140000000</v>
      </c>
      <c r="I867">
        <f t="shared" si="232"/>
        <v>67200000</v>
      </c>
      <c r="K867">
        <f t="shared" si="234"/>
        <v>311960084</v>
      </c>
      <c r="L867">
        <f t="shared" si="237"/>
        <v>0.448775363196786</v>
      </c>
      <c r="M867">
        <f t="shared" si="231"/>
        <v>34934398</v>
      </c>
      <c r="N867">
        <f t="shared" si="238"/>
        <v>375149653</v>
      </c>
      <c r="O867">
        <f t="shared" si="236"/>
        <v>0.661000914720897</v>
      </c>
    </row>
    <row r="868" ht="13.85" spans="1:15">
      <c r="A868" s="43">
        <v>39219</v>
      </c>
      <c r="B868" s="11">
        <v>26095178</v>
      </c>
      <c r="C868" s="11">
        <v>2649109</v>
      </c>
      <c r="D868" s="11">
        <v>121</v>
      </c>
      <c r="E868">
        <f t="shared" si="235"/>
        <v>121</v>
      </c>
      <c r="F868">
        <f t="shared" si="229"/>
        <v>13047589</v>
      </c>
      <c r="G868">
        <f t="shared" si="230"/>
        <v>1304.7589</v>
      </c>
      <c r="H868">
        <f t="shared" si="233"/>
        <v>121000000</v>
      </c>
      <c r="I868">
        <f t="shared" si="232"/>
        <v>58080000</v>
      </c>
      <c r="K868">
        <f t="shared" si="234"/>
        <v>285864906</v>
      </c>
      <c r="L868">
        <f t="shared" si="237"/>
        <v>0.423276860714061</v>
      </c>
      <c r="M868">
        <f t="shared" si="231"/>
        <v>28744287</v>
      </c>
      <c r="N868">
        <f t="shared" si="238"/>
        <v>340215255</v>
      </c>
      <c r="O868">
        <f t="shared" si="236"/>
        <v>0.459553839397698</v>
      </c>
    </row>
    <row r="869" ht="13.85" spans="1:15">
      <c r="A869" s="43">
        <v>39099</v>
      </c>
      <c r="B869" s="11">
        <v>29542492</v>
      </c>
      <c r="C869" s="11">
        <v>3097862</v>
      </c>
      <c r="D869" s="11">
        <v>106</v>
      </c>
      <c r="E869">
        <f t="shared" si="235"/>
        <v>106</v>
      </c>
      <c r="F869">
        <f t="shared" si="229"/>
        <v>14771246</v>
      </c>
      <c r="G869">
        <f t="shared" si="230"/>
        <v>1477.1246</v>
      </c>
      <c r="H869">
        <f t="shared" si="233"/>
        <v>106000000</v>
      </c>
      <c r="I869">
        <f t="shared" si="232"/>
        <v>50880000</v>
      </c>
      <c r="K869">
        <f t="shared" si="234"/>
        <v>256322414</v>
      </c>
      <c r="L869">
        <f t="shared" si="237"/>
        <v>0.413541673339578</v>
      </c>
      <c r="M869">
        <f t="shared" si="231"/>
        <v>32640354</v>
      </c>
      <c r="N869">
        <f t="shared" si="238"/>
        <v>311470968</v>
      </c>
      <c r="O869">
        <f t="shared" si="236"/>
        <v>0.515692960389587</v>
      </c>
    </row>
    <row r="870" ht="13.9" spans="1:15">
      <c r="A870" s="42" t="s">
        <v>633</v>
      </c>
      <c r="B870" s="11">
        <v>24563314</v>
      </c>
      <c r="C870" s="11">
        <v>2584623</v>
      </c>
      <c r="D870" s="11">
        <v>92</v>
      </c>
      <c r="E870">
        <f t="shared" si="235"/>
        <v>92</v>
      </c>
      <c r="F870">
        <f t="shared" si="229"/>
        <v>12281657</v>
      </c>
      <c r="G870">
        <f t="shared" si="230"/>
        <v>1228.1657</v>
      </c>
      <c r="H870">
        <f t="shared" si="233"/>
        <v>92000000</v>
      </c>
      <c r="I870">
        <f t="shared" si="232"/>
        <v>44160000</v>
      </c>
      <c r="K870">
        <f t="shared" si="234"/>
        <v>231759100</v>
      </c>
      <c r="L870">
        <f t="shared" si="237"/>
        <v>0.396963916411481</v>
      </c>
      <c r="M870">
        <f t="shared" si="231"/>
        <v>27147937</v>
      </c>
      <c r="N870">
        <f t="shared" si="238"/>
        <v>278830614</v>
      </c>
      <c r="O870">
        <f t="shared" si="236"/>
        <v>0.449078799476954</v>
      </c>
    </row>
    <row r="871" ht="13.9" spans="1:15">
      <c r="A871" s="42" t="s">
        <v>634</v>
      </c>
      <c r="B871" s="11">
        <v>26136296</v>
      </c>
      <c r="C871" s="11">
        <v>2811853</v>
      </c>
      <c r="D871" s="11">
        <v>79</v>
      </c>
      <c r="E871">
        <f t="shared" si="235"/>
        <v>79</v>
      </c>
      <c r="F871">
        <f t="shared" si="229"/>
        <v>13068148</v>
      </c>
      <c r="G871">
        <f t="shared" si="230"/>
        <v>1306.8148</v>
      </c>
      <c r="H871">
        <f t="shared" si="233"/>
        <v>79000000</v>
      </c>
      <c r="I871">
        <f t="shared" si="232"/>
        <v>37920000</v>
      </c>
      <c r="K871">
        <f t="shared" si="234"/>
        <v>205622804</v>
      </c>
      <c r="L871">
        <f t="shared" si="237"/>
        <v>0.384198631976636</v>
      </c>
      <c r="M871">
        <f t="shared" si="231"/>
        <v>28948149</v>
      </c>
      <c r="N871">
        <f t="shared" si="238"/>
        <v>251682677</v>
      </c>
      <c r="O871">
        <f t="shared" ref="O871:O893" si="239">IF(H871&gt;H872,(H871-H872)/M872,0)</f>
        <v>0.590616288409746</v>
      </c>
    </row>
    <row r="872" ht="13.9" spans="1:15">
      <c r="A872" s="42" t="s">
        <v>635</v>
      </c>
      <c r="B872" s="11">
        <v>22935404</v>
      </c>
      <c r="C872" s="11">
        <v>2461796</v>
      </c>
      <c r="D872" s="11">
        <v>64</v>
      </c>
      <c r="E872">
        <f t="shared" si="235"/>
        <v>64</v>
      </c>
      <c r="F872">
        <f t="shared" si="229"/>
        <v>11467702</v>
      </c>
      <c r="G872">
        <f t="shared" si="230"/>
        <v>1146.7702</v>
      </c>
      <c r="H872">
        <f t="shared" si="233"/>
        <v>64000000</v>
      </c>
      <c r="I872">
        <f t="shared" si="232"/>
        <v>30720000</v>
      </c>
      <c r="K872">
        <f t="shared" si="234"/>
        <v>182687400</v>
      </c>
      <c r="L872">
        <f t="shared" si="237"/>
        <v>0.350325200314855</v>
      </c>
      <c r="M872">
        <f t="shared" si="231"/>
        <v>25397200</v>
      </c>
      <c r="N872">
        <f t="shared" si="238"/>
        <v>222734528</v>
      </c>
      <c r="O872">
        <f t="shared" si="239"/>
        <v>0.423773734772309</v>
      </c>
    </row>
    <row r="873" ht="13.9" spans="1:15">
      <c r="A873" s="42" t="s">
        <v>636</v>
      </c>
      <c r="B873" s="11">
        <v>25546894</v>
      </c>
      <c r="C873" s="11">
        <v>2770104</v>
      </c>
      <c r="D873" s="11">
        <v>52</v>
      </c>
      <c r="E873">
        <f t="shared" si="235"/>
        <v>52</v>
      </c>
      <c r="F873">
        <f t="shared" si="229"/>
        <v>12773447</v>
      </c>
      <c r="G873">
        <f t="shared" si="230"/>
        <v>1277.3447</v>
      </c>
      <c r="H873">
        <f t="shared" si="233"/>
        <v>52000000</v>
      </c>
      <c r="I873">
        <f t="shared" si="232"/>
        <v>24960000</v>
      </c>
      <c r="K873">
        <f t="shared" si="234"/>
        <v>157140506</v>
      </c>
      <c r="L873">
        <f t="shared" si="237"/>
        <v>0.330914041984821</v>
      </c>
      <c r="M873">
        <f t="shared" si="231"/>
        <v>28316998</v>
      </c>
      <c r="N873">
        <f t="shared" si="238"/>
        <v>197337328</v>
      </c>
      <c r="O873">
        <f t="shared" si="239"/>
        <v>0.471515882698165</v>
      </c>
    </row>
    <row r="874" ht="13.9" spans="1:15">
      <c r="A874" s="42" t="s">
        <v>637</v>
      </c>
      <c r="B874" s="11">
        <v>23023054</v>
      </c>
      <c r="C874" s="11">
        <v>2426778</v>
      </c>
      <c r="D874" s="11">
        <v>40</v>
      </c>
      <c r="E874">
        <f t="shared" si="235"/>
        <v>40</v>
      </c>
      <c r="F874">
        <f t="shared" si="229"/>
        <v>11511527</v>
      </c>
      <c r="G874">
        <f t="shared" si="230"/>
        <v>1151.1527</v>
      </c>
      <c r="H874">
        <f t="shared" si="233"/>
        <v>40000000</v>
      </c>
      <c r="I874">
        <f t="shared" si="232"/>
        <v>19200000</v>
      </c>
      <c r="K874">
        <f t="shared" si="234"/>
        <v>134117452</v>
      </c>
      <c r="L874">
        <f t="shared" si="237"/>
        <v>0</v>
      </c>
      <c r="M874">
        <f t="shared" si="231"/>
        <v>25449832</v>
      </c>
      <c r="N874">
        <f t="shared" si="238"/>
        <v>169020330</v>
      </c>
      <c r="O874">
        <f t="shared" si="239"/>
        <v>0</v>
      </c>
    </row>
    <row r="875" ht="13.85" spans="1:15">
      <c r="A875" s="43">
        <v>39007</v>
      </c>
      <c r="B875" s="11">
        <v>134117452</v>
      </c>
      <c r="C875" s="11">
        <v>9453046</v>
      </c>
      <c r="D875" s="11">
        <v>448.7</v>
      </c>
      <c r="E875">
        <f t="shared" si="235"/>
        <v>448.7</v>
      </c>
      <c r="F875">
        <f t="shared" si="229"/>
        <v>67058726</v>
      </c>
      <c r="G875">
        <f t="shared" si="230"/>
        <v>6705.8726</v>
      </c>
      <c r="H875">
        <f t="shared" si="233"/>
        <v>448700000</v>
      </c>
      <c r="I875">
        <f t="shared" si="232"/>
        <v>215376000</v>
      </c>
      <c r="K875">
        <f t="shared" si="234"/>
        <v>793165002</v>
      </c>
      <c r="L875">
        <f t="shared" si="237"/>
        <v>0.565708268605629</v>
      </c>
      <c r="M875">
        <f t="shared" si="231"/>
        <v>143570498</v>
      </c>
      <c r="N875">
        <f t="shared" si="238"/>
        <v>1007609279</v>
      </c>
      <c r="O875">
        <f t="shared" si="239"/>
        <v>0.770019144744646</v>
      </c>
    </row>
    <row r="876" ht="13.85" spans="1:15">
      <c r="A876" s="43">
        <v>38915</v>
      </c>
      <c r="B876" s="11">
        <v>89237106</v>
      </c>
      <c r="C876" s="11">
        <v>6474800</v>
      </c>
      <c r="D876" s="11">
        <v>375</v>
      </c>
      <c r="E876">
        <f t="shared" si="235"/>
        <v>375</v>
      </c>
      <c r="F876">
        <f t="shared" si="229"/>
        <v>44618553</v>
      </c>
      <c r="G876">
        <f t="shared" si="230"/>
        <v>4461.8553</v>
      </c>
      <c r="H876">
        <f t="shared" si="233"/>
        <v>375000000</v>
      </c>
      <c r="I876">
        <f t="shared" si="232"/>
        <v>180000000</v>
      </c>
      <c r="K876">
        <f t="shared" si="234"/>
        <v>703927896</v>
      </c>
      <c r="L876">
        <f t="shared" si="237"/>
        <v>0.532725016483791</v>
      </c>
      <c r="M876">
        <f t="shared" si="231"/>
        <v>95711906</v>
      </c>
      <c r="N876">
        <f t="shared" si="238"/>
        <v>864038781</v>
      </c>
      <c r="O876">
        <f t="shared" si="239"/>
        <v>0.45563723439182</v>
      </c>
    </row>
    <row r="877" ht="13.85" spans="1:15">
      <c r="A877" s="43">
        <v>38793</v>
      </c>
      <c r="B877" s="11">
        <v>77393730</v>
      </c>
      <c r="C877" s="11">
        <v>6005951</v>
      </c>
      <c r="D877" s="11">
        <v>337</v>
      </c>
      <c r="E877">
        <f t="shared" si="235"/>
        <v>337</v>
      </c>
      <c r="F877">
        <f t="shared" si="229"/>
        <v>38696865</v>
      </c>
      <c r="G877">
        <f t="shared" si="230"/>
        <v>3869.6865</v>
      </c>
      <c r="H877">
        <f t="shared" si="233"/>
        <v>337000000</v>
      </c>
      <c r="I877">
        <f t="shared" si="232"/>
        <v>161760000</v>
      </c>
      <c r="K877">
        <f t="shared" si="234"/>
        <v>626534166</v>
      </c>
      <c r="L877">
        <f t="shared" si="237"/>
        <v>0.537879685239703</v>
      </c>
      <c r="M877">
        <f t="shared" si="231"/>
        <v>83399681</v>
      </c>
      <c r="N877">
        <f t="shared" si="238"/>
        <v>768326875</v>
      </c>
      <c r="O877">
        <f t="shared" si="239"/>
        <v>0.526418722145023</v>
      </c>
    </row>
    <row r="878" ht="13.9" spans="1:15">
      <c r="A878" s="42" t="s">
        <v>638</v>
      </c>
      <c r="B878" s="11">
        <v>61706222</v>
      </c>
      <c r="C878" s="11">
        <v>4780775</v>
      </c>
      <c r="D878" s="11">
        <v>302</v>
      </c>
      <c r="E878">
        <f t="shared" si="235"/>
        <v>302</v>
      </c>
      <c r="F878">
        <f t="shared" si="229"/>
        <v>30853111</v>
      </c>
      <c r="G878">
        <f t="shared" si="230"/>
        <v>3085.3111</v>
      </c>
      <c r="H878">
        <f t="shared" si="233"/>
        <v>302000000</v>
      </c>
      <c r="I878">
        <f t="shared" si="232"/>
        <v>144960000</v>
      </c>
      <c r="K878">
        <f t="shared" si="234"/>
        <v>564827944</v>
      </c>
      <c r="L878">
        <f t="shared" si="237"/>
        <v>0.534676095982957</v>
      </c>
      <c r="M878">
        <f t="shared" si="231"/>
        <v>66486997</v>
      </c>
      <c r="N878">
        <f t="shared" si="238"/>
        <v>684927194</v>
      </c>
      <c r="O878">
        <f t="shared" si="239"/>
        <v>0.461991592369008</v>
      </c>
    </row>
    <row r="879" ht="13.9" spans="1:15">
      <c r="A879" s="42" t="s">
        <v>639</v>
      </c>
      <c r="B879" s="11">
        <v>53974574</v>
      </c>
      <c r="C879" s="11">
        <v>4468048</v>
      </c>
      <c r="D879" s="11">
        <v>275</v>
      </c>
      <c r="E879">
        <f t="shared" si="235"/>
        <v>275</v>
      </c>
      <c r="F879">
        <f t="shared" si="229"/>
        <v>26987287</v>
      </c>
      <c r="G879">
        <f t="shared" si="230"/>
        <v>2698.7287</v>
      </c>
      <c r="H879">
        <f t="shared" si="233"/>
        <v>275000000</v>
      </c>
      <c r="I879">
        <f t="shared" si="232"/>
        <v>132000000</v>
      </c>
      <c r="K879">
        <f t="shared" si="234"/>
        <v>510853370</v>
      </c>
      <c r="L879">
        <f t="shared" si="237"/>
        <v>0.538314937611158</v>
      </c>
      <c r="M879">
        <f t="shared" si="231"/>
        <v>58442622</v>
      </c>
      <c r="N879">
        <f t="shared" si="238"/>
        <v>618440197</v>
      </c>
      <c r="O879">
        <f t="shared" si="239"/>
        <v>0.488104397955342</v>
      </c>
    </row>
    <row r="880" ht="13.9" spans="1:15">
      <c r="A880" s="42" t="s">
        <v>640</v>
      </c>
      <c r="B880" s="11">
        <v>47345376</v>
      </c>
      <c r="C880" s="11">
        <v>3873175</v>
      </c>
      <c r="D880" s="11">
        <v>250</v>
      </c>
      <c r="E880">
        <f t="shared" si="235"/>
        <v>250</v>
      </c>
      <c r="F880">
        <f t="shared" si="229"/>
        <v>23672688</v>
      </c>
      <c r="G880">
        <f t="shared" si="230"/>
        <v>2367.2688</v>
      </c>
      <c r="H880">
        <f t="shared" si="233"/>
        <v>250000000</v>
      </c>
      <c r="I880">
        <f t="shared" si="232"/>
        <v>120000000</v>
      </c>
      <c r="K880">
        <f t="shared" si="234"/>
        <v>463507994</v>
      </c>
      <c r="L880">
        <f t="shared" si="237"/>
        <v>0.539365023335498</v>
      </c>
      <c r="M880">
        <f t="shared" si="231"/>
        <v>51218551</v>
      </c>
      <c r="N880">
        <f t="shared" si="238"/>
        <v>559997575</v>
      </c>
      <c r="O880">
        <f t="shared" si="239"/>
        <v>0.431811582862866</v>
      </c>
    </row>
    <row r="881" ht="13.9" spans="1:15">
      <c r="A881" s="42" t="s">
        <v>641</v>
      </c>
      <c r="B881" s="11">
        <v>46889334</v>
      </c>
      <c r="C881" s="11">
        <v>4058813</v>
      </c>
      <c r="D881" s="11">
        <v>228</v>
      </c>
      <c r="E881">
        <f t="shared" si="235"/>
        <v>228</v>
      </c>
      <c r="F881">
        <f t="shared" si="229"/>
        <v>23444667</v>
      </c>
      <c r="G881">
        <f t="shared" si="230"/>
        <v>2344.4667</v>
      </c>
      <c r="H881">
        <f t="shared" si="233"/>
        <v>228000000</v>
      </c>
      <c r="I881">
        <f t="shared" si="232"/>
        <v>109440000</v>
      </c>
      <c r="K881">
        <f t="shared" si="234"/>
        <v>416618660</v>
      </c>
      <c r="L881">
        <f t="shared" si="237"/>
        <v>0.547263053459967</v>
      </c>
      <c r="M881">
        <f t="shared" si="231"/>
        <v>50948147</v>
      </c>
      <c r="N881">
        <f t="shared" si="238"/>
        <v>508779024</v>
      </c>
      <c r="O881">
        <f t="shared" si="239"/>
        <v>0.527013874826036</v>
      </c>
    </row>
    <row r="882" ht="13.9" spans="1:15">
      <c r="A882" s="42" t="s">
        <v>642</v>
      </c>
      <c r="B882" s="11">
        <v>41945038</v>
      </c>
      <c r="C882" s="11">
        <v>3594560</v>
      </c>
      <c r="D882" s="11">
        <v>204</v>
      </c>
      <c r="E882">
        <f t="shared" ref="E882:E917" si="240">IF(RIGHT(D882,1)="B",VALUE(LEFT(D882,LEN(D882)-1))*1000,D882)</f>
        <v>204</v>
      </c>
      <c r="F882">
        <f t="shared" si="229"/>
        <v>20972519</v>
      </c>
      <c r="G882">
        <f t="shared" si="230"/>
        <v>2097.2519</v>
      </c>
      <c r="H882">
        <f t="shared" si="233"/>
        <v>204000000</v>
      </c>
      <c r="I882">
        <f t="shared" si="232"/>
        <v>97920000</v>
      </c>
      <c r="K882">
        <f t="shared" si="234"/>
        <v>374673622</v>
      </c>
      <c r="L882">
        <f t="shared" si="237"/>
        <v>0.544473878121049</v>
      </c>
      <c r="M882">
        <f t="shared" si="231"/>
        <v>45539598</v>
      </c>
      <c r="N882">
        <f t="shared" si="238"/>
        <v>457830877</v>
      </c>
      <c r="O882">
        <f t="shared" si="239"/>
        <v>0.471312048614141</v>
      </c>
    </row>
    <row r="883" ht="13.9" spans="1:15">
      <c r="A883" s="42" t="s">
        <v>643</v>
      </c>
      <c r="B883" s="11">
        <v>38860452</v>
      </c>
      <c r="C883" s="11">
        <v>3574279</v>
      </c>
      <c r="D883" s="11">
        <v>184</v>
      </c>
      <c r="E883">
        <f t="shared" si="240"/>
        <v>184</v>
      </c>
      <c r="F883">
        <f t="shared" si="229"/>
        <v>19430226</v>
      </c>
      <c r="G883">
        <f t="shared" si="230"/>
        <v>1943.0226</v>
      </c>
      <c r="H883">
        <f t="shared" si="233"/>
        <v>184000000</v>
      </c>
      <c r="I883">
        <f t="shared" si="232"/>
        <v>88320000</v>
      </c>
      <c r="K883">
        <f t="shared" si="234"/>
        <v>335813170</v>
      </c>
      <c r="L883">
        <f t="shared" si="237"/>
        <v>0.547923716035318</v>
      </c>
      <c r="M883">
        <f t="shared" si="231"/>
        <v>42434731</v>
      </c>
      <c r="N883">
        <f t="shared" si="238"/>
        <v>412291279</v>
      </c>
      <c r="O883">
        <f t="shared" si="239"/>
        <v>0.506902585888841</v>
      </c>
    </row>
    <row r="884" ht="13.85" spans="1:15">
      <c r="A884" s="43">
        <v>38642</v>
      </c>
      <c r="B884" s="11">
        <v>34333024</v>
      </c>
      <c r="C884" s="11">
        <v>3149523</v>
      </c>
      <c r="D884" s="11">
        <v>165</v>
      </c>
      <c r="E884">
        <f t="shared" si="240"/>
        <v>165</v>
      </c>
      <c r="F884">
        <f t="shared" si="229"/>
        <v>17166512</v>
      </c>
      <c r="G884">
        <f t="shared" si="230"/>
        <v>1716.6512</v>
      </c>
      <c r="H884">
        <f t="shared" si="233"/>
        <v>165000000</v>
      </c>
      <c r="I884">
        <f t="shared" si="232"/>
        <v>79200000</v>
      </c>
      <c r="K884">
        <f t="shared" si="234"/>
        <v>301480146</v>
      </c>
      <c r="L884">
        <f t="shared" si="237"/>
        <v>0.547299721687146</v>
      </c>
      <c r="M884">
        <f t="shared" si="231"/>
        <v>37482547</v>
      </c>
      <c r="N884">
        <f t="shared" si="238"/>
        <v>369856548</v>
      </c>
      <c r="O884">
        <f t="shared" si="239"/>
        <v>0.466497316046567</v>
      </c>
    </row>
    <row r="885" ht="13.85" spans="1:15">
      <c r="A885" s="43">
        <v>38520</v>
      </c>
      <c r="B885" s="11">
        <v>35216844</v>
      </c>
      <c r="C885" s="11">
        <v>3368587</v>
      </c>
      <c r="D885" s="11">
        <v>147</v>
      </c>
      <c r="E885">
        <f t="shared" si="240"/>
        <v>147</v>
      </c>
      <c r="F885">
        <f t="shared" si="229"/>
        <v>17608422</v>
      </c>
      <c r="G885">
        <f t="shared" si="230"/>
        <v>1760.8422</v>
      </c>
      <c r="H885">
        <f t="shared" si="233"/>
        <v>147000000</v>
      </c>
      <c r="I885">
        <f t="shared" si="232"/>
        <v>70560000</v>
      </c>
      <c r="K885">
        <f t="shared" si="234"/>
        <v>266263302</v>
      </c>
      <c r="L885">
        <f t="shared" si="237"/>
        <v>0.552085093574029</v>
      </c>
      <c r="M885">
        <f t="shared" si="231"/>
        <v>38585431</v>
      </c>
      <c r="N885">
        <f t="shared" si="238"/>
        <v>332374001</v>
      </c>
      <c r="O885">
        <f t="shared" si="239"/>
        <v>0.497311097403527</v>
      </c>
    </row>
    <row r="886" ht="13.85" spans="1:15">
      <c r="A886" s="43">
        <v>38428</v>
      </c>
      <c r="B886" s="11">
        <v>31192354</v>
      </c>
      <c r="C886" s="11">
        <v>2991480</v>
      </c>
      <c r="D886" s="11">
        <v>130</v>
      </c>
      <c r="E886">
        <f t="shared" si="240"/>
        <v>130</v>
      </c>
      <c r="F886">
        <f t="shared" si="229"/>
        <v>15596177</v>
      </c>
      <c r="G886">
        <f t="shared" si="230"/>
        <v>1559.6177</v>
      </c>
      <c r="H886">
        <f t="shared" si="233"/>
        <v>130000000</v>
      </c>
      <c r="I886">
        <f t="shared" si="232"/>
        <v>62400000</v>
      </c>
      <c r="K886">
        <f t="shared" si="234"/>
        <v>235070948</v>
      </c>
      <c r="L886">
        <f t="shared" si="237"/>
        <v>0.553024527726838</v>
      </c>
      <c r="M886">
        <f t="shared" si="231"/>
        <v>34183834</v>
      </c>
      <c r="N886">
        <f t="shared" si="238"/>
        <v>293788570</v>
      </c>
      <c r="O886">
        <f t="shared" si="239"/>
        <v>0.485684839336312</v>
      </c>
    </row>
    <row r="887" ht="13.9" spans="1:15">
      <c r="A887" s="42" t="s">
        <v>644</v>
      </c>
      <c r="B887" s="11">
        <v>31809628</v>
      </c>
      <c r="C887" s="11">
        <v>3192494</v>
      </c>
      <c r="D887" s="11">
        <v>113</v>
      </c>
      <c r="E887">
        <f t="shared" si="240"/>
        <v>113</v>
      </c>
      <c r="F887">
        <f t="shared" si="229"/>
        <v>15904814</v>
      </c>
      <c r="G887">
        <f t="shared" si="230"/>
        <v>1590.4814</v>
      </c>
      <c r="H887">
        <f t="shared" si="233"/>
        <v>113000000</v>
      </c>
      <c r="I887">
        <f t="shared" si="232"/>
        <v>54240000</v>
      </c>
      <c r="K887">
        <f t="shared" si="234"/>
        <v>203261320</v>
      </c>
      <c r="L887">
        <f t="shared" si="237"/>
        <v>0.555934596902155</v>
      </c>
      <c r="M887">
        <f t="shared" si="231"/>
        <v>35002122</v>
      </c>
      <c r="N887">
        <f t="shared" si="238"/>
        <v>259604736</v>
      </c>
      <c r="O887">
        <f t="shared" si="239"/>
        <v>0.41620076192913</v>
      </c>
    </row>
    <row r="888" ht="13.9" spans="1:15">
      <c r="A888" s="42" t="s">
        <v>645</v>
      </c>
      <c r="B888" s="11">
        <v>28452234</v>
      </c>
      <c r="C888" s="11">
        <v>2782692</v>
      </c>
      <c r="D888" s="11">
        <v>100</v>
      </c>
      <c r="E888">
        <f t="shared" si="240"/>
        <v>100</v>
      </c>
      <c r="F888">
        <f t="shared" si="229"/>
        <v>14226117</v>
      </c>
      <c r="G888">
        <f t="shared" si="230"/>
        <v>1422.6117</v>
      </c>
      <c r="H888">
        <f t="shared" si="233"/>
        <v>100000000</v>
      </c>
      <c r="I888">
        <f t="shared" si="232"/>
        <v>48000000</v>
      </c>
      <c r="K888">
        <f t="shared" si="234"/>
        <v>174809086</v>
      </c>
      <c r="L888">
        <f t="shared" si="237"/>
        <v>0.57205264490657</v>
      </c>
      <c r="M888">
        <f t="shared" si="231"/>
        <v>31234926</v>
      </c>
      <c r="N888">
        <f t="shared" si="238"/>
        <v>224602614</v>
      </c>
      <c r="O888">
        <f t="shared" si="239"/>
        <v>0.323353501753514</v>
      </c>
    </row>
    <row r="889" ht="13.9" spans="1:15">
      <c r="A889" s="42" t="s">
        <v>646</v>
      </c>
      <c r="B889" s="11">
        <v>28016384</v>
      </c>
      <c r="C889" s="11">
        <v>2909522</v>
      </c>
      <c r="D889" s="11">
        <v>90</v>
      </c>
      <c r="E889">
        <f t="shared" si="240"/>
        <v>90</v>
      </c>
      <c r="F889">
        <f t="shared" si="229"/>
        <v>14008192</v>
      </c>
      <c r="G889">
        <f t="shared" si="230"/>
        <v>1400.8192</v>
      </c>
      <c r="H889">
        <f t="shared" si="233"/>
        <v>90000000</v>
      </c>
      <c r="I889">
        <f t="shared" si="232"/>
        <v>43200000</v>
      </c>
      <c r="K889">
        <f t="shared" si="234"/>
        <v>146792702</v>
      </c>
      <c r="L889">
        <f t="shared" si="237"/>
        <v>0.613109499135727</v>
      </c>
      <c r="M889">
        <f t="shared" si="231"/>
        <v>30925906</v>
      </c>
      <c r="N889">
        <f t="shared" si="238"/>
        <v>193367688</v>
      </c>
      <c r="O889">
        <f t="shared" si="239"/>
        <v>0.37472474125725</v>
      </c>
    </row>
    <row r="890" ht="13.9" spans="1:15">
      <c r="A890" s="42" t="s">
        <v>647</v>
      </c>
      <c r="B890" s="11">
        <v>24172228</v>
      </c>
      <c r="C890" s="11">
        <v>2514027</v>
      </c>
      <c r="D890" s="11">
        <v>80</v>
      </c>
      <c r="E890">
        <f t="shared" si="240"/>
        <v>80</v>
      </c>
      <c r="F890">
        <f t="shared" si="229"/>
        <v>12086114</v>
      </c>
      <c r="G890">
        <f t="shared" si="230"/>
        <v>1208.6114</v>
      </c>
      <c r="H890">
        <f t="shared" si="233"/>
        <v>80000000</v>
      </c>
      <c r="I890">
        <f t="shared" si="232"/>
        <v>38400000</v>
      </c>
      <c r="K890">
        <f t="shared" si="234"/>
        <v>122620474</v>
      </c>
      <c r="L890">
        <f t="shared" si="237"/>
        <v>0.652419595115902</v>
      </c>
      <c r="M890">
        <f t="shared" si="231"/>
        <v>26686255</v>
      </c>
      <c r="N890">
        <f t="shared" si="238"/>
        <v>162441782</v>
      </c>
      <c r="O890">
        <f t="shared" si="239"/>
        <v>0.340279758962152</v>
      </c>
    </row>
    <row r="891" ht="13.9" spans="1:15">
      <c r="A891" s="42" t="s">
        <v>648</v>
      </c>
      <c r="B891" s="11">
        <v>26616188</v>
      </c>
      <c r="C891" s="11">
        <v>2771396</v>
      </c>
      <c r="D891" s="11">
        <v>70</v>
      </c>
      <c r="E891">
        <f t="shared" si="240"/>
        <v>70</v>
      </c>
      <c r="F891">
        <f t="shared" si="229"/>
        <v>13308094</v>
      </c>
      <c r="G891">
        <f t="shared" si="230"/>
        <v>1330.8094</v>
      </c>
      <c r="H891">
        <f t="shared" si="233"/>
        <v>70000000</v>
      </c>
      <c r="I891">
        <f t="shared" si="232"/>
        <v>33600000</v>
      </c>
      <c r="K891">
        <f t="shared" si="234"/>
        <v>96004286</v>
      </c>
      <c r="L891">
        <f t="shared" si="237"/>
        <v>0.729134113866541</v>
      </c>
      <c r="M891">
        <f t="shared" si="231"/>
        <v>29387584</v>
      </c>
      <c r="N891">
        <f t="shared" si="238"/>
        <v>135755527</v>
      </c>
      <c r="O891">
        <f t="shared" si="239"/>
        <v>0.392308309137064</v>
      </c>
    </row>
    <row r="892" ht="13.85" spans="1:15">
      <c r="A892" s="43">
        <v>38338</v>
      </c>
      <c r="B892" s="11">
        <v>23049888</v>
      </c>
      <c r="C892" s="11">
        <v>2440268</v>
      </c>
      <c r="D892" s="11">
        <v>60</v>
      </c>
      <c r="E892">
        <f t="shared" si="240"/>
        <v>60</v>
      </c>
      <c r="F892">
        <f t="shared" si="229"/>
        <v>11524944</v>
      </c>
      <c r="G892">
        <f t="shared" si="230"/>
        <v>1152.4944</v>
      </c>
      <c r="H892">
        <f t="shared" si="233"/>
        <v>60000000</v>
      </c>
      <c r="I892">
        <f t="shared" si="232"/>
        <v>28800000</v>
      </c>
      <c r="K892">
        <f t="shared" si="234"/>
        <v>72954398</v>
      </c>
      <c r="L892">
        <f t="shared" si="237"/>
        <v>0.82243156882742</v>
      </c>
      <c r="M892">
        <f t="shared" si="231"/>
        <v>25490156</v>
      </c>
      <c r="N892">
        <f t="shared" si="238"/>
        <v>106367943</v>
      </c>
      <c r="O892">
        <f t="shared" si="239"/>
        <v>0.361470341340419</v>
      </c>
    </row>
    <row r="893" ht="13.85" spans="1:15">
      <c r="A893" s="43">
        <v>38216</v>
      </c>
      <c r="B893" s="11">
        <v>24961042</v>
      </c>
      <c r="C893" s="11">
        <v>2703745</v>
      </c>
      <c r="D893" s="11">
        <v>50</v>
      </c>
      <c r="E893">
        <f t="shared" si="240"/>
        <v>50</v>
      </c>
      <c r="F893">
        <f t="shared" si="229"/>
        <v>12480521</v>
      </c>
      <c r="G893">
        <f t="shared" si="230"/>
        <v>1248.0521</v>
      </c>
      <c r="H893">
        <f t="shared" si="233"/>
        <v>50000000</v>
      </c>
      <c r="I893">
        <f t="shared" si="232"/>
        <v>24000000</v>
      </c>
      <c r="K893">
        <f t="shared" si="234"/>
        <v>47993356</v>
      </c>
      <c r="L893">
        <f t="shared" ref="L893:L923" si="241">IF(E893&gt;E894,H893/K893,0)</f>
        <v>1.04181087065468</v>
      </c>
      <c r="M893">
        <f t="shared" si="231"/>
        <v>27664787</v>
      </c>
      <c r="N893">
        <f t="shared" si="238"/>
        <v>80877787</v>
      </c>
      <c r="O893">
        <f t="shared" si="239"/>
        <v>0.40866908086564</v>
      </c>
    </row>
    <row r="894" ht="13.85" spans="1:15">
      <c r="A894" s="43">
        <v>38124</v>
      </c>
      <c r="B894" s="11">
        <v>22090536</v>
      </c>
      <c r="C894" s="11">
        <v>2379140</v>
      </c>
      <c r="D894" s="11">
        <v>40</v>
      </c>
      <c r="E894">
        <f t="shared" si="240"/>
        <v>40</v>
      </c>
      <c r="F894">
        <f t="shared" si="229"/>
        <v>11045268</v>
      </c>
      <c r="G894">
        <f t="shared" si="230"/>
        <v>1104.5268</v>
      </c>
      <c r="H894">
        <f t="shared" si="233"/>
        <v>40000000</v>
      </c>
      <c r="I894">
        <f t="shared" si="232"/>
        <v>19200000</v>
      </c>
      <c r="K894">
        <f t="shared" si="234"/>
        <v>25902820</v>
      </c>
      <c r="L894">
        <f t="shared" si="241"/>
        <v>0</v>
      </c>
      <c r="M894">
        <f t="shared" si="231"/>
        <v>24469676</v>
      </c>
      <c r="N894">
        <f t="shared" si="238"/>
        <v>53213000</v>
      </c>
      <c r="O894">
        <f t="shared" ref="O894:O913" si="242">IF(H894&gt;H895,(H894-H895)/M895,0)</f>
        <v>0</v>
      </c>
    </row>
    <row r="895" ht="13.85" spans="1:15">
      <c r="A895" s="43">
        <v>38003</v>
      </c>
      <c r="B895" s="11">
        <v>25902820</v>
      </c>
      <c r="C895" s="11">
        <v>2840504</v>
      </c>
      <c r="D895" s="11">
        <v>60</v>
      </c>
      <c r="E895">
        <f t="shared" si="240"/>
        <v>60</v>
      </c>
      <c r="F895">
        <f t="shared" si="229"/>
        <v>12951410</v>
      </c>
      <c r="G895">
        <f t="shared" si="230"/>
        <v>1295.141</v>
      </c>
      <c r="H895">
        <f t="shared" si="233"/>
        <v>60000000</v>
      </c>
      <c r="I895">
        <f t="shared" si="232"/>
        <v>28800000</v>
      </c>
      <c r="K895">
        <f t="shared" si="234"/>
        <v>80759984</v>
      </c>
      <c r="L895">
        <f t="shared" si="241"/>
        <v>0.742942197710193</v>
      </c>
      <c r="M895">
        <f t="shared" si="231"/>
        <v>28743324</v>
      </c>
      <c r="N895">
        <f t="shared" si="238"/>
        <v>117861696</v>
      </c>
      <c r="O895">
        <f t="shared" si="242"/>
        <v>0.401776333525784</v>
      </c>
    </row>
    <row r="896" ht="13.9" spans="1:15">
      <c r="A896" s="42" t="s">
        <v>649</v>
      </c>
      <c r="B896" s="11">
        <v>22467958</v>
      </c>
      <c r="C896" s="11">
        <v>2421512</v>
      </c>
      <c r="D896" s="11">
        <v>50</v>
      </c>
      <c r="E896">
        <f t="shared" si="240"/>
        <v>50</v>
      </c>
      <c r="F896">
        <f t="shared" si="229"/>
        <v>11233979</v>
      </c>
      <c r="G896">
        <f t="shared" si="230"/>
        <v>1123.3979</v>
      </c>
      <c r="H896">
        <f t="shared" si="233"/>
        <v>50000000</v>
      </c>
      <c r="I896">
        <f t="shared" si="232"/>
        <v>24000000</v>
      </c>
      <c r="K896">
        <f t="shared" si="234"/>
        <v>58292026</v>
      </c>
      <c r="L896">
        <f t="shared" si="241"/>
        <v>0.857750252152842</v>
      </c>
      <c r="M896">
        <f t="shared" si="231"/>
        <v>24889470</v>
      </c>
      <c r="N896">
        <f t="shared" si="238"/>
        <v>89118372</v>
      </c>
      <c r="O896">
        <f t="shared" si="242"/>
        <v>0.350715765283895</v>
      </c>
    </row>
    <row r="897" ht="13.9" spans="1:15">
      <c r="A897" s="42" t="s">
        <v>650</v>
      </c>
      <c r="B897" s="11">
        <v>25737424</v>
      </c>
      <c r="C897" s="11">
        <v>2775694</v>
      </c>
      <c r="D897" s="11">
        <v>40</v>
      </c>
      <c r="E897">
        <f t="shared" si="240"/>
        <v>40</v>
      </c>
      <c r="F897">
        <f t="shared" si="229"/>
        <v>12868712</v>
      </c>
      <c r="G897">
        <f t="shared" si="230"/>
        <v>1286.8712</v>
      </c>
      <c r="H897">
        <f t="shared" si="233"/>
        <v>40000000</v>
      </c>
      <c r="I897">
        <f t="shared" si="232"/>
        <v>19200000</v>
      </c>
      <c r="K897">
        <f t="shared" si="234"/>
        <v>32554602</v>
      </c>
      <c r="L897">
        <f t="shared" si="241"/>
        <v>0</v>
      </c>
      <c r="M897">
        <f t="shared" si="231"/>
        <v>28513118</v>
      </c>
      <c r="N897">
        <f t="shared" si="238"/>
        <v>64228902</v>
      </c>
      <c r="O897">
        <f t="shared" si="242"/>
        <v>0</v>
      </c>
    </row>
    <row r="898" ht="13.9" spans="1:15">
      <c r="A898" s="42" t="s">
        <v>651</v>
      </c>
      <c r="B898" s="11">
        <v>32554602</v>
      </c>
      <c r="C898" s="11">
        <v>3161182</v>
      </c>
      <c r="D898" s="11">
        <v>155</v>
      </c>
      <c r="E898">
        <f t="shared" si="240"/>
        <v>155</v>
      </c>
      <c r="F898">
        <f t="shared" si="229"/>
        <v>16277301</v>
      </c>
      <c r="G898">
        <f t="shared" si="230"/>
        <v>1627.7301</v>
      </c>
      <c r="H898">
        <f t="shared" si="233"/>
        <v>155000000</v>
      </c>
      <c r="I898">
        <f t="shared" si="232"/>
        <v>74400000</v>
      </c>
      <c r="K898">
        <f t="shared" si="234"/>
        <v>355802122</v>
      </c>
      <c r="L898">
        <f t="shared" si="241"/>
        <v>0.435635400735468</v>
      </c>
      <c r="M898">
        <f t="shared" si="231"/>
        <v>35715784</v>
      </c>
      <c r="N898">
        <f t="shared" si="238"/>
        <v>423090048</v>
      </c>
      <c r="O898">
        <f t="shared" si="242"/>
        <v>0.364711941781345</v>
      </c>
    </row>
    <row r="899" ht="13.9" spans="1:15">
      <c r="A899" s="42" t="s">
        <v>652</v>
      </c>
      <c r="B899" s="11">
        <v>34900242</v>
      </c>
      <c r="C899" s="11">
        <v>3486217</v>
      </c>
      <c r="D899" s="11">
        <v>141</v>
      </c>
      <c r="E899">
        <f t="shared" si="240"/>
        <v>141</v>
      </c>
      <c r="F899">
        <f t="shared" si="229"/>
        <v>17450121</v>
      </c>
      <c r="G899">
        <f t="shared" si="230"/>
        <v>1745.0121</v>
      </c>
      <c r="H899">
        <f t="shared" si="233"/>
        <v>141000000</v>
      </c>
      <c r="I899">
        <f t="shared" si="232"/>
        <v>67680000</v>
      </c>
      <c r="K899">
        <f t="shared" si="234"/>
        <v>320901880</v>
      </c>
      <c r="L899">
        <f t="shared" si="241"/>
        <v>0.439386643668152</v>
      </c>
      <c r="M899">
        <f t="shared" si="231"/>
        <v>38386459</v>
      </c>
      <c r="N899">
        <f t="shared" si="238"/>
        <v>387374264</v>
      </c>
      <c r="O899">
        <f t="shared" si="242"/>
        <v>0.547991780610395</v>
      </c>
    </row>
    <row r="900" ht="13.9" spans="1:15">
      <c r="A900" s="42" t="s">
        <v>653</v>
      </c>
      <c r="B900" s="11">
        <v>29851224</v>
      </c>
      <c r="C900" s="11">
        <v>2995984</v>
      </c>
      <c r="D900" s="11">
        <v>123</v>
      </c>
      <c r="E900">
        <f t="shared" si="240"/>
        <v>123</v>
      </c>
      <c r="F900">
        <f t="shared" ref="F900:F963" si="243">B900/2</f>
        <v>14925612</v>
      </c>
      <c r="G900">
        <f t="shared" ref="G900:G963" si="244">F900/10000</f>
        <v>1492.5612</v>
      </c>
      <c r="H900">
        <f t="shared" si="233"/>
        <v>123000000</v>
      </c>
      <c r="I900">
        <f t="shared" si="232"/>
        <v>59040000</v>
      </c>
      <c r="K900">
        <f t="shared" si="234"/>
        <v>291050656</v>
      </c>
      <c r="L900">
        <f t="shared" si="241"/>
        <v>0.422606846830127</v>
      </c>
      <c r="M900">
        <f t="shared" si="231"/>
        <v>32847208</v>
      </c>
      <c r="N900">
        <f t="shared" si="238"/>
        <v>348987805</v>
      </c>
      <c r="O900">
        <f t="shared" si="242"/>
        <v>0.529330156089434</v>
      </c>
    </row>
    <row r="901" ht="13.85" spans="1:15">
      <c r="A901" s="43">
        <v>37942</v>
      </c>
      <c r="B901" s="11">
        <v>32550214</v>
      </c>
      <c r="C901" s="11">
        <v>3344208</v>
      </c>
      <c r="D901" s="11">
        <v>104</v>
      </c>
      <c r="E901">
        <f t="shared" si="240"/>
        <v>104</v>
      </c>
      <c r="F901">
        <f t="shared" si="243"/>
        <v>16275107</v>
      </c>
      <c r="G901">
        <f t="shared" si="244"/>
        <v>1627.5107</v>
      </c>
      <c r="H901">
        <f t="shared" si="233"/>
        <v>104000000</v>
      </c>
      <c r="I901">
        <f t="shared" si="232"/>
        <v>49920000</v>
      </c>
      <c r="K901">
        <f t="shared" si="234"/>
        <v>258500442</v>
      </c>
      <c r="L901">
        <f t="shared" si="241"/>
        <v>0.402320395258744</v>
      </c>
      <c r="M901">
        <f t="shared" si="231"/>
        <v>35894422</v>
      </c>
      <c r="N901">
        <f t="shared" si="238"/>
        <v>316140597</v>
      </c>
      <c r="O901">
        <f t="shared" si="242"/>
        <v>0.637924390112387</v>
      </c>
    </row>
    <row r="902" ht="13.85" spans="1:15">
      <c r="A902" s="43">
        <v>37850</v>
      </c>
      <c r="B902" s="11">
        <v>26936478</v>
      </c>
      <c r="C902" s="11">
        <v>2847616</v>
      </c>
      <c r="D902" s="11">
        <v>85</v>
      </c>
      <c r="E902">
        <f t="shared" si="240"/>
        <v>85</v>
      </c>
      <c r="F902">
        <f t="shared" si="243"/>
        <v>13468239</v>
      </c>
      <c r="G902">
        <f t="shared" si="244"/>
        <v>1346.8239</v>
      </c>
      <c r="H902">
        <f t="shared" si="233"/>
        <v>85000000</v>
      </c>
      <c r="I902">
        <f t="shared" si="232"/>
        <v>40800000</v>
      </c>
      <c r="K902">
        <f t="shared" si="234"/>
        <v>231563964</v>
      </c>
      <c r="L902">
        <f t="shared" si="241"/>
        <v>0.367069204256669</v>
      </c>
      <c r="M902">
        <f t="shared" si="231"/>
        <v>29784094</v>
      </c>
      <c r="N902">
        <f t="shared" si="238"/>
        <v>280246175</v>
      </c>
      <c r="O902">
        <f t="shared" si="242"/>
        <v>0.530871770453295</v>
      </c>
    </row>
    <row r="903" ht="13.85" spans="1:15">
      <c r="A903" s="43">
        <v>37728</v>
      </c>
      <c r="B903" s="11">
        <v>28868654</v>
      </c>
      <c r="C903" s="11">
        <v>3154145</v>
      </c>
      <c r="D903" s="11">
        <v>68</v>
      </c>
      <c r="E903">
        <f t="shared" si="240"/>
        <v>68</v>
      </c>
      <c r="F903">
        <f t="shared" si="243"/>
        <v>14434327</v>
      </c>
      <c r="G903">
        <f t="shared" si="244"/>
        <v>1443.4327</v>
      </c>
      <c r="H903">
        <f t="shared" si="233"/>
        <v>68000000</v>
      </c>
      <c r="I903">
        <f t="shared" si="232"/>
        <v>32640000</v>
      </c>
      <c r="K903">
        <f t="shared" si="234"/>
        <v>202695310</v>
      </c>
      <c r="L903">
        <f t="shared" si="241"/>
        <v>0.335478901805868</v>
      </c>
      <c r="M903">
        <f t="shared" ref="M903:M966" si="245">B903+C903</f>
        <v>32022799</v>
      </c>
      <c r="N903">
        <f t="shared" si="238"/>
        <v>250462081</v>
      </c>
      <c r="O903">
        <f t="shared" si="242"/>
        <v>0.542290840411253</v>
      </c>
    </row>
    <row r="904" ht="13.85" spans="1:15">
      <c r="A904" s="43">
        <v>37638</v>
      </c>
      <c r="B904" s="11">
        <v>25012404</v>
      </c>
      <c r="C904" s="11">
        <v>2648030</v>
      </c>
      <c r="D904" s="11">
        <v>53</v>
      </c>
      <c r="E904">
        <f t="shared" si="240"/>
        <v>53</v>
      </c>
      <c r="F904">
        <f t="shared" si="243"/>
        <v>12506202</v>
      </c>
      <c r="G904">
        <f t="shared" si="244"/>
        <v>1250.6202</v>
      </c>
      <c r="H904">
        <f t="shared" si="233"/>
        <v>53000000</v>
      </c>
      <c r="I904">
        <f t="shared" si="232"/>
        <v>25440000</v>
      </c>
      <c r="K904">
        <f t="shared" si="234"/>
        <v>177682906</v>
      </c>
      <c r="L904">
        <f t="shared" si="241"/>
        <v>0.298284180471474</v>
      </c>
      <c r="M904">
        <f t="shared" si="245"/>
        <v>27660434</v>
      </c>
      <c r="N904">
        <f t="shared" si="238"/>
        <v>218439282</v>
      </c>
      <c r="O904">
        <f t="shared" si="242"/>
        <v>0.423613576306784</v>
      </c>
    </row>
    <row r="905" ht="13.9" spans="1:15">
      <c r="A905" s="42" t="s">
        <v>654</v>
      </c>
      <c r="B905" s="11">
        <v>27777408</v>
      </c>
      <c r="C905" s="11">
        <v>2910938</v>
      </c>
      <c r="D905" s="11">
        <v>40</v>
      </c>
      <c r="E905">
        <f t="shared" si="240"/>
        <v>40</v>
      </c>
      <c r="F905">
        <f t="shared" si="243"/>
        <v>13888704</v>
      </c>
      <c r="G905">
        <f t="shared" si="244"/>
        <v>1388.8704</v>
      </c>
      <c r="H905">
        <f t="shared" si="233"/>
        <v>40000000</v>
      </c>
      <c r="I905">
        <f t="shared" si="232"/>
        <v>19200000</v>
      </c>
      <c r="K905">
        <f t="shared" si="234"/>
        <v>149905498</v>
      </c>
      <c r="L905">
        <f t="shared" si="241"/>
        <v>0</v>
      </c>
      <c r="M905">
        <f t="shared" si="245"/>
        <v>30688346</v>
      </c>
      <c r="N905">
        <f t="shared" si="238"/>
        <v>190778848</v>
      </c>
      <c r="O905">
        <f t="shared" si="242"/>
        <v>0</v>
      </c>
    </row>
    <row r="906" ht="13.9" spans="1:15">
      <c r="A906" s="42" t="s">
        <v>655</v>
      </c>
      <c r="B906" s="11">
        <v>149905498</v>
      </c>
      <c r="C906" s="11">
        <v>10185004</v>
      </c>
      <c r="D906" s="27">
        <v>435.3</v>
      </c>
      <c r="E906">
        <f t="shared" si="240"/>
        <v>435.3</v>
      </c>
      <c r="F906">
        <f t="shared" si="243"/>
        <v>74952749</v>
      </c>
      <c r="G906">
        <f t="shared" si="244"/>
        <v>7495.2749</v>
      </c>
      <c r="H906">
        <f t="shared" si="233"/>
        <v>435300000</v>
      </c>
      <c r="I906">
        <f t="shared" si="232"/>
        <v>208944000</v>
      </c>
      <c r="K906">
        <f t="shared" si="234"/>
        <v>726015164</v>
      </c>
      <c r="L906">
        <f t="shared" si="241"/>
        <v>0.599574253520688</v>
      </c>
      <c r="M906">
        <f t="shared" si="245"/>
        <v>160090502</v>
      </c>
      <c r="N906">
        <f t="shared" si="238"/>
        <v>951611390</v>
      </c>
      <c r="O906">
        <f t="shared" si="242"/>
        <v>0.963111264985713</v>
      </c>
    </row>
    <row r="907" ht="13.9" spans="1:15">
      <c r="A907" s="42" t="s">
        <v>656</v>
      </c>
      <c r="B907" s="11">
        <v>83331392</v>
      </c>
      <c r="C907" s="11">
        <v>6274039</v>
      </c>
      <c r="D907" s="11">
        <v>349</v>
      </c>
      <c r="E907">
        <f t="shared" si="240"/>
        <v>349</v>
      </c>
      <c r="F907">
        <f t="shared" si="243"/>
        <v>41665696</v>
      </c>
      <c r="G907">
        <f t="shared" si="244"/>
        <v>4166.5696</v>
      </c>
      <c r="H907">
        <f t="shared" si="233"/>
        <v>349000000</v>
      </c>
      <c r="I907">
        <f t="shared" ref="I907:I970" si="246">H907*0.48</f>
        <v>167520000</v>
      </c>
      <c r="K907">
        <f t="shared" si="234"/>
        <v>642683772</v>
      </c>
      <c r="L907">
        <f t="shared" si="241"/>
        <v>0.543035339003394</v>
      </c>
      <c r="M907">
        <f t="shared" si="245"/>
        <v>89605431</v>
      </c>
      <c r="N907">
        <f t="shared" si="238"/>
        <v>791520888</v>
      </c>
      <c r="O907">
        <f t="shared" si="242"/>
        <v>0.536726649493799</v>
      </c>
    </row>
    <row r="908" ht="13.9" spans="1:15">
      <c r="A908" s="42" t="s">
        <v>657</v>
      </c>
      <c r="B908" s="11">
        <v>67509258</v>
      </c>
      <c r="C908" s="11">
        <v>5153428</v>
      </c>
      <c r="D908" s="11">
        <v>310</v>
      </c>
      <c r="E908">
        <f t="shared" si="240"/>
        <v>310</v>
      </c>
      <c r="F908">
        <f t="shared" si="243"/>
        <v>33754629</v>
      </c>
      <c r="G908">
        <f t="shared" si="244"/>
        <v>3375.4629</v>
      </c>
      <c r="H908">
        <f t="shared" si="233"/>
        <v>310000000</v>
      </c>
      <c r="I908">
        <f t="shared" si="246"/>
        <v>148800000</v>
      </c>
      <c r="K908">
        <f t="shared" si="234"/>
        <v>575174514</v>
      </c>
      <c r="L908">
        <f t="shared" si="241"/>
        <v>0.538966856935528</v>
      </c>
      <c r="M908">
        <f t="shared" si="245"/>
        <v>72662686</v>
      </c>
      <c r="N908">
        <f t="shared" si="238"/>
        <v>701915457</v>
      </c>
      <c r="O908">
        <f t="shared" si="242"/>
        <v>0.410205526259315</v>
      </c>
    </row>
    <row r="909" ht="13.85" spans="1:15">
      <c r="A909" s="43">
        <v>37577</v>
      </c>
      <c r="B909" s="11">
        <v>56292320</v>
      </c>
      <c r="C909" s="11">
        <v>4652739</v>
      </c>
      <c r="D909" s="11">
        <v>285</v>
      </c>
      <c r="E909">
        <f t="shared" si="240"/>
        <v>285</v>
      </c>
      <c r="F909">
        <f t="shared" si="243"/>
        <v>28146160</v>
      </c>
      <c r="G909">
        <f t="shared" si="244"/>
        <v>2814.616</v>
      </c>
      <c r="H909">
        <f t="shared" si="233"/>
        <v>285000000</v>
      </c>
      <c r="I909">
        <f t="shared" si="246"/>
        <v>136800000</v>
      </c>
      <c r="K909">
        <f t="shared" si="234"/>
        <v>518882194</v>
      </c>
      <c r="L909">
        <f t="shared" si="241"/>
        <v>0.549257622048985</v>
      </c>
      <c r="M909">
        <f t="shared" si="245"/>
        <v>60945059</v>
      </c>
      <c r="N909">
        <f t="shared" si="238"/>
        <v>629252771</v>
      </c>
      <c r="O909">
        <f t="shared" si="242"/>
        <v>0.555730826883568</v>
      </c>
    </row>
    <row r="910" ht="13.85" spans="1:15">
      <c r="A910" s="43">
        <v>37485</v>
      </c>
      <c r="B910" s="11">
        <v>49916734</v>
      </c>
      <c r="C910" s="11">
        <v>4066235</v>
      </c>
      <c r="D910" s="11">
        <v>255</v>
      </c>
      <c r="E910">
        <f t="shared" si="240"/>
        <v>255</v>
      </c>
      <c r="F910">
        <f t="shared" si="243"/>
        <v>24958367</v>
      </c>
      <c r="G910">
        <f t="shared" si="244"/>
        <v>2495.8367</v>
      </c>
      <c r="H910">
        <f t="shared" si="233"/>
        <v>255000000</v>
      </c>
      <c r="I910">
        <f t="shared" si="246"/>
        <v>122400000</v>
      </c>
      <c r="K910">
        <f t="shared" si="234"/>
        <v>468965460</v>
      </c>
      <c r="L910">
        <f t="shared" si="241"/>
        <v>0.543750066369493</v>
      </c>
      <c r="M910">
        <f t="shared" si="245"/>
        <v>53982969</v>
      </c>
      <c r="N910">
        <f t="shared" si="238"/>
        <v>568307712</v>
      </c>
      <c r="O910">
        <f t="shared" si="242"/>
        <v>0.486184060795896</v>
      </c>
    </row>
    <row r="911" ht="13.85" spans="1:15">
      <c r="A911" s="43">
        <v>37363</v>
      </c>
      <c r="B911" s="11">
        <v>49276582</v>
      </c>
      <c r="C911" s="11">
        <v>4201107</v>
      </c>
      <c r="D911" s="11">
        <v>229</v>
      </c>
      <c r="E911">
        <f t="shared" si="240"/>
        <v>229</v>
      </c>
      <c r="F911">
        <f t="shared" si="243"/>
        <v>24638291</v>
      </c>
      <c r="G911">
        <f t="shared" si="244"/>
        <v>2463.8291</v>
      </c>
      <c r="H911">
        <f t="shared" si="233"/>
        <v>229000000</v>
      </c>
      <c r="I911">
        <f t="shared" si="246"/>
        <v>109920000</v>
      </c>
      <c r="K911">
        <f t="shared" si="234"/>
        <v>419688878</v>
      </c>
      <c r="L911">
        <f t="shared" si="241"/>
        <v>0.545642288857605</v>
      </c>
      <c r="M911">
        <f t="shared" si="245"/>
        <v>53477689</v>
      </c>
      <c r="N911">
        <f t="shared" si="238"/>
        <v>514324743</v>
      </c>
      <c r="O911">
        <f t="shared" si="242"/>
        <v>0.512596696073596</v>
      </c>
    </row>
    <row r="912" ht="13.85" spans="1:15">
      <c r="A912" s="43">
        <v>37273</v>
      </c>
      <c r="B912" s="11">
        <v>41339944</v>
      </c>
      <c r="C912" s="11">
        <v>3529639</v>
      </c>
      <c r="D912" s="11">
        <v>206</v>
      </c>
      <c r="E912">
        <f t="shared" si="240"/>
        <v>206</v>
      </c>
      <c r="F912">
        <f t="shared" si="243"/>
        <v>20669972</v>
      </c>
      <c r="G912">
        <f t="shared" si="244"/>
        <v>2066.9972</v>
      </c>
      <c r="H912">
        <f t="shared" ref="H912:H975" si="247">E912*1000000</f>
        <v>206000000</v>
      </c>
      <c r="I912">
        <f t="shared" si="246"/>
        <v>98880000</v>
      </c>
      <c r="K912">
        <f t="shared" si="234"/>
        <v>378348934</v>
      </c>
      <c r="L912">
        <f t="shared" si="241"/>
        <v>0.544470940679325</v>
      </c>
      <c r="M912">
        <f t="shared" si="245"/>
        <v>44869583</v>
      </c>
      <c r="N912">
        <f t="shared" si="238"/>
        <v>460847054</v>
      </c>
      <c r="O912">
        <f t="shared" si="242"/>
        <v>0.461976557461568</v>
      </c>
    </row>
    <row r="913" ht="13.9" spans="1:15">
      <c r="A913" s="42" t="s">
        <v>658</v>
      </c>
      <c r="B913" s="11">
        <v>37642712</v>
      </c>
      <c r="C913" s="11">
        <v>3484916</v>
      </c>
      <c r="D913" s="11">
        <v>187</v>
      </c>
      <c r="E913">
        <f t="shared" si="240"/>
        <v>187</v>
      </c>
      <c r="F913">
        <f t="shared" si="243"/>
        <v>18821356</v>
      </c>
      <c r="G913">
        <f t="shared" si="244"/>
        <v>1882.1356</v>
      </c>
      <c r="H913">
        <f t="shared" si="247"/>
        <v>187000000</v>
      </c>
      <c r="I913">
        <f t="shared" si="246"/>
        <v>89760000</v>
      </c>
      <c r="K913">
        <f t="shared" ref="K913:K976" si="248">IF(E913&gt;E914,B914+K914,B914)</f>
        <v>340706222</v>
      </c>
      <c r="L913">
        <f t="shared" si="241"/>
        <v>0.54885995008333</v>
      </c>
      <c r="M913">
        <f t="shared" si="245"/>
        <v>41127628</v>
      </c>
      <c r="N913">
        <f t="shared" si="238"/>
        <v>415977471</v>
      </c>
      <c r="O913">
        <f t="shared" si="242"/>
        <v>0.497932263052342</v>
      </c>
    </row>
    <row r="914" ht="13.9" spans="1:15">
      <c r="A914" s="42" t="s">
        <v>659</v>
      </c>
      <c r="B914" s="11">
        <v>31178460</v>
      </c>
      <c r="C914" s="11">
        <v>2962730</v>
      </c>
      <c r="D914" s="11">
        <v>170</v>
      </c>
      <c r="E914">
        <f t="shared" si="240"/>
        <v>170</v>
      </c>
      <c r="F914">
        <f t="shared" si="243"/>
        <v>15589230</v>
      </c>
      <c r="G914">
        <f t="shared" si="244"/>
        <v>1558.923</v>
      </c>
      <c r="H914">
        <f t="shared" si="247"/>
        <v>170000000</v>
      </c>
      <c r="I914">
        <f t="shared" si="246"/>
        <v>81600000</v>
      </c>
      <c r="K914">
        <f t="shared" si="248"/>
        <v>309527762</v>
      </c>
      <c r="L914">
        <f t="shared" si="241"/>
        <v>0.549223755896894</v>
      </c>
      <c r="M914">
        <f t="shared" si="245"/>
        <v>34141190</v>
      </c>
      <c r="N914">
        <f t="shared" si="238"/>
        <v>374849843</v>
      </c>
      <c r="O914">
        <f t="shared" ref="O914:O932" si="249">IF(H914&gt;H915,(H914-H915)/M915,0)</f>
        <v>0.467631458217377</v>
      </c>
    </row>
    <row r="915" ht="13.9" spans="1:15">
      <c r="A915" s="42" t="s">
        <v>660</v>
      </c>
      <c r="B915" s="11">
        <v>33115134</v>
      </c>
      <c r="C915" s="11">
        <v>3238280</v>
      </c>
      <c r="D915" s="11">
        <v>153</v>
      </c>
      <c r="E915">
        <f t="shared" si="240"/>
        <v>153</v>
      </c>
      <c r="F915">
        <f t="shared" si="243"/>
        <v>16557567</v>
      </c>
      <c r="G915">
        <f t="shared" si="244"/>
        <v>1655.7567</v>
      </c>
      <c r="H915">
        <f t="shared" si="247"/>
        <v>153000000</v>
      </c>
      <c r="I915">
        <f t="shared" si="246"/>
        <v>73440000</v>
      </c>
      <c r="K915">
        <f t="shared" si="248"/>
        <v>276412628</v>
      </c>
      <c r="L915">
        <f t="shared" si="241"/>
        <v>0.553520297198578</v>
      </c>
      <c r="M915">
        <f t="shared" si="245"/>
        <v>36353414</v>
      </c>
      <c r="N915">
        <f t="shared" si="238"/>
        <v>340708653</v>
      </c>
      <c r="O915">
        <f t="shared" si="249"/>
        <v>0.578624697174354</v>
      </c>
    </row>
    <row r="916" ht="13.9" spans="1:15">
      <c r="A916" s="42" t="s">
        <v>661</v>
      </c>
      <c r="B916" s="11">
        <v>28308190</v>
      </c>
      <c r="C916" s="11">
        <v>2800057</v>
      </c>
      <c r="D916" s="11">
        <v>135</v>
      </c>
      <c r="E916">
        <f t="shared" si="240"/>
        <v>135</v>
      </c>
      <c r="F916">
        <f t="shared" si="243"/>
        <v>14154095</v>
      </c>
      <c r="G916">
        <f t="shared" si="244"/>
        <v>1415.4095</v>
      </c>
      <c r="H916">
        <f t="shared" si="247"/>
        <v>135000000</v>
      </c>
      <c r="I916">
        <f t="shared" si="246"/>
        <v>64800000</v>
      </c>
      <c r="K916">
        <f t="shared" si="248"/>
        <v>248104438</v>
      </c>
      <c r="L916">
        <f t="shared" si="241"/>
        <v>0.544125695970017</v>
      </c>
      <c r="M916">
        <f t="shared" si="245"/>
        <v>31108247</v>
      </c>
      <c r="N916">
        <f t="shared" si="238"/>
        <v>304355239</v>
      </c>
      <c r="O916">
        <f t="shared" si="249"/>
        <v>0.400042381632888</v>
      </c>
    </row>
    <row r="917" ht="13.9" spans="1:15">
      <c r="A917" s="42" t="s">
        <v>662</v>
      </c>
      <c r="B917" s="11">
        <v>31820822</v>
      </c>
      <c r="C917" s="11">
        <v>3175470</v>
      </c>
      <c r="D917" s="11">
        <v>121</v>
      </c>
      <c r="E917">
        <f t="shared" si="240"/>
        <v>121</v>
      </c>
      <c r="F917">
        <f t="shared" si="243"/>
        <v>15910411</v>
      </c>
      <c r="G917">
        <f t="shared" si="244"/>
        <v>1591.0411</v>
      </c>
      <c r="H917">
        <f t="shared" si="247"/>
        <v>121000000</v>
      </c>
      <c r="I917">
        <f t="shared" si="246"/>
        <v>58080000</v>
      </c>
      <c r="K917">
        <f t="shared" si="248"/>
        <v>216283616</v>
      </c>
      <c r="L917">
        <f t="shared" si="241"/>
        <v>0.559450605819352</v>
      </c>
      <c r="M917">
        <f t="shared" si="245"/>
        <v>34996292</v>
      </c>
      <c r="N917">
        <f t="shared" si="238"/>
        <v>273246992</v>
      </c>
      <c r="O917">
        <f t="shared" si="249"/>
        <v>0.517114597076372</v>
      </c>
    </row>
    <row r="918" ht="13.85" spans="1:15">
      <c r="A918" s="43">
        <v>37212</v>
      </c>
      <c r="B918" s="11">
        <v>26361692</v>
      </c>
      <c r="C918" s="11">
        <v>2645418</v>
      </c>
      <c r="D918" s="11">
        <v>106</v>
      </c>
      <c r="E918">
        <f t="shared" ref="E918:E927" si="250">IF(RIGHT(D918,1)="B",VALUE(LEFT(D918,LEN(D918)-1))*1000,D918)</f>
        <v>106</v>
      </c>
      <c r="F918">
        <f t="shared" si="243"/>
        <v>13180846</v>
      </c>
      <c r="G918">
        <f t="shared" si="244"/>
        <v>1318.0846</v>
      </c>
      <c r="H918">
        <f t="shared" si="247"/>
        <v>106000000</v>
      </c>
      <c r="I918">
        <f t="shared" si="246"/>
        <v>50880000</v>
      </c>
      <c r="K918">
        <f t="shared" si="248"/>
        <v>189921924</v>
      </c>
      <c r="L918">
        <f t="shared" si="241"/>
        <v>0.558124084715991</v>
      </c>
      <c r="M918">
        <f t="shared" si="245"/>
        <v>29007110</v>
      </c>
      <c r="N918">
        <f t="shared" si="238"/>
        <v>238250700</v>
      </c>
      <c r="O918">
        <f t="shared" si="249"/>
        <v>0.412780666344262</v>
      </c>
    </row>
    <row r="919" ht="13.85" spans="1:15">
      <c r="A919" s="43">
        <v>37089</v>
      </c>
      <c r="B919" s="11">
        <v>26368706</v>
      </c>
      <c r="C919" s="11">
        <v>2702423</v>
      </c>
      <c r="D919" s="11">
        <v>94</v>
      </c>
      <c r="E919">
        <f t="shared" si="250"/>
        <v>94</v>
      </c>
      <c r="F919">
        <f t="shared" si="243"/>
        <v>13184353</v>
      </c>
      <c r="G919">
        <f t="shared" si="244"/>
        <v>1318.4353</v>
      </c>
      <c r="H919">
        <f t="shared" si="247"/>
        <v>94000000</v>
      </c>
      <c r="I919">
        <f t="shared" si="246"/>
        <v>45120000</v>
      </c>
      <c r="K919">
        <f t="shared" si="248"/>
        <v>163553218</v>
      </c>
      <c r="L919">
        <f t="shared" si="241"/>
        <v>0.574736475071985</v>
      </c>
      <c r="M919">
        <f t="shared" si="245"/>
        <v>29071129</v>
      </c>
      <c r="N919">
        <f t="shared" si="238"/>
        <v>209243590</v>
      </c>
      <c r="O919">
        <f t="shared" si="249"/>
        <v>0.531479532723195</v>
      </c>
    </row>
    <row r="920" ht="13.85" spans="1:15">
      <c r="A920" s="44">
        <v>36998</v>
      </c>
      <c r="B920" s="15">
        <v>23867632</v>
      </c>
      <c r="C920" s="15">
        <v>2473928</v>
      </c>
      <c r="D920" s="15">
        <v>80</v>
      </c>
      <c r="E920">
        <f t="shared" si="250"/>
        <v>80</v>
      </c>
      <c r="F920">
        <f t="shared" si="243"/>
        <v>11933816</v>
      </c>
      <c r="G920">
        <f t="shared" si="244"/>
        <v>1193.3816</v>
      </c>
      <c r="H920">
        <f t="shared" si="247"/>
        <v>80000000</v>
      </c>
      <c r="I920">
        <f t="shared" si="246"/>
        <v>38400000</v>
      </c>
      <c r="K920">
        <f t="shared" si="248"/>
        <v>139685586</v>
      </c>
      <c r="L920">
        <f t="shared" si="241"/>
        <v>0.572714782468679</v>
      </c>
      <c r="M920">
        <f t="shared" si="245"/>
        <v>26341560</v>
      </c>
      <c r="N920">
        <f t="shared" si="238"/>
        <v>180172461</v>
      </c>
      <c r="O920">
        <f t="shared" si="249"/>
        <v>0.282669578992494</v>
      </c>
    </row>
    <row r="921" ht="13.9" spans="1:15">
      <c r="A921" s="41" t="s">
        <v>663</v>
      </c>
      <c r="B921" s="13">
        <v>32118732</v>
      </c>
      <c r="C921" s="13">
        <v>3258262</v>
      </c>
      <c r="D921" s="13">
        <v>70</v>
      </c>
      <c r="E921">
        <f t="shared" si="250"/>
        <v>70</v>
      </c>
      <c r="F921">
        <f t="shared" si="243"/>
        <v>16059366</v>
      </c>
      <c r="G921">
        <f t="shared" si="244"/>
        <v>1605.9366</v>
      </c>
      <c r="H921">
        <f t="shared" si="247"/>
        <v>70000000</v>
      </c>
      <c r="I921">
        <f t="shared" si="246"/>
        <v>33600000</v>
      </c>
      <c r="K921">
        <f t="shared" si="248"/>
        <v>107566854</v>
      </c>
      <c r="L921">
        <f t="shared" si="241"/>
        <v>0.650758085757533</v>
      </c>
      <c r="M921">
        <f t="shared" si="245"/>
        <v>35376994</v>
      </c>
      <c r="N921">
        <f t="shared" si="238"/>
        <v>153830901</v>
      </c>
      <c r="O921">
        <f t="shared" si="249"/>
        <v>0.401205719476399</v>
      </c>
    </row>
    <row r="922" ht="13.9" spans="1:15">
      <c r="A922" s="42" t="s">
        <v>664</v>
      </c>
      <c r="B922" s="11">
        <v>22553992</v>
      </c>
      <c r="C922" s="11">
        <v>2370877</v>
      </c>
      <c r="D922" s="11">
        <v>60</v>
      </c>
      <c r="E922">
        <f t="shared" si="250"/>
        <v>60</v>
      </c>
      <c r="F922">
        <f t="shared" si="243"/>
        <v>11276996</v>
      </c>
      <c r="G922">
        <f t="shared" si="244"/>
        <v>1127.6996</v>
      </c>
      <c r="H922">
        <f t="shared" si="247"/>
        <v>60000000</v>
      </c>
      <c r="I922">
        <f t="shared" si="246"/>
        <v>28800000</v>
      </c>
      <c r="K922">
        <f t="shared" si="248"/>
        <v>85012862</v>
      </c>
      <c r="L922">
        <f t="shared" si="241"/>
        <v>0.705775556644593</v>
      </c>
      <c r="M922">
        <f t="shared" si="245"/>
        <v>24924869</v>
      </c>
      <c r="N922">
        <f t="shared" si="238"/>
        <v>118453907</v>
      </c>
      <c r="O922">
        <f t="shared" si="249"/>
        <v>0.302676080296332</v>
      </c>
    </row>
    <row r="923" ht="13.9" spans="1:15">
      <c r="A923" s="42" t="s">
        <v>665</v>
      </c>
      <c r="B923" s="11">
        <v>30022848</v>
      </c>
      <c r="C923" s="11">
        <v>3015772</v>
      </c>
      <c r="D923" s="11">
        <v>50</v>
      </c>
      <c r="E923">
        <f t="shared" si="250"/>
        <v>50</v>
      </c>
      <c r="F923">
        <f t="shared" si="243"/>
        <v>15011424</v>
      </c>
      <c r="G923">
        <f t="shared" si="244"/>
        <v>1501.1424</v>
      </c>
      <c r="H923">
        <f t="shared" si="247"/>
        <v>50000000</v>
      </c>
      <c r="I923">
        <f t="shared" si="246"/>
        <v>24000000</v>
      </c>
      <c r="K923">
        <f t="shared" si="248"/>
        <v>54990014</v>
      </c>
      <c r="L923">
        <f t="shared" si="241"/>
        <v>0.909255996916095</v>
      </c>
      <c r="M923">
        <f t="shared" si="245"/>
        <v>33038620</v>
      </c>
      <c r="N923">
        <f t="shared" si="238"/>
        <v>93529038</v>
      </c>
      <c r="O923">
        <f t="shared" si="249"/>
        <v>0.398402263498556</v>
      </c>
    </row>
    <row r="924" ht="13.9" spans="1:15">
      <c r="A924" s="42" t="s">
        <v>666</v>
      </c>
      <c r="B924" s="11">
        <v>22726668</v>
      </c>
      <c r="C924" s="11">
        <v>2373591</v>
      </c>
      <c r="D924" s="11">
        <v>40</v>
      </c>
      <c r="E924">
        <f t="shared" si="250"/>
        <v>40</v>
      </c>
      <c r="F924">
        <f t="shared" si="243"/>
        <v>11363334</v>
      </c>
      <c r="G924">
        <f t="shared" si="244"/>
        <v>1136.3334</v>
      </c>
      <c r="H924">
        <f t="shared" si="247"/>
        <v>40000000</v>
      </c>
      <c r="I924">
        <f t="shared" si="246"/>
        <v>19200000</v>
      </c>
      <c r="K924">
        <f t="shared" si="248"/>
        <v>32263346</v>
      </c>
      <c r="L924">
        <f t="shared" ref="L924:L959" si="251">IF(E924&gt;E925,H924/K924,0)</f>
        <v>0</v>
      </c>
      <c r="M924">
        <f t="shared" si="245"/>
        <v>25100259</v>
      </c>
      <c r="N924">
        <f t="shared" si="238"/>
        <v>60490418</v>
      </c>
      <c r="O924">
        <f t="shared" si="249"/>
        <v>0</v>
      </c>
    </row>
    <row r="925" ht="13.9" spans="1:15">
      <c r="A925" s="42" t="s">
        <v>667</v>
      </c>
      <c r="B925" s="11">
        <v>32263346</v>
      </c>
      <c r="C925" s="11">
        <v>3126813</v>
      </c>
      <c r="D925" s="11">
        <v>121.6</v>
      </c>
      <c r="E925">
        <f t="shared" si="250"/>
        <v>121.6</v>
      </c>
      <c r="F925">
        <f t="shared" si="243"/>
        <v>16131673</v>
      </c>
      <c r="G925">
        <f t="shared" si="244"/>
        <v>1613.1673</v>
      </c>
      <c r="H925">
        <f t="shared" si="247"/>
        <v>121600000</v>
      </c>
      <c r="I925">
        <f t="shared" si="246"/>
        <v>58368000</v>
      </c>
      <c r="K925">
        <f t="shared" si="248"/>
        <v>226789518</v>
      </c>
      <c r="L925">
        <f t="shared" si="251"/>
        <v>0.536179983415283</v>
      </c>
      <c r="M925">
        <f t="shared" si="245"/>
        <v>35390159</v>
      </c>
      <c r="N925">
        <f t="shared" si="238"/>
        <v>282329473</v>
      </c>
      <c r="O925">
        <f t="shared" si="249"/>
        <v>0.669499455241311</v>
      </c>
    </row>
    <row r="926" ht="13.9" spans="1:15">
      <c r="A926" s="42" t="s">
        <v>668</v>
      </c>
      <c r="B926" s="11">
        <v>29458404</v>
      </c>
      <c r="C926" s="11">
        <v>2804505</v>
      </c>
      <c r="D926" s="11">
        <v>100</v>
      </c>
      <c r="E926">
        <f t="shared" si="250"/>
        <v>100</v>
      </c>
      <c r="F926">
        <f t="shared" si="243"/>
        <v>14729202</v>
      </c>
      <c r="G926">
        <f t="shared" si="244"/>
        <v>1472.9202</v>
      </c>
      <c r="H926">
        <f t="shared" si="247"/>
        <v>100000000</v>
      </c>
      <c r="I926">
        <f t="shared" si="246"/>
        <v>48000000</v>
      </c>
      <c r="K926">
        <f t="shared" si="248"/>
        <v>197331114</v>
      </c>
      <c r="L926">
        <f t="shared" si="251"/>
        <v>0.506762456122353</v>
      </c>
      <c r="M926">
        <f t="shared" si="245"/>
        <v>32262909</v>
      </c>
      <c r="N926">
        <f t="shared" si="238"/>
        <v>246939314</v>
      </c>
      <c r="O926">
        <f t="shared" si="249"/>
        <v>0.482023666462246</v>
      </c>
    </row>
    <row r="927" ht="13.85" spans="1:15">
      <c r="A927" s="43">
        <v>41198</v>
      </c>
      <c r="B927" s="11">
        <v>28258756</v>
      </c>
      <c r="C927" s="11">
        <v>2860048</v>
      </c>
      <c r="D927" s="11">
        <v>85</v>
      </c>
      <c r="E927">
        <f t="shared" si="250"/>
        <v>85</v>
      </c>
      <c r="F927">
        <f t="shared" si="243"/>
        <v>14129378</v>
      </c>
      <c r="G927">
        <f t="shared" si="244"/>
        <v>1412.9378</v>
      </c>
      <c r="H927">
        <f t="shared" si="247"/>
        <v>85000000</v>
      </c>
      <c r="I927">
        <f t="shared" si="246"/>
        <v>40800000</v>
      </c>
      <c r="K927">
        <f t="shared" si="248"/>
        <v>169072358</v>
      </c>
      <c r="L927">
        <f t="shared" si="251"/>
        <v>0.502743328391978</v>
      </c>
      <c r="M927">
        <f t="shared" si="245"/>
        <v>31118804</v>
      </c>
      <c r="N927">
        <f t="shared" ref="N927:N990" si="252">IF(H927&lt;H928,M927+M928,M927+N928)</f>
        <v>214676405</v>
      </c>
      <c r="O927">
        <f t="shared" si="249"/>
        <v>0.663947016732977</v>
      </c>
    </row>
    <row r="928" ht="13.85" spans="1:15">
      <c r="A928" s="43">
        <v>41106</v>
      </c>
      <c r="B928" s="11">
        <v>24610904</v>
      </c>
      <c r="C928" s="11">
        <v>2499693</v>
      </c>
      <c r="D928" s="11">
        <v>67</v>
      </c>
      <c r="E928">
        <f t="shared" ref="E928:E971" si="253">IF(RIGHT(D928,1)="B",VALUE(LEFT(D928,LEN(D928)-1))*1000,D928)</f>
        <v>67</v>
      </c>
      <c r="F928">
        <f t="shared" si="243"/>
        <v>12305452</v>
      </c>
      <c r="G928">
        <f t="shared" si="244"/>
        <v>1230.5452</v>
      </c>
      <c r="H928">
        <f t="shared" si="247"/>
        <v>67000000</v>
      </c>
      <c r="I928">
        <f t="shared" si="246"/>
        <v>32160000</v>
      </c>
      <c r="K928">
        <f t="shared" si="248"/>
        <v>144461454</v>
      </c>
      <c r="L928">
        <f t="shared" si="251"/>
        <v>0.463791538468109</v>
      </c>
      <c r="M928">
        <f t="shared" si="245"/>
        <v>27110597</v>
      </c>
      <c r="N928">
        <f t="shared" si="252"/>
        <v>183557601</v>
      </c>
      <c r="O928">
        <f t="shared" si="249"/>
        <v>0.439553974438584</v>
      </c>
    </row>
    <row r="929" ht="13.85" spans="1:15">
      <c r="A929" s="43">
        <v>40984</v>
      </c>
      <c r="B929" s="11">
        <v>26782142</v>
      </c>
      <c r="C929" s="11">
        <v>2793293</v>
      </c>
      <c r="D929" s="11">
        <v>54</v>
      </c>
      <c r="E929">
        <f t="shared" si="253"/>
        <v>54</v>
      </c>
      <c r="F929">
        <f t="shared" si="243"/>
        <v>13391071</v>
      </c>
      <c r="G929">
        <f t="shared" si="244"/>
        <v>1339.1071</v>
      </c>
      <c r="H929">
        <f t="shared" si="247"/>
        <v>54000000</v>
      </c>
      <c r="I929">
        <f t="shared" si="246"/>
        <v>25920000</v>
      </c>
      <c r="K929">
        <f t="shared" si="248"/>
        <v>117679312</v>
      </c>
      <c r="L929">
        <f t="shared" si="251"/>
        <v>0.458874198720672</v>
      </c>
      <c r="M929">
        <f t="shared" si="245"/>
        <v>29575435</v>
      </c>
      <c r="N929">
        <f t="shared" si="252"/>
        <v>156447004</v>
      </c>
      <c r="O929">
        <f t="shared" si="249"/>
        <v>0.549078283855824</v>
      </c>
    </row>
    <row r="930" ht="13.9" spans="1:15">
      <c r="A930" s="42" t="s">
        <v>669</v>
      </c>
      <c r="B930" s="11">
        <v>23145668</v>
      </c>
      <c r="C930" s="11">
        <v>2351607</v>
      </c>
      <c r="D930" s="11">
        <v>40</v>
      </c>
      <c r="E930">
        <f t="shared" si="253"/>
        <v>40</v>
      </c>
      <c r="F930">
        <f t="shared" si="243"/>
        <v>11572834</v>
      </c>
      <c r="G930">
        <f t="shared" si="244"/>
        <v>1157.2834</v>
      </c>
      <c r="H930">
        <f t="shared" si="247"/>
        <v>40000000</v>
      </c>
      <c r="I930">
        <f t="shared" si="246"/>
        <v>19200000</v>
      </c>
      <c r="K930">
        <f t="shared" si="248"/>
        <v>94533644</v>
      </c>
      <c r="L930">
        <f t="shared" si="251"/>
        <v>0</v>
      </c>
      <c r="M930">
        <f t="shared" si="245"/>
        <v>25497275</v>
      </c>
      <c r="N930">
        <f t="shared" si="252"/>
        <v>126871569</v>
      </c>
      <c r="O930">
        <f t="shared" si="249"/>
        <v>0</v>
      </c>
    </row>
    <row r="931" ht="13.9" spans="1:15">
      <c r="A931" s="42" t="s">
        <v>670</v>
      </c>
      <c r="B931" s="11">
        <v>94533644</v>
      </c>
      <c r="C931" s="11">
        <v>6840650</v>
      </c>
      <c r="D931" s="11">
        <v>420.9</v>
      </c>
      <c r="E931">
        <f t="shared" si="253"/>
        <v>420.9</v>
      </c>
      <c r="F931">
        <f t="shared" si="243"/>
        <v>47266822</v>
      </c>
      <c r="G931">
        <f t="shared" si="244"/>
        <v>4726.6822</v>
      </c>
      <c r="H931">
        <f t="shared" si="247"/>
        <v>420900000</v>
      </c>
      <c r="I931">
        <f t="shared" si="246"/>
        <v>202032000</v>
      </c>
      <c r="K931">
        <f t="shared" si="248"/>
        <v>734182408</v>
      </c>
      <c r="L931">
        <f t="shared" si="251"/>
        <v>0.57329077272034</v>
      </c>
      <c r="M931">
        <f t="shared" si="245"/>
        <v>101374294</v>
      </c>
      <c r="N931">
        <f t="shared" si="252"/>
        <v>901917226</v>
      </c>
      <c r="O931">
        <f t="shared" si="249"/>
        <v>0.775741289102061</v>
      </c>
    </row>
    <row r="932" ht="13.9" spans="1:15">
      <c r="A932" s="42" t="s">
        <v>671</v>
      </c>
      <c r="B932" s="11">
        <v>74294276</v>
      </c>
      <c r="C932" s="11">
        <v>5500368</v>
      </c>
      <c r="D932" s="11">
        <v>359</v>
      </c>
      <c r="E932">
        <f t="shared" si="253"/>
        <v>359</v>
      </c>
      <c r="F932">
        <f t="shared" si="243"/>
        <v>37147138</v>
      </c>
      <c r="G932">
        <f t="shared" si="244"/>
        <v>3714.7138</v>
      </c>
      <c r="H932">
        <f t="shared" si="247"/>
        <v>359000000</v>
      </c>
      <c r="I932">
        <f t="shared" si="246"/>
        <v>172320000</v>
      </c>
      <c r="K932">
        <f t="shared" si="248"/>
        <v>659888132</v>
      </c>
      <c r="L932">
        <f t="shared" si="251"/>
        <v>0.544031605647971</v>
      </c>
      <c r="M932">
        <f t="shared" si="245"/>
        <v>79794644</v>
      </c>
      <c r="N932">
        <f t="shared" si="252"/>
        <v>800542932</v>
      </c>
      <c r="O932">
        <f t="shared" si="249"/>
        <v>0.594675685609603</v>
      </c>
    </row>
    <row r="933" ht="13.9" spans="1:15">
      <c r="A933" s="42" t="s">
        <v>672</v>
      </c>
      <c r="B933" s="11">
        <v>60763296</v>
      </c>
      <c r="C933" s="11">
        <v>4818669</v>
      </c>
      <c r="D933" s="11">
        <v>320</v>
      </c>
      <c r="E933">
        <f t="shared" si="253"/>
        <v>320</v>
      </c>
      <c r="F933">
        <f t="shared" si="243"/>
        <v>30381648</v>
      </c>
      <c r="G933">
        <f t="shared" si="244"/>
        <v>3038.1648</v>
      </c>
      <c r="H933">
        <f t="shared" si="247"/>
        <v>320000000</v>
      </c>
      <c r="I933">
        <f t="shared" si="246"/>
        <v>153600000</v>
      </c>
      <c r="K933">
        <f t="shared" si="248"/>
        <v>599124836</v>
      </c>
      <c r="L933">
        <f t="shared" si="251"/>
        <v>0.534112393230849</v>
      </c>
      <c r="M933">
        <f t="shared" si="245"/>
        <v>65581965</v>
      </c>
      <c r="N933">
        <f t="shared" si="252"/>
        <v>720748288</v>
      </c>
      <c r="O933">
        <f t="shared" ref="O933:O953" si="254">IF(H933&gt;H934,(H933-H934)/M934,0)</f>
        <v>0.499037781226273</v>
      </c>
    </row>
    <row r="934" ht="13.9" spans="1:15">
      <c r="A934" s="42" t="s">
        <v>673</v>
      </c>
      <c r="B934" s="11">
        <v>50086188</v>
      </c>
      <c r="C934" s="11">
        <v>4017932</v>
      </c>
      <c r="D934" s="11">
        <v>293</v>
      </c>
      <c r="E934">
        <f t="shared" si="253"/>
        <v>293</v>
      </c>
      <c r="F934">
        <f t="shared" si="243"/>
        <v>25043094</v>
      </c>
      <c r="G934">
        <f t="shared" si="244"/>
        <v>2504.3094</v>
      </c>
      <c r="H934">
        <f t="shared" si="247"/>
        <v>293000000</v>
      </c>
      <c r="I934">
        <f t="shared" si="246"/>
        <v>140640000</v>
      </c>
      <c r="K934">
        <f t="shared" si="248"/>
        <v>549038648</v>
      </c>
      <c r="L934">
        <f t="shared" si="251"/>
        <v>0.533660063945079</v>
      </c>
      <c r="M934">
        <f t="shared" si="245"/>
        <v>54104120</v>
      </c>
      <c r="N934">
        <f t="shared" si="252"/>
        <v>655166323</v>
      </c>
      <c r="O934">
        <f t="shared" si="254"/>
        <v>0.687573889636926</v>
      </c>
    </row>
    <row r="935" ht="13.85" spans="1:15">
      <c r="A935" s="43">
        <v>40893</v>
      </c>
      <c r="B935" s="11">
        <v>46889864</v>
      </c>
      <c r="C935" s="11">
        <v>4013756</v>
      </c>
      <c r="D935" s="11">
        <v>258</v>
      </c>
      <c r="E935">
        <f t="shared" si="253"/>
        <v>258</v>
      </c>
      <c r="F935">
        <f t="shared" si="243"/>
        <v>23444932</v>
      </c>
      <c r="G935">
        <f t="shared" si="244"/>
        <v>2344.4932</v>
      </c>
      <c r="H935">
        <f t="shared" si="247"/>
        <v>258000000</v>
      </c>
      <c r="I935">
        <f t="shared" si="246"/>
        <v>123840000</v>
      </c>
      <c r="K935">
        <f t="shared" si="248"/>
        <v>502148784</v>
      </c>
      <c r="L935">
        <f t="shared" si="251"/>
        <v>0.513791944182026</v>
      </c>
      <c r="M935">
        <f t="shared" si="245"/>
        <v>50903620</v>
      </c>
      <c r="N935">
        <f t="shared" si="252"/>
        <v>601062203</v>
      </c>
      <c r="O935">
        <f t="shared" si="254"/>
        <v>0.487383199723875</v>
      </c>
    </row>
    <row r="936" ht="13.85" spans="1:15">
      <c r="A936" s="43">
        <v>40802</v>
      </c>
      <c r="B936" s="11">
        <v>41636032</v>
      </c>
      <c r="C936" s="11">
        <v>3502988</v>
      </c>
      <c r="D936" s="11">
        <v>236</v>
      </c>
      <c r="E936">
        <f t="shared" si="253"/>
        <v>236</v>
      </c>
      <c r="F936">
        <f t="shared" si="243"/>
        <v>20818016</v>
      </c>
      <c r="G936">
        <f t="shared" si="244"/>
        <v>2081.8016</v>
      </c>
      <c r="H936">
        <f t="shared" si="247"/>
        <v>236000000</v>
      </c>
      <c r="I936">
        <f t="shared" si="246"/>
        <v>113280000</v>
      </c>
      <c r="K936">
        <f t="shared" si="248"/>
        <v>460512752</v>
      </c>
      <c r="L936">
        <f t="shared" si="251"/>
        <v>0.512472236599433</v>
      </c>
      <c r="M936">
        <f t="shared" si="245"/>
        <v>45139020</v>
      </c>
      <c r="N936">
        <f t="shared" si="252"/>
        <v>550158583</v>
      </c>
      <c r="O936">
        <f t="shared" si="254"/>
        <v>0.406336427357109</v>
      </c>
    </row>
    <row r="937" ht="13.85" spans="1:15">
      <c r="A937" s="43">
        <v>40679</v>
      </c>
      <c r="B937" s="11">
        <v>42956768</v>
      </c>
      <c r="C937" s="11">
        <v>3802515</v>
      </c>
      <c r="D937" s="11">
        <v>217</v>
      </c>
      <c r="E937">
        <f t="shared" si="253"/>
        <v>217</v>
      </c>
      <c r="F937">
        <f t="shared" si="243"/>
        <v>21478384</v>
      </c>
      <c r="G937">
        <f t="shared" si="244"/>
        <v>2147.8384</v>
      </c>
      <c r="H937">
        <f t="shared" si="247"/>
        <v>217000000</v>
      </c>
      <c r="I937">
        <f t="shared" si="246"/>
        <v>104160000</v>
      </c>
      <c r="K937">
        <f t="shared" si="248"/>
        <v>417555984</v>
      </c>
      <c r="L937">
        <f t="shared" si="251"/>
        <v>0.519690791929831</v>
      </c>
      <c r="M937">
        <f t="shared" si="245"/>
        <v>46759283</v>
      </c>
      <c r="N937">
        <f t="shared" si="252"/>
        <v>505019563</v>
      </c>
      <c r="O937">
        <f t="shared" si="254"/>
        <v>0.485689727342734</v>
      </c>
    </row>
    <row r="938" ht="13.85" spans="1:15">
      <c r="A938" s="43">
        <v>40590</v>
      </c>
      <c r="B938" s="11">
        <v>35891196</v>
      </c>
      <c r="C938" s="11">
        <v>3228429</v>
      </c>
      <c r="D938" s="11">
        <v>198</v>
      </c>
      <c r="E938">
        <f t="shared" si="253"/>
        <v>198</v>
      </c>
      <c r="F938">
        <f t="shared" si="243"/>
        <v>17945598</v>
      </c>
      <c r="G938">
        <f t="shared" si="244"/>
        <v>1794.5598</v>
      </c>
      <c r="H938">
        <f t="shared" si="247"/>
        <v>198000000</v>
      </c>
      <c r="I938">
        <f t="shared" si="246"/>
        <v>95040000</v>
      </c>
      <c r="K938">
        <f t="shared" si="248"/>
        <v>381664788</v>
      </c>
      <c r="L938">
        <f t="shared" si="251"/>
        <v>0.518779846151278</v>
      </c>
      <c r="M938">
        <f t="shared" si="245"/>
        <v>39119625</v>
      </c>
      <c r="N938">
        <f t="shared" si="252"/>
        <v>458260280</v>
      </c>
      <c r="O938">
        <f t="shared" si="254"/>
        <v>0.466147356067875</v>
      </c>
    </row>
    <row r="939" ht="13.9" spans="1:15">
      <c r="A939" s="42" t="s">
        <v>674</v>
      </c>
      <c r="B939" s="11">
        <v>35303704</v>
      </c>
      <c r="C939" s="11">
        <v>3310695</v>
      </c>
      <c r="D939" s="11">
        <v>180</v>
      </c>
      <c r="E939">
        <f t="shared" si="253"/>
        <v>180</v>
      </c>
      <c r="F939">
        <f t="shared" si="243"/>
        <v>17651852</v>
      </c>
      <c r="G939">
        <f t="shared" si="244"/>
        <v>1765.1852</v>
      </c>
      <c r="H939">
        <f t="shared" si="247"/>
        <v>180000000</v>
      </c>
      <c r="I939">
        <f t="shared" si="246"/>
        <v>86400000</v>
      </c>
      <c r="K939">
        <f t="shared" si="248"/>
        <v>346361084</v>
      </c>
      <c r="L939">
        <f t="shared" si="251"/>
        <v>0.519688868972358</v>
      </c>
      <c r="M939">
        <f t="shared" si="245"/>
        <v>38614399</v>
      </c>
      <c r="N939">
        <f t="shared" si="252"/>
        <v>419140655</v>
      </c>
      <c r="O939">
        <f t="shared" si="254"/>
        <v>0.467765682136847</v>
      </c>
    </row>
    <row r="940" ht="13.9" spans="1:15">
      <c r="A940" s="42" t="s">
        <v>675</v>
      </c>
      <c r="B940" s="11">
        <v>31304674</v>
      </c>
      <c r="C940" s="11">
        <v>2900486</v>
      </c>
      <c r="D940" s="11">
        <v>164</v>
      </c>
      <c r="E940">
        <f t="shared" si="253"/>
        <v>164</v>
      </c>
      <c r="F940">
        <f t="shared" si="243"/>
        <v>15652337</v>
      </c>
      <c r="G940">
        <f t="shared" si="244"/>
        <v>1565.2337</v>
      </c>
      <c r="H940">
        <f t="shared" si="247"/>
        <v>164000000</v>
      </c>
      <c r="I940">
        <f t="shared" si="246"/>
        <v>78720000</v>
      </c>
      <c r="K940">
        <f t="shared" si="248"/>
        <v>315056410</v>
      </c>
      <c r="L940">
        <f t="shared" si="251"/>
        <v>0.520541702357365</v>
      </c>
      <c r="M940">
        <f t="shared" si="245"/>
        <v>34205160</v>
      </c>
      <c r="N940">
        <f t="shared" si="252"/>
        <v>380526256</v>
      </c>
      <c r="O940">
        <f t="shared" si="254"/>
        <v>0.357663473667274</v>
      </c>
    </row>
    <row r="941" ht="13.9" spans="1:15">
      <c r="A941" s="42" t="s">
        <v>676</v>
      </c>
      <c r="B941" s="11">
        <v>33173498</v>
      </c>
      <c r="C941" s="11">
        <v>3173518</v>
      </c>
      <c r="D941" s="11">
        <v>151</v>
      </c>
      <c r="E941">
        <f t="shared" si="253"/>
        <v>151</v>
      </c>
      <c r="F941">
        <f t="shared" si="243"/>
        <v>16586749</v>
      </c>
      <c r="G941">
        <f t="shared" si="244"/>
        <v>1658.6749</v>
      </c>
      <c r="H941">
        <f t="shared" si="247"/>
        <v>151000000</v>
      </c>
      <c r="I941">
        <f t="shared" si="246"/>
        <v>72480000</v>
      </c>
      <c r="K941">
        <f t="shared" si="248"/>
        <v>281882912</v>
      </c>
      <c r="L941">
        <f t="shared" si="251"/>
        <v>0.535683411699678</v>
      </c>
      <c r="M941">
        <f t="shared" si="245"/>
        <v>36347016</v>
      </c>
      <c r="N941">
        <f t="shared" si="252"/>
        <v>346321096</v>
      </c>
      <c r="O941">
        <f t="shared" si="254"/>
        <v>0.467799664980592</v>
      </c>
    </row>
    <row r="942" ht="13.9" spans="1:15">
      <c r="A942" s="42" t="s">
        <v>677</v>
      </c>
      <c r="B942" s="11">
        <v>29294512</v>
      </c>
      <c r="C942" s="11">
        <v>2770496</v>
      </c>
      <c r="D942" s="11">
        <v>136</v>
      </c>
      <c r="E942">
        <f t="shared" si="253"/>
        <v>136</v>
      </c>
      <c r="F942">
        <f t="shared" si="243"/>
        <v>14647256</v>
      </c>
      <c r="G942">
        <f t="shared" si="244"/>
        <v>1464.7256</v>
      </c>
      <c r="H942">
        <f t="shared" si="247"/>
        <v>136000000</v>
      </c>
      <c r="I942">
        <f t="shared" si="246"/>
        <v>65280000</v>
      </c>
      <c r="K942">
        <f t="shared" si="248"/>
        <v>252588400</v>
      </c>
      <c r="L942">
        <f t="shared" si="251"/>
        <v>0.538425359200977</v>
      </c>
      <c r="M942">
        <f t="shared" si="245"/>
        <v>32065008</v>
      </c>
      <c r="N942">
        <f t="shared" si="252"/>
        <v>309974080</v>
      </c>
      <c r="O942">
        <f t="shared" si="254"/>
        <v>0.406534059321856</v>
      </c>
    </row>
    <row r="943" ht="13.9" spans="1:15">
      <c r="A943" s="42" t="s">
        <v>678</v>
      </c>
      <c r="B943" s="11">
        <v>31370892</v>
      </c>
      <c r="C943" s="11">
        <v>3066567</v>
      </c>
      <c r="D943" s="11">
        <v>122</v>
      </c>
      <c r="E943">
        <f t="shared" si="253"/>
        <v>122</v>
      </c>
      <c r="F943">
        <f t="shared" si="243"/>
        <v>15685446</v>
      </c>
      <c r="G943">
        <f t="shared" si="244"/>
        <v>1568.5446</v>
      </c>
      <c r="H943">
        <f t="shared" si="247"/>
        <v>122000000</v>
      </c>
      <c r="I943">
        <f t="shared" si="246"/>
        <v>58560000</v>
      </c>
      <c r="K943">
        <f t="shared" si="248"/>
        <v>221217508</v>
      </c>
      <c r="L943">
        <f t="shared" si="251"/>
        <v>0.551493419770374</v>
      </c>
      <c r="M943">
        <f t="shared" si="245"/>
        <v>34437459</v>
      </c>
      <c r="N943">
        <f t="shared" si="252"/>
        <v>277909072</v>
      </c>
      <c r="O943">
        <f t="shared" si="254"/>
        <v>0.504417384805697</v>
      </c>
    </row>
    <row r="944" ht="13.85" spans="1:15">
      <c r="A944" s="43">
        <v>40528</v>
      </c>
      <c r="B944" s="11">
        <v>27079104</v>
      </c>
      <c r="C944" s="11">
        <v>2658174</v>
      </c>
      <c r="D944" s="11">
        <v>107</v>
      </c>
      <c r="E944">
        <f t="shared" si="253"/>
        <v>107</v>
      </c>
      <c r="F944">
        <f t="shared" si="243"/>
        <v>13539552</v>
      </c>
      <c r="G944">
        <f t="shared" si="244"/>
        <v>1353.9552</v>
      </c>
      <c r="H944">
        <f t="shared" si="247"/>
        <v>107000000</v>
      </c>
      <c r="I944">
        <f t="shared" si="246"/>
        <v>51360000</v>
      </c>
      <c r="K944">
        <f t="shared" si="248"/>
        <v>194138404</v>
      </c>
      <c r="L944">
        <f t="shared" si="251"/>
        <v>0.551153186568898</v>
      </c>
      <c r="M944">
        <f t="shared" si="245"/>
        <v>29737278</v>
      </c>
      <c r="N944">
        <f t="shared" si="252"/>
        <v>243471613</v>
      </c>
      <c r="O944">
        <f t="shared" si="254"/>
        <v>0.530370120114247</v>
      </c>
    </row>
    <row r="945" ht="13.85" spans="1:15">
      <c r="A945" s="43">
        <v>40406</v>
      </c>
      <c r="B945" s="11">
        <v>27361708</v>
      </c>
      <c r="C945" s="11">
        <v>2805904</v>
      </c>
      <c r="D945" s="11">
        <v>91</v>
      </c>
      <c r="E945">
        <f t="shared" si="253"/>
        <v>91</v>
      </c>
      <c r="F945">
        <f t="shared" si="243"/>
        <v>13680854</v>
      </c>
      <c r="G945">
        <f t="shared" si="244"/>
        <v>1368.0854</v>
      </c>
      <c r="H945">
        <f t="shared" si="247"/>
        <v>91000000</v>
      </c>
      <c r="I945">
        <f t="shared" si="246"/>
        <v>43680000</v>
      </c>
      <c r="K945">
        <f t="shared" si="248"/>
        <v>166776696</v>
      </c>
      <c r="L945">
        <f t="shared" si="251"/>
        <v>0.545639781711469</v>
      </c>
      <c r="M945">
        <f t="shared" si="245"/>
        <v>30167612</v>
      </c>
      <c r="N945">
        <f t="shared" si="252"/>
        <v>213734335</v>
      </c>
      <c r="O945">
        <f t="shared" si="254"/>
        <v>0.404504488436963</v>
      </c>
    </row>
    <row r="946" ht="13.85" spans="1:15">
      <c r="A946" s="43">
        <v>40314</v>
      </c>
      <c r="B946" s="11">
        <v>24639824</v>
      </c>
      <c r="C946" s="11">
        <v>2553941</v>
      </c>
      <c r="D946" s="11">
        <v>80</v>
      </c>
      <c r="E946">
        <f t="shared" si="253"/>
        <v>80</v>
      </c>
      <c r="F946">
        <f t="shared" si="243"/>
        <v>12319912</v>
      </c>
      <c r="G946">
        <f t="shared" si="244"/>
        <v>1231.9912</v>
      </c>
      <c r="H946">
        <f t="shared" si="247"/>
        <v>80000000</v>
      </c>
      <c r="I946">
        <f t="shared" si="246"/>
        <v>38400000</v>
      </c>
      <c r="K946">
        <f t="shared" si="248"/>
        <v>142136872</v>
      </c>
      <c r="L946">
        <f t="shared" si="251"/>
        <v>0.562837769498684</v>
      </c>
      <c r="M946">
        <f t="shared" si="245"/>
        <v>27193765</v>
      </c>
      <c r="N946">
        <f t="shared" si="252"/>
        <v>183566723</v>
      </c>
      <c r="O946">
        <f t="shared" si="254"/>
        <v>0.333972378346887</v>
      </c>
    </row>
    <row r="947" ht="13.85" spans="1:15">
      <c r="A947" s="43">
        <v>40194</v>
      </c>
      <c r="B947" s="11">
        <v>27058640</v>
      </c>
      <c r="C947" s="11">
        <v>2883956</v>
      </c>
      <c r="D947" s="11">
        <v>70</v>
      </c>
      <c r="E947">
        <f t="shared" si="253"/>
        <v>70</v>
      </c>
      <c r="F947">
        <f t="shared" si="243"/>
        <v>13529320</v>
      </c>
      <c r="G947">
        <f t="shared" si="244"/>
        <v>1352.932</v>
      </c>
      <c r="H947">
        <f t="shared" si="247"/>
        <v>70000000</v>
      </c>
      <c r="I947">
        <f t="shared" si="246"/>
        <v>33600000</v>
      </c>
      <c r="K947">
        <f t="shared" si="248"/>
        <v>115078232</v>
      </c>
      <c r="L947">
        <f t="shared" si="251"/>
        <v>0.608281851254023</v>
      </c>
      <c r="M947">
        <f t="shared" si="245"/>
        <v>29942596</v>
      </c>
      <c r="N947">
        <f t="shared" si="252"/>
        <v>156372958</v>
      </c>
      <c r="O947">
        <f t="shared" si="254"/>
        <v>0.391643809354843</v>
      </c>
    </row>
    <row r="948" ht="13.9" spans="1:15">
      <c r="A948" s="42" t="s">
        <v>679</v>
      </c>
      <c r="B948" s="11">
        <v>23116626</v>
      </c>
      <c r="C948" s="11">
        <v>2416779</v>
      </c>
      <c r="D948" s="11">
        <v>60</v>
      </c>
      <c r="E948">
        <f t="shared" si="253"/>
        <v>60</v>
      </c>
      <c r="F948">
        <f t="shared" si="243"/>
        <v>11558313</v>
      </c>
      <c r="G948">
        <f t="shared" si="244"/>
        <v>1155.8313</v>
      </c>
      <c r="H948">
        <f t="shared" si="247"/>
        <v>60000000</v>
      </c>
      <c r="I948">
        <f t="shared" si="246"/>
        <v>28800000</v>
      </c>
      <c r="K948">
        <f t="shared" si="248"/>
        <v>91961606</v>
      </c>
      <c r="L948">
        <f t="shared" si="251"/>
        <v>0.652446195861347</v>
      </c>
      <c r="M948">
        <f t="shared" si="245"/>
        <v>25533405</v>
      </c>
      <c r="N948">
        <f t="shared" si="252"/>
        <v>126430362</v>
      </c>
      <c r="O948">
        <f t="shared" si="254"/>
        <v>0.35816485497332</v>
      </c>
    </row>
    <row r="949" ht="13.9" spans="1:15">
      <c r="A949" s="42" t="s">
        <v>680</v>
      </c>
      <c r="B949" s="11">
        <v>25267522</v>
      </c>
      <c r="C949" s="11">
        <v>2652582</v>
      </c>
      <c r="D949" s="11">
        <v>50</v>
      </c>
      <c r="E949">
        <f t="shared" si="253"/>
        <v>50</v>
      </c>
      <c r="F949">
        <f t="shared" si="243"/>
        <v>12633761</v>
      </c>
      <c r="G949">
        <f t="shared" si="244"/>
        <v>1263.3761</v>
      </c>
      <c r="H949">
        <f t="shared" si="247"/>
        <v>50000000</v>
      </c>
      <c r="I949">
        <f t="shared" si="246"/>
        <v>24000000</v>
      </c>
      <c r="K949">
        <f t="shared" si="248"/>
        <v>66694084</v>
      </c>
      <c r="L949">
        <f t="shared" si="251"/>
        <v>0.749691681798943</v>
      </c>
      <c r="M949">
        <f t="shared" si="245"/>
        <v>27920104</v>
      </c>
      <c r="N949">
        <f t="shared" si="252"/>
        <v>100896957</v>
      </c>
      <c r="O949">
        <f t="shared" si="254"/>
        <v>0.403658795616169</v>
      </c>
    </row>
    <row r="950" ht="13.9" spans="1:15">
      <c r="A950" s="42" t="s">
        <v>681</v>
      </c>
      <c r="B950" s="11">
        <v>22462360</v>
      </c>
      <c r="C950" s="11">
        <v>2311038</v>
      </c>
      <c r="D950" s="11">
        <v>40</v>
      </c>
      <c r="E950">
        <f t="shared" si="253"/>
        <v>40</v>
      </c>
      <c r="F950">
        <f t="shared" si="243"/>
        <v>11231180</v>
      </c>
      <c r="G950">
        <f t="shared" si="244"/>
        <v>1123.118</v>
      </c>
      <c r="H950">
        <f t="shared" si="247"/>
        <v>40000000</v>
      </c>
      <c r="I950">
        <f t="shared" si="246"/>
        <v>19200000</v>
      </c>
      <c r="K950">
        <f t="shared" si="248"/>
        <v>44231724</v>
      </c>
      <c r="L950">
        <f t="shared" si="251"/>
        <v>0</v>
      </c>
      <c r="M950">
        <f t="shared" si="245"/>
        <v>24773398</v>
      </c>
      <c r="N950">
        <f t="shared" si="252"/>
        <v>72976853</v>
      </c>
      <c r="O950">
        <f t="shared" si="254"/>
        <v>0</v>
      </c>
    </row>
    <row r="951" ht="13.9" spans="1:15">
      <c r="A951" s="42" t="s">
        <v>682</v>
      </c>
      <c r="B951" s="11">
        <v>44231724</v>
      </c>
      <c r="C951" s="11">
        <v>3971731</v>
      </c>
      <c r="D951" s="11">
        <v>244</v>
      </c>
      <c r="E951">
        <f t="shared" si="253"/>
        <v>244</v>
      </c>
      <c r="F951">
        <f t="shared" si="243"/>
        <v>22115862</v>
      </c>
      <c r="G951">
        <f t="shared" si="244"/>
        <v>2211.5862</v>
      </c>
      <c r="H951">
        <f t="shared" si="247"/>
        <v>244000000</v>
      </c>
      <c r="I951">
        <f t="shared" si="246"/>
        <v>117120000</v>
      </c>
      <c r="K951">
        <f t="shared" si="248"/>
        <v>557879327</v>
      </c>
      <c r="L951">
        <f t="shared" si="251"/>
        <v>0.437370571360139</v>
      </c>
      <c r="M951">
        <f t="shared" si="245"/>
        <v>48203455</v>
      </c>
      <c r="N951">
        <f t="shared" si="252"/>
        <v>656020013</v>
      </c>
      <c r="O951">
        <f t="shared" si="254"/>
        <v>0.51063138015051</v>
      </c>
    </row>
    <row r="952" ht="13.9" spans="1:15">
      <c r="A952" s="42" t="s">
        <v>683</v>
      </c>
      <c r="B952" s="11">
        <v>39590258</v>
      </c>
      <c r="C952" s="11">
        <v>3493659</v>
      </c>
      <c r="D952" s="11">
        <v>222</v>
      </c>
      <c r="E952">
        <f t="shared" si="253"/>
        <v>222</v>
      </c>
      <c r="F952">
        <f t="shared" si="243"/>
        <v>19795129</v>
      </c>
      <c r="G952">
        <f t="shared" si="244"/>
        <v>1979.5129</v>
      </c>
      <c r="H952">
        <f t="shared" si="247"/>
        <v>222000000</v>
      </c>
      <c r="I952">
        <f t="shared" si="246"/>
        <v>106560000</v>
      </c>
      <c r="K952">
        <f t="shared" si="248"/>
        <v>518289069</v>
      </c>
      <c r="L952">
        <f t="shared" si="251"/>
        <v>0.428332398420697</v>
      </c>
      <c r="M952">
        <f t="shared" si="245"/>
        <v>43083917</v>
      </c>
      <c r="N952">
        <f t="shared" si="252"/>
        <v>607816558</v>
      </c>
      <c r="O952">
        <f t="shared" si="254"/>
        <v>0.3857715296708</v>
      </c>
    </row>
    <row r="953" ht="13.85" spans="1:15">
      <c r="A953" s="43">
        <v>40102</v>
      </c>
      <c r="B953" s="11">
        <v>40342579</v>
      </c>
      <c r="C953" s="11">
        <v>3724955</v>
      </c>
      <c r="D953" s="11">
        <v>205</v>
      </c>
      <c r="E953">
        <f t="shared" si="253"/>
        <v>205</v>
      </c>
      <c r="F953">
        <f t="shared" si="243"/>
        <v>20171289.5</v>
      </c>
      <c r="G953">
        <f t="shared" si="244"/>
        <v>2017.12895</v>
      </c>
      <c r="H953">
        <f t="shared" si="247"/>
        <v>205000000</v>
      </c>
      <c r="I953">
        <f t="shared" si="246"/>
        <v>98400000</v>
      </c>
      <c r="K953">
        <f t="shared" si="248"/>
        <v>477946490</v>
      </c>
      <c r="L953">
        <f t="shared" si="251"/>
        <v>0.428918308407286</v>
      </c>
      <c r="M953">
        <f t="shared" si="245"/>
        <v>44067534</v>
      </c>
      <c r="N953">
        <f t="shared" si="252"/>
        <v>564732641</v>
      </c>
      <c r="O953">
        <f t="shared" si="254"/>
        <v>0.518153762510823</v>
      </c>
    </row>
    <row r="954" ht="13.85" spans="1:15">
      <c r="A954" s="43">
        <v>40010</v>
      </c>
      <c r="B954" s="11">
        <v>33546728</v>
      </c>
      <c r="C954" s="11">
        <v>3121924</v>
      </c>
      <c r="D954" s="11">
        <v>186</v>
      </c>
      <c r="E954">
        <f t="shared" si="253"/>
        <v>186</v>
      </c>
      <c r="F954">
        <f t="shared" si="243"/>
        <v>16773364</v>
      </c>
      <c r="G954">
        <f t="shared" si="244"/>
        <v>1677.3364</v>
      </c>
      <c r="H954">
        <f t="shared" si="247"/>
        <v>186000000</v>
      </c>
      <c r="I954">
        <f t="shared" si="246"/>
        <v>89280000</v>
      </c>
      <c r="K954">
        <f t="shared" si="248"/>
        <v>444399762</v>
      </c>
      <c r="L954">
        <f t="shared" si="251"/>
        <v>0.418542078337117</v>
      </c>
      <c r="M954">
        <f t="shared" si="245"/>
        <v>36668652</v>
      </c>
      <c r="N954">
        <f t="shared" si="252"/>
        <v>520665107</v>
      </c>
      <c r="O954">
        <f t="shared" ref="O954:O968" si="255">IF(H954&gt;H955,(H954-H955)/M955,0)</f>
        <v>0.3930084291711</v>
      </c>
    </row>
    <row r="955" ht="13.85" spans="1:15">
      <c r="A955" s="43">
        <v>39888</v>
      </c>
      <c r="B955" s="11">
        <v>37152208</v>
      </c>
      <c r="C955" s="11">
        <v>3559387</v>
      </c>
      <c r="D955" s="11">
        <v>170</v>
      </c>
      <c r="E955">
        <f t="shared" si="253"/>
        <v>170</v>
      </c>
      <c r="F955">
        <f t="shared" si="243"/>
        <v>18576104</v>
      </c>
      <c r="G955">
        <f t="shared" si="244"/>
        <v>1857.6104</v>
      </c>
      <c r="H955">
        <f t="shared" si="247"/>
        <v>170000000</v>
      </c>
      <c r="I955">
        <f t="shared" si="246"/>
        <v>81600000</v>
      </c>
      <c r="K955">
        <f t="shared" si="248"/>
        <v>407247554</v>
      </c>
      <c r="L955">
        <f t="shared" si="251"/>
        <v>0.417436515775857</v>
      </c>
      <c r="M955">
        <f t="shared" si="245"/>
        <v>40711595</v>
      </c>
      <c r="N955">
        <f t="shared" si="252"/>
        <v>483996455</v>
      </c>
      <c r="O955">
        <f t="shared" si="255"/>
        <v>0.456887300494806</v>
      </c>
    </row>
    <row r="956" ht="13.9" spans="1:15">
      <c r="A956" s="42" t="s">
        <v>684</v>
      </c>
      <c r="B956" s="11">
        <v>32026026</v>
      </c>
      <c r="C956" s="11">
        <v>2993551</v>
      </c>
      <c r="D956" s="11">
        <v>154</v>
      </c>
      <c r="E956">
        <f t="shared" si="253"/>
        <v>154</v>
      </c>
      <c r="F956">
        <f t="shared" si="243"/>
        <v>16013013</v>
      </c>
      <c r="G956">
        <f t="shared" si="244"/>
        <v>1601.3013</v>
      </c>
      <c r="H956">
        <f t="shared" si="247"/>
        <v>154000000</v>
      </c>
      <c r="I956">
        <f t="shared" si="246"/>
        <v>73920000</v>
      </c>
      <c r="K956">
        <f t="shared" si="248"/>
        <v>375221528</v>
      </c>
      <c r="L956">
        <f t="shared" si="251"/>
        <v>0.410424212120366</v>
      </c>
      <c r="M956">
        <f t="shared" si="245"/>
        <v>35019577</v>
      </c>
      <c r="N956">
        <f t="shared" si="252"/>
        <v>443284860</v>
      </c>
      <c r="O956">
        <f t="shared" si="255"/>
        <v>0.317496905198917</v>
      </c>
    </row>
    <row r="957" ht="13.9" spans="1:15">
      <c r="A957" s="42" t="s">
        <v>685</v>
      </c>
      <c r="B957" s="11">
        <v>34481088</v>
      </c>
      <c r="C957" s="11">
        <v>3314556</v>
      </c>
      <c r="D957" s="11">
        <v>142</v>
      </c>
      <c r="E957">
        <f t="shared" si="253"/>
        <v>142</v>
      </c>
      <c r="F957">
        <f t="shared" si="243"/>
        <v>17240544</v>
      </c>
      <c r="G957">
        <f t="shared" si="244"/>
        <v>1724.0544</v>
      </c>
      <c r="H957">
        <f t="shared" si="247"/>
        <v>142000000</v>
      </c>
      <c r="I957">
        <f t="shared" si="246"/>
        <v>68160000</v>
      </c>
      <c r="K957">
        <f t="shared" si="248"/>
        <v>340740440</v>
      </c>
      <c r="L957">
        <f t="shared" si="251"/>
        <v>0.416739498252688</v>
      </c>
      <c r="M957">
        <f t="shared" si="245"/>
        <v>37795644</v>
      </c>
      <c r="N957">
        <f t="shared" si="252"/>
        <v>408265283</v>
      </c>
      <c r="O957">
        <f t="shared" si="255"/>
        <v>0.447261622823796</v>
      </c>
    </row>
    <row r="958" ht="13.9" spans="1:15">
      <c r="A958" s="42" t="s">
        <v>686</v>
      </c>
      <c r="B958" s="11">
        <v>30629692</v>
      </c>
      <c r="C958" s="11">
        <v>2907726</v>
      </c>
      <c r="D958" s="11">
        <v>127</v>
      </c>
      <c r="E958">
        <f t="shared" si="253"/>
        <v>127</v>
      </c>
      <c r="F958">
        <f t="shared" si="243"/>
        <v>15314846</v>
      </c>
      <c r="G958">
        <f t="shared" si="244"/>
        <v>1531.4846</v>
      </c>
      <c r="H958">
        <f t="shared" si="247"/>
        <v>127000000</v>
      </c>
      <c r="I958">
        <f t="shared" si="246"/>
        <v>60960000</v>
      </c>
      <c r="K958">
        <f t="shared" si="248"/>
        <v>310110748</v>
      </c>
      <c r="L958">
        <f t="shared" si="251"/>
        <v>0.409531113703934</v>
      </c>
      <c r="M958">
        <f t="shared" si="245"/>
        <v>33537418</v>
      </c>
      <c r="N958">
        <f t="shared" si="252"/>
        <v>370469639</v>
      </c>
      <c r="O958">
        <f t="shared" si="255"/>
        <v>0.471133994304766</v>
      </c>
    </row>
    <row r="959" ht="13.9" spans="1:15">
      <c r="A959" s="42" t="s">
        <v>687</v>
      </c>
      <c r="B959" s="11">
        <v>32849886</v>
      </c>
      <c r="C959" s="11">
        <v>3233267</v>
      </c>
      <c r="D959" s="11">
        <v>110</v>
      </c>
      <c r="E959">
        <f t="shared" si="253"/>
        <v>110</v>
      </c>
      <c r="F959">
        <f t="shared" si="243"/>
        <v>16424943</v>
      </c>
      <c r="G959">
        <f t="shared" si="244"/>
        <v>1642.4943</v>
      </c>
      <c r="H959">
        <f t="shared" si="247"/>
        <v>110000000</v>
      </c>
      <c r="I959">
        <f t="shared" si="246"/>
        <v>52800000</v>
      </c>
      <c r="K959">
        <f t="shared" si="248"/>
        <v>277260862</v>
      </c>
      <c r="L959">
        <f t="shared" si="251"/>
        <v>0.396738289012461</v>
      </c>
      <c r="M959">
        <f t="shared" si="245"/>
        <v>36083153</v>
      </c>
      <c r="N959">
        <f t="shared" si="252"/>
        <v>336932221</v>
      </c>
      <c r="O959">
        <f t="shared" si="255"/>
        <v>0.521480600758689</v>
      </c>
    </row>
    <row r="960" ht="13.9" spans="1:15">
      <c r="A960" s="42" t="s">
        <v>688</v>
      </c>
      <c r="B960" s="11">
        <v>27911078</v>
      </c>
      <c r="C960" s="11">
        <v>2770792</v>
      </c>
      <c r="D960" s="11">
        <v>94</v>
      </c>
      <c r="E960">
        <f t="shared" si="253"/>
        <v>94</v>
      </c>
      <c r="F960">
        <f t="shared" si="243"/>
        <v>13955539</v>
      </c>
      <c r="G960">
        <f t="shared" si="244"/>
        <v>1395.5539</v>
      </c>
      <c r="H960">
        <f t="shared" si="247"/>
        <v>94000000</v>
      </c>
      <c r="I960">
        <f t="shared" si="246"/>
        <v>45120000</v>
      </c>
      <c r="K960">
        <f t="shared" si="248"/>
        <v>249349784</v>
      </c>
      <c r="M960">
        <f t="shared" si="245"/>
        <v>30681870</v>
      </c>
      <c r="N960">
        <f t="shared" si="252"/>
        <v>300849068</v>
      </c>
      <c r="O960">
        <f t="shared" si="255"/>
        <v>0.362542276961272</v>
      </c>
    </row>
    <row r="961" ht="13.9" spans="1:15">
      <c r="A961" s="42" t="s">
        <v>689</v>
      </c>
      <c r="B961" s="11">
        <v>30029386</v>
      </c>
      <c r="C961" s="11">
        <v>3070202</v>
      </c>
      <c r="D961" s="11">
        <v>82</v>
      </c>
      <c r="E961">
        <f t="shared" si="253"/>
        <v>82</v>
      </c>
      <c r="F961">
        <f t="shared" si="243"/>
        <v>15014693</v>
      </c>
      <c r="G961">
        <f t="shared" si="244"/>
        <v>1501.4693</v>
      </c>
      <c r="H961">
        <f t="shared" si="247"/>
        <v>82000000</v>
      </c>
      <c r="I961">
        <f t="shared" si="246"/>
        <v>39360000</v>
      </c>
      <c r="K961">
        <f t="shared" si="248"/>
        <v>219320398</v>
      </c>
      <c r="M961">
        <f t="shared" si="245"/>
        <v>33099588</v>
      </c>
      <c r="N961">
        <f t="shared" si="252"/>
        <v>270167198</v>
      </c>
      <c r="O961">
        <f t="shared" si="255"/>
        <v>0.516534546312556</v>
      </c>
    </row>
    <row r="962" ht="13.85" spans="1:15">
      <c r="A962" s="43">
        <v>39737</v>
      </c>
      <c r="B962" s="11">
        <v>26374638</v>
      </c>
      <c r="C962" s="11">
        <v>2665046</v>
      </c>
      <c r="D962" s="11">
        <v>67</v>
      </c>
      <c r="E962">
        <f t="shared" si="253"/>
        <v>67</v>
      </c>
      <c r="F962">
        <f t="shared" si="243"/>
        <v>13187319</v>
      </c>
      <c r="G962">
        <f t="shared" si="244"/>
        <v>1318.7319</v>
      </c>
      <c r="H962">
        <f t="shared" si="247"/>
        <v>67000000</v>
      </c>
      <c r="I962">
        <f t="shared" si="246"/>
        <v>32160000</v>
      </c>
      <c r="K962">
        <f t="shared" si="248"/>
        <v>192945760</v>
      </c>
      <c r="M962">
        <f t="shared" si="245"/>
        <v>29039684</v>
      </c>
      <c r="N962">
        <f t="shared" si="252"/>
        <v>237067610</v>
      </c>
      <c r="O962">
        <f t="shared" si="255"/>
        <v>0.468545201820692</v>
      </c>
    </row>
    <row r="963" ht="13.85" spans="1:15">
      <c r="A963" s="43">
        <v>39615</v>
      </c>
      <c r="B963" s="11">
        <v>29037382</v>
      </c>
      <c r="C963" s="11">
        <v>2976605</v>
      </c>
      <c r="D963" s="11">
        <v>52</v>
      </c>
      <c r="E963">
        <f t="shared" si="253"/>
        <v>52</v>
      </c>
      <c r="F963">
        <f t="shared" si="243"/>
        <v>14518691</v>
      </c>
      <c r="G963">
        <f t="shared" si="244"/>
        <v>1451.8691</v>
      </c>
      <c r="H963">
        <f t="shared" si="247"/>
        <v>52000000</v>
      </c>
      <c r="I963">
        <f t="shared" si="246"/>
        <v>24960000</v>
      </c>
      <c r="K963">
        <f t="shared" si="248"/>
        <v>163908378</v>
      </c>
      <c r="M963">
        <f t="shared" si="245"/>
        <v>32013987</v>
      </c>
      <c r="N963">
        <f t="shared" si="252"/>
        <v>208027926</v>
      </c>
      <c r="O963">
        <f t="shared" si="255"/>
        <v>0.40145870018713</v>
      </c>
    </row>
    <row r="964" ht="13.85" spans="1:15">
      <c r="A964" s="43">
        <v>39523</v>
      </c>
      <c r="B964" s="11">
        <v>27186128</v>
      </c>
      <c r="C964" s="11">
        <v>2704867</v>
      </c>
      <c r="D964" s="11">
        <v>40</v>
      </c>
      <c r="E964">
        <f t="shared" si="253"/>
        <v>40</v>
      </c>
      <c r="F964">
        <f t="shared" ref="F964:F1027" si="256">B964/2</f>
        <v>13593064</v>
      </c>
      <c r="G964">
        <f t="shared" ref="G964:G1027" si="257">F964/10000</f>
        <v>1359.3064</v>
      </c>
      <c r="H964">
        <f t="shared" si="247"/>
        <v>40000000</v>
      </c>
      <c r="I964">
        <f t="shared" si="246"/>
        <v>19200000</v>
      </c>
      <c r="K964">
        <f t="shared" si="248"/>
        <v>136722250</v>
      </c>
      <c r="M964">
        <f t="shared" si="245"/>
        <v>29890995</v>
      </c>
      <c r="N964">
        <f t="shared" si="252"/>
        <v>176013939</v>
      </c>
      <c r="O964">
        <f t="shared" si="255"/>
        <v>0</v>
      </c>
    </row>
    <row r="965" ht="13.9" spans="1:15">
      <c r="A965" s="42" t="s">
        <v>690</v>
      </c>
      <c r="B965" s="11">
        <v>136722250</v>
      </c>
      <c r="C965" s="11">
        <v>9400694</v>
      </c>
      <c r="D965" s="27">
        <v>487</v>
      </c>
      <c r="E965">
        <f t="shared" si="253"/>
        <v>487</v>
      </c>
      <c r="F965">
        <f t="shared" si="256"/>
        <v>68361125</v>
      </c>
      <c r="G965">
        <f t="shared" si="257"/>
        <v>6836.1125</v>
      </c>
      <c r="H965">
        <f t="shared" si="247"/>
        <v>487000000</v>
      </c>
      <c r="I965">
        <f t="shared" si="246"/>
        <v>233760000</v>
      </c>
      <c r="K965">
        <f t="shared" si="248"/>
        <v>1092686396</v>
      </c>
      <c r="M965">
        <f t="shared" si="245"/>
        <v>146122944</v>
      </c>
      <c r="N965">
        <f t="shared" si="252"/>
        <v>1334085007</v>
      </c>
      <c r="O965">
        <f t="shared" si="255"/>
        <v>0.603253371418358</v>
      </c>
    </row>
    <row r="966" ht="13.9" spans="1:15">
      <c r="A966" s="42" t="s">
        <v>691</v>
      </c>
      <c r="B966" s="11">
        <v>100687710</v>
      </c>
      <c r="C966" s="11">
        <v>7061377</v>
      </c>
      <c r="D966" s="11">
        <v>422</v>
      </c>
      <c r="E966">
        <f t="shared" si="253"/>
        <v>422</v>
      </c>
      <c r="F966">
        <f t="shared" si="256"/>
        <v>50343855</v>
      </c>
      <c r="G966">
        <f t="shared" si="257"/>
        <v>5034.3855</v>
      </c>
      <c r="H966">
        <f t="shared" si="247"/>
        <v>422000000</v>
      </c>
      <c r="I966">
        <f t="shared" si="246"/>
        <v>202560000</v>
      </c>
      <c r="K966">
        <f t="shared" si="248"/>
        <v>991998686</v>
      </c>
      <c r="M966">
        <f t="shared" si="245"/>
        <v>107749087</v>
      </c>
      <c r="N966">
        <f t="shared" si="252"/>
        <v>1187962063</v>
      </c>
      <c r="O966">
        <f t="shared" si="255"/>
        <v>0.439958977125075</v>
      </c>
    </row>
    <row r="967" ht="13.9" spans="1:15">
      <c r="A967" s="42" t="s">
        <v>692</v>
      </c>
      <c r="B967" s="11">
        <v>67447786</v>
      </c>
      <c r="C967" s="11">
        <v>5286268</v>
      </c>
      <c r="D967" s="11">
        <v>390</v>
      </c>
      <c r="E967">
        <f t="shared" si="253"/>
        <v>390</v>
      </c>
      <c r="F967">
        <f t="shared" si="256"/>
        <v>33723893</v>
      </c>
      <c r="G967">
        <f t="shared" si="257"/>
        <v>3372.3893</v>
      </c>
      <c r="H967">
        <f t="shared" si="247"/>
        <v>390000000</v>
      </c>
      <c r="I967">
        <f t="shared" si="246"/>
        <v>187200000</v>
      </c>
      <c r="K967">
        <f t="shared" si="248"/>
        <v>924550900</v>
      </c>
      <c r="M967">
        <f t="shared" ref="M967:M1030" si="258">B967+C967</f>
        <v>72734054</v>
      </c>
      <c r="N967">
        <f t="shared" si="252"/>
        <v>1080212976</v>
      </c>
      <c r="O967">
        <f t="shared" si="255"/>
        <v>0.457755706796989</v>
      </c>
    </row>
    <row r="968" ht="13.9" spans="1:15">
      <c r="A968" s="42" t="s">
        <v>693</v>
      </c>
      <c r="B968" s="11">
        <v>58703720</v>
      </c>
      <c r="C968" s="11">
        <v>4648849</v>
      </c>
      <c r="D968" s="11">
        <v>361</v>
      </c>
      <c r="E968">
        <f t="shared" si="253"/>
        <v>361</v>
      </c>
      <c r="F968">
        <f t="shared" si="256"/>
        <v>29351860</v>
      </c>
      <c r="G968">
        <f t="shared" si="257"/>
        <v>2935.186</v>
      </c>
      <c r="H968">
        <f t="shared" si="247"/>
        <v>361000000</v>
      </c>
      <c r="I968">
        <f t="shared" si="246"/>
        <v>173280000</v>
      </c>
      <c r="K968">
        <f t="shared" si="248"/>
        <v>865847180</v>
      </c>
      <c r="M968">
        <f t="shared" si="258"/>
        <v>63352569</v>
      </c>
      <c r="N968">
        <f t="shared" si="252"/>
        <v>1007478922</v>
      </c>
      <c r="O968">
        <f t="shared" si="255"/>
        <v>0.44710455330798</v>
      </c>
    </row>
    <row r="969" ht="13.9" spans="1:15">
      <c r="A969" s="42" t="s">
        <v>694</v>
      </c>
      <c r="B969" s="11">
        <v>57802204</v>
      </c>
      <c r="C969" s="11">
        <v>4822969</v>
      </c>
      <c r="D969" s="11">
        <v>333</v>
      </c>
      <c r="E969">
        <f t="shared" si="253"/>
        <v>333</v>
      </c>
      <c r="F969">
        <f t="shared" si="256"/>
        <v>28901102</v>
      </c>
      <c r="G969">
        <f t="shared" si="257"/>
        <v>2890.1102</v>
      </c>
      <c r="H969">
        <f t="shared" si="247"/>
        <v>333000000</v>
      </c>
      <c r="I969">
        <f t="shared" si="246"/>
        <v>159840000</v>
      </c>
      <c r="K969">
        <f t="shared" si="248"/>
        <v>808044976</v>
      </c>
      <c r="M969">
        <f t="shared" si="258"/>
        <v>62625173</v>
      </c>
      <c r="N969">
        <f t="shared" si="252"/>
        <v>944126353</v>
      </c>
      <c r="O969">
        <f t="shared" ref="O969:O996" si="259">IF(H969&gt;H970,(H969-H970)/M970,0)</f>
        <v>0.394448644525643</v>
      </c>
    </row>
    <row r="970" ht="13.9" spans="1:15">
      <c r="A970" s="42" t="s">
        <v>695</v>
      </c>
      <c r="B970" s="11">
        <v>51529112</v>
      </c>
      <c r="C970" s="11">
        <v>4244942</v>
      </c>
      <c r="D970" s="11">
        <v>311</v>
      </c>
      <c r="E970">
        <f t="shared" si="253"/>
        <v>311</v>
      </c>
      <c r="F970">
        <f t="shared" si="256"/>
        <v>25764556</v>
      </c>
      <c r="G970">
        <f t="shared" si="257"/>
        <v>2576.4556</v>
      </c>
      <c r="H970">
        <f t="shared" si="247"/>
        <v>311000000</v>
      </c>
      <c r="I970">
        <f t="shared" si="246"/>
        <v>149280000</v>
      </c>
      <c r="K970">
        <f t="shared" si="248"/>
        <v>756515864</v>
      </c>
      <c r="M970">
        <f t="shared" si="258"/>
        <v>55774054</v>
      </c>
      <c r="N970">
        <f t="shared" si="252"/>
        <v>881501180</v>
      </c>
      <c r="O970">
        <f t="shared" si="259"/>
        <v>0.372275262724769</v>
      </c>
    </row>
    <row r="971" ht="13.85" spans="1:15">
      <c r="A971" s="43">
        <v>39341</v>
      </c>
      <c r="B971" s="11">
        <v>56912314</v>
      </c>
      <c r="C971" s="11">
        <v>4869927</v>
      </c>
      <c r="D971" s="11">
        <v>288</v>
      </c>
      <c r="E971">
        <f t="shared" si="253"/>
        <v>288</v>
      </c>
      <c r="F971">
        <f t="shared" si="256"/>
        <v>28456157</v>
      </c>
      <c r="G971">
        <f t="shared" si="257"/>
        <v>2845.6157</v>
      </c>
      <c r="H971">
        <f t="shared" si="247"/>
        <v>288000000</v>
      </c>
      <c r="I971">
        <f t="shared" ref="I971:I1034" si="260">H971*0.48</f>
        <v>138240000</v>
      </c>
      <c r="K971">
        <f t="shared" si="248"/>
        <v>699603550</v>
      </c>
      <c r="M971">
        <f t="shared" si="258"/>
        <v>61782241</v>
      </c>
      <c r="N971">
        <f t="shared" si="252"/>
        <v>825727126</v>
      </c>
      <c r="O971">
        <f t="shared" si="259"/>
        <v>0.554080143403091</v>
      </c>
    </row>
    <row r="972" ht="13.85" spans="1:15">
      <c r="A972" s="43">
        <v>39249</v>
      </c>
      <c r="B972" s="11">
        <v>51580224</v>
      </c>
      <c r="C972" s="11">
        <v>4368361</v>
      </c>
      <c r="D972" s="11">
        <v>257</v>
      </c>
      <c r="E972">
        <f t="shared" ref="E972:E989" si="261">IF(RIGHT(D972,1)="B",VALUE(LEFT(D972,LEN(D972)-1))*1000,D972)</f>
        <v>257</v>
      </c>
      <c r="F972">
        <f t="shared" si="256"/>
        <v>25790112</v>
      </c>
      <c r="G972">
        <f t="shared" si="257"/>
        <v>2579.0112</v>
      </c>
      <c r="H972">
        <f t="shared" si="247"/>
        <v>257000000</v>
      </c>
      <c r="I972">
        <f t="shared" si="260"/>
        <v>123360000</v>
      </c>
      <c r="K972">
        <f t="shared" si="248"/>
        <v>648023326</v>
      </c>
      <c r="M972">
        <f t="shared" si="258"/>
        <v>55948585</v>
      </c>
      <c r="N972">
        <f t="shared" si="252"/>
        <v>763944885</v>
      </c>
      <c r="O972">
        <f t="shared" si="259"/>
        <v>0.250965806052334</v>
      </c>
    </row>
    <row r="973" ht="13.85" spans="1:15">
      <c r="A973" s="43">
        <v>39129</v>
      </c>
      <c r="B973" s="11">
        <v>51203844</v>
      </c>
      <c r="C973" s="11">
        <v>4580648</v>
      </c>
      <c r="D973" s="11">
        <v>243</v>
      </c>
      <c r="E973">
        <f t="shared" si="261"/>
        <v>243</v>
      </c>
      <c r="F973">
        <f t="shared" si="256"/>
        <v>25601922</v>
      </c>
      <c r="G973">
        <f t="shared" si="257"/>
        <v>2560.1922</v>
      </c>
      <c r="H973">
        <f t="shared" si="247"/>
        <v>243000000</v>
      </c>
      <c r="I973">
        <f t="shared" si="260"/>
        <v>116640000</v>
      </c>
      <c r="K973">
        <f t="shared" si="248"/>
        <v>596819482</v>
      </c>
      <c r="M973">
        <f t="shared" si="258"/>
        <v>55784492</v>
      </c>
      <c r="N973">
        <f t="shared" si="252"/>
        <v>707996300</v>
      </c>
      <c r="O973">
        <f t="shared" si="259"/>
        <v>0.484564497888268</v>
      </c>
    </row>
    <row r="974" ht="13.9" spans="1:15">
      <c r="A974" s="42" t="s">
        <v>696</v>
      </c>
      <c r="B974" s="11">
        <v>39756020</v>
      </c>
      <c r="C974" s="11">
        <v>3581864</v>
      </c>
      <c r="D974" s="11">
        <v>222</v>
      </c>
      <c r="E974">
        <f t="shared" si="261"/>
        <v>222</v>
      </c>
      <c r="F974">
        <f t="shared" si="256"/>
        <v>19878010</v>
      </c>
      <c r="G974">
        <f t="shared" si="257"/>
        <v>1987.801</v>
      </c>
      <c r="H974">
        <f t="shared" si="247"/>
        <v>222000000</v>
      </c>
      <c r="I974">
        <f t="shared" si="260"/>
        <v>106560000</v>
      </c>
      <c r="K974">
        <f t="shared" si="248"/>
        <v>557063462</v>
      </c>
      <c r="M974">
        <f t="shared" si="258"/>
        <v>43337884</v>
      </c>
      <c r="N974">
        <f t="shared" si="252"/>
        <v>652211808</v>
      </c>
      <c r="O974">
        <f t="shared" si="259"/>
        <v>0.445276011718071</v>
      </c>
    </row>
    <row r="975" ht="13.9" spans="1:15">
      <c r="A975" s="42" t="s">
        <v>697</v>
      </c>
      <c r="B975" s="11">
        <v>38946942</v>
      </c>
      <c r="C975" s="11">
        <v>3723221</v>
      </c>
      <c r="D975" s="11">
        <v>203</v>
      </c>
      <c r="E975">
        <f t="shared" si="261"/>
        <v>203</v>
      </c>
      <c r="F975">
        <f t="shared" si="256"/>
        <v>19473471</v>
      </c>
      <c r="G975">
        <f t="shared" si="257"/>
        <v>1947.3471</v>
      </c>
      <c r="H975">
        <f t="shared" si="247"/>
        <v>203000000</v>
      </c>
      <c r="I975">
        <f t="shared" si="260"/>
        <v>97440000</v>
      </c>
      <c r="K975">
        <f t="shared" si="248"/>
        <v>518116520</v>
      </c>
      <c r="M975">
        <f t="shared" si="258"/>
        <v>42670163</v>
      </c>
      <c r="N975">
        <f t="shared" si="252"/>
        <v>608873924</v>
      </c>
      <c r="O975">
        <f t="shared" si="259"/>
        <v>0.536347023976914</v>
      </c>
    </row>
    <row r="976" ht="13.9" spans="1:15">
      <c r="A976" s="42" t="s">
        <v>698</v>
      </c>
      <c r="B976" s="11">
        <v>32290936</v>
      </c>
      <c r="C976" s="11">
        <v>3133890</v>
      </c>
      <c r="D976" s="11">
        <v>184</v>
      </c>
      <c r="E976">
        <f t="shared" si="261"/>
        <v>184</v>
      </c>
      <c r="F976">
        <f t="shared" si="256"/>
        <v>16145468</v>
      </c>
      <c r="G976">
        <f t="shared" si="257"/>
        <v>1614.5468</v>
      </c>
      <c r="H976">
        <f t="shared" ref="H976:H1039" si="262">E976*1000000</f>
        <v>184000000</v>
      </c>
      <c r="I976">
        <f t="shared" si="260"/>
        <v>88320000</v>
      </c>
      <c r="K976">
        <f t="shared" si="248"/>
        <v>485825584</v>
      </c>
      <c r="M976">
        <f t="shared" si="258"/>
        <v>35424826</v>
      </c>
      <c r="N976">
        <f t="shared" si="252"/>
        <v>566203761</v>
      </c>
      <c r="O976">
        <f t="shared" si="259"/>
        <v>0.401446234145282</v>
      </c>
    </row>
    <row r="977" ht="13.9" spans="1:15">
      <c r="A977" s="42" t="s">
        <v>699</v>
      </c>
      <c r="B977" s="11">
        <v>33986378</v>
      </c>
      <c r="C977" s="11">
        <v>3378526</v>
      </c>
      <c r="D977" s="11">
        <v>169</v>
      </c>
      <c r="E977">
        <f t="shared" si="261"/>
        <v>169</v>
      </c>
      <c r="F977">
        <f t="shared" si="256"/>
        <v>16993189</v>
      </c>
      <c r="G977">
        <f t="shared" si="257"/>
        <v>1699.3189</v>
      </c>
      <c r="H977">
        <f t="shared" si="262"/>
        <v>169000000</v>
      </c>
      <c r="I977">
        <f t="shared" si="260"/>
        <v>81120000</v>
      </c>
      <c r="K977">
        <f t="shared" ref="K977:K1040" si="263">IF(E977&gt;E978,B978+K978,B978)</f>
        <v>451839206</v>
      </c>
      <c r="M977">
        <f t="shared" si="258"/>
        <v>37364904</v>
      </c>
      <c r="N977">
        <f t="shared" si="252"/>
        <v>530778935</v>
      </c>
      <c r="O977">
        <f t="shared" si="259"/>
        <v>0.48340725738107</v>
      </c>
    </row>
    <row r="978" ht="13.9" spans="1:15">
      <c r="A978" s="42" t="s">
        <v>700</v>
      </c>
      <c r="B978" s="11">
        <v>30117464</v>
      </c>
      <c r="C978" s="11">
        <v>2980922</v>
      </c>
      <c r="D978" s="11">
        <v>153</v>
      </c>
      <c r="E978">
        <f t="shared" si="261"/>
        <v>153</v>
      </c>
      <c r="F978">
        <f t="shared" si="256"/>
        <v>15058732</v>
      </c>
      <c r="G978">
        <f t="shared" si="257"/>
        <v>1505.8732</v>
      </c>
      <c r="H978">
        <f t="shared" si="262"/>
        <v>153000000</v>
      </c>
      <c r="I978">
        <f t="shared" si="260"/>
        <v>73440000</v>
      </c>
      <c r="K978">
        <f t="shared" si="263"/>
        <v>421721742</v>
      </c>
      <c r="M978">
        <f t="shared" si="258"/>
        <v>33098386</v>
      </c>
      <c r="N978">
        <f t="shared" si="252"/>
        <v>493414031</v>
      </c>
      <c r="O978">
        <f t="shared" si="259"/>
        <v>0.341867017832467</v>
      </c>
    </row>
    <row r="979" ht="13.85" spans="1:15">
      <c r="A979" s="43">
        <v>39037</v>
      </c>
      <c r="B979" s="11">
        <v>31869688</v>
      </c>
      <c r="C979" s="11">
        <v>3231680</v>
      </c>
      <c r="D979" s="11">
        <v>141</v>
      </c>
      <c r="E979">
        <f t="shared" si="261"/>
        <v>141</v>
      </c>
      <c r="F979">
        <f t="shared" si="256"/>
        <v>15934844</v>
      </c>
      <c r="G979">
        <f t="shared" si="257"/>
        <v>1593.4844</v>
      </c>
      <c r="H979">
        <f t="shared" si="262"/>
        <v>141000000</v>
      </c>
      <c r="I979">
        <f t="shared" si="260"/>
        <v>67680000</v>
      </c>
      <c r="K979">
        <f t="shared" si="263"/>
        <v>389852054</v>
      </c>
      <c r="M979">
        <f t="shared" si="258"/>
        <v>35101368</v>
      </c>
      <c r="N979">
        <f t="shared" si="252"/>
        <v>460315645</v>
      </c>
      <c r="O979">
        <f t="shared" si="259"/>
        <v>0.568006431852387</v>
      </c>
    </row>
    <row r="980" ht="13.85" spans="1:15">
      <c r="A980" s="43">
        <v>38945</v>
      </c>
      <c r="B980" s="11">
        <v>28791514</v>
      </c>
      <c r="C980" s="11">
        <v>2898268</v>
      </c>
      <c r="D980" s="11">
        <v>123</v>
      </c>
      <c r="E980">
        <f t="shared" si="261"/>
        <v>123</v>
      </c>
      <c r="F980">
        <f t="shared" si="256"/>
        <v>14395757</v>
      </c>
      <c r="G980">
        <f t="shared" si="257"/>
        <v>1439.5757</v>
      </c>
      <c r="H980">
        <f t="shared" si="262"/>
        <v>123000000</v>
      </c>
      <c r="I980">
        <f t="shared" si="260"/>
        <v>59040000</v>
      </c>
      <c r="K980">
        <f t="shared" si="263"/>
        <v>361060540</v>
      </c>
      <c r="M980">
        <f t="shared" si="258"/>
        <v>31689782</v>
      </c>
      <c r="N980">
        <f t="shared" si="252"/>
        <v>425214277</v>
      </c>
      <c r="O980">
        <f t="shared" si="259"/>
        <v>0.378020174006175</v>
      </c>
    </row>
    <row r="981" ht="13.85" spans="1:15">
      <c r="A981" s="43">
        <v>38823</v>
      </c>
      <c r="B981" s="11">
        <v>31161584</v>
      </c>
      <c r="C981" s="11">
        <v>3228115</v>
      </c>
      <c r="D981" s="11">
        <v>110</v>
      </c>
      <c r="E981">
        <f t="shared" si="261"/>
        <v>110</v>
      </c>
      <c r="F981">
        <f t="shared" si="256"/>
        <v>15580792</v>
      </c>
      <c r="G981">
        <f t="shared" si="257"/>
        <v>1558.0792</v>
      </c>
      <c r="H981">
        <f t="shared" si="262"/>
        <v>110000000</v>
      </c>
      <c r="I981">
        <f t="shared" si="260"/>
        <v>52800000</v>
      </c>
      <c r="K981">
        <f t="shared" si="263"/>
        <v>329898956</v>
      </c>
      <c r="M981">
        <f t="shared" si="258"/>
        <v>34389699</v>
      </c>
      <c r="N981">
        <f t="shared" si="252"/>
        <v>393524495</v>
      </c>
      <c r="O981">
        <f t="shared" si="259"/>
        <v>0.338844044385588</v>
      </c>
    </row>
    <row r="982" ht="13.85" spans="1:15">
      <c r="A982" s="43">
        <v>38733</v>
      </c>
      <c r="B982" s="11">
        <v>26769328</v>
      </c>
      <c r="C982" s="11">
        <v>2742774</v>
      </c>
      <c r="D982" s="11">
        <v>100</v>
      </c>
      <c r="E982">
        <f t="shared" si="261"/>
        <v>100</v>
      </c>
      <c r="F982">
        <f t="shared" si="256"/>
        <v>13384664</v>
      </c>
      <c r="G982">
        <f t="shared" si="257"/>
        <v>1338.4664</v>
      </c>
      <c r="H982">
        <f t="shared" si="262"/>
        <v>100000000</v>
      </c>
      <c r="I982">
        <f t="shared" si="260"/>
        <v>48000000</v>
      </c>
      <c r="K982">
        <f t="shared" si="263"/>
        <v>303129628</v>
      </c>
      <c r="M982">
        <f t="shared" si="258"/>
        <v>29512102</v>
      </c>
      <c r="N982">
        <f t="shared" si="252"/>
        <v>359134796</v>
      </c>
      <c r="O982">
        <f t="shared" si="259"/>
        <v>0.325257376975544</v>
      </c>
    </row>
    <row r="983" ht="13.9" spans="1:15">
      <c r="A983" s="42" t="s">
        <v>701</v>
      </c>
      <c r="B983" s="11">
        <v>27774836</v>
      </c>
      <c r="C983" s="11">
        <v>2970047</v>
      </c>
      <c r="D983" s="11">
        <v>90</v>
      </c>
      <c r="E983">
        <f t="shared" si="261"/>
        <v>90</v>
      </c>
      <c r="F983">
        <f t="shared" si="256"/>
        <v>13887418</v>
      </c>
      <c r="G983">
        <f t="shared" si="257"/>
        <v>1388.7418</v>
      </c>
      <c r="H983">
        <f t="shared" si="262"/>
        <v>90000000</v>
      </c>
      <c r="I983">
        <f t="shared" si="260"/>
        <v>43200000</v>
      </c>
      <c r="K983">
        <f t="shared" si="263"/>
        <v>275354792</v>
      </c>
      <c r="M983">
        <f t="shared" si="258"/>
        <v>30744883</v>
      </c>
      <c r="N983">
        <f t="shared" si="252"/>
        <v>329622694</v>
      </c>
      <c r="O983">
        <f t="shared" si="259"/>
        <v>0.367258871597117</v>
      </c>
    </row>
    <row r="984" ht="13.9" spans="1:15">
      <c r="A984" s="42" t="s">
        <v>702</v>
      </c>
      <c r="B984" s="11">
        <v>24610048</v>
      </c>
      <c r="C984" s="11">
        <v>2618702</v>
      </c>
      <c r="D984" s="11">
        <v>80</v>
      </c>
      <c r="E984">
        <f t="shared" si="261"/>
        <v>80</v>
      </c>
      <c r="F984">
        <f t="shared" si="256"/>
        <v>12305024</v>
      </c>
      <c r="G984">
        <f t="shared" si="257"/>
        <v>1230.5024</v>
      </c>
      <c r="H984">
        <f t="shared" si="262"/>
        <v>80000000</v>
      </c>
      <c r="I984">
        <f t="shared" si="260"/>
        <v>38400000</v>
      </c>
      <c r="K984">
        <f t="shared" si="263"/>
        <v>250744744</v>
      </c>
      <c r="M984">
        <f t="shared" si="258"/>
        <v>27228750</v>
      </c>
      <c r="N984">
        <f t="shared" si="252"/>
        <v>298877811</v>
      </c>
      <c r="O984">
        <f t="shared" si="259"/>
        <v>0.331515545194884</v>
      </c>
    </row>
    <row r="985" ht="13.9" spans="1:15">
      <c r="A985" s="42" t="s">
        <v>703</v>
      </c>
      <c r="B985" s="11">
        <v>27239338</v>
      </c>
      <c r="C985" s="11">
        <v>2925160</v>
      </c>
      <c r="D985" s="11">
        <v>70</v>
      </c>
      <c r="E985">
        <f t="shared" si="261"/>
        <v>70</v>
      </c>
      <c r="F985">
        <f t="shared" si="256"/>
        <v>13619669</v>
      </c>
      <c r="G985">
        <f t="shared" si="257"/>
        <v>1361.9669</v>
      </c>
      <c r="H985">
        <f t="shared" si="262"/>
        <v>70000000</v>
      </c>
      <c r="I985">
        <f t="shared" si="260"/>
        <v>33600000</v>
      </c>
      <c r="K985">
        <f t="shared" si="263"/>
        <v>223505406</v>
      </c>
      <c r="M985">
        <f t="shared" si="258"/>
        <v>30164498</v>
      </c>
      <c r="N985">
        <f t="shared" si="252"/>
        <v>271649061</v>
      </c>
      <c r="O985">
        <f t="shared" si="259"/>
        <v>0.372304811012121</v>
      </c>
    </row>
    <row r="986" ht="13.9" spans="1:15">
      <c r="A986" s="42" t="s">
        <v>704</v>
      </c>
      <c r="B986" s="11">
        <v>24260628</v>
      </c>
      <c r="C986" s="11">
        <v>2599084</v>
      </c>
      <c r="D986" s="11">
        <v>60</v>
      </c>
      <c r="E986">
        <f t="shared" si="261"/>
        <v>60</v>
      </c>
      <c r="F986">
        <f t="shared" si="256"/>
        <v>12130314</v>
      </c>
      <c r="G986">
        <f t="shared" si="257"/>
        <v>1213.0314</v>
      </c>
      <c r="H986">
        <f t="shared" si="262"/>
        <v>60000000</v>
      </c>
      <c r="I986">
        <f t="shared" si="260"/>
        <v>28800000</v>
      </c>
      <c r="K986">
        <f t="shared" si="263"/>
        <v>199244778</v>
      </c>
      <c r="M986">
        <f t="shared" si="258"/>
        <v>26859712</v>
      </c>
      <c r="N986">
        <f t="shared" si="252"/>
        <v>241484563</v>
      </c>
      <c r="O986">
        <f t="shared" si="259"/>
        <v>0.338301825649185</v>
      </c>
    </row>
    <row r="987" ht="13.9" spans="1:15">
      <c r="A987" s="42" t="s">
        <v>705</v>
      </c>
      <c r="B987" s="11">
        <v>26710594</v>
      </c>
      <c r="C987" s="11">
        <v>2848809</v>
      </c>
      <c r="D987" s="11">
        <v>50</v>
      </c>
      <c r="E987">
        <f t="shared" si="261"/>
        <v>50</v>
      </c>
      <c r="F987">
        <f t="shared" si="256"/>
        <v>13355297</v>
      </c>
      <c r="G987">
        <f t="shared" si="257"/>
        <v>1335.5297</v>
      </c>
      <c r="H987">
        <f t="shared" si="262"/>
        <v>50000000</v>
      </c>
      <c r="I987">
        <f t="shared" si="260"/>
        <v>24000000</v>
      </c>
      <c r="K987">
        <f t="shared" si="263"/>
        <v>172534184</v>
      </c>
      <c r="M987">
        <f t="shared" si="258"/>
        <v>29559403</v>
      </c>
      <c r="N987">
        <f t="shared" si="252"/>
        <v>214624851</v>
      </c>
      <c r="O987">
        <f t="shared" si="259"/>
        <v>0.368967664633187</v>
      </c>
    </row>
    <row r="988" ht="13.85" spans="1:15">
      <c r="A988" s="43">
        <v>38672</v>
      </c>
      <c r="B988" s="11">
        <v>24572226</v>
      </c>
      <c r="C988" s="11">
        <v>2530420</v>
      </c>
      <c r="D988" s="11">
        <v>40</v>
      </c>
      <c r="E988">
        <f t="shared" si="261"/>
        <v>40</v>
      </c>
      <c r="F988">
        <f t="shared" si="256"/>
        <v>12286113</v>
      </c>
      <c r="G988">
        <f t="shared" si="257"/>
        <v>1228.6113</v>
      </c>
      <c r="H988">
        <f t="shared" si="262"/>
        <v>40000000</v>
      </c>
      <c r="I988">
        <f t="shared" si="260"/>
        <v>19200000</v>
      </c>
      <c r="K988">
        <f t="shared" si="263"/>
        <v>147961958</v>
      </c>
      <c r="M988">
        <f t="shared" si="258"/>
        <v>27102646</v>
      </c>
      <c r="N988">
        <f t="shared" si="252"/>
        <v>185065448</v>
      </c>
      <c r="O988">
        <f t="shared" si="259"/>
        <v>0</v>
      </c>
    </row>
    <row r="989" ht="13.85" spans="1:15">
      <c r="A989" s="43">
        <v>38549</v>
      </c>
      <c r="B989" s="11">
        <v>147961958</v>
      </c>
      <c r="C989" s="11">
        <v>10000844</v>
      </c>
      <c r="D989" s="25">
        <v>429</v>
      </c>
      <c r="E989">
        <f t="shared" si="261"/>
        <v>429</v>
      </c>
      <c r="F989">
        <f t="shared" si="256"/>
        <v>73980979</v>
      </c>
      <c r="G989">
        <f t="shared" si="257"/>
        <v>7398.0979</v>
      </c>
      <c r="H989">
        <f t="shared" si="262"/>
        <v>429000000</v>
      </c>
      <c r="I989">
        <f t="shared" si="260"/>
        <v>205920000</v>
      </c>
      <c r="K989">
        <f t="shared" si="263"/>
        <v>749587210</v>
      </c>
      <c r="M989">
        <f t="shared" si="258"/>
        <v>157962802</v>
      </c>
      <c r="N989">
        <f t="shared" si="252"/>
        <v>970051880</v>
      </c>
      <c r="O989">
        <f t="shared" si="259"/>
        <v>0.738916076835058</v>
      </c>
    </row>
    <row r="990" ht="13.85" spans="1:15">
      <c r="A990" s="43">
        <v>38458</v>
      </c>
      <c r="B990" s="11">
        <v>91372322</v>
      </c>
      <c r="C990" s="11">
        <v>654367</v>
      </c>
      <c r="D990" s="11">
        <v>361</v>
      </c>
      <c r="E990">
        <f t="shared" ref="E990:E1008" si="264">IF(RIGHT(D990,1)="B",VALUE(LEFT(D990,LEN(D990)-1))*1000,D990)</f>
        <v>361</v>
      </c>
      <c r="F990">
        <f t="shared" si="256"/>
        <v>45686161</v>
      </c>
      <c r="G990">
        <f t="shared" si="257"/>
        <v>4568.6161</v>
      </c>
      <c r="H990">
        <f t="shared" si="262"/>
        <v>361000000</v>
      </c>
      <c r="I990">
        <f t="shared" si="260"/>
        <v>173280000</v>
      </c>
      <c r="K990">
        <f t="shared" si="263"/>
        <v>658214888</v>
      </c>
      <c r="M990">
        <f t="shared" si="258"/>
        <v>92026689</v>
      </c>
      <c r="N990">
        <f t="shared" si="252"/>
        <v>812089078</v>
      </c>
      <c r="O990">
        <f t="shared" si="259"/>
        <v>0.701116613235614</v>
      </c>
    </row>
    <row r="991" ht="13.9" spans="1:15">
      <c r="A991" s="42" t="s">
        <v>706</v>
      </c>
      <c r="B991" s="11">
        <v>61976652</v>
      </c>
      <c r="C991" s="11">
        <v>5059272</v>
      </c>
      <c r="D991" s="11">
        <v>314</v>
      </c>
      <c r="E991">
        <f t="shared" si="264"/>
        <v>314</v>
      </c>
      <c r="F991">
        <f t="shared" si="256"/>
        <v>30988326</v>
      </c>
      <c r="G991">
        <f t="shared" si="257"/>
        <v>3098.8326</v>
      </c>
      <c r="H991">
        <f t="shared" si="262"/>
        <v>314000000</v>
      </c>
      <c r="I991">
        <f t="shared" si="260"/>
        <v>150720000</v>
      </c>
      <c r="K991">
        <f t="shared" si="263"/>
        <v>596238236</v>
      </c>
      <c r="M991">
        <f t="shared" si="258"/>
        <v>67035924</v>
      </c>
      <c r="N991">
        <f t="shared" ref="N991:N1054" si="265">IF(H991&lt;H992,M991+M992,M991+N992)</f>
        <v>720062389</v>
      </c>
      <c r="O991">
        <f t="shared" si="259"/>
        <v>0.601052518090742</v>
      </c>
    </row>
    <row r="992" ht="13.9" spans="1:15">
      <c r="A992" s="42" t="s">
        <v>707</v>
      </c>
      <c r="B992" s="11">
        <v>49148452</v>
      </c>
      <c r="C992" s="11">
        <v>4091488</v>
      </c>
      <c r="D992" s="11">
        <v>282</v>
      </c>
      <c r="E992">
        <f t="shared" si="264"/>
        <v>282</v>
      </c>
      <c r="F992">
        <f t="shared" si="256"/>
        <v>24574226</v>
      </c>
      <c r="G992">
        <f t="shared" si="257"/>
        <v>2457.4226</v>
      </c>
      <c r="H992">
        <f t="shared" si="262"/>
        <v>282000000</v>
      </c>
      <c r="I992">
        <f t="shared" si="260"/>
        <v>135360000</v>
      </c>
      <c r="K992">
        <f t="shared" si="263"/>
        <v>547089784</v>
      </c>
      <c r="M992">
        <f t="shared" si="258"/>
        <v>53239940</v>
      </c>
      <c r="N992">
        <f t="shared" si="265"/>
        <v>653026465</v>
      </c>
      <c r="O992">
        <f t="shared" si="259"/>
        <v>0.601870084129012</v>
      </c>
    </row>
    <row r="993" ht="13.9" spans="1:15">
      <c r="A993" s="42" t="s">
        <v>708</v>
      </c>
      <c r="B993" s="11">
        <v>47407264</v>
      </c>
      <c r="C993" s="11">
        <v>4098868</v>
      </c>
      <c r="D993" s="11">
        <v>251</v>
      </c>
      <c r="E993">
        <f t="shared" si="264"/>
        <v>251</v>
      </c>
      <c r="F993">
        <f t="shared" si="256"/>
        <v>23703632</v>
      </c>
      <c r="G993">
        <f t="shared" si="257"/>
        <v>2370.3632</v>
      </c>
      <c r="H993">
        <f t="shared" si="262"/>
        <v>251000000</v>
      </c>
      <c r="I993">
        <f t="shared" si="260"/>
        <v>120480000</v>
      </c>
      <c r="K993">
        <f t="shared" si="263"/>
        <v>499682520</v>
      </c>
      <c r="M993">
        <f t="shared" si="258"/>
        <v>51506132</v>
      </c>
      <c r="N993">
        <f t="shared" si="265"/>
        <v>599786525</v>
      </c>
      <c r="O993">
        <f t="shared" si="259"/>
        <v>0.513814656348983</v>
      </c>
    </row>
    <row r="994" ht="13.9" spans="1:15">
      <c r="A994" s="42" t="s">
        <v>709</v>
      </c>
      <c r="B994" s="11">
        <v>43028710</v>
      </c>
      <c r="C994" s="11">
        <v>3680740</v>
      </c>
      <c r="D994" s="11">
        <v>227</v>
      </c>
      <c r="E994">
        <f t="shared" si="264"/>
        <v>227</v>
      </c>
      <c r="F994">
        <f t="shared" si="256"/>
        <v>21514355</v>
      </c>
      <c r="G994">
        <f t="shared" si="257"/>
        <v>2151.4355</v>
      </c>
      <c r="H994">
        <f t="shared" si="262"/>
        <v>227000000</v>
      </c>
      <c r="I994">
        <f t="shared" si="260"/>
        <v>108960000</v>
      </c>
      <c r="K994">
        <f t="shared" si="263"/>
        <v>456653810</v>
      </c>
      <c r="M994">
        <f t="shared" si="258"/>
        <v>46709450</v>
      </c>
      <c r="N994">
        <f t="shared" si="265"/>
        <v>548280393</v>
      </c>
      <c r="O994">
        <f t="shared" si="259"/>
        <v>0.475168196042302</v>
      </c>
    </row>
    <row r="995" ht="13.9" spans="1:15">
      <c r="A995" s="42" t="s">
        <v>710</v>
      </c>
      <c r="B995" s="11">
        <v>42463458</v>
      </c>
      <c r="C995" s="11">
        <v>3835937</v>
      </c>
      <c r="D995" s="11">
        <v>205</v>
      </c>
      <c r="E995">
        <f t="shared" si="264"/>
        <v>205</v>
      </c>
      <c r="F995">
        <f t="shared" si="256"/>
        <v>21231729</v>
      </c>
      <c r="G995">
        <f t="shared" si="257"/>
        <v>2123.1729</v>
      </c>
      <c r="H995">
        <f t="shared" si="262"/>
        <v>205000000</v>
      </c>
      <c r="I995">
        <f t="shared" si="260"/>
        <v>98400000</v>
      </c>
      <c r="K995">
        <f t="shared" si="263"/>
        <v>414190352</v>
      </c>
      <c r="M995">
        <f t="shared" si="258"/>
        <v>46299395</v>
      </c>
      <c r="N995">
        <f t="shared" si="265"/>
        <v>501570943</v>
      </c>
      <c r="O995">
        <f t="shared" si="259"/>
        <v>0.539104842593965</v>
      </c>
    </row>
    <row r="996" ht="13.9" spans="1:15">
      <c r="A996" s="42" t="s">
        <v>711</v>
      </c>
      <c r="B996" s="11">
        <v>35666504</v>
      </c>
      <c r="C996" s="11">
        <v>3286958</v>
      </c>
      <c r="D996" s="11">
        <v>184</v>
      </c>
      <c r="E996">
        <f t="shared" si="264"/>
        <v>184</v>
      </c>
      <c r="F996">
        <f t="shared" si="256"/>
        <v>17833252</v>
      </c>
      <c r="G996">
        <f t="shared" si="257"/>
        <v>1783.3252</v>
      </c>
      <c r="H996">
        <f t="shared" si="262"/>
        <v>184000000</v>
      </c>
      <c r="I996">
        <f t="shared" si="260"/>
        <v>88320000</v>
      </c>
      <c r="K996">
        <f t="shared" si="263"/>
        <v>378523848</v>
      </c>
      <c r="M996">
        <f t="shared" si="258"/>
        <v>38953462</v>
      </c>
      <c r="N996">
        <f t="shared" si="265"/>
        <v>455271548</v>
      </c>
      <c r="O996">
        <f t="shared" si="259"/>
        <v>0.40466583757381</v>
      </c>
    </row>
    <row r="997" ht="13.85" spans="1:15">
      <c r="A997" s="43">
        <v>38246</v>
      </c>
      <c r="B997" s="11">
        <v>36083820</v>
      </c>
      <c r="C997" s="11">
        <v>3454976</v>
      </c>
      <c r="D997" s="11">
        <v>168</v>
      </c>
      <c r="E997">
        <f t="shared" si="264"/>
        <v>168</v>
      </c>
      <c r="F997">
        <f t="shared" si="256"/>
        <v>18041910</v>
      </c>
      <c r="G997">
        <f t="shared" si="257"/>
        <v>1804.191</v>
      </c>
      <c r="H997">
        <f t="shared" si="262"/>
        <v>168000000</v>
      </c>
      <c r="I997">
        <f t="shared" si="260"/>
        <v>80640000</v>
      </c>
      <c r="K997">
        <f t="shared" si="263"/>
        <v>342440028</v>
      </c>
      <c r="M997">
        <f t="shared" si="258"/>
        <v>39538796</v>
      </c>
      <c r="N997">
        <f t="shared" si="265"/>
        <v>416318086</v>
      </c>
      <c r="O997">
        <f t="shared" ref="O997:O1012" si="266">IF(H997&gt;H998,(H997-H998)/M998,0)</f>
        <v>0.563895602849229</v>
      </c>
    </row>
    <row r="998" ht="13.85" spans="1:15">
      <c r="A998" s="43">
        <v>38154</v>
      </c>
      <c r="B998" s="11">
        <v>32345444</v>
      </c>
      <c r="C998" s="11">
        <v>3122114</v>
      </c>
      <c r="D998" s="11">
        <v>148</v>
      </c>
      <c r="E998">
        <f t="shared" si="264"/>
        <v>148</v>
      </c>
      <c r="F998">
        <f t="shared" si="256"/>
        <v>16172722</v>
      </c>
      <c r="G998">
        <f t="shared" si="257"/>
        <v>1617.2722</v>
      </c>
      <c r="H998">
        <f t="shared" si="262"/>
        <v>148000000</v>
      </c>
      <c r="I998">
        <f t="shared" si="260"/>
        <v>71040000</v>
      </c>
      <c r="K998">
        <f t="shared" si="263"/>
        <v>310094584</v>
      </c>
      <c r="M998">
        <f t="shared" si="258"/>
        <v>35467558</v>
      </c>
      <c r="N998">
        <f t="shared" si="265"/>
        <v>376779290</v>
      </c>
      <c r="O998">
        <f t="shared" si="266"/>
        <v>0.345389939662503</v>
      </c>
    </row>
    <row r="999" ht="13.85" spans="1:15">
      <c r="A999" s="43">
        <v>38033</v>
      </c>
      <c r="B999" s="11">
        <v>34201448</v>
      </c>
      <c r="C999" s="11">
        <v>3437170</v>
      </c>
      <c r="D999" s="11">
        <v>135</v>
      </c>
      <c r="E999">
        <f t="shared" si="264"/>
        <v>135</v>
      </c>
      <c r="F999">
        <f t="shared" si="256"/>
        <v>17100724</v>
      </c>
      <c r="G999">
        <f t="shared" si="257"/>
        <v>1710.0724</v>
      </c>
      <c r="H999">
        <f t="shared" si="262"/>
        <v>135000000</v>
      </c>
      <c r="I999">
        <f t="shared" si="260"/>
        <v>64800000</v>
      </c>
      <c r="K999">
        <f t="shared" si="263"/>
        <v>275893136</v>
      </c>
      <c r="M999">
        <f t="shared" si="258"/>
        <v>37638618</v>
      </c>
      <c r="N999">
        <f t="shared" si="265"/>
        <v>341311732</v>
      </c>
      <c r="O999">
        <f t="shared" si="266"/>
        <v>0.582507299659567</v>
      </c>
    </row>
    <row r="1000" ht="13.9" spans="1:15">
      <c r="A1000" s="42" t="s">
        <v>712</v>
      </c>
      <c r="B1000" s="11">
        <v>29665490</v>
      </c>
      <c r="C1000" s="11">
        <v>2952127</v>
      </c>
      <c r="D1000" s="11">
        <v>116</v>
      </c>
      <c r="E1000">
        <f t="shared" si="264"/>
        <v>116</v>
      </c>
      <c r="F1000">
        <f t="shared" si="256"/>
        <v>14832745</v>
      </c>
      <c r="G1000">
        <f t="shared" si="257"/>
        <v>1483.2745</v>
      </c>
      <c r="H1000">
        <f t="shared" si="262"/>
        <v>116000000</v>
      </c>
      <c r="I1000">
        <f t="shared" si="260"/>
        <v>55680000</v>
      </c>
      <c r="K1000">
        <f t="shared" si="263"/>
        <v>246227646</v>
      </c>
      <c r="M1000">
        <f t="shared" si="258"/>
        <v>32617617</v>
      </c>
      <c r="N1000">
        <f t="shared" si="265"/>
        <v>303673114</v>
      </c>
      <c r="O1000">
        <f t="shared" si="266"/>
        <v>0.425708599058276</v>
      </c>
    </row>
    <row r="1001" ht="13.9" spans="1:15">
      <c r="A1001" s="42" t="s">
        <v>713</v>
      </c>
      <c r="B1001" s="11">
        <v>32052008</v>
      </c>
      <c r="C1001" s="11">
        <v>3183362</v>
      </c>
      <c r="D1001" s="11">
        <v>101</v>
      </c>
      <c r="E1001">
        <f t="shared" si="264"/>
        <v>101</v>
      </c>
      <c r="F1001">
        <f t="shared" si="256"/>
        <v>16026004</v>
      </c>
      <c r="G1001">
        <f t="shared" si="257"/>
        <v>1602.6004</v>
      </c>
      <c r="H1001">
        <f t="shared" si="262"/>
        <v>101000000</v>
      </c>
      <c r="I1001">
        <f t="shared" si="260"/>
        <v>48480000</v>
      </c>
      <c r="K1001">
        <f t="shared" si="263"/>
        <v>214175638</v>
      </c>
      <c r="M1001">
        <f t="shared" si="258"/>
        <v>35235370</v>
      </c>
      <c r="N1001">
        <f t="shared" si="265"/>
        <v>271055497</v>
      </c>
      <c r="O1001">
        <f t="shared" si="266"/>
        <v>0.37314184688796</v>
      </c>
    </row>
    <row r="1002" ht="13.9" spans="1:15">
      <c r="A1002" s="42" t="s">
        <v>714</v>
      </c>
      <c r="B1002" s="11">
        <v>26728382</v>
      </c>
      <c r="C1002" s="11">
        <v>2751024</v>
      </c>
      <c r="D1002" s="11">
        <v>90</v>
      </c>
      <c r="E1002">
        <f t="shared" si="264"/>
        <v>90</v>
      </c>
      <c r="F1002">
        <f t="shared" si="256"/>
        <v>13364191</v>
      </c>
      <c r="G1002">
        <f t="shared" si="257"/>
        <v>1336.4191</v>
      </c>
      <c r="H1002">
        <f t="shared" si="262"/>
        <v>90000000</v>
      </c>
      <c r="I1002">
        <f t="shared" si="260"/>
        <v>43200000</v>
      </c>
      <c r="K1002">
        <f t="shared" si="263"/>
        <v>187447256</v>
      </c>
      <c r="M1002">
        <f t="shared" si="258"/>
        <v>29479406</v>
      </c>
      <c r="N1002">
        <f t="shared" si="265"/>
        <v>235820127</v>
      </c>
      <c r="O1002">
        <f t="shared" si="266"/>
        <v>0.317730176290046</v>
      </c>
    </row>
    <row r="1003" ht="13.9" spans="1:15">
      <c r="A1003" s="42" t="s">
        <v>715</v>
      </c>
      <c r="B1003" s="11">
        <v>28461130</v>
      </c>
      <c r="C1003" s="11">
        <v>3012116</v>
      </c>
      <c r="D1003" s="11">
        <v>80</v>
      </c>
      <c r="E1003">
        <f t="shared" si="264"/>
        <v>80</v>
      </c>
      <c r="F1003">
        <f t="shared" si="256"/>
        <v>14230565</v>
      </c>
      <c r="G1003">
        <f t="shared" si="257"/>
        <v>1423.0565</v>
      </c>
      <c r="H1003">
        <f t="shared" si="262"/>
        <v>80000000</v>
      </c>
      <c r="I1003">
        <f t="shared" si="260"/>
        <v>38400000</v>
      </c>
      <c r="K1003">
        <f t="shared" si="263"/>
        <v>158986126</v>
      </c>
      <c r="M1003">
        <f t="shared" si="258"/>
        <v>31473246</v>
      </c>
      <c r="N1003">
        <f t="shared" si="265"/>
        <v>206340721</v>
      </c>
      <c r="O1003">
        <f t="shared" si="266"/>
        <v>0.3528353798197</v>
      </c>
    </row>
    <row r="1004" ht="13.9" spans="1:15">
      <c r="A1004" s="42" t="s">
        <v>716</v>
      </c>
      <c r="B1004" s="11">
        <v>25639626</v>
      </c>
      <c r="C1004" s="11">
        <v>2702203</v>
      </c>
      <c r="D1004" s="11">
        <v>70</v>
      </c>
      <c r="E1004">
        <f t="shared" si="264"/>
        <v>70</v>
      </c>
      <c r="F1004">
        <f t="shared" si="256"/>
        <v>12819813</v>
      </c>
      <c r="G1004">
        <f t="shared" si="257"/>
        <v>1281.9813</v>
      </c>
      <c r="H1004">
        <f t="shared" si="262"/>
        <v>70000000</v>
      </c>
      <c r="I1004">
        <f t="shared" si="260"/>
        <v>33600000</v>
      </c>
      <c r="K1004">
        <f t="shared" si="263"/>
        <v>133346500</v>
      </c>
      <c r="M1004">
        <f t="shared" si="258"/>
        <v>28341829</v>
      </c>
      <c r="N1004">
        <f t="shared" si="265"/>
        <v>174867475</v>
      </c>
      <c r="O1004">
        <f t="shared" si="266"/>
        <v>0.32658572391906</v>
      </c>
    </row>
    <row r="1005" ht="13.85" spans="1:15">
      <c r="A1005" s="43">
        <v>37971</v>
      </c>
      <c r="B1005" s="11">
        <v>27640256</v>
      </c>
      <c r="C1005" s="11">
        <v>2979576</v>
      </c>
      <c r="D1005" s="11">
        <v>60</v>
      </c>
      <c r="E1005">
        <f t="shared" si="264"/>
        <v>60</v>
      </c>
      <c r="F1005">
        <f t="shared" si="256"/>
        <v>13820128</v>
      </c>
      <c r="G1005">
        <f t="shared" si="257"/>
        <v>1382.0128</v>
      </c>
      <c r="H1005">
        <f t="shared" si="262"/>
        <v>60000000</v>
      </c>
      <c r="I1005">
        <f t="shared" si="260"/>
        <v>28800000</v>
      </c>
      <c r="K1005">
        <f t="shared" si="263"/>
        <v>105706244</v>
      </c>
      <c r="M1005">
        <f t="shared" si="258"/>
        <v>30619832</v>
      </c>
      <c r="N1005">
        <f t="shared" si="265"/>
        <v>146525646</v>
      </c>
      <c r="O1005">
        <f t="shared" si="266"/>
        <v>0.361767682272758</v>
      </c>
    </row>
    <row r="1006" ht="13.85" spans="1:15">
      <c r="A1006" s="43">
        <v>37880</v>
      </c>
      <c r="B1006" s="11">
        <v>24962442</v>
      </c>
      <c r="C1006" s="11">
        <v>2679607</v>
      </c>
      <c r="D1006" s="11">
        <v>50</v>
      </c>
      <c r="E1006">
        <f t="shared" si="264"/>
        <v>50</v>
      </c>
      <c r="F1006">
        <f t="shared" si="256"/>
        <v>12481221</v>
      </c>
      <c r="G1006">
        <f t="shared" si="257"/>
        <v>1248.1221</v>
      </c>
      <c r="H1006">
        <f t="shared" si="262"/>
        <v>50000000</v>
      </c>
      <c r="I1006">
        <f t="shared" si="260"/>
        <v>24000000</v>
      </c>
      <c r="K1006">
        <f t="shared" si="263"/>
        <v>80743802</v>
      </c>
      <c r="M1006">
        <f t="shared" si="258"/>
        <v>27642049</v>
      </c>
      <c r="N1006">
        <f t="shared" si="265"/>
        <v>115905814</v>
      </c>
      <c r="O1006">
        <f t="shared" si="266"/>
        <v>0.309447934363865</v>
      </c>
    </row>
    <row r="1007" ht="13.85" spans="1:15">
      <c r="A1007" s="43">
        <v>37757</v>
      </c>
      <c r="B1007" s="11">
        <v>29205358</v>
      </c>
      <c r="C1007" s="11">
        <v>3110256</v>
      </c>
      <c r="D1007" s="11">
        <v>40</v>
      </c>
      <c r="E1007">
        <f t="shared" si="264"/>
        <v>40</v>
      </c>
      <c r="F1007">
        <f t="shared" si="256"/>
        <v>14602679</v>
      </c>
      <c r="G1007">
        <f t="shared" si="257"/>
        <v>1460.2679</v>
      </c>
      <c r="H1007">
        <f t="shared" si="262"/>
        <v>40000000</v>
      </c>
      <c r="I1007">
        <f t="shared" si="260"/>
        <v>19200000</v>
      </c>
      <c r="K1007">
        <f t="shared" si="263"/>
        <v>51538444</v>
      </c>
      <c r="M1007">
        <f t="shared" si="258"/>
        <v>32315614</v>
      </c>
      <c r="N1007">
        <f t="shared" si="265"/>
        <v>88263765</v>
      </c>
      <c r="O1007">
        <f t="shared" si="266"/>
        <v>0</v>
      </c>
    </row>
    <row r="1008" ht="13.85" spans="1:15">
      <c r="A1008" s="43">
        <v>37668</v>
      </c>
      <c r="B1008" s="11">
        <v>51538444</v>
      </c>
      <c r="C1008" s="11">
        <v>4409707</v>
      </c>
      <c r="D1008" s="26">
        <v>291.4</v>
      </c>
      <c r="E1008">
        <f t="shared" si="264"/>
        <v>291.4</v>
      </c>
      <c r="F1008">
        <f t="shared" si="256"/>
        <v>25769222</v>
      </c>
      <c r="G1008">
        <f t="shared" si="257"/>
        <v>2576.9222</v>
      </c>
      <c r="H1008">
        <f t="shared" si="262"/>
        <v>291400000</v>
      </c>
      <c r="I1008">
        <f t="shared" si="260"/>
        <v>139872000</v>
      </c>
      <c r="K1008">
        <f t="shared" si="263"/>
        <v>1785901984</v>
      </c>
      <c r="M1008">
        <f t="shared" si="258"/>
        <v>55948151</v>
      </c>
      <c r="N1008">
        <f t="shared" si="265"/>
        <v>1964330432</v>
      </c>
      <c r="O1008">
        <f t="shared" si="266"/>
        <v>0.464273301241812</v>
      </c>
    </row>
    <row r="1009" ht="13.9" spans="1:15">
      <c r="A1009" s="42" t="s">
        <v>717</v>
      </c>
      <c r="B1009" s="11">
        <v>50206284</v>
      </c>
      <c r="C1009" s="11">
        <v>4502871</v>
      </c>
      <c r="D1009" s="11">
        <v>266</v>
      </c>
      <c r="E1009">
        <f t="shared" ref="E1009:E1024" si="267">IF(RIGHT(D1009,1)="B",VALUE(LEFT(D1009,LEN(D1009)-1))*1000,D1009)</f>
        <v>266</v>
      </c>
      <c r="F1009">
        <f t="shared" si="256"/>
        <v>25103142</v>
      </c>
      <c r="G1009">
        <f t="shared" si="257"/>
        <v>2510.3142</v>
      </c>
      <c r="H1009">
        <f t="shared" si="262"/>
        <v>266000000</v>
      </c>
      <c r="I1009">
        <f t="shared" si="260"/>
        <v>127680000</v>
      </c>
      <c r="K1009">
        <f t="shared" si="263"/>
        <v>1735695700</v>
      </c>
      <c r="M1009">
        <f t="shared" si="258"/>
        <v>54709155</v>
      </c>
      <c r="N1009">
        <f t="shared" si="265"/>
        <v>1908382281</v>
      </c>
      <c r="O1009">
        <f t="shared" si="266"/>
        <v>0.609148224585722</v>
      </c>
    </row>
    <row r="1010" ht="13.9" spans="1:15">
      <c r="A1010" s="42" t="s">
        <v>718</v>
      </c>
      <c r="B1010" s="11">
        <v>45245596</v>
      </c>
      <c r="C1010" s="11">
        <v>4003501</v>
      </c>
      <c r="D1010" s="11">
        <v>236</v>
      </c>
      <c r="E1010">
        <f t="shared" si="267"/>
        <v>236</v>
      </c>
      <c r="F1010">
        <f t="shared" si="256"/>
        <v>22622798</v>
      </c>
      <c r="G1010">
        <f t="shared" si="257"/>
        <v>2262.2798</v>
      </c>
      <c r="H1010">
        <f t="shared" si="262"/>
        <v>236000000</v>
      </c>
      <c r="I1010">
        <f t="shared" si="260"/>
        <v>113280000</v>
      </c>
      <c r="K1010">
        <f t="shared" si="263"/>
        <v>1690450104</v>
      </c>
      <c r="M1010">
        <f t="shared" si="258"/>
        <v>49249097</v>
      </c>
      <c r="N1010">
        <f t="shared" si="265"/>
        <v>1853673126</v>
      </c>
      <c r="O1010">
        <f t="shared" si="266"/>
        <v>0.480935110992409</v>
      </c>
    </row>
    <row r="1011" ht="13.9" spans="1:15">
      <c r="A1011" s="42" t="s">
        <v>719</v>
      </c>
      <c r="B1011" s="11">
        <v>45731386</v>
      </c>
      <c r="C1011" s="11">
        <v>4171396</v>
      </c>
      <c r="D1011" s="11">
        <v>212</v>
      </c>
      <c r="E1011">
        <f t="shared" si="267"/>
        <v>212</v>
      </c>
      <c r="F1011">
        <f t="shared" si="256"/>
        <v>22865693</v>
      </c>
      <c r="G1011">
        <f t="shared" si="257"/>
        <v>2286.5693</v>
      </c>
      <c r="H1011">
        <f t="shared" si="262"/>
        <v>212000000</v>
      </c>
      <c r="I1011">
        <f t="shared" si="260"/>
        <v>101760000</v>
      </c>
      <c r="K1011">
        <f t="shared" si="263"/>
        <v>1644718718</v>
      </c>
      <c r="M1011">
        <f t="shared" si="258"/>
        <v>49902782</v>
      </c>
      <c r="N1011">
        <f t="shared" si="265"/>
        <v>1804424029</v>
      </c>
      <c r="O1011">
        <f t="shared" si="266"/>
        <v>0.557326359096665</v>
      </c>
    </row>
    <row r="1012" ht="13.9" spans="1:15">
      <c r="A1012" s="42" t="s">
        <v>720</v>
      </c>
      <c r="B1012" s="11">
        <v>37750784</v>
      </c>
      <c r="C1012" s="11">
        <v>3517675</v>
      </c>
      <c r="D1012" s="11">
        <v>189</v>
      </c>
      <c r="E1012">
        <f t="shared" si="267"/>
        <v>189</v>
      </c>
      <c r="F1012">
        <f t="shared" si="256"/>
        <v>18875392</v>
      </c>
      <c r="G1012">
        <f t="shared" si="257"/>
        <v>1887.5392</v>
      </c>
      <c r="H1012">
        <f t="shared" si="262"/>
        <v>189000000</v>
      </c>
      <c r="I1012">
        <f t="shared" si="260"/>
        <v>90720000</v>
      </c>
      <c r="K1012">
        <f t="shared" si="263"/>
        <v>1606967934</v>
      </c>
      <c r="M1012">
        <f t="shared" si="258"/>
        <v>41268459</v>
      </c>
      <c r="N1012">
        <f t="shared" si="265"/>
        <v>1754521247</v>
      </c>
      <c r="O1012">
        <f t="shared" si="266"/>
        <v>0.409907314035413</v>
      </c>
    </row>
    <row r="1013" ht="13.9" spans="1:15">
      <c r="A1013" s="42" t="s">
        <v>721</v>
      </c>
      <c r="B1013" s="11">
        <v>40079550</v>
      </c>
      <c r="C1013" s="11">
        <v>3832816</v>
      </c>
      <c r="D1013" s="11">
        <v>171</v>
      </c>
      <c r="E1013">
        <f t="shared" si="267"/>
        <v>171</v>
      </c>
      <c r="F1013">
        <f t="shared" si="256"/>
        <v>20039775</v>
      </c>
      <c r="G1013">
        <f t="shared" si="257"/>
        <v>2003.9775</v>
      </c>
      <c r="H1013">
        <f t="shared" si="262"/>
        <v>171000000</v>
      </c>
      <c r="I1013">
        <f t="shared" si="260"/>
        <v>82080000</v>
      </c>
      <c r="K1013">
        <f t="shared" si="263"/>
        <v>1566888384</v>
      </c>
      <c r="M1013">
        <f t="shared" si="258"/>
        <v>43912366</v>
      </c>
      <c r="N1013">
        <f t="shared" si="265"/>
        <v>1713252788</v>
      </c>
      <c r="O1013">
        <f t="shared" ref="O1013:O1033" si="268">IF(H1013&gt;H1014,(H1013-H1014)/M1014,0)</f>
        <v>0.349946117046628</v>
      </c>
    </row>
    <row r="1014" ht="13.85" spans="1:15">
      <c r="A1014" s="43">
        <v>37545</v>
      </c>
      <c r="B1014" s="11">
        <v>36547620</v>
      </c>
      <c r="C1014" s="11">
        <v>3458539</v>
      </c>
      <c r="D1014" s="11">
        <v>157</v>
      </c>
      <c r="E1014">
        <f t="shared" si="267"/>
        <v>157</v>
      </c>
      <c r="F1014">
        <f t="shared" si="256"/>
        <v>18273810</v>
      </c>
      <c r="G1014">
        <f t="shared" si="257"/>
        <v>1827.381</v>
      </c>
      <c r="H1014">
        <f t="shared" si="262"/>
        <v>157000000</v>
      </c>
      <c r="I1014">
        <f t="shared" si="260"/>
        <v>75360000</v>
      </c>
      <c r="K1014">
        <f t="shared" si="263"/>
        <v>1530340764</v>
      </c>
      <c r="M1014">
        <f t="shared" si="258"/>
        <v>40006159</v>
      </c>
      <c r="N1014">
        <f t="shared" si="265"/>
        <v>1669340422</v>
      </c>
      <c r="O1014">
        <f t="shared" si="268"/>
        <v>0.491535236581176</v>
      </c>
    </row>
    <row r="1015" ht="13.85" spans="1:15">
      <c r="A1015" s="43">
        <v>37423</v>
      </c>
      <c r="B1015" s="11">
        <v>38882640</v>
      </c>
      <c r="C1015" s="11">
        <v>3840645</v>
      </c>
      <c r="D1015" s="11">
        <v>136</v>
      </c>
      <c r="E1015">
        <f t="shared" si="267"/>
        <v>136</v>
      </c>
      <c r="F1015">
        <f t="shared" si="256"/>
        <v>19441320</v>
      </c>
      <c r="G1015">
        <f t="shared" si="257"/>
        <v>1944.132</v>
      </c>
      <c r="H1015">
        <f t="shared" si="262"/>
        <v>136000000</v>
      </c>
      <c r="I1015">
        <f t="shared" si="260"/>
        <v>65280000</v>
      </c>
      <c r="K1015">
        <f t="shared" si="263"/>
        <v>1491458124</v>
      </c>
      <c r="M1015">
        <f t="shared" si="258"/>
        <v>42723285</v>
      </c>
      <c r="N1015">
        <f t="shared" si="265"/>
        <v>1629334263</v>
      </c>
      <c r="O1015">
        <f t="shared" si="268"/>
        <v>0.615207940283816</v>
      </c>
    </row>
    <row r="1016" ht="13.85" spans="1:15">
      <c r="A1016" s="43">
        <v>37331</v>
      </c>
      <c r="B1016" s="11">
        <v>35512044</v>
      </c>
      <c r="C1016" s="11">
        <v>3499156</v>
      </c>
      <c r="D1016" s="11">
        <v>112</v>
      </c>
      <c r="E1016">
        <f t="shared" si="267"/>
        <v>112</v>
      </c>
      <c r="F1016">
        <f t="shared" si="256"/>
        <v>17756022</v>
      </c>
      <c r="G1016">
        <f t="shared" si="257"/>
        <v>1775.6022</v>
      </c>
      <c r="H1016">
        <f t="shared" si="262"/>
        <v>112000000</v>
      </c>
      <c r="I1016">
        <f t="shared" si="260"/>
        <v>53760000</v>
      </c>
      <c r="K1016">
        <f t="shared" si="263"/>
        <v>1455946080</v>
      </c>
      <c r="M1016">
        <f t="shared" si="258"/>
        <v>39011200</v>
      </c>
      <c r="N1016">
        <f t="shared" si="265"/>
        <v>1586610978</v>
      </c>
      <c r="O1016">
        <f t="shared" si="268"/>
        <v>0.40371044211693</v>
      </c>
    </row>
    <row r="1017" ht="13.9" spans="1:15">
      <c r="A1017" s="42" t="s">
        <v>722</v>
      </c>
      <c r="B1017" s="11">
        <v>35939628</v>
      </c>
      <c r="C1017" s="11">
        <v>3692738</v>
      </c>
      <c r="D1017" s="11">
        <v>96</v>
      </c>
      <c r="E1017">
        <f t="shared" si="267"/>
        <v>96</v>
      </c>
      <c r="F1017">
        <f t="shared" si="256"/>
        <v>17969814</v>
      </c>
      <c r="G1017">
        <f t="shared" si="257"/>
        <v>1796.9814</v>
      </c>
      <c r="H1017">
        <f t="shared" si="262"/>
        <v>96000000</v>
      </c>
      <c r="I1017">
        <f t="shared" si="260"/>
        <v>46080000</v>
      </c>
      <c r="K1017">
        <f t="shared" si="263"/>
        <v>1420006452</v>
      </c>
      <c r="M1017">
        <f t="shared" si="258"/>
        <v>39632366</v>
      </c>
      <c r="N1017">
        <f t="shared" si="265"/>
        <v>1547599778</v>
      </c>
      <c r="O1017">
        <f t="shared" si="268"/>
        <v>0.594375644048466</v>
      </c>
    </row>
    <row r="1018" ht="13.9" spans="1:15">
      <c r="A1018" s="42" t="s">
        <v>723</v>
      </c>
      <c r="B1018" s="11">
        <v>32033346</v>
      </c>
      <c r="C1018" s="11">
        <v>3297846</v>
      </c>
      <c r="D1018" s="11">
        <v>75</v>
      </c>
      <c r="E1018">
        <f t="shared" si="267"/>
        <v>75</v>
      </c>
      <c r="F1018">
        <f t="shared" si="256"/>
        <v>16016673</v>
      </c>
      <c r="G1018">
        <f t="shared" si="257"/>
        <v>1601.6673</v>
      </c>
      <c r="H1018">
        <f t="shared" si="262"/>
        <v>75000000</v>
      </c>
      <c r="I1018">
        <f t="shared" si="260"/>
        <v>36000000</v>
      </c>
      <c r="K1018">
        <f t="shared" si="263"/>
        <v>1387973106</v>
      </c>
      <c r="M1018">
        <f t="shared" si="258"/>
        <v>35331192</v>
      </c>
      <c r="N1018">
        <f t="shared" si="265"/>
        <v>1507967412</v>
      </c>
      <c r="O1018">
        <f t="shared" si="268"/>
        <v>0.406306131192024</v>
      </c>
    </row>
    <row r="1019" ht="13.9" spans="1:15">
      <c r="A1019" s="42" t="s">
        <v>724</v>
      </c>
      <c r="B1019" s="11">
        <v>33437096</v>
      </c>
      <c r="C1019" s="11">
        <v>3480880</v>
      </c>
      <c r="D1019" s="11">
        <v>60</v>
      </c>
      <c r="E1019">
        <f t="shared" si="267"/>
        <v>60</v>
      </c>
      <c r="F1019">
        <f t="shared" si="256"/>
        <v>16718548</v>
      </c>
      <c r="G1019">
        <f t="shared" si="257"/>
        <v>1671.8548</v>
      </c>
      <c r="H1019">
        <f t="shared" si="262"/>
        <v>60000000</v>
      </c>
      <c r="I1019">
        <f t="shared" si="260"/>
        <v>28800000</v>
      </c>
      <c r="K1019">
        <f t="shared" si="263"/>
        <v>1354536010</v>
      </c>
      <c r="M1019">
        <f t="shared" si="258"/>
        <v>36917976</v>
      </c>
      <c r="N1019">
        <f t="shared" si="265"/>
        <v>1472636220</v>
      </c>
      <c r="O1019">
        <f t="shared" si="268"/>
        <v>0.254170673879149</v>
      </c>
    </row>
    <row r="1020" ht="13.9" spans="1:15">
      <c r="A1020" s="42" t="s">
        <v>725</v>
      </c>
      <c r="B1020" s="11">
        <v>35845424</v>
      </c>
      <c r="C1020" s="11">
        <v>3498218</v>
      </c>
      <c r="D1020" s="11">
        <v>50</v>
      </c>
      <c r="E1020">
        <f t="shared" si="267"/>
        <v>50</v>
      </c>
      <c r="F1020">
        <f t="shared" si="256"/>
        <v>17922712</v>
      </c>
      <c r="G1020">
        <f t="shared" si="257"/>
        <v>1792.2712</v>
      </c>
      <c r="H1020">
        <f t="shared" si="262"/>
        <v>50000000</v>
      </c>
      <c r="I1020">
        <f t="shared" si="260"/>
        <v>24000000</v>
      </c>
      <c r="K1020">
        <f t="shared" si="263"/>
        <v>1318690586</v>
      </c>
      <c r="M1020">
        <f t="shared" si="258"/>
        <v>39343642</v>
      </c>
      <c r="N1020">
        <f t="shared" si="265"/>
        <v>1435718244</v>
      </c>
      <c r="O1020">
        <f t="shared" si="268"/>
        <v>0.188537241167355</v>
      </c>
    </row>
    <row r="1021" ht="13.9" spans="1:15">
      <c r="A1021" s="42" t="s">
        <v>726</v>
      </c>
      <c r="B1021" s="11">
        <v>48484312</v>
      </c>
      <c r="C1021" s="11">
        <v>4555607</v>
      </c>
      <c r="D1021" s="11">
        <v>40</v>
      </c>
      <c r="E1021">
        <f t="shared" si="267"/>
        <v>40</v>
      </c>
      <c r="F1021">
        <f t="shared" si="256"/>
        <v>24242156</v>
      </c>
      <c r="G1021">
        <f t="shared" si="257"/>
        <v>2424.2156</v>
      </c>
      <c r="H1021">
        <f t="shared" si="262"/>
        <v>40000000</v>
      </c>
      <c r="I1021">
        <f t="shared" si="260"/>
        <v>19200000</v>
      </c>
      <c r="K1021">
        <f t="shared" si="263"/>
        <v>1270206274</v>
      </c>
      <c r="M1021">
        <f t="shared" si="258"/>
        <v>53039919</v>
      </c>
      <c r="N1021">
        <f t="shared" si="265"/>
        <v>1396374602</v>
      </c>
      <c r="O1021">
        <f t="shared" si="268"/>
        <v>0</v>
      </c>
    </row>
    <row r="1022" ht="13.9" spans="1:15">
      <c r="A1022" s="42" t="s">
        <v>727</v>
      </c>
      <c r="B1022" s="11">
        <v>1270206274</v>
      </c>
      <c r="C1022" s="11">
        <v>73128409</v>
      </c>
      <c r="D1022" s="11" t="s">
        <v>728</v>
      </c>
      <c r="E1022">
        <f t="shared" si="267"/>
        <v>1580</v>
      </c>
      <c r="F1022">
        <f t="shared" si="256"/>
        <v>635103137</v>
      </c>
      <c r="G1022">
        <f t="shared" si="257"/>
        <v>63510.3137</v>
      </c>
      <c r="H1022">
        <f t="shared" si="262"/>
        <v>1580000000</v>
      </c>
      <c r="I1022">
        <f t="shared" si="260"/>
        <v>758400000</v>
      </c>
      <c r="K1022">
        <f t="shared" si="263"/>
        <v>1945491690</v>
      </c>
      <c r="M1022">
        <f t="shared" si="258"/>
        <v>1343334683</v>
      </c>
      <c r="N1022">
        <f t="shared" si="265"/>
        <v>3419965884</v>
      </c>
      <c r="O1022">
        <f t="shared" si="268"/>
        <v>0.67967857773177</v>
      </c>
    </row>
    <row r="1023" ht="13.85" spans="1:15">
      <c r="A1023" s="43">
        <v>37150</v>
      </c>
      <c r="B1023" s="11">
        <v>880642344</v>
      </c>
      <c r="C1023" s="11">
        <v>49356071</v>
      </c>
      <c r="D1023" s="11">
        <v>947.9</v>
      </c>
      <c r="E1023">
        <f t="shared" si="267"/>
        <v>947.9</v>
      </c>
      <c r="F1023">
        <f t="shared" si="256"/>
        <v>440321172</v>
      </c>
      <c r="G1023">
        <f t="shared" si="257"/>
        <v>44032.1172</v>
      </c>
      <c r="H1023">
        <f t="shared" si="262"/>
        <v>947900000</v>
      </c>
      <c r="I1023">
        <f t="shared" si="260"/>
        <v>454992000</v>
      </c>
      <c r="K1023">
        <f t="shared" si="263"/>
        <v>1064849346</v>
      </c>
      <c r="M1023">
        <f t="shared" si="258"/>
        <v>929998415</v>
      </c>
      <c r="N1023">
        <f t="shared" si="265"/>
        <v>2076631201</v>
      </c>
      <c r="O1023">
        <f t="shared" si="268"/>
        <v>1.12549165388095</v>
      </c>
    </row>
    <row r="1024" ht="13.85" spans="1:15">
      <c r="A1024" s="43">
        <v>37058</v>
      </c>
      <c r="B1024" s="11">
        <v>352287260</v>
      </c>
      <c r="C1024" s="11">
        <v>20349888</v>
      </c>
      <c r="D1024" s="26">
        <v>528.5</v>
      </c>
      <c r="E1024">
        <f t="shared" si="267"/>
        <v>528.5</v>
      </c>
      <c r="F1024">
        <f t="shared" si="256"/>
        <v>176143630</v>
      </c>
      <c r="G1024">
        <f t="shared" si="257"/>
        <v>17614.363</v>
      </c>
      <c r="H1024">
        <f t="shared" si="262"/>
        <v>528500000</v>
      </c>
      <c r="I1024">
        <f t="shared" si="260"/>
        <v>253680000</v>
      </c>
      <c r="K1024">
        <f t="shared" si="263"/>
        <v>712562086</v>
      </c>
      <c r="M1024">
        <f t="shared" si="258"/>
        <v>372637148</v>
      </c>
      <c r="N1024">
        <f t="shared" si="265"/>
        <v>1146632786</v>
      </c>
      <c r="O1024">
        <f t="shared" si="268"/>
        <v>1.67954461457689</v>
      </c>
    </row>
    <row r="1025" ht="13.85" spans="1:15">
      <c r="A1025" s="44">
        <v>36938</v>
      </c>
      <c r="B1025" s="15">
        <v>108257204</v>
      </c>
      <c r="C1025" s="15">
        <v>7547996</v>
      </c>
      <c r="D1025" s="15">
        <v>334</v>
      </c>
      <c r="E1025">
        <f t="shared" ref="E1025:E1052" si="269">IF(RIGHT(D1025,1)="B",VALUE(LEFT(D1025,LEN(D1025)-1))*1000,D1025)</f>
        <v>334</v>
      </c>
      <c r="F1025">
        <f t="shared" si="256"/>
        <v>54128602</v>
      </c>
      <c r="G1025">
        <f t="shared" si="257"/>
        <v>5412.8602</v>
      </c>
      <c r="H1025">
        <f t="shared" si="262"/>
        <v>334000000</v>
      </c>
      <c r="I1025">
        <f t="shared" si="260"/>
        <v>160320000</v>
      </c>
      <c r="K1025">
        <f t="shared" si="263"/>
        <v>604304882</v>
      </c>
      <c r="M1025">
        <f t="shared" si="258"/>
        <v>115805200</v>
      </c>
      <c r="N1025">
        <f t="shared" si="265"/>
        <v>773995638</v>
      </c>
      <c r="O1025">
        <f t="shared" si="268"/>
        <v>0.388047900952462</v>
      </c>
    </row>
    <row r="1026" ht="13.9" spans="1:15">
      <c r="A1026" s="41" t="s">
        <v>729</v>
      </c>
      <c r="B1026" s="13">
        <v>81857312</v>
      </c>
      <c r="C1026" s="13">
        <v>5760737</v>
      </c>
      <c r="D1026" s="13">
        <v>300</v>
      </c>
      <c r="E1026">
        <f t="shared" si="269"/>
        <v>300</v>
      </c>
      <c r="F1026">
        <f t="shared" si="256"/>
        <v>40928656</v>
      </c>
      <c r="G1026">
        <f t="shared" si="257"/>
        <v>4092.8656</v>
      </c>
      <c r="H1026">
        <f t="shared" si="262"/>
        <v>300000000</v>
      </c>
      <c r="I1026">
        <f t="shared" si="260"/>
        <v>144000000</v>
      </c>
      <c r="K1026">
        <f t="shared" si="263"/>
        <v>522447570</v>
      </c>
      <c r="M1026">
        <f t="shared" si="258"/>
        <v>87618049</v>
      </c>
      <c r="N1026">
        <f t="shared" si="265"/>
        <v>658190438</v>
      </c>
      <c r="O1026">
        <f t="shared" si="268"/>
        <v>0.799723516031711</v>
      </c>
    </row>
    <row r="1027" ht="13.9" spans="1:15">
      <c r="A1027" s="42" t="s">
        <v>730</v>
      </c>
      <c r="B1027" s="11">
        <v>52097324</v>
      </c>
      <c r="C1027" s="11">
        <v>4172123</v>
      </c>
      <c r="D1027" s="11">
        <v>255</v>
      </c>
      <c r="E1027">
        <f t="shared" si="269"/>
        <v>255</v>
      </c>
      <c r="F1027">
        <f t="shared" si="256"/>
        <v>26048662</v>
      </c>
      <c r="G1027">
        <f t="shared" si="257"/>
        <v>2604.8662</v>
      </c>
      <c r="H1027">
        <f t="shared" si="262"/>
        <v>255000000</v>
      </c>
      <c r="I1027">
        <f t="shared" si="260"/>
        <v>122400000</v>
      </c>
      <c r="K1027">
        <f t="shared" si="263"/>
        <v>470350246</v>
      </c>
      <c r="M1027">
        <f t="shared" si="258"/>
        <v>56269447</v>
      </c>
      <c r="N1027">
        <f t="shared" si="265"/>
        <v>570572389</v>
      </c>
      <c r="O1027">
        <f t="shared" si="268"/>
        <v>0.478115754009718</v>
      </c>
    </row>
    <row r="1028" ht="13.9" spans="1:15">
      <c r="A1028" s="42" t="s">
        <v>731</v>
      </c>
      <c r="B1028" s="11">
        <v>54319258</v>
      </c>
      <c r="C1028" s="11">
        <v>4243966</v>
      </c>
      <c r="D1028" s="11">
        <v>227</v>
      </c>
      <c r="E1028">
        <f t="shared" si="269"/>
        <v>227</v>
      </c>
      <c r="F1028">
        <f t="shared" ref="F1028:F1091" si="270">B1028/2</f>
        <v>27159629</v>
      </c>
      <c r="G1028">
        <f t="shared" ref="G1028:G1091" si="271">F1028/10000</f>
        <v>2715.9629</v>
      </c>
      <c r="H1028">
        <f t="shared" si="262"/>
        <v>227000000</v>
      </c>
      <c r="I1028">
        <f t="shared" si="260"/>
        <v>108960000</v>
      </c>
      <c r="K1028">
        <f t="shared" si="263"/>
        <v>416030988</v>
      </c>
      <c r="M1028">
        <f t="shared" si="258"/>
        <v>58563224</v>
      </c>
      <c r="N1028">
        <f t="shared" si="265"/>
        <v>514302942</v>
      </c>
      <c r="O1028">
        <f t="shared" si="268"/>
        <v>0.492893938234593</v>
      </c>
    </row>
    <row r="1029" ht="13.9" spans="1:15">
      <c r="A1029" s="42" t="s">
        <v>732</v>
      </c>
      <c r="B1029" s="11">
        <v>46794394</v>
      </c>
      <c r="C1029" s="11">
        <v>3926457</v>
      </c>
      <c r="D1029" s="11">
        <v>202</v>
      </c>
      <c r="E1029">
        <f t="shared" si="269"/>
        <v>202</v>
      </c>
      <c r="F1029">
        <f t="shared" si="270"/>
        <v>23397197</v>
      </c>
      <c r="G1029">
        <f t="shared" si="271"/>
        <v>2339.7197</v>
      </c>
      <c r="H1029">
        <f t="shared" si="262"/>
        <v>202000000</v>
      </c>
      <c r="I1029">
        <f t="shared" si="260"/>
        <v>96960000</v>
      </c>
      <c r="K1029">
        <f t="shared" si="263"/>
        <v>369236594</v>
      </c>
      <c r="M1029">
        <f t="shared" si="258"/>
        <v>50720851</v>
      </c>
      <c r="N1029">
        <f t="shared" si="265"/>
        <v>455739718</v>
      </c>
      <c r="O1029">
        <f t="shared" si="268"/>
        <v>0.547961323594599</v>
      </c>
    </row>
    <row r="1030" ht="13.9" spans="1:15">
      <c r="A1030" s="42" t="s">
        <v>733</v>
      </c>
      <c r="B1030" s="11">
        <v>36957036</v>
      </c>
      <c r="C1030" s="11">
        <v>3191783</v>
      </c>
      <c r="D1030" s="11">
        <v>180</v>
      </c>
      <c r="E1030">
        <f t="shared" si="269"/>
        <v>180</v>
      </c>
      <c r="F1030">
        <f t="shared" si="270"/>
        <v>18478518</v>
      </c>
      <c r="G1030">
        <f t="shared" si="271"/>
        <v>1847.8518</v>
      </c>
      <c r="H1030">
        <f t="shared" si="262"/>
        <v>180000000</v>
      </c>
      <c r="I1030">
        <f t="shared" si="260"/>
        <v>86400000</v>
      </c>
      <c r="K1030">
        <f t="shared" si="263"/>
        <v>332279558</v>
      </c>
      <c r="M1030">
        <f t="shared" si="258"/>
        <v>40148819</v>
      </c>
      <c r="N1030">
        <f t="shared" si="265"/>
        <v>405018867</v>
      </c>
      <c r="O1030">
        <f t="shared" si="268"/>
        <v>0.400212883237916</v>
      </c>
    </row>
    <row r="1031" ht="13.85" spans="1:15">
      <c r="A1031" s="43">
        <v>41258</v>
      </c>
      <c r="B1031" s="11">
        <v>36662540</v>
      </c>
      <c r="C1031" s="11">
        <v>3316183</v>
      </c>
      <c r="D1031" s="11">
        <v>164</v>
      </c>
      <c r="E1031">
        <f t="shared" si="269"/>
        <v>164</v>
      </c>
      <c r="F1031">
        <f t="shared" si="270"/>
        <v>18331270</v>
      </c>
      <c r="G1031">
        <f t="shared" si="271"/>
        <v>1833.127</v>
      </c>
      <c r="H1031">
        <f t="shared" si="262"/>
        <v>164000000</v>
      </c>
      <c r="I1031">
        <f t="shared" si="260"/>
        <v>78720000</v>
      </c>
      <c r="K1031">
        <f t="shared" si="263"/>
        <v>295617018</v>
      </c>
      <c r="M1031">
        <f t="shared" ref="M1031:M1094" si="272">B1031+C1031</f>
        <v>39978723</v>
      </c>
      <c r="N1031">
        <f t="shared" si="265"/>
        <v>364870048</v>
      </c>
      <c r="O1031">
        <f t="shared" si="268"/>
        <v>0.534527268444405</v>
      </c>
    </row>
    <row r="1032" ht="13.85" spans="1:15">
      <c r="A1032" s="43">
        <v>41167</v>
      </c>
      <c r="B1032" s="11">
        <v>32622162</v>
      </c>
      <c r="C1032" s="11">
        <v>2923265</v>
      </c>
      <c r="D1032" s="11">
        <v>145</v>
      </c>
      <c r="E1032">
        <f t="shared" si="269"/>
        <v>145</v>
      </c>
      <c r="F1032">
        <f t="shared" si="270"/>
        <v>16311081</v>
      </c>
      <c r="G1032">
        <f t="shared" si="271"/>
        <v>1631.1081</v>
      </c>
      <c r="H1032">
        <f t="shared" si="262"/>
        <v>145000000</v>
      </c>
      <c r="I1032">
        <f t="shared" si="260"/>
        <v>69600000</v>
      </c>
      <c r="K1032">
        <f t="shared" si="263"/>
        <v>262994856</v>
      </c>
      <c r="M1032">
        <f t="shared" si="272"/>
        <v>35545427</v>
      </c>
      <c r="N1032">
        <f t="shared" si="265"/>
        <v>324891325</v>
      </c>
      <c r="O1032">
        <f t="shared" si="268"/>
        <v>0.503189593032837</v>
      </c>
    </row>
    <row r="1033" ht="13.85" spans="1:15">
      <c r="A1033" s="43">
        <v>41044</v>
      </c>
      <c r="B1033" s="11">
        <v>32694022</v>
      </c>
      <c r="C1033" s="11">
        <v>3077783</v>
      </c>
      <c r="D1033" s="11">
        <v>127</v>
      </c>
      <c r="E1033">
        <f t="shared" si="269"/>
        <v>127</v>
      </c>
      <c r="F1033">
        <f t="shared" si="270"/>
        <v>16347011</v>
      </c>
      <c r="G1033">
        <f t="shared" si="271"/>
        <v>1634.7011</v>
      </c>
      <c r="H1033">
        <f t="shared" si="262"/>
        <v>127000000</v>
      </c>
      <c r="I1033">
        <f t="shared" si="260"/>
        <v>60960000</v>
      </c>
      <c r="K1033">
        <f t="shared" si="263"/>
        <v>230300834</v>
      </c>
      <c r="M1033">
        <f t="shared" si="272"/>
        <v>35771805</v>
      </c>
      <c r="N1033">
        <f t="shared" si="265"/>
        <v>289345898</v>
      </c>
      <c r="O1033">
        <f t="shared" si="268"/>
        <v>0.540192738862664</v>
      </c>
    </row>
    <row r="1034" ht="13.85" spans="1:15">
      <c r="A1034" s="43">
        <v>40954</v>
      </c>
      <c r="B1034" s="11">
        <v>28787014</v>
      </c>
      <c r="C1034" s="11">
        <v>2683235</v>
      </c>
      <c r="D1034" s="11">
        <v>110</v>
      </c>
      <c r="E1034">
        <f t="shared" si="269"/>
        <v>110</v>
      </c>
      <c r="F1034">
        <f t="shared" si="270"/>
        <v>14393507</v>
      </c>
      <c r="G1034">
        <f t="shared" si="271"/>
        <v>1439.3507</v>
      </c>
      <c r="H1034">
        <f t="shared" si="262"/>
        <v>110000000</v>
      </c>
      <c r="I1034">
        <f t="shared" si="260"/>
        <v>52800000</v>
      </c>
      <c r="K1034">
        <f t="shared" si="263"/>
        <v>201513820</v>
      </c>
      <c r="M1034">
        <f t="shared" si="272"/>
        <v>31470249</v>
      </c>
      <c r="N1034">
        <f t="shared" si="265"/>
        <v>253574093</v>
      </c>
      <c r="O1034">
        <f t="shared" ref="O1034:O1065" si="273">IF(H1034&gt;H1035,(H1034-H1035)/M1035,0)</f>
        <v>0.337135377553695</v>
      </c>
    </row>
    <row r="1035" ht="13.9" spans="1:15">
      <c r="A1035" s="42" t="s">
        <v>734</v>
      </c>
      <c r="B1035" s="11">
        <v>26971156</v>
      </c>
      <c r="C1035" s="11">
        <v>2690519</v>
      </c>
      <c r="D1035" s="11">
        <v>100</v>
      </c>
      <c r="E1035">
        <f t="shared" si="269"/>
        <v>100</v>
      </c>
      <c r="F1035">
        <f t="shared" si="270"/>
        <v>13485578</v>
      </c>
      <c r="G1035">
        <f t="shared" si="271"/>
        <v>1348.5578</v>
      </c>
      <c r="H1035">
        <f t="shared" si="262"/>
        <v>100000000</v>
      </c>
      <c r="I1035">
        <f t="shared" ref="I1035:I1098" si="274">H1035*0.48</f>
        <v>48000000</v>
      </c>
      <c r="K1035">
        <f t="shared" si="263"/>
        <v>174542664</v>
      </c>
      <c r="M1035">
        <f t="shared" si="272"/>
        <v>29661675</v>
      </c>
      <c r="N1035">
        <f t="shared" si="265"/>
        <v>222103844</v>
      </c>
      <c r="O1035">
        <f t="shared" si="273"/>
        <v>0.348560926131958</v>
      </c>
    </row>
    <row r="1036" ht="13.9" spans="1:15">
      <c r="A1036" s="42" t="s">
        <v>735</v>
      </c>
      <c r="B1036" s="11">
        <v>26087034</v>
      </c>
      <c r="C1036" s="11">
        <v>2602355</v>
      </c>
      <c r="D1036" s="11">
        <v>90</v>
      </c>
      <c r="E1036">
        <f t="shared" si="269"/>
        <v>90</v>
      </c>
      <c r="F1036">
        <f t="shared" si="270"/>
        <v>13043517</v>
      </c>
      <c r="G1036">
        <f t="shared" si="271"/>
        <v>1304.3517</v>
      </c>
      <c r="H1036">
        <f t="shared" si="262"/>
        <v>90000000</v>
      </c>
      <c r="I1036">
        <f t="shared" si="274"/>
        <v>43200000</v>
      </c>
      <c r="K1036">
        <f t="shared" si="263"/>
        <v>148455630</v>
      </c>
      <c r="M1036">
        <f t="shared" si="272"/>
        <v>28689389</v>
      </c>
      <c r="N1036">
        <f t="shared" si="265"/>
        <v>192442169</v>
      </c>
      <c r="O1036">
        <f t="shared" si="273"/>
        <v>0.361003088959031</v>
      </c>
    </row>
    <row r="1037" ht="13.9" spans="1:15">
      <c r="A1037" s="42" t="s">
        <v>736</v>
      </c>
      <c r="B1037" s="11">
        <v>25097524</v>
      </c>
      <c r="C1037" s="11">
        <v>2603070</v>
      </c>
      <c r="D1037" s="11">
        <v>80</v>
      </c>
      <c r="E1037">
        <f t="shared" si="269"/>
        <v>80</v>
      </c>
      <c r="F1037">
        <f t="shared" si="270"/>
        <v>12548762</v>
      </c>
      <c r="G1037">
        <f t="shared" si="271"/>
        <v>1254.8762</v>
      </c>
      <c r="H1037">
        <f t="shared" si="262"/>
        <v>80000000</v>
      </c>
      <c r="I1037">
        <f t="shared" si="274"/>
        <v>38400000</v>
      </c>
      <c r="K1037">
        <f t="shared" si="263"/>
        <v>123358106</v>
      </c>
      <c r="M1037">
        <f t="shared" si="272"/>
        <v>27700594</v>
      </c>
      <c r="N1037">
        <f t="shared" si="265"/>
        <v>163752780</v>
      </c>
      <c r="O1037">
        <f t="shared" si="273"/>
        <v>0.410264455647582</v>
      </c>
    </row>
    <row r="1038" ht="13.9" spans="1:15">
      <c r="A1038" s="42" t="s">
        <v>737</v>
      </c>
      <c r="B1038" s="11">
        <v>22075844</v>
      </c>
      <c r="C1038" s="11">
        <v>2298678</v>
      </c>
      <c r="D1038" s="11">
        <v>70</v>
      </c>
      <c r="E1038">
        <f t="shared" si="269"/>
        <v>70</v>
      </c>
      <c r="F1038">
        <f t="shared" si="270"/>
        <v>11037922</v>
      </c>
      <c r="G1038">
        <f t="shared" si="271"/>
        <v>1103.7922</v>
      </c>
      <c r="H1038">
        <f t="shared" si="262"/>
        <v>70000000</v>
      </c>
      <c r="I1038">
        <f t="shared" si="274"/>
        <v>33600000</v>
      </c>
      <c r="K1038">
        <f t="shared" si="263"/>
        <v>101282262</v>
      </c>
      <c r="M1038">
        <f t="shared" si="272"/>
        <v>24374522</v>
      </c>
      <c r="N1038">
        <f t="shared" si="265"/>
        <v>136052186</v>
      </c>
      <c r="O1038">
        <f t="shared" si="273"/>
        <v>0.372898984573691</v>
      </c>
    </row>
    <row r="1039" ht="13.9" spans="1:15">
      <c r="A1039" s="42" t="s">
        <v>738</v>
      </c>
      <c r="B1039" s="11">
        <v>24231802</v>
      </c>
      <c r="C1039" s="11">
        <v>2585112</v>
      </c>
      <c r="D1039" s="11">
        <v>60</v>
      </c>
      <c r="E1039">
        <f t="shared" si="269"/>
        <v>60</v>
      </c>
      <c r="F1039">
        <f t="shared" si="270"/>
        <v>12115901</v>
      </c>
      <c r="G1039">
        <f t="shared" si="271"/>
        <v>1211.5901</v>
      </c>
      <c r="H1039">
        <f t="shared" si="262"/>
        <v>60000000</v>
      </c>
      <c r="I1039">
        <f t="shared" si="274"/>
        <v>28800000</v>
      </c>
      <c r="K1039">
        <f t="shared" si="263"/>
        <v>77050460</v>
      </c>
      <c r="M1039">
        <f t="shared" si="272"/>
        <v>26816914</v>
      </c>
      <c r="N1039">
        <f t="shared" si="265"/>
        <v>111677664</v>
      </c>
      <c r="O1039">
        <f t="shared" si="273"/>
        <v>0.434047332514373</v>
      </c>
    </row>
    <row r="1040" ht="13.85" spans="1:15">
      <c r="A1040" s="43">
        <v>40862</v>
      </c>
      <c r="B1040" s="11">
        <v>20825416</v>
      </c>
      <c r="C1040" s="11">
        <v>2213546</v>
      </c>
      <c r="D1040" s="11">
        <v>50</v>
      </c>
      <c r="E1040">
        <f t="shared" si="269"/>
        <v>50</v>
      </c>
      <c r="F1040">
        <f t="shared" si="270"/>
        <v>10412708</v>
      </c>
      <c r="G1040">
        <f t="shared" si="271"/>
        <v>1041.2708</v>
      </c>
      <c r="H1040">
        <f t="shared" ref="H1040:H1103" si="275">E1040*1000000</f>
        <v>50000000</v>
      </c>
      <c r="I1040">
        <f t="shared" si="274"/>
        <v>24000000</v>
      </c>
      <c r="K1040">
        <f t="shared" si="263"/>
        <v>56225044</v>
      </c>
      <c r="M1040">
        <f t="shared" si="272"/>
        <v>23038962</v>
      </c>
      <c r="N1040">
        <f t="shared" si="265"/>
        <v>84860750</v>
      </c>
      <c r="O1040">
        <f t="shared" si="273"/>
        <v>0.378105341358039</v>
      </c>
    </row>
    <row r="1041" ht="13.85" spans="1:15">
      <c r="A1041" s="43">
        <v>40739</v>
      </c>
      <c r="B1041" s="11">
        <v>23900282</v>
      </c>
      <c r="C1041" s="11">
        <v>2547374</v>
      </c>
      <c r="D1041" s="11">
        <v>40</v>
      </c>
      <c r="E1041">
        <f t="shared" si="269"/>
        <v>40</v>
      </c>
      <c r="F1041">
        <f t="shared" si="270"/>
        <v>11950141</v>
      </c>
      <c r="G1041">
        <f t="shared" si="271"/>
        <v>1195.0141</v>
      </c>
      <c r="H1041">
        <f t="shared" si="275"/>
        <v>40000000</v>
      </c>
      <c r="I1041">
        <f t="shared" si="274"/>
        <v>19200000</v>
      </c>
      <c r="K1041">
        <f t="shared" ref="K1041:K1104" si="276">IF(E1041&gt;E1042,B1042+K1042,B1042)</f>
        <v>32324762</v>
      </c>
      <c r="M1041">
        <f t="shared" si="272"/>
        <v>26447656</v>
      </c>
      <c r="N1041">
        <f t="shared" si="265"/>
        <v>61821788</v>
      </c>
      <c r="O1041">
        <f t="shared" si="273"/>
        <v>0</v>
      </c>
    </row>
    <row r="1042" ht="13.85" spans="1:15">
      <c r="A1042" s="43">
        <v>40648</v>
      </c>
      <c r="B1042" s="11">
        <v>32324762</v>
      </c>
      <c r="C1042" s="11">
        <v>3049370</v>
      </c>
      <c r="D1042" s="11">
        <v>142</v>
      </c>
      <c r="E1042">
        <f t="shared" si="269"/>
        <v>142</v>
      </c>
      <c r="F1042">
        <f t="shared" si="270"/>
        <v>16162381</v>
      </c>
      <c r="G1042">
        <f t="shared" si="271"/>
        <v>1616.2381</v>
      </c>
      <c r="H1042">
        <f t="shared" si="275"/>
        <v>142000000</v>
      </c>
      <c r="I1042">
        <f t="shared" si="274"/>
        <v>68160000</v>
      </c>
      <c r="K1042">
        <f t="shared" si="276"/>
        <v>335762252</v>
      </c>
      <c r="M1042">
        <f t="shared" si="272"/>
        <v>35374132</v>
      </c>
      <c r="N1042">
        <f t="shared" si="265"/>
        <v>401555201</v>
      </c>
      <c r="O1042">
        <f t="shared" si="273"/>
        <v>0.417488283608809</v>
      </c>
    </row>
    <row r="1043" ht="13.9" spans="1:15">
      <c r="A1043" s="42" t="s">
        <v>739</v>
      </c>
      <c r="B1043" s="11">
        <v>32751414</v>
      </c>
      <c r="C1043" s="11">
        <v>3177738</v>
      </c>
      <c r="D1043" s="11">
        <v>127</v>
      </c>
      <c r="E1043">
        <f t="shared" si="269"/>
        <v>127</v>
      </c>
      <c r="F1043">
        <f t="shared" si="270"/>
        <v>16375707</v>
      </c>
      <c r="G1043">
        <f t="shared" si="271"/>
        <v>1637.5707</v>
      </c>
      <c r="H1043">
        <f t="shared" si="275"/>
        <v>127000000</v>
      </c>
      <c r="I1043">
        <f t="shared" si="274"/>
        <v>60960000</v>
      </c>
      <c r="K1043">
        <f t="shared" si="276"/>
        <v>303010838</v>
      </c>
      <c r="M1043">
        <f t="shared" si="272"/>
        <v>35929152</v>
      </c>
      <c r="N1043">
        <f t="shared" si="265"/>
        <v>366181069</v>
      </c>
      <c r="O1043">
        <f t="shared" si="273"/>
        <v>0.55507833330743</v>
      </c>
    </row>
    <row r="1044" ht="13.9" spans="1:15">
      <c r="A1044" s="42" t="s">
        <v>740</v>
      </c>
      <c r="B1044" s="11">
        <v>27942176</v>
      </c>
      <c r="C1044" s="11">
        <v>2684132</v>
      </c>
      <c r="D1044" s="11">
        <v>110</v>
      </c>
      <c r="E1044">
        <f t="shared" si="269"/>
        <v>110</v>
      </c>
      <c r="F1044">
        <f t="shared" si="270"/>
        <v>13971088</v>
      </c>
      <c r="G1044">
        <f t="shared" si="271"/>
        <v>1397.1088</v>
      </c>
      <c r="H1044">
        <f t="shared" si="275"/>
        <v>110000000</v>
      </c>
      <c r="I1044">
        <f t="shared" si="274"/>
        <v>52800000</v>
      </c>
      <c r="K1044">
        <f t="shared" si="276"/>
        <v>275068662</v>
      </c>
      <c r="M1044">
        <f t="shared" si="272"/>
        <v>30626308</v>
      </c>
      <c r="N1044">
        <f t="shared" si="265"/>
        <v>330251917</v>
      </c>
      <c r="O1044">
        <f t="shared" si="273"/>
        <v>0.300968323445119</v>
      </c>
    </row>
    <row r="1045" ht="13.9" spans="1:15">
      <c r="A1045" s="42" t="s">
        <v>741</v>
      </c>
      <c r="B1045" s="11">
        <v>30270326</v>
      </c>
      <c r="C1045" s="11">
        <v>2955762</v>
      </c>
      <c r="D1045" s="11">
        <v>100</v>
      </c>
      <c r="E1045">
        <f t="shared" si="269"/>
        <v>100</v>
      </c>
      <c r="F1045">
        <f t="shared" si="270"/>
        <v>15135163</v>
      </c>
      <c r="G1045">
        <f t="shared" si="271"/>
        <v>1513.5163</v>
      </c>
      <c r="H1045">
        <f t="shared" si="275"/>
        <v>100000000</v>
      </c>
      <c r="I1045">
        <f t="shared" si="274"/>
        <v>48000000</v>
      </c>
      <c r="K1045">
        <f t="shared" si="276"/>
        <v>244798336</v>
      </c>
      <c r="M1045">
        <f t="shared" si="272"/>
        <v>33226088</v>
      </c>
      <c r="N1045">
        <f t="shared" si="265"/>
        <v>299625609</v>
      </c>
      <c r="O1045">
        <f t="shared" si="273"/>
        <v>0.365073598654952</v>
      </c>
    </row>
    <row r="1046" ht="13.9" spans="1:15">
      <c r="A1046" s="42" t="s">
        <v>742</v>
      </c>
      <c r="B1046" s="11">
        <v>24895028</v>
      </c>
      <c r="C1046" s="11">
        <v>2496709</v>
      </c>
      <c r="D1046" s="11">
        <v>90</v>
      </c>
      <c r="E1046">
        <f t="shared" si="269"/>
        <v>90</v>
      </c>
      <c r="F1046">
        <f t="shared" si="270"/>
        <v>12447514</v>
      </c>
      <c r="G1046">
        <f t="shared" si="271"/>
        <v>1244.7514</v>
      </c>
      <c r="H1046">
        <f t="shared" si="275"/>
        <v>90000000</v>
      </c>
      <c r="I1046">
        <f t="shared" si="274"/>
        <v>43200000</v>
      </c>
      <c r="K1046">
        <f t="shared" si="276"/>
        <v>219903308</v>
      </c>
      <c r="M1046">
        <f t="shared" si="272"/>
        <v>27391737</v>
      </c>
      <c r="N1046">
        <f t="shared" si="265"/>
        <v>266399521</v>
      </c>
      <c r="O1046">
        <f t="shared" si="273"/>
        <v>0.345348037608125</v>
      </c>
    </row>
    <row r="1047" ht="13.9" spans="1:15">
      <c r="A1047" s="42" t="s">
        <v>743</v>
      </c>
      <c r="B1047" s="11">
        <v>26255326</v>
      </c>
      <c r="C1047" s="11">
        <v>2700970</v>
      </c>
      <c r="D1047" s="11">
        <v>80</v>
      </c>
      <c r="E1047">
        <f t="shared" si="269"/>
        <v>80</v>
      </c>
      <c r="F1047">
        <f t="shared" si="270"/>
        <v>13127663</v>
      </c>
      <c r="G1047">
        <f t="shared" si="271"/>
        <v>1312.7663</v>
      </c>
      <c r="H1047">
        <f t="shared" si="275"/>
        <v>80000000</v>
      </c>
      <c r="I1047">
        <f t="shared" si="274"/>
        <v>38400000</v>
      </c>
      <c r="K1047">
        <f t="shared" si="276"/>
        <v>193647982</v>
      </c>
      <c r="M1047">
        <f t="shared" si="272"/>
        <v>28956296</v>
      </c>
      <c r="N1047">
        <f t="shared" si="265"/>
        <v>239007784</v>
      </c>
      <c r="O1047">
        <f t="shared" si="273"/>
        <v>0.390634247045067</v>
      </c>
    </row>
    <row r="1048" ht="13.9" spans="1:15">
      <c r="A1048" s="42" t="s">
        <v>744</v>
      </c>
      <c r="B1048" s="11">
        <v>23219104</v>
      </c>
      <c r="C1048" s="11">
        <v>2380290</v>
      </c>
      <c r="D1048" s="11">
        <v>70</v>
      </c>
      <c r="E1048">
        <f t="shared" si="269"/>
        <v>70</v>
      </c>
      <c r="F1048">
        <f t="shared" si="270"/>
        <v>11609552</v>
      </c>
      <c r="G1048">
        <f t="shared" si="271"/>
        <v>1160.9552</v>
      </c>
      <c r="H1048">
        <f t="shared" si="275"/>
        <v>70000000</v>
      </c>
      <c r="I1048">
        <f t="shared" si="274"/>
        <v>33600000</v>
      </c>
      <c r="K1048">
        <f t="shared" si="276"/>
        <v>170428878</v>
      </c>
      <c r="M1048">
        <f t="shared" si="272"/>
        <v>25599394</v>
      </c>
      <c r="N1048">
        <f t="shared" si="265"/>
        <v>210051488</v>
      </c>
      <c r="O1048">
        <f t="shared" si="273"/>
        <v>0.368161957685011</v>
      </c>
    </row>
    <row r="1049" ht="13.85" spans="1:15">
      <c r="A1049" s="43">
        <v>40466</v>
      </c>
      <c r="B1049" s="11">
        <v>24599042</v>
      </c>
      <c r="C1049" s="11">
        <v>2562917</v>
      </c>
      <c r="D1049" s="11">
        <v>60</v>
      </c>
      <c r="E1049">
        <f t="shared" si="269"/>
        <v>60</v>
      </c>
      <c r="F1049">
        <f t="shared" si="270"/>
        <v>12299521</v>
      </c>
      <c r="G1049">
        <f t="shared" si="271"/>
        <v>1229.9521</v>
      </c>
      <c r="H1049">
        <f t="shared" si="275"/>
        <v>60000000</v>
      </c>
      <c r="I1049">
        <f t="shared" si="274"/>
        <v>28800000</v>
      </c>
      <c r="K1049">
        <f t="shared" si="276"/>
        <v>145829836</v>
      </c>
      <c r="M1049">
        <f t="shared" si="272"/>
        <v>27161959</v>
      </c>
      <c r="N1049">
        <f t="shared" si="265"/>
        <v>184452094</v>
      </c>
      <c r="O1049">
        <f t="shared" si="273"/>
        <v>0.42896857380518</v>
      </c>
    </row>
    <row r="1050" ht="13.85" spans="1:15">
      <c r="A1050" s="43">
        <v>40374</v>
      </c>
      <c r="B1050" s="11">
        <v>21151912</v>
      </c>
      <c r="C1050" s="11">
        <v>2159819</v>
      </c>
      <c r="D1050" s="11">
        <v>50</v>
      </c>
      <c r="E1050">
        <f t="shared" si="269"/>
        <v>50</v>
      </c>
      <c r="F1050">
        <f t="shared" si="270"/>
        <v>10575956</v>
      </c>
      <c r="G1050">
        <f t="shared" si="271"/>
        <v>1057.5956</v>
      </c>
      <c r="H1050">
        <f t="shared" si="275"/>
        <v>50000000</v>
      </c>
      <c r="I1050">
        <f t="shared" si="274"/>
        <v>24000000</v>
      </c>
      <c r="K1050">
        <f t="shared" si="276"/>
        <v>124677924</v>
      </c>
      <c r="M1050">
        <f t="shared" si="272"/>
        <v>23311731</v>
      </c>
      <c r="N1050">
        <f t="shared" si="265"/>
        <v>157290135</v>
      </c>
      <c r="O1050">
        <f t="shared" si="273"/>
        <v>0.364139286335793</v>
      </c>
    </row>
    <row r="1051" ht="13.85" spans="1:15">
      <c r="A1051" s="43">
        <v>40252</v>
      </c>
      <c r="B1051" s="11">
        <v>24893024</v>
      </c>
      <c r="C1051" s="11">
        <v>2568995</v>
      </c>
      <c r="D1051" s="11">
        <v>40</v>
      </c>
      <c r="E1051">
        <f t="shared" si="269"/>
        <v>40</v>
      </c>
      <c r="F1051">
        <f t="shared" si="270"/>
        <v>12446512</v>
      </c>
      <c r="G1051">
        <f t="shared" si="271"/>
        <v>1244.6512</v>
      </c>
      <c r="H1051">
        <f t="shared" si="275"/>
        <v>40000000</v>
      </c>
      <c r="I1051">
        <f t="shared" si="274"/>
        <v>19200000</v>
      </c>
      <c r="K1051">
        <f t="shared" si="276"/>
        <v>99784900</v>
      </c>
      <c r="M1051">
        <f t="shared" si="272"/>
        <v>27462019</v>
      </c>
      <c r="N1051">
        <f t="shared" si="265"/>
        <v>133978404</v>
      </c>
      <c r="O1051">
        <f t="shared" si="273"/>
        <v>0</v>
      </c>
    </row>
    <row r="1052" ht="13.9" spans="1:15">
      <c r="A1052" s="42" t="s">
        <v>745</v>
      </c>
      <c r="B1052" s="11">
        <v>99784900</v>
      </c>
      <c r="C1052" s="11">
        <v>6731485</v>
      </c>
      <c r="D1052" s="26">
        <v>310.5</v>
      </c>
      <c r="E1052">
        <f t="shared" si="269"/>
        <v>310.5</v>
      </c>
      <c r="F1052">
        <f t="shared" si="270"/>
        <v>49892450</v>
      </c>
      <c r="G1052">
        <f t="shared" si="271"/>
        <v>4989.245</v>
      </c>
      <c r="H1052">
        <f t="shared" si="275"/>
        <v>310500000</v>
      </c>
      <c r="I1052">
        <f t="shared" si="274"/>
        <v>149040000</v>
      </c>
      <c r="K1052">
        <f t="shared" si="276"/>
        <v>583951880</v>
      </c>
      <c r="M1052">
        <f t="shared" si="272"/>
        <v>106516385</v>
      </c>
      <c r="N1052">
        <f t="shared" si="265"/>
        <v>743293466</v>
      </c>
      <c r="O1052">
        <f t="shared" si="273"/>
        <v>0.629657201592063</v>
      </c>
    </row>
    <row r="1053" ht="13.9" spans="1:15">
      <c r="A1053" s="42" t="s">
        <v>746</v>
      </c>
      <c r="B1053" s="11">
        <v>64156118</v>
      </c>
      <c r="C1053" s="11">
        <v>4929092</v>
      </c>
      <c r="D1053" s="11">
        <v>267</v>
      </c>
      <c r="E1053">
        <f t="shared" ref="E1053:E1084" si="277">IF(RIGHT(D1053,1)="B",VALUE(LEFT(D1053,LEN(D1053)-1))*1000,D1053)</f>
        <v>267</v>
      </c>
      <c r="F1053">
        <f t="shared" si="270"/>
        <v>32078059</v>
      </c>
      <c r="G1053">
        <f t="shared" si="271"/>
        <v>3207.8059</v>
      </c>
      <c r="H1053">
        <f t="shared" si="275"/>
        <v>267000000</v>
      </c>
      <c r="I1053">
        <f t="shared" si="274"/>
        <v>128160000</v>
      </c>
      <c r="K1053">
        <f t="shared" si="276"/>
        <v>519795762</v>
      </c>
      <c r="M1053">
        <f t="shared" si="272"/>
        <v>69085210</v>
      </c>
      <c r="N1053">
        <f t="shared" si="265"/>
        <v>636777081</v>
      </c>
      <c r="O1053">
        <f t="shared" si="273"/>
        <v>0.519266819267285</v>
      </c>
    </row>
    <row r="1054" ht="13.9" spans="1:15">
      <c r="A1054" s="42" t="s">
        <v>747</v>
      </c>
      <c r="B1054" s="11">
        <v>57254160</v>
      </c>
      <c r="C1054" s="11">
        <v>4371191</v>
      </c>
      <c r="D1054" s="11">
        <v>235</v>
      </c>
      <c r="E1054">
        <f t="shared" si="277"/>
        <v>235</v>
      </c>
      <c r="F1054">
        <f t="shared" si="270"/>
        <v>28627080</v>
      </c>
      <c r="G1054">
        <f t="shared" si="271"/>
        <v>2862.708</v>
      </c>
      <c r="H1054">
        <f t="shared" si="275"/>
        <v>235000000</v>
      </c>
      <c r="I1054">
        <f t="shared" si="274"/>
        <v>112800000</v>
      </c>
      <c r="K1054">
        <f t="shared" si="276"/>
        <v>462541602</v>
      </c>
      <c r="M1054">
        <f t="shared" si="272"/>
        <v>61625351</v>
      </c>
      <c r="N1054">
        <f t="shared" si="265"/>
        <v>567691871</v>
      </c>
      <c r="O1054">
        <f t="shared" si="273"/>
        <v>0.492299469924751</v>
      </c>
    </row>
    <row r="1055" ht="13.9" spans="1:15">
      <c r="A1055" s="42" t="s">
        <v>748</v>
      </c>
      <c r="B1055" s="11">
        <v>50682002</v>
      </c>
      <c r="C1055" s="11">
        <v>4162664</v>
      </c>
      <c r="D1055" s="11">
        <v>208</v>
      </c>
      <c r="E1055">
        <f t="shared" si="277"/>
        <v>208</v>
      </c>
      <c r="F1055">
        <f t="shared" si="270"/>
        <v>25341001</v>
      </c>
      <c r="G1055">
        <f t="shared" si="271"/>
        <v>2534.1001</v>
      </c>
      <c r="H1055">
        <f t="shared" si="275"/>
        <v>208000000</v>
      </c>
      <c r="I1055">
        <f t="shared" si="274"/>
        <v>99840000</v>
      </c>
      <c r="K1055">
        <f t="shared" si="276"/>
        <v>411859600</v>
      </c>
      <c r="M1055">
        <f t="shared" si="272"/>
        <v>54844666</v>
      </c>
      <c r="N1055">
        <f t="shared" ref="N1055:N1118" si="278">IF(H1055&lt;H1056,M1055+M1056,M1055+N1056)</f>
        <v>506066520</v>
      </c>
      <c r="O1055">
        <f t="shared" si="273"/>
        <v>0.522055790331863</v>
      </c>
    </row>
    <row r="1056" ht="13.9" spans="1:15">
      <c r="A1056" s="42" t="s">
        <v>749</v>
      </c>
      <c r="B1056" s="11">
        <v>40527626</v>
      </c>
      <c r="C1056" s="11">
        <v>3528968</v>
      </c>
      <c r="D1056" s="11">
        <v>185</v>
      </c>
      <c r="E1056">
        <f t="shared" si="277"/>
        <v>185</v>
      </c>
      <c r="F1056">
        <f t="shared" si="270"/>
        <v>20263813</v>
      </c>
      <c r="G1056">
        <f t="shared" si="271"/>
        <v>2026.3813</v>
      </c>
      <c r="H1056">
        <f t="shared" si="275"/>
        <v>185000000</v>
      </c>
      <c r="I1056">
        <f t="shared" si="274"/>
        <v>88800000</v>
      </c>
      <c r="K1056">
        <f t="shared" si="276"/>
        <v>371331974</v>
      </c>
      <c r="M1056">
        <f t="shared" si="272"/>
        <v>44056594</v>
      </c>
      <c r="N1056">
        <f t="shared" si="278"/>
        <v>451221854</v>
      </c>
      <c r="O1056">
        <f t="shared" si="273"/>
        <v>0.432051365722768</v>
      </c>
    </row>
    <row r="1057" ht="13.85" spans="1:15">
      <c r="A1057" s="43">
        <v>40162</v>
      </c>
      <c r="B1057" s="11">
        <v>38171638</v>
      </c>
      <c r="C1057" s="11">
        <v>3490075</v>
      </c>
      <c r="D1057" s="11">
        <v>167</v>
      </c>
      <c r="E1057">
        <f t="shared" si="277"/>
        <v>167</v>
      </c>
      <c r="F1057">
        <f t="shared" si="270"/>
        <v>19085819</v>
      </c>
      <c r="G1057">
        <f t="shared" si="271"/>
        <v>1908.5819</v>
      </c>
      <c r="H1057">
        <f t="shared" si="275"/>
        <v>167000000</v>
      </c>
      <c r="I1057">
        <f t="shared" si="274"/>
        <v>80160000</v>
      </c>
      <c r="K1057">
        <f t="shared" si="276"/>
        <v>333160336</v>
      </c>
      <c r="M1057">
        <f t="shared" si="272"/>
        <v>41661713</v>
      </c>
      <c r="N1057">
        <f t="shared" si="278"/>
        <v>407165260</v>
      </c>
      <c r="O1057">
        <f t="shared" si="273"/>
        <v>0.507520280439917</v>
      </c>
    </row>
    <row r="1058" ht="13.85" spans="1:15">
      <c r="A1058" s="43">
        <v>40071</v>
      </c>
      <c r="B1058" s="11">
        <v>32494668</v>
      </c>
      <c r="C1058" s="11">
        <v>2971895</v>
      </c>
      <c r="D1058" s="11">
        <v>149</v>
      </c>
      <c r="E1058">
        <f t="shared" si="277"/>
        <v>149</v>
      </c>
      <c r="F1058">
        <f t="shared" si="270"/>
        <v>16247334</v>
      </c>
      <c r="G1058">
        <f t="shared" si="271"/>
        <v>1624.7334</v>
      </c>
      <c r="H1058">
        <f t="shared" si="275"/>
        <v>149000000</v>
      </c>
      <c r="I1058">
        <f t="shared" si="274"/>
        <v>71520000</v>
      </c>
      <c r="K1058">
        <f t="shared" si="276"/>
        <v>300665668</v>
      </c>
      <c r="M1058">
        <f t="shared" si="272"/>
        <v>35466563</v>
      </c>
      <c r="N1058">
        <f t="shared" si="278"/>
        <v>365503547</v>
      </c>
      <c r="O1058">
        <f t="shared" si="273"/>
        <v>0.422813091773167</v>
      </c>
    </row>
    <row r="1059" ht="13.85" spans="1:15">
      <c r="A1059" s="43">
        <v>39948</v>
      </c>
      <c r="B1059" s="11">
        <v>34564486</v>
      </c>
      <c r="C1059" s="11">
        <v>3277294</v>
      </c>
      <c r="D1059" s="11">
        <v>133</v>
      </c>
      <c r="E1059">
        <f t="shared" si="277"/>
        <v>133</v>
      </c>
      <c r="F1059">
        <f t="shared" si="270"/>
        <v>17282243</v>
      </c>
      <c r="G1059">
        <f t="shared" si="271"/>
        <v>1728.2243</v>
      </c>
      <c r="H1059">
        <f t="shared" si="275"/>
        <v>133000000</v>
      </c>
      <c r="I1059">
        <f t="shared" si="274"/>
        <v>63840000</v>
      </c>
      <c r="K1059">
        <f t="shared" si="276"/>
        <v>266101182</v>
      </c>
      <c r="M1059">
        <f t="shared" si="272"/>
        <v>37841780</v>
      </c>
      <c r="N1059">
        <f t="shared" si="278"/>
        <v>330036984</v>
      </c>
      <c r="O1059">
        <f t="shared" si="273"/>
        <v>0.386786147486199</v>
      </c>
    </row>
    <row r="1060" ht="13.85" spans="1:15">
      <c r="A1060" s="43">
        <v>39859</v>
      </c>
      <c r="B1060" s="11">
        <v>30738428</v>
      </c>
      <c r="C1060" s="11">
        <v>2871876</v>
      </c>
      <c r="D1060" s="11">
        <v>120</v>
      </c>
      <c r="E1060">
        <f t="shared" si="277"/>
        <v>120</v>
      </c>
      <c r="F1060">
        <f t="shared" si="270"/>
        <v>15369214</v>
      </c>
      <c r="G1060">
        <f t="shared" si="271"/>
        <v>1536.9214</v>
      </c>
      <c r="H1060">
        <f t="shared" si="275"/>
        <v>120000000</v>
      </c>
      <c r="I1060">
        <f t="shared" si="274"/>
        <v>57600000</v>
      </c>
      <c r="K1060">
        <f t="shared" si="276"/>
        <v>235362754</v>
      </c>
      <c r="M1060">
        <f t="shared" si="272"/>
        <v>33610304</v>
      </c>
      <c r="N1060">
        <f t="shared" si="278"/>
        <v>292195204</v>
      </c>
      <c r="O1060">
        <f t="shared" si="273"/>
        <v>0.289559025637353</v>
      </c>
    </row>
    <row r="1061" ht="13.9" spans="1:15">
      <c r="A1061" s="42" t="s">
        <v>750</v>
      </c>
      <c r="B1061" s="11">
        <v>31535718</v>
      </c>
      <c r="C1061" s="11">
        <v>2999555</v>
      </c>
      <c r="D1061" s="11">
        <v>110</v>
      </c>
      <c r="E1061">
        <f t="shared" si="277"/>
        <v>110</v>
      </c>
      <c r="F1061">
        <f t="shared" si="270"/>
        <v>15767859</v>
      </c>
      <c r="G1061">
        <f t="shared" si="271"/>
        <v>1576.7859</v>
      </c>
      <c r="H1061">
        <f t="shared" si="275"/>
        <v>110000000</v>
      </c>
      <c r="I1061">
        <f t="shared" si="274"/>
        <v>52800000</v>
      </c>
      <c r="K1061">
        <f t="shared" si="276"/>
        <v>203827036</v>
      </c>
      <c r="M1061">
        <f t="shared" si="272"/>
        <v>34535273</v>
      </c>
      <c r="N1061">
        <f t="shared" si="278"/>
        <v>258584900</v>
      </c>
      <c r="O1061">
        <f t="shared" si="273"/>
        <v>0.319539709439347</v>
      </c>
    </row>
    <row r="1062" ht="13.9" spans="1:15">
      <c r="A1062" s="42" t="s">
        <v>751</v>
      </c>
      <c r="B1062" s="11">
        <v>28627382</v>
      </c>
      <c r="C1062" s="11">
        <v>2667633</v>
      </c>
      <c r="D1062" s="11">
        <v>100</v>
      </c>
      <c r="E1062">
        <f t="shared" si="277"/>
        <v>100</v>
      </c>
      <c r="F1062">
        <f t="shared" si="270"/>
        <v>14313691</v>
      </c>
      <c r="G1062">
        <f t="shared" si="271"/>
        <v>1431.3691</v>
      </c>
      <c r="H1062">
        <f t="shared" si="275"/>
        <v>100000000</v>
      </c>
      <c r="I1062">
        <f t="shared" si="274"/>
        <v>48000000</v>
      </c>
      <c r="K1062">
        <f t="shared" si="276"/>
        <v>175199654</v>
      </c>
      <c r="M1062">
        <f t="shared" si="272"/>
        <v>31295015</v>
      </c>
      <c r="N1062">
        <f t="shared" si="278"/>
        <v>224049627</v>
      </c>
      <c r="O1062">
        <f t="shared" si="273"/>
        <v>0.335179985115998</v>
      </c>
    </row>
    <row r="1063" ht="13.9" spans="1:15">
      <c r="A1063" s="42" t="s">
        <v>752</v>
      </c>
      <c r="B1063" s="11">
        <v>27132588</v>
      </c>
      <c r="C1063" s="11">
        <v>2702129</v>
      </c>
      <c r="D1063" s="11">
        <v>90</v>
      </c>
      <c r="E1063">
        <f t="shared" si="277"/>
        <v>90</v>
      </c>
      <c r="F1063">
        <f t="shared" si="270"/>
        <v>13566294</v>
      </c>
      <c r="G1063">
        <f t="shared" si="271"/>
        <v>1356.6294</v>
      </c>
      <c r="H1063">
        <f t="shared" si="275"/>
        <v>90000000</v>
      </c>
      <c r="I1063">
        <f t="shared" si="274"/>
        <v>43200000</v>
      </c>
      <c r="K1063">
        <f t="shared" si="276"/>
        <v>148067066</v>
      </c>
      <c r="M1063">
        <f t="shared" si="272"/>
        <v>29834717</v>
      </c>
      <c r="N1063">
        <f t="shared" si="278"/>
        <v>192754612</v>
      </c>
      <c r="O1063">
        <f t="shared" si="273"/>
        <v>0.383301794622835</v>
      </c>
    </row>
    <row r="1064" ht="13.9" spans="1:15">
      <c r="A1064" s="42" t="s">
        <v>753</v>
      </c>
      <c r="B1064" s="11">
        <v>23742834</v>
      </c>
      <c r="C1064" s="11">
        <v>2346269</v>
      </c>
      <c r="D1064" s="11">
        <v>80</v>
      </c>
      <c r="E1064">
        <f t="shared" si="277"/>
        <v>80</v>
      </c>
      <c r="F1064">
        <f t="shared" si="270"/>
        <v>11871417</v>
      </c>
      <c r="G1064">
        <f t="shared" si="271"/>
        <v>1187.1417</v>
      </c>
      <c r="H1064">
        <f t="shared" si="275"/>
        <v>80000000</v>
      </c>
      <c r="I1064">
        <f t="shared" si="274"/>
        <v>38400000</v>
      </c>
      <c r="K1064">
        <f t="shared" si="276"/>
        <v>124324232</v>
      </c>
      <c r="M1064">
        <f t="shared" si="272"/>
        <v>26089103</v>
      </c>
      <c r="N1064">
        <f t="shared" si="278"/>
        <v>162919895</v>
      </c>
      <c r="O1064">
        <f t="shared" si="273"/>
        <v>0.356915183496699</v>
      </c>
    </row>
    <row r="1065" ht="13.9" spans="1:15">
      <c r="A1065" s="42" t="s">
        <v>754</v>
      </c>
      <c r="B1065" s="11">
        <v>25442820</v>
      </c>
      <c r="C1065" s="11">
        <v>2575041</v>
      </c>
      <c r="D1065" s="11">
        <v>70</v>
      </c>
      <c r="E1065">
        <f t="shared" si="277"/>
        <v>70</v>
      </c>
      <c r="F1065">
        <f t="shared" si="270"/>
        <v>12721410</v>
      </c>
      <c r="G1065">
        <f t="shared" si="271"/>
        <v>1272.141</v>
      </c>
      <c r="H1065">
        <f t="shared" si="275"/>
        <v>70000000</v>
      </c>
      <c r="I1065">
        <f t="shared" si="274"/>
        <v>33600000</v>
      </c>
      <c r="K1065">
        <f t="shared" si="276"/>
        <v>98881412</v>
      </c>
      <c r="M1065">
        <f t="shared" si="272"/>
        <v>28017861</v>
      </c>
      <c r="N1065">
        <f t="shared" si="278"/>
        <v>136830792</v>
      </c>
      <c r="O1065">
        <f t="shared" si="273"/>
        <v>0.408802415368191</v>
      </c>
    </row>
    <row r="1066" ht="13.85" spans="1:15">
      <c r="A1066" s="43">
        <v>39797</v>
      </c>
      <c r="B1066" s="11">
        <v>22232156</v>
      </c>
      <c r="C1066" s="11">
        <v>2229539</v>
      </c>
      <c r="D1066" s="11">
        <v>60</v>
      </c>
      <c r="E1066">
        <f t="shared" si="277"/>
        <v>60</v>
      </c>
      <c r="F1066">
        <f t="shared" si="270"/>
        <v>11116078</v>
      </c>
      <c r="G1066">
        <f t="shared" si="271"/>
        <v>1111.6078</v>
      </c>
      <c r="H1066">
        <f t="shared" si="275"/>
        <v>60000000</v>
      </c>
      <c r="I1066">
        <f t="shared" si="274"/>
        <v>28800000</v>
      </c>
      <c r="K1066">
        <f t="shared" si="276"/>
        <v>76649256</v>
      </c>
      <c r="M1066">
        <f t="shared" si="272"/>
        <v>24461695</v>
      </c>
      <c r="N1066">
        <f t="shared" si="278"/>
        <v>108812931</v>
      </c>
      <c r="O1066">
        <f t="shared" ref="O1066:O1097" si="279">IF(H1066&gt;H1067,(H1066-H1067)/M1067,0)</f>
        <v>0.382558690241463</v>
      </c>
    </row>
    <row r="1067" ht="13.85" spans="1:15">
      <c r="A1067" s="43">
        <v>39675</v>
      </c>
      <c r="B1067" s="11">
        <v>23689534</v>
      </c>
      <c r="C1067" s="11">
        <v>2450246</v>
      </c>
      <c r="D1067" s="11">
        <v>50</v>
      </c>
      <c r="E1067">
        <f t="shared" si="277"/>
        <v>50</v>
      </c>
      <c r="F1067">
        <f t="shared" si="270"/>
        <v>11844767</v>
      </c>
      <c r="G1067">
        <f t="shared" si="271"/>
        <v>1184.4767</v>
      </c>
      <c r="H1067">
        <f t="shared" si="275"/>
        <v>50000000</v>
      </c>
      <c r="I1067">
        <f t="shared" si="274"/>
        <v>24000000</v>
      </c>
      <c r="K1067">
        <f t="shared" si="276"/>
        <v>52959722</v>
      </c>
      <c r="M1067">
        <f t="shared" si="272"/>
        <v>26139780</v>
      </c>
      <c r="N1067">
        <f t="shared" si="278"/>
        <v>84351236</v>
      </c>
      <c r="O1067">
        <f t="shared" si="279"/>
        <v>0.430592735444125</v>
      </c>
    </row>
    <row r="1068" ht="13.85" spans="1:15">
      <c r="A1068" s="43">
        <v>39583</v>
      </c>
      <c r="B1068" s="11">
        <v>21058200</v>
      </c>
      <c r="C1068" s="11">
        <v>2165601</v>
      </c>
      <c r="D1068" s="11">
        <v>40</v>
      </c>
      <c r="E1068">
        <f t="shared" si="277"/>
        <v>40</v>
      </c>
      <c r="F1068">
        <f t="shared" si="270"/>
        <v>10529100</v>
      </c>
      <c r="G1068">
        <f t="shared" si="271"/>
        <v>1052.91</v>
      </c>
      <c r="H1068">
        <f t="shared" si="275"/>
        <v>40000000</v>
      </c>
      <c r="I1068">
        <f t="shared" si="274"/>
        <v>19200000</v>
      </c>
      <c r="K1068">
        <f t="shared" si="276"/>
        <v>31901522</v>
      </c>
      <c r="M1068">
        <f t="shared" si="272"/>
        <v>23223801</v>
      </c>
      <c r="N1068">
        <f t="shared" si="278"/>
        <v>58211456</v>
      </c>
      <c r="O1068">
        <f t="shared" si="279"/>
        <v>0</v>
      </c>
    </row>
    <row r="1069" ht="13.85" spans="1:15">
      <c r="A1069" s="43">
        <v>39462</v>
      </c>
      <c r="B1069" s="11">
        <v>31901522</v>
      </c>
      <c r="C1069" s="11">
        <v>3086133</v>
      </c>
      <c r="D1069" s="11">
        <v>110</v>
      </c>
      <c r="E1069">
        <f t="shared" si="277"/>
        <v>110</v>
      </c>
      <c r="F1069">
        <f t="shared" si="270"/>
        <v>15950761</v>
      </c>
      <c r="G1069">
        <f t="shared" si="271"/>
        <v>1595.0761</v>
      </c>
      <c r="H1069">
        <f t="shared" si="275"/>
        <v>110000000</v>
      </c>
      <c r="I1069">
        <f t="shared" si="274"/>
        <v>52800000</v>
      </c>
      <c r="K1069">
        <f t="shared" si="276"/>
        <v>190378090</v>
      </c>
      <c r="M1069">
        <f t="shared" si="272"/>
        <v>34987655</v>
      </c>
      <c r="N1069">
        <f t="shared" si="278"/>
        <v>244596642</v>
      </c>
      <c r="O1069">
        <f t="shared" si="279"/>
        <v>0.325932291021423</v>
      </c>
    </row>
    <row r="1070" ht="13.9" spans="1:15">
      <c r="A1070" s="42" t="s">
        <v>755</v>
      </c>
      <c r="B1070" s="11">
        <v>28070122</v>
      </c>
      <c r="C1070" s="11">
        <v>2611097</v>
      </c>
      <c r="D1070" s="11">
        <v>100</v>
      </c>
      <c r="E1070">
        <f t="shared" si="277"/>
        <v>100</v>
      </c>
      <c r="F1070">
        <f t="shared" si="270"/>
        <v>14035061</v>
      </c>
      <c r="G1070">
        <f t="shared" si="271"/>
        <v>1403.5061</v>
      </c>
      <c r="H1070">
        <f t="shared" si="275"/>
        <v>100000000</v>
      </c>
      <c r="I1070">
        <f t="shared" si="274"/>
        <v>48000000</v>
      </c>
      <c r="K1070">
        <f t="shared" si="276"/>
        <v>162307968</v>
      </c>
      <c r="M1070">
        <f t="shared" si="272"/>
        <v>30681219</v>
      </c>
      <c r="N1070">
        <f t="shared" si="278"/>
        <v>209608987</v>
      </c>
      <c r="O1070">
        <f t="shared" si="279"/>
        <v>0.345052179480685</v>
      </c>
    </row>
    <row r="1071" ht="13.9" spans="1:15">
      <c r="A1071" s="42" t="s">
        <v>756</v>
      </c>
      <c r="B1071" s="11">
        <v>26358258</v>
      </c>
      <c r="C1071" s="11">
        <v>2622866</v>
      </c>
      <c r="D1071" s="11">
        <v>90</v>
      </c>
      <c r="E1071">
        <f t="shared" si="277"/>
        <v>90</v>
      </c>
      <c r="F1071">
        <f t="shared" si="270"/>
        <v>13179129</v>
      </c>
      <c r="G1071">
        <f t="shared" si="271"/>
        <v>1317.9129</v>
      </c>
      <c r="H1071">
        <f t="shared" si="275"/>
        <v>90000000</v>
      </c>
      <c r="I1071">
        <f t="shared" si="274"/>
        <v>43200000</v>
      </c>
      <c r="K1071">
        <f t="shared" si="276"/>
        <v>135949710</v>
      </c>
      <c r="M1071">
        <f t="shared" si="272"/>
        <v>28981124</v>
      </c>
      <c r="N1071">
        <f t="shared" si="278"/>
        <v>178927768</v>
      </c>
      <c r="O1071">
        <f t="shared" si="279"/>
        <v>0.404291456783811</v>
      </c>
    </row>
    <row r="1072" ht="13.9" spans="1:15">
      <c r="A1072" s="42" t="s">
        <v>757</v>
      </c>
      <c r="B1072" s="11">
        <v>22467226</v>
      </c>
      <c r="C1072" s="11">
        <v>2267405</v>
      </c>
      <c r="D1072" s="11">
        <v>80</v>
      </c>
      <c r="E1072">
        <f t="shared" si="277"/>
        <v>80</v>
      </c>
      <c r="F1072">
        <f t="shared" si="270"/>
        <v>11233613</v>
      </c>
      <c r="G1072">
        <f t="shared" si="271"/>
        <v>1123.3613</v>
      </c>
      <c r="H1072">
        <f t="shared" si="275"/>
        <v>80000000</v>
      </c>
      <c r="I1072">
        <f t="shared" si="274"/>
        <v>38400000</v>
      </c>
      <c r="K1072">
        <f t="shared" si="276"/>
        <v>113482484</v>
      </c>
      <c r="M1072">
        <f t="shared" si="272"/>
        <v>24734631</v>
      </c>
      <c r="N1072">
        <f t="shared" si="278"/>
        <v>149946644</v>
      </c>
      <c r="O1072">
        <f t="shared" si="279"/>
        <v>0.376697450507888</v>
      </c>
    </row>
    <row r="1073" ht="13.9" spans="1:15">
      <c r="A1073" s="42" t="s">
        <v>758</v>
      </c>
      <c r="B1073" s="11">
        <v>24064320</v>
      </c>
      <c r="C1073" s="11">
        <v>2482183</v>
      </c>
      <c r="D1073" s="11">
        <v>70</v>
      </c>
      <c r="E1073">
        <f t="shared" si="277"/>
        <v>70</v>
      </c>
      <c r="F1073">
        <f t="shared" si="270"/>
        <v>12032160</v>
      </c>
      <c r="G1073">
        <f t="shared" si="271"/>
        <v>1203.216</v>
      </c>
      <c r="H1073">
        <f t="shared" si="275"/>
        <v>70000000</v>
      </c>
      <c r="I1073">
        <f t="shared" si="274"/>
        <v>33600000</v>
      </c>
      <c r="K1073">
        <f t="shared" si="276"/>
        <v>89418164</v>
      </c>
      <c r="M1073">
        <f t="shared" si="272"/>
        <v>26546503</v>
      </c>
      <c r="N1073">
        <f t="shared" si="278"/>
        <v>125212013</v>
      </c>
      <c r="O1073">
        <f t="shared" si="279"/>
        <v>0.426804974241253</v>
      </c>
    </row>
    <row r="1074" ht="13.9" spans="1:15">
      <c r="A1074" s="42" t="s">
        <v>759</v>
      </c>
      <c r="B1074" s="11">
        <v>21243282</v>
      </c>
      <c r="C1074" s="11">
        <v>2186623</v>
      </c>
      <c r="D1074" s="11">
        <v>60</v>
      </c>
      <c r="E1074">
        <f t="shared" si="277"/>
        <v>60</v>
      </c>
      <c r="F1074">
        <f t="shared" si="270"/>
        <v>10621641</v>
      </c>
      <c r="G1074">
        <f t="shared" si="271"/>
        <v>1062.1641</v>
      </c>
      <c r="H1074">
        <f t="shared" si="275"/>
        <v>60000000</v>
      </c>
      <c r="I1074">
        <f t="shared" si="274"/>
        <v>28800000</v>
      </c>
      <c r="K1074">
        <f t="shared" si="276"/>
        <v>68174882</v>
      </c>
      <c r="M1074">
        <f t="shared" si="272"/>
        <v>23429905</v>
      </c>
      <c r="N1074">
        <f t="shared" si="278"/>
        <v>98665510</v>
      </c>
      <c r="O1074">
        <f t="shared" si="279"/>
        <v>0.391482974699043</v>
      </c>
    </row>
    <row r="1075" ht="13.85" spans="1:15">
      <c r="A1075" s="43">
        <v>39401</v>
      </c>
      <c r="B1075" s="11">
        <v>23136218</v>
      </c>
      <c r="C1075" s="11">
        <v>2407677</v>
      </c>
      <c r="D1075" s="11">
        <v>50</v>
      </c>
      <c r="E1075">
        <f t="shared" si="277"/>
        <v>50</v>
      </c>
      <c r="F1075">
        <f t="shared" si="270"/>
        <v>11568109</v>
      </c>
      <c r="G1075">
        <f t="shared" si="271"/>
        <v>1156.8109</v>
      </c>
      <c r="H1075">
        <f t="shared" si="275"/>
        <v>50000000</v>
      </c>
      <c r="I1075">
        <f t="shared" si="274"/>
        <v>24000000</v>
      </c>
      <c r="K1075">
        <f t="shared" si="276"/>
        <v>45038664</v>
      </c>
      <c r="M1075">
        <f t="shared" si="272"/>
        <v>25543895</v>
      </c>
      <c r="N1075">
        <f t="shared" si="278"/>
        <v>75235605</v>
      </c>
      <c r="O1075">
        <f t="shared" si="279"/>
        <v>0.44052824623062</v>
      </c>
    </row>
    <row r="1076" ht="13.85" spans="1:15">
      <c r="A1076" s="43">
        <v>39309</v>
      </c>
      <c r="B1076" s="11">
        <v>20566096</v>
      </c>
      <c r="C1076" s="11">
        <v>2133924</v>
      </c>
      <c r="D1076" s="11">
        <v>40</v>
      </c>
      <c r="E1076">
        <f t="shared" si="277"/>
        <v>40</v>
      </c>
      <c r="F1076">
        <f t="shared" si="270"/>
        <v>10283048</v>
      </c>
      <c r="G1076">
        <f t="shared" si="271"/>
        <v>1028.3048</v>
      </c>
      <c r="H1076">
        <f t="shared" si="275"/>
        <v>40000000</v>
      </c>
      <c r="I1076">
        <f t="shared" si="274"/>
        <v>19200000</v>
      </c>
      <c r="K1076">
        <f t="shared" si="276"/>
        <v>24472568</v>
      </c>
      <c r="M1076">
        <f t="shared" si="272"/>
        <v>22700020</v>
      </c>
      <c r="N1076">
        <f t="shared" si="278"/>
        <v>49691710</v>
      </c>
      <c r="O1076">
        <f t="shared" si="279"/>
        <v>0</v>
      </c>
    </row>
    <row r="1077" ht="13.85" spans="1:15">
      <c r="A1077" s="43">
        <v>39187</v>
      </c>
      <c r="B1077" s="11">
        <v>24472568</v>
      </c>
      <c r="C1077" s="11">
        <v>2519122</v>
      </c>
      <c r="D1077" s="11">
        <v>70</v>
      </c>
      <c r="E1077">
        <f t="shared" si="277"/>
        <v>70</v>
      </c>
      <c r="F1077">
        <f t="shared" si="270"/>
        <v>12236284</v>
      </c>
      <c r="G1077">
        <f t="shared" si="271"/>
        <v>1223.6284</v>
      </c>
      <c r="H1077">
        <f t="shared" si="275"/>
        <v>70000000</v>
      </c>
      <c r="I1077">
        <f t="shared" si="274"/>
        <v>33600000</v>
      </c>
      <c r="K1077">
        <f t="shared" si="276"/>
        <v>93079038</v>
      </c>
      <c r="M1077">
        <f t="shared" si="272"/>
        <v>26991690</v>
      </c>
      <c r="N1077">
        <f t="shared" si="278"/>
        <v>129600580</v>
      </c>
      <c r="O1077">
        <f t="shared" si="279"/>
        <v>0.412485983726273</v>
      </c>
    </row>
    <row r="1078" ht="13.85" spans="1:15">
      <c r="A1078" s="43">
        <v>39097</v>
      </c>
      <c r="B1078" s="11">
        <v>21975838</v>
      </c>
      <c r="C1078" s="11">
        <v>2267410</v>
      </c>
      <c r="D1078" s="11">
        <v>60</v>
      </c>
      <c r="E1078">
        <f t="shared" si="277"/>
        <v>60</v>
      </c>
      <c r="F1078">
        <f t="shared" si="270"/>
        <v>10987919</v>
      </c>
      <c r="G1078">
        <f t="shared" si="271"/>
        <v>1098.7919</v>
      </c>
      <c r="H1078">
        <f t="shared" si="275"/>
        <v>60000000</v>
      </c>
      <c r="I1078">
        <f t="shared" si="274"/>
        <v>28800000</v>
      </c>
      <c r="K1078">
        <f t="shared" si="276"/>
        <v>71103200</v>
      </c>
      <c r="M1078">
        <f t="shared" si="272"/>
        <v>24243248</v>
      </c>
      <c r="N1078">
        <f t="shared" si="278"/>
        <v>102608890</v>
      </c>
      <c r="O1078">
        <f t="shared" si="279"/>
        <v>0.385407842432941</v>
      </c>
    </row>
    <row r="1079" ht="13.9" spans="1:15">
      <c r="A1079" s="42" t="s">
        <v>760</v>
      </c>
      <c r="B1079" s="11">
        <v>23500392</v>
      </c>
      <c r="C1079" s="11">
        <v>2446148</v>
      </c>
      <c r="D1079" s="11">
        <v>50</v>
      </c>
      <c r="E1079">
        <f t="shared" si="277"/>
        <v>50</v>
      </c>
      <c r="F1079">
        <f t="shared" si="270"/>
        <v>11750196</v>
      </c>
      <c r="G1079">
        <f t="shared" si="271"/>
        <v>1175.0196</v>
      </c>
      <c r="H1079">
        <f t="shared" si="275"/>
        <v>50000000</v>
      </c>
      <c r="I1079">
        <f t="shared" si="274"/>
        <v>24000000</v>
      </c>
      <c r="K1079">
        <f t="shared" si="276"/>
        <v>47602808</v>
      </c>
      <c r="M1079">
        <f t="shared" si="272"/>
        <v>25946540</v>
      </c>
      <c r="N1079">
        <f t="shared" si="278"/>
        <v>78365642</v>
      </c>
      <c r="O1079">
        <f t="shared" si="279"/>
        <v>0.434767429641478</v>
      </c>
    </row>
    <row r="1080" ht="13.9" spans="1:15">
      <c r="A1080" s="42" t="s">
        <v>761</v>
      </c>
      <c r="B1080" s="11">
        <v>20860316</v>
      </c>
      <c r="C1080" s="11">
        <v>2140487</v>
      </c>
      <c r="D1080" s="11">
        <v>40</v>
      </c>
      <c r="E1080">
        <f t="shared" si="277"/>
        <v>40</v>
      </c>
      <c r="F1080">
        <f t="shared" si="270"/>
        <v>10430158</v>
      </c>
      <c r="G1080">
        <f t="shared" si="271"/>
        <v>1043.0158</v>
      </c>
      <c r="H1080">
        <f t="shared" si="275"/>
        <v>40000000</v>
      </c>
      <c r="I1080">
        <f t="shared" si="274"/>
        <v>19200000</v>
      </c>
      <c r="K1080">
        <f t="shared" si="276"/>
        <v>26742492</v>
      </c>
      <c r="M1080">
        <f t="shared" si="272"/>
        <v>23000803</v>
      </c>
      <c r="N1080">
        <f t="shared" si="278"/>
        <v>52419102</v>
      </c>
      <c r="O1080">
        <f t="shared" si="279"/>
        <v>0</v>
      </c>
    </row>
    <row r="1081" ht="13.9" spans="1:15">
      <c r="A1081" s="42" t="s">
        <v>762</v>
      </c>
      <c r="B1081" s="11">
        <v>26742492</v>
      </c>
      <c r="C1081" s="11">
        <v>2675807</v>
      </c>
      <c r="D1081" s="11">
        <v>80</v>
      </c>
      <c r="E1081">
        <f t="shared" si="277"/>
        <v>80</v>
      </c>
      <c r="F1081">
        <f t="shared" si="270"/>
        <v>13371246</v>
      </c>
      <c r="G1081">
        <f t="shared" si="271"/>
        <v>1337.1246</v>
      </c>
      <c r="H1081">
        <f t="shared" si="275"/>
        <v>80000000</v>
      </c>
      <c r="I1081">
        <f t="shared" si="274"/>
        <v>38400000</v>
      </c>
      <c r="K1081">
        <f t="shared" si="276"/>
        <v>136091356</v>
      </c>
      <c r="M1081">
        <f t="shared" si="272"/>
        <v>29418299</v>
      </c>
      <c r="N1081">
        <f t="shared" si="278"/>
        <v>178813974</v>
      </c>
      <c r="O1081">
        <f t="shared" si="279"/>
        <v>0.386115666739707</v>
      </c>
    </row>
    <row r="1082" ht="13.9" spans="1:15">
      <c r="A1082" s="42" t="s">
        <v>763</v>
      </c>
      <c r="B1082" s="11">
        <v>23542344</v>
      </c>
      <c r="C1082" s="11">
        <v>2356631</v>
      </c>
      <c r="D1082" s="11">
        <v>70</v>
      </c>
      <c r="E1082">
        <f t="shared" si="277"/>
        <v>70</v>
      </c>
      <c r="F1082">
        <f t="shared" si="270"/>
        <v>11771172</v>
      </c>
      <c r="G1082">
        <f t="shared" si="271"/>
        <v>1177.1172</v>
      </c>
      <c r="H1082">
        <f t="shared" si="275"/>
        <v>70000000</v>
      </c>
      <c r="I1082">
        <f t="shared" si="274"/>
        <v>33600000</v>
      </c>
      <c r="K1082">
        <f t="shared" si="276"/>
        <v>112549012</v>
      </c>
      <c r="M1082">
        <f t="shared" si="272"/>
        <v>25898975</v>
      </c>
      <c r="N1082">
        <f t="shared" si="278"/>
        <v>149395675</v>
      </c>
      <c r="O1082">
        <f t="shared" si="279"/>
        <v>0.359684192962369</v>
      </c>
    </row>
    <row r="1083" ht="13.9" spans="1:15">
      <c r="A1083" s="42" t="s">
        <v>764</v>
      </c>
      <c r="B1083" s="11">
        <v>25204170</v>
      </c>
      <c r="C1083" s="11">
        <v>2597997</v>
      </c>
      <c r="D1083" s="11">
        <v>60</v>
      </c>
      <c r="E1083">
        <f t="shared" si="277"/>
        <v>60</v>
      </c>
      <c r="F1083">
        <f t="shared" si="270"/>
        <v>12602085</v>
      </c>
      <c r="G1083">
        <f t="shared" si="271"/>
        <v>1260.2085</v>
      </c>
      <c r="H1083">
        <f t="shared" si="275"/>
        <v>60000000</v>
      </c>
      <c r="I1083">
        <f t="shared" si="274"/>
        <v>28800000</v>
      </c>
      <c r="K1083">
        <f t="shared" si="276"/>
        <v>87344842</v>
      </c>
      <c r="M1083">
        <f t="shared" si="272"/>
        <v>27802167</v>
      </c>
      <c r="N1083">
        <f t="shared" si="278"/>
        <v>123496700</v>
      </c>
      <c r="O1083">
        <f t="shared" si="279"/>
        <v>0.405119265288664</v>
      </c>
    </row>
    <row r="1084" ht="13.85" spans="1:15">
      <c r="A1084" s="43">
        <v>39005</v>
      </c>
      <c r="B1084" s="11">
        <v>22393990</v>
      </c>
      <c r="C1084" s="11">
        <v>2290099</v>
      </c>
      <c r="D1084" s="11">
        <v>50</v>
      </c>
      <c r="E1084">
        <f t="shared" si="277"/>
        <v>50</v>
      </c>
      <c r="F1084">
        <f t="shared" si="270"/>
        <v>11196995</v>
      </c>
      <c r="G1084">
        <f t="shared" si="271"/>
        <v>1119.6995</v>
      </c>
      <c r="H1084">
        <f t="shared" si="275"/>
        <v>50000000</v>
      </c>
      <c r="I1084">
        <f t="shared" si="274"/>
        <v>24000000</v>
      </c>
      <c r="K1084">
        <f t="shared" si="276"/>
        <v>64950852</v>
      </c>
      <c r="M1084">
        <f t="shared" si="272"/>
        <v>24684089</v>
      </c>
      <c r="N1084">
        <f t="shared" si="278"/>
        <v>95694533</v>
      </c>
      <c r="O1084">
        <f t="shared" si="279"/>
        <v>0.361611379360459</v>
      </c>
    </row>
    <row r="1085" ht="13.85" spans="1:15">
      <c r="A1085" s="43">
        <v>38883</v>
      </c>
      <c r="B1085" s="11">
        <v>25094816</v>
      </c>
      <c r="C1085" s="11">
        <v>2559181</v>
      </c>
      <c r="D1085" s="11">
        <v>40</v>
      </c>
      <c r="E1085">
        <f t="shared" ref="E1085:E1129" si="280">IF(RIGHT(D1085,1)="B",VALUE(LEFT(D1085,LEN(D1085)-1))*1000,D1085)</f>
        <v>40</v>
      </c>
      <c r="F1085">
        <f t="shared" si="270"/>
        <v>12547408</v>
      </c>
      <c r="G1085">
        <f t="shared" si="271"/>
        <v>1254.7408</v>
      </c>
      <c r="H1085">
        <f t="shared" si="275"/>
        <v>40000000</v>
      </c>
      <c r="I1085">
        <f t="shared" si="274"/>
        <v>19200000</v>
      </c>
      <c r="K1085">
        <f t="shared" si="276"/>
        <v>39856036</v>
      </c>
      <c r="M1085">
        <f t="shared" si="272"/>
        <v>27653997</v>
      </c>
      <c r="N1085">
        <f t="shared" si="278"/>
        <v>71010444</v>
      </c>
      <c r="O1085">
        <f t="shared" si="279"/>
        <v>0</v>
      </c>
    </row>
    <row r="1086" ht="13.85" spans="1:15">
      <c r="A1086" s="43">
        <v>38791</v>
      </c>
      <c r="B1086" s="11">
        <v>39856036</v>
      </c>
      <c r="C1086" s="11">
        <v>3500411</v>
      </c>
      <c r="D1086" s="11">
        <v>188</v>
      </c>
      <c r="E1086">
        <f t="shared" si="280"/>
        <v>188</v>
      </c>
      <c r="F1086">
        <f t="shared" si="270"/>
        <v>19928018</v>
      </c>
      <c r="G1086">
        <f t="shared" si="271"/>
        <v>1992.8018</v>
      </c>
      <c r="H1086">
        <f t="shared" si="275"/>
        <v>188000000</v>
      </c>
      <c r="I1086">
        <f t="shared" si="274"/>
        <v>90240000</v>
      </c>
      <c r="K1086">
        <f t="shared" si="276"/>
        <v>370041290</v>
      </c>
      <c r="M1086">
        <f t="shared" si="272"/>
        <v>43356447</v>
      </c>
      <c r="N1086">
        <f t="shared" si="278"/>
        <v>449412050</v>
      </c>
      <c r="O1086">
        <f t="shared" si="279"/>
        <v>0.397628766579424</v>
      </c>
    </row>
    <row r="1087" ht="13.9" spans="1:15">
      <c r="A1087" s="42" t="s">
        <v>765</v>
      </c>
      <c r="B1087" s="11">
        <v>39170600</v>
      </c>
      <c r="C1087" s="11">
        <v>3582846</v>
      </c>
      <c r="D1087" s="11">
        <v>171</v>
      </c>
      <c r="E1087">
        <f t="shared" si="280"/>
        <v>171</v>
      </c>
      <c r="F1087">
        <f t="shared" si="270"/>
        <v>19585300</v>
      </c>
      <c r="G1087">
        <f t="shared" si="271"/>
        <v>1958.53</v>
      </c>
      <c r="H1087">
        <f t="shared" si="275"/>
        <v>171000000</v>
      </c>
      <c r="I1087">
        <f t="shared" si="274"/>
        <v>82080000</v>
      </c>
      <c r="K1087">
        <f t="shared" si="276"/>
        <v>330870690</v>
      </c>
      <c r="M1087">
        <f t="shared" si="272"/>
        <v>42753446</v>
      </c>
      <c r="N1087">
        <f t="shared" si="278"/>
        <v>406055603</v>
      </c>
      <c r="O1087">
        <f t="shared" si="279"/>
        <v>0.471115676191222</v>
      </c>
    </row>
    <row r="1088" ht="13.9" spans="1:15">
      <c r="A1088" s="42" t="s">
        <v>766</v>
      </c>
      <c r="B1088" s="11">
        <v>33084166</v>
      </c>
      <c r="C1088" s="11">
        <v>3000390</v>
      </c>
      <c r="D1088" s="11">
        <v>154</v>
      </c>
      <c r="E1088">
        <f t="shared" si="280"/>
        <v>154</v>
      </c>
      <c r="F1088">
        <f t="shared" si="270"/>
        <v>16542083</v>
      </c>
      <c r="G1088">
        <f t="shared" si="271"/>
        <v>1654.2083</v>
      </c>
      <c r="H1088">
        <f t="shared" si="275"/>
        <v>154000000</v>
      </c>
      <c r="I1088">
        <f t="shared" si="274"/>
        <v>73920000</v>
      </c>
      <c r="K1088">
        <f t="shared" si="276"/>
        <v>297786524</v>
      </c>
      <c r="M1088">
        <f t="shared" si="272"/>
        <v>36084556</v>
      </c>
      <c r="N1088">
        <f t="shared" si="278"/>
        <v>363302157</v>
      </c>
      <c r="O1088">
        <f t="shared" si="279"/>
        <v>0.416148983833106</v>
      </c>
    </row>
    <row r="1089" ht="13.9" spans="1:15">
      <c r="A1089" s="42" t="s">
        <v>767</v>
      </c>
      <c r="B1089" s="11">
        <v>35166946</v>
      </c>
      <c r="C1089" s="11">
        <v>3280823</v>
      </c>
      <c r="D1089" s="11">
        <v>138</v>
      </c>
      <c r="E1089">
        <f t="shared" si="280"/>
        <v>138</v>
      </c>
      <c r="F1089">
        <f t="shared" si="270"/>
        <v>17583473</v>
      </c>
      <c r="G1089">
        <f t="shared" si="271"/>
        <v>1758.3473</v>
      </c>
      <c r="H1089">
        <f t="shared" si="275"/>
        <v>138000000</v>
      </c>
      <c r="I1089">
        <f t="shared" si="274"/>
        <v>66240000</v>
      </c>
      <c r="K1089">
        <f t="shared" si="276"/>
        <v>262619578</v>
      </c>
      <c r="M1089">
        <f t="shared" si="272"/>
        <v>38447769</v>
      </c>
      <c r="N1089">
        <f t="shared" si="278"/>
        <v>327217601</v>
      </c>
      <c r="O1089">
        <f t="shared" si="279"/>
        <v>0.508055595029483</v>
      </c>
    </row>
    <row r="1090" ht="13.9" spans="1:15">
      <c r="A1090" s="42" t="s">
        <v>768</v>
      </c>
      <c r="B1090" s="11">
        <v>30597828</v>
      </c>
      <c r="C1090" s="11">
        <v>2863077</v>
      </c>
      <c r="D1090" s="11">
        <v>121</v>
      </c>
      <c r="E1090">
        <f t="shared" si="280"/>
        <v>121</v>
      </c>
      <c r="F1090">
        <f t="shared" si="270"/>
        <v>15298914</v>
      </c>
      <c r="G1090">
        <f t="shared" si="271"/>
        <v>1529.8914</v>
      </c>
      <c r="H1090">
        <f t="shared" si="275"/>
        <v>121000000</v>
      </c>
      <c r="I1090">
        <f t="shared" si="274"/>
        <v>58080000</v>
      </c>
      <c r="K1090">
        <f t="shared" si="276"/>
        <v>232021750</v>
      </c>
      <c r="M1090">
        <f t="shared" si="272"/>
        <v>33460905</v>
      </c>
      <c r="N1090">
        <f t="shared" si="278"/>
        <v>288769832</v>
      </c>
      <c r="O1090">
        <f t="shared" si="279"/>
        <v>0.3184254452268</v>
      </c>
    </row>
    <row r="1091" ht="13.9" spans="1:15">
      <c r="A1091" s="42" t="s">
        <v>769</v>
      </c>
      <c r="B1091" s="11">
        <v>31492778</v>
      </c>
      <c r="C1091" s="11">
        <v>3052200</v>
      </c>
      <c r="D1091" s="11">
        <v>110</v>
      </c>
      <c r="E1091">
        <f t="shared" si="280"/>
        <v>110</v>
      </c>
      <c r="F1091">
        <f t="shared" si="270"/>
        <v>15746389</v>
      </c>
      <c r="G1091">
        <f t="shared" si="271"/>
        <v>1574.6389</v>
      </c>
      <c r="H1091">
        <f t="shared" si="275"/>
        <v>110000000</v>
      </c>
      <c r="I1091">
        <f t="shared" si="274"/>
        <v>52800000</v>
      </c>
      <c r="K1091">
        <f t="shared" si="276"/>
        <v>200528972</v>
      </c>
      <c r="M1091">
        <f t="shared" si="272"/>
        <v>34544978</v>
      </c>
      <c r="N1091">
        <f t="shared" si="278"/>
        <v>255308927</v>
      </c>
      <c r="O1091">
        <f t="shared" si="279"/>
        <v>0.326987155715632</v>
      </c>
    </row>
    <row r="1092" ht="13.9" spans="1:15">
      <c r="A1092" s="42" t="s">
        <v>770</v>
      </c>
      <c r="B1092" s="11">
        <v>27903836</v>
      </c>
      <c r="C1092" s="11">
        <v>2678405</v>
      </c>
      <c r="D1092" s="11">
        <v>100</v>
      </c>
      <c r="E1092">
        <f t="shared" si="280"/>
        <v>100</v>
      </c>
      <c r="F1092">
        <f t="shared" ref="F1092:F1155" si="281">B1092/2</f>
        <v>13951918</v>
      </c>
      <c r="G1092">
        <f t="shared" ref="G1092:G1155" si="282">F1092/10000</f>
        <v>1395.1918</v>
      </c>
      <c r="H1092">
        <f t="shared" si="275"/>
        <v>100000000</v>
      </c>
      <c r="I1092">
        <f t="shared" si="274"/>
        <v>48000000</v>
      </c>
      <c r="K1092">
        <f t="shared" si="276"/>
        <v>172625136</v>
      </c>
      <c r="M1092">
        <f t="shared" si="272"/>
        <v>30582241</v>
      </c>
      <c r="N1092">
        <f t="shared" si="278"/>
        <v>220763949</v>
      </c>
      <c r="O1092">
        <f t="shared" si="279"/>
        <v>0.329356810940759</v>
      </c>
    </row>
    <row r="1093" ht="13.85" spans="1:15">
      <c r="A1093" s="43">
        <v>38610</v>
      </c>
      <c r="B1093" s="11">
        <v>27583482</v>
      </c>
      <c r="C1093" s="11">
        <v>2778726</v>
      </c>
      <c r="D1093" s="11">
        <v>90</v>
      </c>
      <c r="E1093">
        <f t="shared" si="280"/>
        <v>90</v>
      </c>
      <c r="F1093">
        <f t="shared" si="281"/>
        <v>13791741</v>
      </c>
      <c r="G1093">
        <f t="shared" si="282"/>
        <v>1379.1741</v>
      </c>
      <c r="H1093">
        <f t="shared" si="275"/>
        <v>90000000</v>
      </c>
      <c r="I1093">
        <f t="shared" si="274"/>
        <v>43200000</v>
      </c>
      <c r="K1093">
        <f t="shared" si="276"/>
        <v>145041654</v>
      </c>
      <c r="M1093">
        <f t="shared" si="272"/>
        <v>30362208</v>
      </c>
      <c r="N1093">
        <f t="shared" si="278"/>
        <v>190181708</v>
      </c>
      <c r="O1093">
        <f t="shared" si="279"/>
        <v>0.37382617180206</v>
      </c>
    </row>
    <row r="1094" ht="13.85" spans="1:15">
      <c r="A1094" s="43">
        <v>38518</v>
      </c>
      <c r="B1094" s="11">
        <v>24320232</v>
      </c>
      <c r="C1094" s="11">
        <v>2430169</v>
      </c>
      <c r="D1094" s="11">
        <v>80</v>
      </c>
      <c r="E1094">
        <f t="shared" si="280"/>
        <v>80</v>
      </c>
      <c r="F1094">
        <f t="shared" si="281"/>
        <v>12160116</v>
      </c>
      <c r="G1094">
        <f t="shared" si="282"/>
        <v>1216.0116</v>
      </c>
      <c r="H1094">
        <f t="shared" si="275"/>
        <v>80000000</v>
      </c>
      <c r="I1094">
        <f t="shared" si="274"/>
        <v>38400000</v>
      </c>
      <c r="K1094">
        <f t="shared" si="276"/>
        <v>120721422</v>
      </c>
      <c r="M1094">
        <f t="shared" si="272"/>
        <v>26750401</v>
      </c>
      <c r="N1094">
        <f t="shared" si="278"/>
        <v>159819500</v>
      </c>
      <c r="O1094">
        <f t="shared" si="279"/>
        <v>0.341326715781988</v>
      </c>
    </row>
    <row r="1095" ht="13.85" spans="1:15">
      <c r="A1095" s="43">
        <v>38398</v>
      </c>
      <c r="B1095" s="11">
        <v>26577550</v>
      </c>
      <c r="C1095" s="11">
        <v>2719893</v>
      </c>
      <c r="D1095" s="11">
        <v>70</v>
      </c>
      <c r="E1095">
        <f t="shared" si="280"/>
        <v>70</v>
      </c>
      <c r="F1095">
        <f t="shared" si="281"/>
        <v>13288775</v>
      </c>
      <c r="G1095">
        <f t="shared" si="282"/>
        <v>1328.8775</v>
      </c>
      <c r="H1095">
        <f t="shared" si="275"/>
        <v>70000000</v>
      </c>
      <c r="I1095">
        <f t="shared" si="274"/>
        <v>33600000</v>
      </c>
      <c r="K1095">
        <f t="shared" si="276"/>
        <v>94143872</v>
      </c>
      <c r="M1095">
        <f t="shared" ref="M1095:M1158" si="283">B1095+C1095</f>
        <v>29297443</v>
      </c>
      <c r="N1095">
        <f t="shared" si="278"/>
        <v>133069099</v>
      </c>
      <c r="O1095">
        <f t="shared" si="279"/>
        <v>0.40218707723854</v>
      </c>
    </row>
    <row r="1096" ht="13.9" spans="1:15">
      <c r="A1096" s="42" t="s">
        <v>771</v>
      </c>
      <c r="B1096" s="11">
        <v>22565040</v>
      </c>
      <c r="C1096" s="11">
        <v>2299011</v>
      </c>
      <c r="D1096" s="11">
        <v>60</v>
      </c>
      <c r="E1096">
        <f t="shared" si="280"/>
        <v>60</v>
      </c>
      <c r="F1096">
        <f t="shared" si="281"/>
        <v>11282520</v>
      </c>
      <c r="G1096">
        <f t="shared" si="282"/>
        <v>1128.252</v>
      </c>
      <c r="H1096">
        <f t="shared" si="275"/>
        <v>60000000</v>
      </c>
      <c r="I1096">
        <f t="shared" si="274"/>
        <v>28800000</v>
      </c>
      <c r="K1096">
        <f t="shared" si="276"/>
        <v>71578832</v>
      </c>
      <c r="M1096">
        <f t="shared" si="283"/>
        <v>24864051</v>
      </c>
      <c r="N1096">
        <f t="shared" si="278"/>
        <v>103771656</v>
      </c>
      <c r="O1096">
        <f t="shared" si="279"/>
        <v>0.367829905446748</v>
      </c>
    </row>
    <row r="1097" ht="13.9" spans="1:15">
      <c r="A1097" s="42" t="s">
        <v>772</v>
      </c>
      <c r="B1097" s="11">
        <v>24644804</v>
      </c>
      <c r="C1097" s="11">
        <v>2541675</v>
      </c>
      <c r="D1097" s="11">
        <v>50</v>
      </c>
      <c r="E1097">
        <f t="shared" si="280"/>
        <v>50</v>
      </c>
      <c r="F1097">
        <f t="shared" si="281"/>
        <v>12322402</v>
      </c>
      <c r="G1097">
        <f t="shared" si="282"/>
        <v>1232.2402</v>
      </c>
      <c r="H1097">
        <f t="shared" si="275"/>
        <v>50000000</v>
      </c>
      <c r="I1097">
        <f t="shared" si="274"/>
        <v>24000000</v>
      </c>
      <c r="K1097">
        <f t="shared" si="276"/>
        <v>46934028</v>
      </c>
      <c r="M1097">
        <f t="shared" si="283"/>
        <v>27186479</v>
      </c>
      <c r="N1097">
        <f t="shared" si="278"/>
        <v>78907605</v>
      </c>
      <c r="O1097">
        <f t="shared" si="279"/>
        <v>0.418375538987977</v>
      </c>
    </row>
    <row r="1098" ht="13.9" spans="1:15">
      <c r="A1098" s="42" t="s">
        <v>773</v>
      </c>
      <c r="B1098" s="11">
        <v>21680554</v>
      </c>
      <c r="C1098" s="11">
        <v>2221417</v>
      </c>
      <c r="D1098" s="11">
        <v>40</v>
      </c>
      <c r="E1098">
        <f t="shared" si="280"/>
        <v>40</v>
      </c>
      <c r="F1098">
        <f t="shared" si="281"/>
        <v>10840277</v>
      </c>
      <c r="G1098">
        <f t="shared" si="282"/>
        <v>1084.0277</v>
      </c>
      <c r="H1098">
        <f t="shared" si="275"/>
        <v>40000000</v>
      </c>
      <c r="I1098">
        <f t="shared" si="274"/>
        <v>19200000</v>
      </c>
      <c r="K1098">
        <f t="shared" si="276"/>
        <v>25253474</v>
      </c>
      <c r="M1098">
        <f t="shared" si="283"/>
        <v>23901971</v>
      </c>
      <c r="N1098">
        <f t="shared" si="278"/>
        <v>51721126</v>
      </c>
      <c r="O1098">
        <f t="shared" ref="O1098:O1129" si="284">IF(H1098&gt;H1099,(H1098-H1099)/M1099,0)</f>
        <v>0</v>
      </c>
    </row>
    <row r="1099" ht="13.9" spans="1:15">
      <c r="A1099" s="42" t="s">
        <v>774</v>
      </c>
      <c r="B1099" s="11">
        <v>25253474</v>
      </c>
      <c r="C1099" s="11">
        <v>2565681</v>
      </c>
      <c r="D1099" s="11">
        <v>50</v>
      </c>
      <c r="E1099">
        <f t="shared" si="280"/>
        <v>50</v>
      </c>
      <c r="F1099">
        <f t="shared" si="281"/>
        <v>12626737</v>
      </c>
      <c r="G1099">
        <f t="shared" si="282"/>
        <v>1262.6737</v>
      </c>
      <c r="H1099">
        <f t="shared" si="275"/>
        <v>50000000</v>
      </c>
      <c r="I1099">
        <f t="shared" ref="I1099:I1162" si="285">H1099*0.48</f>
        <v>24000000</v>
      </c>
      <c r="K1099">
        <f t="shared" si="276"/>
        <v>51261182</v>
      </c>
      <c r="M1099">
        <f t="shared" si="283"/>
        <v>27819155</v>
      </c>
      <c r="N1099">
        <f t="shared" si="278"/>
        <v>84161620</v>
      </c>
      <c r="O1099">
        <f t="shared" si="284"/>
        <v>0.403944306098008</v>
      </c>
    </row>
    <row r="1100" ht="13.9" spans="1:15">
      <c r="A1100" s="42" t="s">
        <v>775</v>
      </c>
      <c r="B1100" s="11">
        <v>22473488</v>
      </c>
      <c r="C1100" s="11">
        <v>2282400</v>
      </c>
      <c r="D1100" s="11">
        <v>40</v>
      </c>
      <c r="E1100">
        <f t="shared" si="280"/>
        <v>40</v>
      </c>
      <c r="F1100">
        <f t="shared" si="281"/>
        <v>11236744</v>
      </c>
      <c r="G1100">
        <f t="shared" si="282"/>
        <v>1123.6744</v>
      </c>
      <c r="H1100">
        <f t="shared" si="275"/>
        <v>40000000</v>
      </c>
      <c r="I1100">
        <f t="shared" si="285"/>
        <v>19200000</v>
      </c>
      <c r="K1100">
        <f t="shared" si="276"/>
        <v>28787694</v>
      </c>
      <c r="M1100">
        <f t="shared" si="283"/>
        <v>24755888</v>
      </c>
      <c r="N1100">
        <f t="shared" si="278"/>
        <v>56342465</v>
      </c>
      <c r="O1100">
        <f t="shared" si="284"/>
        <v>0</v>
      </c>
    </row>
    <row r="1101" ht="13.85" spans="1:15">
      <c r="A1101" s="43">
        <v>38306</v>
      </c>
      <c r="B1101" s="11">
        <v>28787694</v>
      </c>
      <c r="C1101" s="11">
        <v>2798883</v>
      </c>
      <c r="D1101" s="11">
        <v>80</v>
      </c>
      <c r="E1101">
        <f t="shared" si="280"/>
        <v>80</v>
      </c>
      <c r="F1101">
        <f t="shared" si="281"/>
        <v>14393847</v>
      </c>
      <c r="G1101">
        <f t="shared" si="282"/>
        <v>1439.3847</v>
      </c>
      <c r="H1101">
        <f t="shared" si="275"/>
        <v>80000000</v>
      </c>
      <c r="I1101">
        <f t="shared" si="285"/>
        <v>38400000</v>
      </c>
      <c r="K1101">
        <f t="shared" si="276"/>
        <v>126775122</v>
      </c>
      <c r="M1101">
        <f t="shared" si="283"/>
        <v>31586577</v>
      </c>
      <c r="N1101">
        <f t="shared" si="278"/>
        <v>199233416</v>
      </c>
      <c r="O1101">
        <f t="shared" si="284"/>
        <v>0.356539172655841</v>
      </c>
    </row>
    <row r="1102" ht="13.85" spans="1:15">
      <c r="A1102" s="43">
        <v>38214</v>
      </c>
      <c r="B1102" s="11">
        <v>25547016</v>
      </c>
      <c r="C1102" s="11">
        <v>2500393</v>
      </c>
      <c r="D1102" s="11">
        <v>70</v>
      </c>
      <c r="E1102">
        <f t="shared" si="280"/>
        <v>70</v>
      </c>
      <c r="F1102">
        <f t="shared" si="281"/>
        <v>12773508</v>
      </c>
      <c r="G1102">
        <f t="shared" si="282"/>
        <v>1277.3508</v>
      </c>
      <c r="H1102">
        <f t="shared" si="275"/>
        <v>70000000</v>
      </c>
      <c r="I1102">
        <f t="shared" si="285"/>
        <v>33600000</v>
      </c>
      <c r="K1102">
        <f t="shared" si="276"/>
        <v>101228106</v>
      </c>
      <c r="M1102">
        <f t="shared" si="283"/>
        <v>28047409</v>
      </c>
      <c r="N1102">
        <f t="shared" si="278"/>
        <v>167646839</v>
      </c>
      <c r="O1102">
        <f t="shared" si="284"/>
        <v>0.325262634940896</v>
      </c>
    </row>
    <row r="1103" ht="13.85" spans="1:15">
      <c r="A1103" s="43">
        <v>38092</v>
      </c>
      <c r="B1103" s="11">
        <v>28025420</v>
      </c>
      <c r="C1103" s="11">
        <v>2718966</v>
      </c>
      <c r="D1103" s="11">
        <v>60</v>
      </c>
      <c r="E1103">
        <f t="shared" si="280"/>
        <v>60</v>
      </c>
      <c r="F1103">
        <f t="shared" si="281"/>
        <v>14012710</v>
      </c>
      <c r="G1103">
        <f t="shared" si="282"/>
        <v>1401.271</v>
      </c>
      <c r="H1103">
        <f t="shared" si="275"/>
        <v>60000000</v>
      </c>
      <c r="I1103">
        <f t="shared" si="285"/>
        <v>28800000</v>
      </c>
      <c r="K1103">
        <f t="shared" si="276"/>
        <v>73202686</v>
      </c>
      <c r="M1103">
        <f t="shared" si="283"/>
        <v>30744386</v>
      </c>
      <c r="N1103">
        <f t="shared" si="278"/>
        <v>139599430</v>
      </c>
      <c r="O1103">
        <f t="shared" si="284"/>
        <v>0.371235045538661</v>
      </c>
    </row>
    <row r="1104" ht="13.85" spans="1:15">
      <c r="A1104" s="43">
        <v>38001</v>
      </c>
      <c r="B1104" s="11">
        <v>24503400</v>
      </c>
      <c r="C1104" s="11">
        <v>2433712</v>
      </c>
      <c r="D1104" s="11">
        <v>50</v>
      </c>
      <c r="E1104">
        <f t="shared" si="280"/>
        <v>50</v>
      </c>
      <c r="F1104">
        <f t="shared" si="281"/>
        <v>12251700</v>
      </c>
      <c r="G1104">
        <f t="shared" si="282"/>
        <v>1225.17</v>
      </c>
      <c r="H1104">
        <f t="shared" ref="H1104:H1167" si="286">E1104*1000000</f>
        <v>50000000</v>
      </c>
      <c r="I1104">
        <f t="shared" si="285"/>
        <v>24000000</v>
      </c>
      <c r="K1104">
        <f t="shared" si="276"/>
        <v>48699286</v>
      </c>
      <c r="M1104">
        <f t="shared" si="283"/>
        <v>26937112</v>
      </c>
      <c r="N1104">
        <f t="shared" si="278"/>
        <v>108855044</v>
      </c>
      <c r="O1104">
        <f t="shared" si="284"/>
        <v>0.353039828258833</v>
      </c>
    </row>
    <row r="1105" ht="13.9" spans="1:15">
      <c r="A1105" s="42" t="s">
        <v>776</v>
      </c>
      <c r="B1105" s="11">
        <v>25740984</v>
      </c>
      <c r="C1105" s="11">
        <v>2584432</v>
      </c>
      <c r="D1105" s="11">
        <v>40</v>
      </c>
      <c r="E1105">
        <f t="shared" si="280"/>
        <v>40</v>
      </c>
      <c r="F1105">
        <f t="shared" si="281"/>
        <v>12870492</v>
      </c>
      <c r="G1105">
        <f t="shared" si="282"/>
        <v>1287.0492</v>
      </c>
      <c r="H1105">
        <f t="shared" si="286"/>
        <v>40000000</v>
      </c>
      <c r="I1105">
        <f t="shared" si="285"/>
        <v>19200000</v>
      </c>
      <c r="K1105">
        <f t="shared" ref="K1105:K1168" si="287">IF(E1105&gt;E1106,B1106+K1106,B1106)</f>
        <v>22958302</v>
      </c>
      <c r="M1105">
        <f t="shared" si="283"/>
        <v>28325416</v>
      </c>
      <c r="N1105">
        <f t="shared" si="278"/>
        <v>81917932</v>
      </c>
      <c r="O1105">
        <f t="shared" si="284"/>
        <v>0</v>
      </c>
    </row>
    <row r="1106" ht="13.9" spans="1:15">
      <c r="A1106" s="42" t="s">
        <v>777</v>
      </c>
      <c r="B1106" s="11">
        <v>22958302</v>
      </c>
      <c r="C1106" s="11">
        <v>1202876</v>
      </c>
      <c r="D1106" s="11">
        <v>40</v>
      </c>
      <c r="E1106">
        <f t="shared" si="280"/>
        <v>40</v>
      </c>
      <c r="F1106">
        <f t="shared" si="281"/>
        <v>11479151</v>
      </c>
      <c r="G1106">
        <f t="shared" si="282"/>
        <v>1147.9151</v>
      </c>
      <c r="H1106">
        <f t="shared" si="286"/>
        <v>40000000</v>
      </c>
      <c r="I1106">
        <f t="shared" si="285"/>
        <v>19200000</v>
      </c>
      <c r="K1106">
        <f t="shared" si="287"/>
        <v>26736720</v>
      </c>
      <c r="M1106">
        <f t="shared" si="283"/>
        <v>24161178</v>
      </c>
      <c r="N1106">
        <f t="shared" si="278"/>
        <v>53592516</v>
      </c>
      <c r="O1106">
        <f t="shared" si="284"/>
        <v>0</v>
      </c>
    </row>
    <row r="1107" ht="13.9" spans="1:15">
      <c r="A1107" s="42" t="s">
        <v>778</v>
      </c>
      <c r="B1107" s="11">
        <v>26736720</v>
      </c>
      <c r="C1107" s="11">
        <v>2694618</v>
      </c>
      <c r="D1107" s="11">
        <v>50</v>
      </c>
      <c r="E1107">
        <f t="shared" si="280"/>
        <v>50</v>
      </c>
      <c r="F1107">
        <f t="shared" si="281"/>
        <v>13368360</v>
      </c>
      <c r="G1107">
        <f t="shared" si="282"/>
        <v>1336.836</v>
      </c>
      <c r="H1107">
        <f t="shared" si="286"/>
        <v>50000000</v>
      </c>
      <c r="I1107">
        <f t="shared" si="285"/>
        <v>24000000</v>
      </c>
      <c r="K1107">
        <f t="shared" si="287"/>
        <v>63577986</v>
      </c>
      <c r="M1107">
        <f t="shared" si="283"/>
        <v>29431338</v>
      </c>
      <c r="N1107">
        <f t="shared" si="278"/>
        <v>98973434</v>
      </c>
      <c r="O1107">
        <f t="shared" si="284"/>
        <v>0.372983158840622</v>
      </c>
    </row>
    <row r="1108" ht="13.9" spans="1:15">
      <c r="A1108" s="42" t="s">
        <v>779</v>
      </c>
      <c r="B1108" s="11">
        <v>24374382</v>
      </c>
      <c r="C1108" s="11">
        <v>2436480</v>
      </c>
      <c r="D1108" s="11">
        <v>40</v>
      </c>
      <c r="E1108">
        <f t="shared" si="280"/>
        <v>40</v>
      </c>
      <c r="F1108">
        <f t="shared" si="281"/>
        <v>12187191</v>
      </c>
      <c r="G1108">
        <f t="shared" si="282"/>
        <v>1218.7191</v>
      </c>
      <c r="H1108">
        <f t="shared" si="286"/>
        <v>40000000</v>
      </c>
      <c r="I1108">
        <f t="shared" si="285"/>
        <v>19200000</v>
      </c>
      <c r="K1108">
        <f t="shared" si="287"/>
        <v>39203604</v>
      </c>
      <c r="M1108">
        <f t="shared" si="283"/>
        <v>26810862</v>
      </c>
      <c r="N1108">
        <f t="shared" si="278"/>
        <v>69542096</v>
      </c>
      <c r="O1108">
        <f t="shared" si="284"/>
        <v>0</v>
      </c>
    </row>
    <row r="1109" ht="13.9" spans="1:15">
      <c r="A1109" s="42" t="s">
        <v>780</v>
      </c>
      <c r="B1109" s="11">
        <v>39203604</v>
      </c>
      <c r="C1109" s="11">
        <v>3527630</v>
      </c>
      <c r="D1109" s="11">
        <v>137</v>
      </c>
      <c r="E1109">
        <f t="shared" si="280"/>
        <v>137</v>
      </c>
      <c r="F1109">
        <f t="shared" si="281"/>
        <v>19601802</v>
      </c>
      <c r="G1109">
        <f t="shared" si="282"/>
        <v>1960.1802</v>
      </c>
      <c r="H1109">
        <f t="shared" si="286"/>
        <v>137000000</v>
      </c>
      <c r="I1109">
        <f t="shared" si="285"/>
        <v>65760000</v>
      </c>
      <c r="K1109">
        <f t="shared" si="287"/>
        <v>617426434</v>
      </c>
      <c r="M1109">
        <f t="shared" si="283"/>
        <v>42731234</v>
      </c>
      <c r="N1109">
        <f t="shared" si="278"/>
        <v>703535083</v>
      </c>
      <c r="O1109">
        <f t="shared" si="284"/>
        <v>0.477720813109487</v>
      </c>
    </row>
    <row r="1110" ht="13.85" spans="1:15">
      <c r="A1110" s="43">
        <v>37940</v>
      </c>
      <c r="B1110" s="11">
        <v>34576508</v>
      </c>
      <c r="C1110" s="11">
        <v>3102403</v>
      </c>
      <c r="D1110" s="11">
        <v>119</v>
      </c>
      <c r="E1110">
        <f t="shared" si="280"/>
        <v>119</v>
      </c>
      <c r="F1110">
        <f t="shared" si="281"/>
        <v>17288254</v>
      </c>
      <c r="G1110">
        <f t="shared" si="282"/>
        <v>1728.8254</v>
      </c>
      <c r="H1110">
        <f t="shared" si="286"/>
        <v>119000000</v>
      </c>
      <c r="I1110">
        <f t="shared" si="285"/>
        <v>57120000</v>
      </c>
      <c r="K1110">
        <f t="shared" si="287"/>
        <v>582849926</v>
      </c>
      <c r="M1110">
        <f t="shared" si="283"/>
        <v>37678911</v>
      </c>
      <c r="N1110">
        <f t="shared" si="278"/>
        <v>660803849</v>
      </c>
      <c r="O1110">
        <f t="shared" si="284"/>
        <v>0.490140526642582</v>
      </c>
    </row>
    <row r="1111" ht="13.85" spans="1:15">
      <c r="A1111" s="43">
        <v>37817</v>
      </c>
      <c r="B1111" s="11">
        <v>35464016</v>
      </c>
      <c r="C1111" s="11">
        <v>3300377</v>
      </c>
      <c r="D1111" s="11">
        <v>100</v>
      </c>
      <c r="E1111">
        <f t="shared" si="280"/>
        <v>100</v>
      </c>
      <c r="F1111">
        <f t="shared" si="281"/>
        <v>17732008</v>
      </c>
      <c r="G1111">
        <f t="shared" si="282"/>
        <v>1773.2008</v>
      </c>
      <c r="H1111">
        <f t="shared" si="286"/>
        <v>100000000</v>
      </c>
      <c r="I1111">
        <f t="shared" si="285"/>
        <v>48000000</v>
      </c>
      <c r="K1111">
        <f t="shared" si="287"/>
        <v>547385910</v>
      </c>
      <c r="M1111">
        <f t="shared" si="283"/>
        <v>38764393</v>
      </c>
      <c r="N1111">
        <f t="shared" si="278"/>
        <v>623124938</v>
      </c>
      <c r="O1111">
        <f t="shared" si="284"/>
        <v>0.303005401495489</v>
      </c>
    </row>
    <row r="1112" ht="13.85" spans="1:15">
      <c r="A1112" s="43">
        <v>37726</v>
      </c>
      <c r="B1112" s="11">
        <v>30138652</v>
      </c>
      <c r="C1112" s="11">
        <v>2864060</v>
      </c>
      <c r="D1112" s="11">
        <v>90</v>
      </c>
      <c r="E1112">
        <f t="shared" si="280"/>
        <v>90</v>
      </c>
      <c r="F1112">
        <f t="shared" si="281"/>
        <v>15069326</v>
      </c>
      <c r="G1112">
        <f t="shared" si="282"/>
        <v>1506.9326</v>
      </c>
      <c r="H1112">
        <f t="shared" si="286"/>
        <v>90000000</v>
      </c>
      <c r="I1112">
        <f t="shared" si="285"/>
        <v>43200000</v>
      </c>
      <c r="K1112">
        <f t="shared" si="287"/>
        <v>517247258</v>
      </c>
      <c r="M1112">
        <f t="shared" si="283"/>
        <v>33002712</v>
      </c>
      <c r="N1112">
        <f t="shared" si="278"/>
        <v>584360545</v>
      </c>
      <c r="O1112">
        <f t="shared" si="284"/>
        <v>0.303856073344536</v>
      </c>
    </row>
    <row r="1113" ht="13.9" spans="1:15">
      <c r="A1113" s="42" t="s">
        <v>781</v>
      </c>
      <c r="B1113" s="11">
        <v>29968068</v>
      </c>
      <c r="C1113" s="11">
        <v>2942250</v>
      </c>
      <c r="D1113" s="11">
        <v>80</v>
      </c>
      <c r="E1113">
        <f t="shared" si="280"/>
        <v>80</v>
      </c>
      <c r="F1113">
        <f t="shared" si="281"/>
        <v>14984034</v>
      </c>
      <c r="G1113">
        <f t="shared" si="282"/>
        <v>1498.4034</v>
      </c>
      <c r="H1113">
        <f t="shared" si="286"/>
        <v>80000000</v>
      </c>
      <c r="I1113">
        <f t="shared" si="285"/>
        <v>38400000</v>
      </c>
      <c r="K1113">
        <f t="shared" si="287"/>
        <v>487279190</v>
      </c>
      <c r="M1113">
        <f t="shared" si="283"/>
        <v>32910318</v>
      </c>
      <c r="N1113">
        <f t="shared" si="278"/>
        <v>551357833</v>
      </c>
      <c r="O1113">
        <f t="shared" si="284"/>
        <v>0.341156448718301</v>
      </c>
    </row>
    <row r="1114" ht="13.9" spans="1:15">
      <c r="A1114" s="42" t="s">
        <v>782</v>
      </c>
      <c r="B1114" s="11">
        <v>26701900</v>
      </c>
      <c r="C1114" s="11">
        <v>2610165</v>
      </c>
      <c r="D1114" s="11">
        <v>70</v>
      </c>
      <c r="E1114">
        <f t="shared" si="280"/>
        <v>70</v>
      </c>
      <c r="F1114">
        <f t="shared" si="281"/>
        <v>13350950</v>
      </c>
      <c r="G1114">
        <f t="shared" si="282"/>
        <v>1335.095</v>
      </c>
      <c r="H1114">
        <f t="shared" si="286"/>
        <v>70000000</v>
      </c>
      <c r="I1114">
        <f t="shared" si="285"/>
        <v>33600000</v>
      </c>
      <c r="K1114">
        <f t="shared" si="287"/>
        <v>460577290</v>
      </c>
      <c r="M1114">
        <f t="shared" si="283"/>
        <v>29312065</v>
      </c>
      <c r="N1114">
        <f t="shared" si="278"/>
        <v>518447515</v>
      </c>
      <c r="O1114">
        <f t="shared" si="284"/>
        <v>0.327605210822962</v>
      </c>
    </row>
    <row r="1115" ht="13.9" spans="1:15">
      <c r="A1115" s="42" t="s">
        <v>783</v>
      </c>
      <c r="B1115" s="11">
        <v>27764748</v>
      </c>
      <c r="C1115" s="11">
        <v>2759797</v>
      </c>
      <c r="D1115" s="11">
        <v>60</v>
      </c>
      <c r="E1115">
        <f t="shared" si="280"/>
        <v>60</v>
      </c>
      <c r="F1115">
        <f t="shared" si="281"/>
        <v>13882374</v>
      </c>
      <c r="G1115">
        <f t="shared" si="282"/>
        <v>1388.2374</v>
      </c>
      <c r="H1115">
        <f t="shared" si="286"/>
        <v>60000000</v>
      </c>
      <c r="I1115">
        <f t="shared" si="285"/>
        <v>28800000</v>
      </c>
      <c r="K1115">
        <f t="shared" si="287"/>
        <v>432812542</v>
      </c>
      <c r="M1115">
        <f t="shared" si="283"/>
        <v>30524545</v>
      </c>
      <c r="N1115">
        <f t="shared" si="278"/>
        <v>489135450</v>
      </c>
      <c r="O1115">
        <f t="shared" si="284"/>
        <v>0.367796246175885</v>
      </c>
    </row>
    <row r="1116" ht="13.9" spans="1:15">
      <c r="A1116" s="42" t="s">
        <v>784</v>
      </c>
      <c r="B1116" s="11">
        <v>24750436</v>
      </c>
      <c r="C1116" s="11">
        <v>2438531</v>
      </c>
      <c r="D1116" s="11">
        <v>50</v>
      </c>
      <c r="E1116">
        <f t="shared" si="280"/>
        <v>50</v>
      </c>
      <c r="F1116">
        <f t="shared" si="281"/>
        <v>12375218</v>
      </c>
      <c r="G1116">
        <f t="shared" si="282"/>
        <v>1237.5218</v>
      </c>
      <c r="H1116">
        <f t="shared" si="286"/>
        <v>50000000</v>
      </c>
      <c r="I1116">
        <f t="shared" si="285"/>
        <v>24000000</v>
      </c>
      <c r="K1116">
        <f t="shared" si="287"/>
        <v>408062106</v>
      </c>
      <c r="M1116">
        <f t="shared" si="283"/>
        <v>27188967</v>
      </c>
      <c r="N1116">
        <f t="shared" si="278"/>
        <v>458610905</v>
      </c>
      <c r="O1116">
        <f t="shared" si="284"/>
        <v>0.314318420464443</v>
      </c>
    </row>
    <row r="1117" ht="13.9" spans="1:15">
      <c r="A1117" s="42" t="s">
        <v>785</v>
      </c>
      <c r="B1117" s="11">
        <v>29011614</v>
      </c>
      <c r="C1117" s="11">
        <v>2803257</v>
      </c>
      <c r="D1117" s="11">
        <v>40</v>
      </c>
      <c r="E1117">
        <f t="shared" si="280"/>
        <v>40</v>
      </c>
      <c r="F1117">
        <f t="shared" si="281"/>
        <v>14505807</v>
      </c>
      <c r="G1117">
        <f t="shared" si="282"/>
        <v>1450.5807</v>
      </c>
      <c r="H1117">
        <f t="shared" si="286"/>
        <v>40000000</v>
      </c>
      <c r="I1117">
        <f t="shared" si="285"/>
        <v>19200000</v>
      </c>
      <c r="K1117">
        <f t="shared" si="287"/>
        <v>379050492</v>
      </c>
      <c r="M1117">
        <f t="shared" si="283"/>
        <v>31814871</v>
      </c>
      <c r="N1117">
        <f t="shared" si="278"/>
        <v>431421938</v>
      </c>
      <c r="O1117">
        <f t="shared" si="284"/>
        <v>0</v>
      </c>
    </row>
    <row r="1118" ht="13.85" spans="1:15">
      <c r="A1118" s="43">
        <v>37575</v>
      </c>
      <c r="B1118" s="11">
        <v>379050492</v>
      </c>
      <c r="C1118" s="11">
        <v>20556575</v>
      </c>
      <c r="D1118" s="11">
        <v>564.1</v>
      </c>
      <c r="E1118">
        <f t="shared" si="280"/>
        <v>564.1</v>
      </c>
      <c r="F1118">
        <f t="shared" si="281"/>
        <v>189525246</v>
      </c>
      <c r="G1118">
        <f t="shared" si="282"/>
        <v>18952.5246</v>
      </c>
      <c r="H1118">
        <f t="shared" si="286"/>
        <v>564100000</v>
      </c>
      <c r="I1118">
        <f t="shared" si="285"/>
        <v>270768000</v>
      </c>
      <c r="K1118">
        <f t="shared" si="287"/>
        <v>922186380</v>
      </c>
      <c r="M1118">
        <f t="shared" si="283"/>
        <v>399607067</v>
      </c>
      <c r="N1118">
        <f t="shared" si="278"/>
        <v>1395184025</v>
      </c>
      <c r="O1118">
        <f t="shared" si="284"/>
        <v>1.08905707597521</v>
      </c>
    </row>
    <row r="1119" ht="13.85" spans="1:15">
      <c r="A1119" s="43">
        <v>37452</v>
      </c>
      <c r="B1119" s="11">
        <v>146267368</v>
      </c>
      <c r="C1119" s="11">
        <v>9096390</v>
      </c>
      <c r="D1119" s="26">
        <v>394.9</v>
      </c>
      <c r="E1119">
        <f t="shared" si="280"/>
        <v>394.9</v>
      </c>
      <c r="F1119">
        <f t="shared" si="281"/>
        <v>73133684</v>
      </c>
      <c r="G1119">
        <f t="shared" si="282"/>
        <v>7313.3684</v>
      </c>
      <c r="H1119">
        <f t="shared" si="286"/>
        <v>394900000</v>
      </c>
      <c r="I1119">
        <f t="shared" si="285"/>
        <v>189552000</v>
      </c>
      <c r="K1119">
        <f t="shared" si="287"/>
        <v>775919012</v>
      </c>
      <c r="M1119">
        <f t="shared" si="283"/>
        <v>155363758</v>
      </c>
      <c r="N1119">
        <f t="shared" ref="N1119:N1182" si="288">IF(H1119&lt;H1120,M1119+M1120,M1119+N1120)</f>
        <v>995576958</v>
      </c>
      <c r="O1119">
        <f t="shared" si="284"/>
        <v>0.754764979556042</v>
      </c>
    </row>
    <row r="1120" ht="13.85" spans="1:15">
      <c r="A1120" s="43">
        <v>37361</v>
      </c>
      <c r="B1120" s="11">
        <v>96760010</v>
      </c>
      <c r="C1120" s="11">
        <v>6450926</v>
      </c>
      <c r="D1120" s="11">
        <v>317</v>
      </c>
      <c r="E1120">
        <f t="shared" si="280"/>
        <v>317</v>
      </c>
      <c r="F1120">
        <f t="shared" si="281"/>
        <v>48380005</v>
      </c>
      <c r="G1120">
        <f t="shared" si="282"/>
        <v>4838.0005</v>
      </c>
      <c r="H1120">
        <f t="shared" si="286"/>
        <v>317000000</v>
      </c>
      <c r="I1120">
        <f t="shared" si="285"/>
        <v>152160000</v>
      </c>
      <c r="K1120">
        <f t="shared" si="287"/>
        <v>679159002</v>
      </c>
      <c r="M1120">
        <f t="shared" si="283"/>
        <v>103210936</v>
      </c>
      <c r="N1120">
        <f t="shared" si="288"/>
        <v>840213200</v>
      </c>
      <c r="O1120">
        <f t="shared" si="284"/>
        <v>0.356318507005095</v>
      </c>
    </row>
    <row r="1121" ht="13.9" spans="1:15">
      <c r="A1121" s="42" t="s">
        <v>786</v>
      </c>
      <c r="B1121" s="11">
        <v>73285296</v>
      </c>
      <c r="C1121" s="11">
        <v>5296084</v>
      </c>
      <c r="D1121" s="11">
        <v>289</v>
      </c>
      <c r="E1121">
        <f t="shared" si="280"/>
        <v>289</v>
      </c>
      <c r="F1121">
        <f t="shared" si="281"/>
        <v>36642648</v>
      </c>
      <c r="G1121">
        <f t="shared" si="282"/>
        <v>3664.2648</v>
      </c>
      <c r="H1121">
        <f t="shared" si="286"/>
        <v>289000000</v>
      </c>
      <c r="I1121">
        <f t="shared" si="285"/>
        <v>138720000</v>
      </c>
      <c r="K1121">
        <f t="shared" si="287"/>
        <v>605873706</v>
      </c>
      <c r="M1121">
        <f t="shared" si="283"/>
        <v>78581380</v>
      </c>
      <c r="N1121">
        <f t="shared" si="288"/>
        <v>737002264</v>
      </c>
      <c r="O1121">
        <f t="shared" si="284"/>
        <v>0.450308280244533</v>
      </c>
    </row>
    <row r="1122" ht="13.9" spans="1:15">
      <c r="A1122" s="42" t="s">
        <v>787</v>
      </c>
      <c r="B1122" s="11">
        <v>57972284</v>
      </c>
      <c r="C1122" s="11">
        <v>4207341</v>
      </c>
      <c r="D1122" s="11">
        <v>261</v>
      </c>
      <c r="E1122">
        <f t="shared" si="280"/>
        <v>261</v>
      </c>
      <c r="F1122">
        <f t="shared" si="281"/>
        <v>28986142</v>
      </c>
      <c r="G1122">
        <f t="shared" si="282"/>
        <v>2898.6142</v>
      </c>
      <c r="H1122">
        <f t="shared" si="286"/>
        <v>261000000</v>
      </c>
      <c r="I1122">
        <f t="shared" si="285"/>
        <v>125280000</v>
      </c>
      <c r="K1122">
        <f t="shared" si="287"/>
        <v>547901422</v>
      </c>
      <c r="M1122">
        <f t="shared" si="283"/>
        <v>62179625</v>
      </c>
      <c r="N1122">
        <f t="shared" si="288"/>
        <v>658420884</v>
      </c>
      <c r="O1122">
        <f t="shared" si="284"/>
        <v>0.520021437632143</v>
      </c>
    </row>
    <row r="1123" ht="13.9" spans="1:15">
      <c r="A1123" s="42" t="s">
        <v>788</v>
      </c>
      <c r="B1123" s="11">
        <v>55412660</v>
      </c>
      <c r="C1123" s="11">
        <v>4200267</v>
      </c>
      <c r="D1123" s="11">
        <v>230</v>
      </c>
      <c r="E1123">
        <f t="shared" si="280"/>
        <v>230</v>
      </c>
      <c r="F1123">
        <f t="shared" si="281"/>
        <v>27706330</v>
      </c>
      <c r="G1123">
        <f t="shared" si="282"/>
        <v>2770.633</v>
      </c>
      <c r="H1123">
        <f t="shared" si="286"/>
        <v>230000000</v>
      </c>
      <c r="I1123">
        <f t="shared" si="285"/>
        <v>110400000</v>
      </c>
      <c r="K1123">
        <f t="shared" si="287"/>
        <v>492488762</v>
      </c>
      <c r="M1123">
        <f t="shared" si="283"/>
        <v>59612927</v>
      </c>
      <c r="N1123">
        <f t="shared" si="288"/>
        <v>596241259</v>
      </c>
      <c r="O1123">
        <f t="shared" si="284"/>
        <v>0.430760986666655</v>
      </c>
    </row>
    <row r="1124" ht="13.9" spans="1:15">
      <c r="A1124" s="42" t="s">
        <v>789</v>
      </c>
      <c r="B1124" s="11">
        <v>47474024</v>
      </c>
      <c r="C1124" s="11">
        <v>3598382</v>
      </c>
      <c r="D1124" s="11">
        <v>208</v>
      </c>
      <c r="E1124">
        <f t="shared" si="280"/>
        <v>208</v>
      </c>
      <c r="F1124">
        <f t="shared" si="281"/>
        <v>23737012</v>
      </c>
      <c r="G1124">
        <f t="shared" si="282"/>
        <v>2373.7012</v>
      </c>
      <c r="H1124">
        <f t="shared" si="286"/>
        <v>208000000</v>
      </c>
      <c r="I1124">
        <f t="shared" si="285"/>
        <v>99840000</v>
      </c>
      <c r="K1124">
        <f t="shared" si="287"/>
        <v>445014738</v>
      </c>
      <c r="M1124">
        <f t="shared" si="283"/>
        <v>51072406</v>
      </c>
      <c r="N1124">
        <f t="shared" si="288"/>
        <v>536628332</v>
      </c>
      <c r="O1124">
        <f t="shared" si="284"/>
        <v>0.300429074950767</v>
      </c>
    </row>
    <row r="1125" ht="13.9" spans="1:15">
      <c r="A1125" s="42" t="s">
        <v>790</v>
      </c>
      <c r="B1125" s="11">
        <v>42990736</v>
      </c>
      <c r="C1125" s="11">
        <v>3609281</v>
      </c>
      <c r="D1125" s="11">
        <v>194</v>
      </c>
      <c r="E1125">
        <f t="shared" si="280"/>
        <v>194</v>
      </c>
      <c r="F1125">
        <f t="shared" si="281"/>
        <v>21495368</v>
      </c>
      <c r="G1125">
        <f t="shared" si="282"/>
        <v>2149.5368</v>
      </c>
      <c r="H1125">
        <f t="shared" si="286"/>
        <v>194000000</v>
      </c>
      <c r="I1125">
        <f t="shared" si="285"/>
        <v>93120000</v>
      </c>
      <c r="K1125">
        <f t="shared" si="287"/>
        <v>402024002</v>
      </c>
      <c r="M1125">
        <f t="shared" si="283"/>
        <v>46600017</v>
      </c>
      <c r="N1125">
        <f t="shared" si="288"/>
        <v>485555926</v>
      </c>
      <c r="O1125">
        <f t="shared" si="284"/>
        <v>0.457898264265401</v>
      </c>
    </row>
    <row r="1126" ht="13.9" spans="1:15">
      <c r="A1126" s="42" t="s">
        <v>791</v>
      </c>
      <c r="B1126" s="11">
        <v>36241790</v>
      </c>
      <c r="C1126" s="11">
        <v>3068252</v>
      </c>
      <c r="D1126" s="11">
        <v>176</v>
      </c>
      <c r="E1126">
        <f t="shared" si="280"/>
        <v>176</v>
      </c>
      <c r="F1126">
        <f t="shared" si="281"/>
        <v>18120895</v>
      </c>
      <c r="G1126">
        <f t="shared" si="282"/>
        <v>1812.0895</v>
      </c>
      <c r="H1126">
        <f t="shared" si="286"/>
        <v>176000000</v>
      </c>
      <c r="I1126">
        <f t="shared" si="285"/>
        <v>84480000</v>
      </c>
      <c r="K1126">
        <f t="shared" si="287"/>
        <v>365782212</v>
      </c>
      <c r="M1126">
        <f t="shared" si="283"/>
        <v>39310042</v>
      </c>
      <c r="N1126">
        <f t="shared" si="288"/>
        <v>438955909</v>
      </c>
      <c r="O1126">
        <f t="shared" si="284"/>
        <v>0.353798075409229</v>
      </c>
    </row>
    <row r="1127" ht="13.85" spans="1:15">
      <c r="A1127" s="43">
        <v>37179</v>
      </c>
      <c r="B1127" s="11">
        <v>36403186</v>
      </c>
      <c r="C1127" s="11">
        <v>3167408</v>
      </c>
      <c r="D1127" s="11">
        <v>162</v>
      </c>
      <c r="E1127">
        <f t="shared" si="280"/>
        <v>162</v>
      </c>
      <c r="F1127">
        <f t="shared" si="281"/>
        <v>18201593</v>
      </c>
      <c r="G1127">
        <f t="shared" si="282"/>
        <v>1820.1593</v>
      </c>
      <c r="H1127">
        <f t="shared" si="286"/>
        <v>162000000</v>
      </c>
      <c r="I1127">
        <f t="shared" si="285"/>
        <v>77760000</v>
      </c>
      <c r="K1127">
        <f t="shared" si="287"/>
        <v>329379026</v>
      </c>
      <c r="M1127">
        <f t="shared" si="283"/>
        <v>39570594</v>
      </c>
      <c r="N1127">
        <f t="shared" si="288"/>
        <v>399645867</v>
      </c>
      <c r="O1127">
        <f t="shared" si="284"/>
        <v>0.458841119895816</v>
      </c>
    </row>
    <row r="1128" ht="13.85" spans="1:15">
      <c r="A1128" s="43">
        <v>37087</v>
      </c>
      <c r="B1128" s="11">
        <v>32096042</v>
      </c>
      <c r="C1128" s="11">
        <v>2774416</v>
      </c>
      <c r="D1128" s="11">
        <v>146</v>
      </c>
      <c r="E1128">
        <f t="shared" si="280"/>
        <v>146</v>
      </c>
      <c r="F1128">
        <f t="shared" si="281"/>
        <v>16048021</v>
      </c>
      <c r="G1128">
        <f t="shared" si="282"/>
        <v>1604.8021</v>
      </c>
      <c r="H1128">
        <f t="shared" si="286"/>
        <v>146000000</v>
      </c>
      <c r="I1128">
        <f t="shared" si="285"/>
        <v>70080000</v>
      </c>
      <c r="K1128">
        <f t="shared" si="287"/>
        <v>297282984</v>
      </c>
      <c r="M1128">
        <f t="shared" si="283"/>
        <v>34870458</v>
      </c>
      <c r="N1128">
        <f t="shared" si="288"/>
        <v>360075273</v>
      </c>
      <c r="O1128">
        <f t="shared" si="284"/>
        <v>0.428961636588163</v>
      </c>
    </row>
    <row r="1129" ht="13.85" spans="1:15">
      <c r="A1129" s="44">
        <v>36965</v>
      </c>
      <c r="B1129" s="15">
        <v>32024614</v>
      </c>
      <c r="C1129" s="15">
        <v>2943548</v>
      </c>
      <c r="D1129" s="15">
        <v>131</v>
      </c>
      <c r="E1129">
        <f t="shared" si="280"/>
        <v>131</v>
      </c>
      <c r="F1129">
        <f t="shared" si="281"/>
        <v>16012307</v>
      </c>
      <c r="G1129">
        <f t="shared" si="282"/>
        <v>1601.2307</v>
      </c>
      <c r="H1129">
        <f t="shared" si="286"/>
        <v>131000000</v>
      </c>
      <c r="I1129">
        <f t="shared" si="285"/>
        <v>62880000</v>
      </c>
      <c r="K1129">
        <f t="shared" si="287"/>
        <v>265258370</v>
      </c>
      <c r="M1129">
        <f t="shared" si="283"/>
        <v>34968162</v>
      </c>
      <c r="N1129">
        <f t="shared" si="288"/>
        <v>325204815</v>
      </c>
      <c r="O1129">
        <f t="shared" si="284"/>
        <v>0.287901989368722</v>
      </c>
    </row>
    <row r="1130" ht="13.9" spans="1:15">
      <c r="A1130" s="41" t="s">
        <v>792</v>
      </c>
      <c r="B1130" s="13">
        <v>35143390</v>
      </c>
      <c r="C1130" s="13">
        <v>3064057</v>
      </c>
      <c r="D1130" s="13">
        <v>120</v>
      </c>
      <c r="E1130">
        <f t="shared" ref="E1130:E1161" si="289">IF(RIGHT(D1130,1)="B",VALUE(LEFT(D1130,LEN(D1130)-1))*1000,D1130)</f>
        <v>120</v>
      </c>
      <c r="F1130">
        <f t="shared" si="281"/>
        <v>17571695</v>
      </c>
      <c r="G1130">
        <f t="shared" si="282"/>
        <v>1757.1695</v>
      </c>
      <c r="H1130">
        <f t="shared" si="286"/>
        <v>120000000</v>
      </c>
      <c r="I1130">
        <f t="shared" si="285"/>
        <v>57600000</v>
      </c>
      <c r="K1130">
        <f t="shared" si="287"/>
        <v>230114980</v>
      </c>
      <c r="M1130">
        <f t="shared" si="283"/>
        <v>38207447</v>
      </c>
      <c r="N1130">
        <f t="shared" si="288"/>
        <v>290236653</v>
      </c>
      <c r="O1130">
        <f t="shared" ref="O1130:O1154" si="290">IF(H1130&gt;H1131,(H1130-H1131)/M1131,0)</f>
        <v>0.325433923831019</v>
      </c>
    </row>
    <row r="1131" ht="13.9" spans="1:15">
      <c r="A1131" s="42" t="s">
        <v>793</v>
      </c>
      <c r="B1131" s="11">
        <v>28093884</v>
      </c>
      <c r="C1131" s="11">
        <v>2634320</v>
      </c>
      <c r="D1131" s="11">
        <v>110</v>
      </c>
      <c r="E1131">
        <f t="shared" si="289"/>
        <v>110</v>
      </c>
      <c r="F1131">
        <f t="shared" si="281"/>
        <v>14046942</v>
      </c>
      <c r="G1131">
        <f t="shared" si="282"/>
        <v>1404.6942</v>
      </c>
      <c r="H1131">
        <f t="shared" si="286"/>
        <v>110000000</v>
      </c>
      <c r="I1131">
        <f t="shared" si="285"/>
        <v>52800000</v>
      </c>
      <c r="K1131">
        <f t="shared" si="287"/>
        <v>202021096</v>
      </c>
      <c r="M1131">
        <f t="shared" si="283"/>
        <v>30728204</v>
      </c>
      <c r="N1131">
        <f t="shared" si="288"/>
        <v>252029206</v>
      </c>
      <c r="O1131">
        <f t="shared" si="290"/>
        <v>0.271617788140298</v>
      </c>
    </row>
    <row r="1132" ht="13.9" spans="1:15">
      <c r="A1132" s="42" t="s">
        <v>794</v>
      </c>
      <c r="B1132" s="11">
        <v>33880826</v>
      </c>
      <c r="C1132" s="11">
        <v>2935614</v>
      </c>
      <c r="D1132" s="11">
        <v>100</v>
      </c>
      <c r="E1132">
        <f t="shared" si="289"/>
        <v>100</v>
      </c>
      <c r="F1132">
        <f t="shared" si="281"/>
        <v>16940413</v>
      </c>
      <c r="G1132">
        <f t="shared" si="282"/>
        <v>1694.0413</v>
      </c>
      <c r="H1132">
        <f t="shared" si="286"/>
        <v>100000000</v>
      </c>
      <c r="I1132">
        <f t="shared" si="285"/>
        <v>48000000</v>
      </c>
      <c r="K1132">
        <f t="shared" si="287"/>
        <v>168140270</v>
      </c>
      <c r="M1132">
        <f t="shared" si="283"/>
        <v>36816440</v>
      </c>
      <c r="N1132">
        <f t="shared" si="288"/>
        <v>221301002</v>
      </c>
      <c r="O1132">
        <f t="shared" si="290"/>
        <v>0.340193343443653</v>
      </c>
    </row>
    <row r="1133" ht="13.9" spans="1:15">
      <c r="A1133" s="42" t="s">
        <v>795</v>
      </c>
      <c r="B1133" s="11">
        <v>26829430</v>
      </c>
      <c r="C1133" s="11">
        <v>2565619</v>
      </c>
      <c r="D1133" s="11">
        <v>90</v>
      </c>
      <c r="E1133">
        <f t="shared" si="289"/>
        <v>90</v>
      </c>
      <c r="F1133">
        <f t="shared" si="281"/>
        <v>13414715</v>
      </c>
      <c r="G1133">
        <f t="shared" si="282"/>
        <v>1341.4715</v>
      </c>
      <c r="H1133">
        <f t="shared" si="286"/>
        <v>90000000</v>
      </c>
      <c r="I1133">
        <f t="shared" si="285"/>
        <v>43200000</v>
      </c>
      <c r="K1133">
        <f t="shared" si="287"/>
        <v>141310840</v>
      </c>
      <c r="M1133">
        <f t="shared" si="283"/>
        <v>29395049</v>
      </c>
      <c r="N1133">
        <f t="shared" si="288"/>
        <v>184484562</v>
      </c>
      <c r="O1133">
        <f t="shared" si="290"/>
        <v>0.391174156562997</v>
      </c>
    </row>
    <row r="1134" ht="13.9" spans="1:15">
      <c r="A1134" s="42" t="s">
        <v>796</v>
      </c>
      <c r="B1134" s="11">
        <v>23325824</v>
      </c>
      <c r="C1134" s="11">
        <v>2238237</v>
      </c>
      <c r="D1134" s="11">
        <v>80</v>
      </c>
      <c r="E1134">
        <f t="shared" si="289"/>
        <v>80</v>
      </c>
      <c r="F1134">
        <f t="shared" si="281"/>
        <v>11662912</v>
      </c>
      <c r="G1134">
        <f t="shared" si="282"/>
        <v>1166.2912</v>
      </c>
      <c r="H1134">
        <f t="shared" si="286"/>
        <v>80000000</v>
      </c>
      <c r="I1134">
        <f t="shared" si="285"/>
        <v>38400000</v>
      </c>
      <c r="K1134">
        <f t="shared" si="287"/>
        <v>117985016</v>
      </c>
      <c r="M1134">
        <f t="shared" si="283"/>
        <v>25564061</v>
      </c>
      <c r="N1134">
        <f t="shared" si="288"/>
        <v>155089513</v>
      </c>
      <c r="O1134">
        <f t="shared" si="290"/>
        <v>0.357894076810082</v>
      </c>
    </row>
    <row r="1135" ht="13.9" spans="1:15">
      <c r="A1135" s="42" t="s">
        <v>797</v>
      </c>
      <c r="B1135" s="11">
        <v>25457952</v>
      </c>
      <c r="C1135" s="11">
        <v>2483276</v>
      </c>
      <c r="D1135" s="11">
        <v>70</v>
      </c>
      <c r="E1135">
        <f t="shared" si="289"/>
        <v>70</v>
      </c>
      <c r="F1135">
        <f t="shared" si="281"/>
        <v>12728976</v>
      </c>
      <c r="G1135">
        <f t="shared" si="282"/>
        <v>1272.8976</v>
      </c>
      <c r="H1135">
        <f t="shared" si="286"/>
        <v>70000000</v>
      </c>
      <c r="I1135">
        <f t="shared" si="285"/>
        <v>33600000</v>
      </c>
      <c r="K1135">
        <f t="shared" si="287"/>
        <v>92527064</v>
      </c>
      <c r="M1135">
        <f t="shared" si="283"/>
        <v>27941228</v>
      </c>
      <c r="N1135">
        <f t="shared" si="288"/>
        <v>129525452</v>
      </c>
      <c r="O1135">
        <f t="shared" si="290"/>
        <v>0.415141178513571</v>
      </c>
    </row>
    <row r="1136" ht="13.85" spans="1:15">
      <c r="A1136" s="43">
        <v>41196</v>
      </c>
      <c r="B1136" s="11">
        <v>21940372</v>
      </c>
      <c r="C1136" s="11">
        <v>2147819</v>
      </c>
      <c r="D1136" s="11">
        <v>60</v>
      </c>
      <c r="E1136">
        <f t="shared" si="289"/>
        <v>60</v>
      </c>
      <c r="F1136">
        <f t="shared" si="281"/>
        <v>10970186</v>
      </c>
      <c r="G1136">
        <f t="shared" si="282"/>
        <v>1097.0186</v>
      </c>
      <c r="H1136">
        <f t="shared" si="286"/>
        <v>60000000</v>
      </c>
      <c r="I1136">
        <f t="shared" si="285"/>
        <v>28800000</v>
      </c>
      <c r="K1136">
        <f t="shared" si="287"/>
        <v>70586692</v>
      </c>
      <c r="M1136">
        <f t="shared" si="283"/>
        <v>24088191</v>
      </c>
      <c r="N1136">
        <f t="shared" si="288"/>
        <v>101584224</v>
      </c>
      <c r="O1136">
        <f t="shared" si="290"/>
        <v>0.38185991285804</v>
      </c>
    </row>
    <row r="1137" ht="13.85" spans="1:15">
      <c r="A1137" s="43">
        <v>41074</v>
      </c>
      <c r="B1137" s="11">
        <v>23826250</v>
      </c>
      <c r="C1137" s="11">
        <v>2361364</v>
      </c>
      <c r="D1137" s="11">
        <v>50</v>
      </c>
      <c r="E1137">
        <f t="shared" si="289"/>
        <v>50</v>
      </c>
      <c r="F1137">
        <f t="shared" si="281"/>
        <v>11913125</v>
      </c>
      <c r="G1137">
        <f t="shared" si="282"/>
        <v>1191.3125</v>
      </c>
      <c r="H1137">
        <f t="shared" si="286"/>
        <v>50000000</v>
      </c>
      <c r="I1137">
        <f t="shared" si="285"/>
        <v>24000000</v>
      </c>
      <c r="K1137">
        <f t="shared" si="287"/>
        <v>46760442</v>
      </c>
      <c r="M1137">
        <f t="shared" si="283"/>
        <v>26187614</v>
      </c>
      <c r="N1137">
        <f t="shared" si="288"/>
        <v>77496033</v>
      </c>
      <c r="O1137">
        <f t="shared" si="290"/>
        <v>0.429363850225867</v>
      </c>
    </row>
    <row r="1138" ht="13.85" spans="1:15">
      <c r="A1138" s="43">
        <v>40982</v>
      </c>
      <c r="B1138" s="11">
        <v>21189316</v>
      </c>
      <c r="C1138" s="11">
        <v>2100954</v>
      </c>
      <c r="D1138" s="11">
        <v>40</v>
      </c>
      <c r="E1138">
        <f t="shared" si="289"/>
        <v>40</v>
      </c>
      <c r="F1138">
        <f t="shared" si="281"/>
        <v>10594658</v>
      </c>
      <c r="G1138">
        <f t="shared" si="282"/>
        <v>1059.4658</v>
      </c>
      <c r="H1138">
        <f t="shared" si="286"/>
        <v>40000000</v>
      </c>
      <c r="I1138">
        <f t="shared" si="285"/>
        <v>19200000</v>
      </c>
      <c r="K1138">
        <f t="shared" si="287"/>
        <v>25571126</v>
      </c>
      <c r="M1138">
        <f t="shared" si="283"/>
        <v>23290270</v>
      </c>
      <c r="N1138">
        <f t="shared" si="288"/>
        <v>51308419</v>
      </c>
      <c r="O1138">
        <f t="shared" si="290"/>
        <v>0</v>
      </c>
    </row>
    <row r="1139" ht="13.9" spans="1:15">
      <c r="A1139" s="42" t="s">
        <v>798</v>
      </c>
      <c r="B1139" s="11">
        <v>25571126</v>
      </c>
      <c r="C1139" s="11">
        <v>2447023</v>
      </c>
      <c r="D1139" s="11">
        <v>90</v>
      </c>
      <c r="E1139">
        <f t="shared" si="289"/>
        <v>90</v>
      </c>
      <c r="F1139">
        <f t="shared" si="281"/>
        <v>12785563</v>
      </c>
      <c r="G1139">
        <f t="shared" si="282"/>
        <v>1278.5563</v>
      </c>
      <c r="H1139">
        <f t="shared" si="286"/>
        <v>90000000</v>
      </c>
      <c r="I1139">
        <f t="shared" si="285"/>
        <v>43200000</v>
      </c>
      <c r="K1139">
        <f t="shared" si="287"/>
        <v>170163604</v>
      </c>
      <c r="M1139">
        <f t="shared" si="283"/>
        <v>28018149</v>
      </c>
      <c r="N1139">
        <f t="shared" si="288"/>
        <v>213418540</v>
      </c>
      <c r="O1139">
        <f t="shared" si="290"/>
        <v>0.357702418701484</v>
      </c>
    </row>
    <row r="1140" ht="13.9" spans="1:15">
      <c r="A1140" s="42" t="s">
        <v>799</v>
      </c>
      <c r="B1140" s="11">
        <v>25597082</v>
      </c>
      <c r="C1140" s="11">
        <v>2359117</v>
      </c>
      <c r="D1140" s="11">
        <v>80</v>
      </c>
      <c r="E1140">
        <f t="shared" si="289"/>
        <v>80</v>
      </c>
      <c r="F1140">
        <f t="shared" si="281"/>
        <v>12798541</v>
      </c>
      <c r="G1140">
        <f t="shared" si="282"/>
        <v>1279.8541</v>
      </c>
      <c r="H1140">
        <f t="shared" si="286"/>
        <v>80000000</v>
      </c>
      <c r="I1140">
        <f t="shared" si="285"/>
        <v>38400000</v>
      </c>
      <c r="K1140">
        <f t="shared" si="287"/>
        <v>144566522</v>
      </c>
      <c r="M1140">
        <f t="shared" si="283"/>
        <v>27956199</v>
      </c>
      <c r="N1140">
        <f t="shared" si="288"/>
        <v>185400391</v>
      </c>
      <c r="O1140">
        <f t="shared" si="290"/>
        <v>0.348441234201152</v>
      </c>
    </row>
    <row r="1141" ht="13.9" spans="1:15">
      <c r="A1141" s="42" t="s">
        <v>800</v>
      </c>
      <c r="B1141" s="11">
        <v>26230686</v>
      </c>
      <c r="C1141" s="11">
        <v>2468558</v>
      </c>
      <c r="D1141" s="11">
        <v>70</v>
      </c>
      <c r="E1141">
        <f t="shared" si="289"/>
        <v>70</v>
      </c>
      <c r="F1141">
        <f t="shared" si="281"/>
        <v>13115343</v>
      </c>
      <c r="G1141">
        <f t="shared" si="282"/>
        <v>1311.5343</v>
      </c>
      <c r="H1141">
        <f t="shared" si="286"/>
        <v>70000000</v>
      </c>
      <c r="I1141">
        <f t="shared" si="285"/>
        <v>33600000</v>
      </c>
      <c r="K1141">
        <f t="shared" si="287"/>
        <v>118335836</v>
      </c>
      <c r="M1141">
        <f t="shared" si="283"/>
        <v>28699244</v>
      </c>
      <c r="N1141">
        <f t="shared" si="288"/>
        <v>157444192</v>
      </c>
      <c r="O1141">
        <f t="shared" si="290"/>
        <v>0.40386627648338</v>
      </c>
    </row>
    <row r="1142" ht="13.9" spans="1:15">
      <c r="A1142" s="42" t="s">
        <v>801</v>
      </c>
      <c r="B1142" s="11">
        <v>22623050</v>
      </c>
      <c r="C1142" s="11">
        <v>2137621</v>
      </c>
      <c r="D1142" s="11">
        <v>60</v>
      </c>
      <c r="E1142">
        <f t="shared" si="289"/>
        <v>60</v>
      </c>
      <c r="F1142">
        <f t="shared" si="281"/>
        <v>11311525</v>
      </c>
      <c r="G1142">
        <f t="shared" si="282"/>
        <v>1131.1525</v>
      </c>
      <c r="H1142">
        <f t="shared" si="286"/>
        <v>60000000</v>
      </c>
      <c r="I1142">
        <f t="shared" si="285"/>
        <v>28800000</v>
      </c>
      <c r="K1142">
        <f t="shared" si="287"/>
        <v>95712786</v>
      </c>
      <c r="M1142">
        <f t="shared" si="283"/>
        <v>24760671</v>
      </c>
      <c r="N1142">
        <f t="shared" si="288"/>
        <v>128744948</v>
      </c>
      <c r="O1142">
        <f t="shared" si="290"/>
        <v>0.361742882998171</v>
      </c>
    </row>
    <row r="1143" ht="13.9" spans="1:15">
      <c r="A1143" s="42" t="s">
        <v>802</v>
      </c>
      <c r="B1143" s="11">
        <v>25229772</v>
      </c>
      <c r="C1143" s="11">
        <v>2414172</v>
      </c>
      <c r="D1143" s="11">
        <v>50</v>
      </c>
      <c r="E1143">
        <f t="shared" si="289"/>
        <v>50</v>
      </c>
      <c r="F1143">
        <f t="shared" si="281"/>
        <v>12614886</v>
      </c>
      <c r="G1143">
        <f t="shared" si="282"/>
        <v>1261.4886</v>
      </c>
      <c r="H1143">
        <f t="shared" si="286"/>
        <v>50000000</v>
      </c>
      <c r="I1143">
        <f t="shared" si="285"/>
        <v>24000000</v>
      </c>
      <c r="K1143">
        <f t="shared" si="287"/>
        <v>70483014</v>
      </c>
      <c r="M1143">
        <f t="shared" si="283"/>
        <v>27643944</v>
      </c>
      <c r="N1143">
        <f t="shared" si="288"/>
        <v>103984277</v>
      </c>
      <c r="O1143">
        <f t="shared" si="290"/>
        <v>0.404032339718149</v>
      </c>
    </row>
    <row r="1144" ht="13.85" spans="1:15">
      <c r="A1144" s="43">
        <v>40891</v>
      </c>
      <c r="B1144" s="11">
        <v>22622144</v>
      </c>
      <c r="C1144" s="11">
        <v>2128350</v>
      </c>
      <c r="D1144" s="11">
        <v>40</v>
      </c>
      <c r="E1144">
        <f t="shared" si="289"/>
        <v>40</v>
      </c>
      <c r="F1144">
        <f t="shared" si="281"/>
        <v>11311072</v>
      </c>
      <c r="G1144">
        <f t="shared" si="282"/>
        <v>1131.1072</v>
      </c>
      <c r="H1144">
        <f t="shared" si="286"/>
        <v>40000000</v>
      </c>
      <c r="I1144">
        <f t="shared" si="285"/>
        <v>19200000</v>
      </c>
      <c r="K1144">
        <f t="shared" si="287"/>
        <v>47860870</v>
      </c>
      <c r="M1144">
        <f t="shared" si="283"/>
        <v>24750494</v>
      </c>
      <c r="N1144">
        <f t="shared" si="288"/>
        <v>76340333</v>
      </c>
      <c r="O1144">
        <f t="shared" si="290"/>
        <v>0</v>
      </c>
    </row>
    <row r="1145" ht="13.85" spans="1:15">
      <c r="A1145" s="43">
        <v>40769</v>
      </c>
      <c r="B1145" s="11">
        <v>47860870</v>
      </c>
      <c r="C1145" s="11">
        <v>3728969</v>
      </c>
      <c r="D1145" s="11">
        <v>203</v>
      </c>
      <c r="E1145">
        <f t="shared" si="289"/>
        <v>203</v>
      </c>
      <c r="F1145">
        <f t="shared" si="281"/>
        <v>23930435</v>
      </c>
      <c r="G1145">
        <f t="shared" si="282"/>
        <v>2393.0435</v>
      </c>
      <c r="H1145">
        <f t="shared" si="286"/>
        <v>203000000</v>
      </c>
      <c r="I1145">
        <f t="shared" si="285"/>
        <v>97440000</v>
      </c>
      <c r="K1145">
        <f t="shared" si="287"/>
        <v>418327920</v>
      </c>
      <c r="M1145">
        <f t="shared" si="283"/>
        <v>51589839</v>
      </c>
      <c r="N1145">
        <f t="shared" si="288"/>
        <v>506120327</v>
      </c>
      <c r="O1145">
        <f t="shared" si="290"/>
        <v>0.575840775326761</v>
      </c>
    </row>
    <row r="1146" ht="13.85" spans="1:15">
      <c r="A1146" s="43">
        <v>40677</v>
      </c>
      <c r="B1146" s="11">
        <v>40186958</v>
      </c>
      <c r="C1146" s="11">
        <v>3227821</v>
      </c>
      <c r="D1146" s="11">
        <v>178</v>
      </c>
      <c r="E1146">
        <f t="shared" si="289"/>
        <v>178</v>
      </c>
      <c r="F1146">
        <f t="shared" si="281"/>
        <v>20093479</v>
      </c>
      <c r="G1146">
        <f t="shared" si="282"/>
        <v>2009.3479</v>
      </c>
      <c r="H1146">
        <f t="shared" si="286"/>
        <v>178000000</v>
      </c>
      <c r="I1146">
        <f t="shared" si="285"/>
        <v>85440000</v>
      </c>
      <c r="K1146">
        <f t="shared" si="287"/>
        <v>378140962</v>
      </c>
      <c r="M1146">
        <f t="shared" si="283"/>
        <v>43414779</v>
      </c>
      <c r="N1146">
        <f t="shared" si="288"/>
        <v>454530488</v>
      </c>
      <c r="O1146">
        <f t="shared" si="290"/>
        <v>0.456735896530377</v>
      </c>
    </row>
    <row r="1147" ht="13.85" spans="1:15">
      <c r="A1147" s="43">
        <v>40557</v>
      </c>
      <c r="B1147" s="11">
        <v>38310224</v>
      </c>
      <c r="C1147" s="11">
        <v>3289309</v>
      </c>
      <c r="D1147" s="11">
        <v>159</v>
      </c>
      <c r="E1147">
        <f t="shared" si="289"/>
        <v>159</v>
      </c>
      <c r="F1147">
        <f t="shared" si="281"/>
        <v>19155112</v>
      </c>
      <c r="G1147">
        <f t="shared" si="282"/>
        <v>1915.5112</v>
      </c>
      <c r="H1147">
        <f t="shared" si="286"/>
        <v>159000000</v>
      </c>
      <c r="I1147">
        <f t="shared" si="285"/>
        <v>76320000</v>
      </c>
      <c r="K1147">
        <f t="shared" si="287"/>
        <v>339830738</v>
      </c>
      <c r="M1147">
        <f t="shared" si="283"/>
        <v>41599533</v>
      </c>
      <c r="N1147">
        <f t="shared" si="288"/>
        <v>411115709</v>
      </c>
      <c r="O1147">
        <f t="shared" si="290"/>
        <v>0.466016730494054</v>
      </c>
    </row>
    <row r="1148" ht="13.9" spans="1:15">
      <c r="A1148" s="42" t="s">
        <v>803</v>
      </c>
      <c r="B1148" s="11">
        <v>33638806</v>
      </c>
      <c r="C1148" s="11">
        <v>2840571</v>
      </c>
      <c r="D1148" s="11">
        <v>142</v>
      </c>
      <c r="E1148">
        <f t="shared" si="289"/>
        <v>142</v>
      </c>
      <c r="F1148">
        <f t="shared" si="281"/>
        <v>16819403</v>
      </c>
      <c r="G1148">
        <f t="shared" si="282"/>
        <v>1681.9403</v>
      </c>
      <c r="H1148">
        <f t="shared" si="286"/>
        <v>142000000</v>
      </c>
      <c r="I1148">
        <f t="shared" si="285"/>
        <v>68160000</v>
      </c>
      <c r="K1148">
        <f t="shared" si="287"/>
        <v>306191932</v>
      </c>
      <c r="M1148">
        <f t="shared" si="283"/>
        <v>36479377</v>
      </c>
      <c r="N1148">
        <f t="shared" si="288"/>
        <v>369516176</v>
      </c>
      <c r="O1148">
        <f t="shared" si="290"/>
        <v>0.455509819987878</v>
      </c>
    </row>
    <row r="1149" ht="13.9" spans="1:15">
      <c r="A1149" s="42" t="s">
        <v>804</v>
      </c>
      <c r="B1149" s="11">
        <v>34320960</v>
      </c>
      <c r="C1149" s="11">
        <v>2999860</v>
      </c>
      <c r="D1149" s="11">
        <v>125</v>
      </c>
      <c r="E1149">
        <f t="shared" si="289"/>
        <v>125</v>
      </c>
      <c r="F1149">
        <f t="shared" si="281"/>
        <v>17160480</v>
      </c>
      <c r="G1149">
        <f t="shared" si="282"/>
        <v>1716.048</v>
      </c>
      <c r="H1149">
        <f t="shared" si="286"/>
        <v>125000000</v>
      </c>
      <c r="I1149">
        <f t="shared" si="285"/>
        <v>60000000</v>
      </c>
      <c r="K1149">
        <f t="shared" si="287"/>
        <v>271870972</v>
      </c>
      <c r="M1149">
        <f t="shared" si="283"/>
        <v>37320820</v>
      </c>
      <c r="N1149">
        <f t="shared" si="288"/>
        <v>333036799</v>
      </c>
      <c r="O1149">
        <f t="shared" si="290"/>
        <v>0.453146057130842</v>
      </c>
    </row>
    <row r="1150" ht="13.9" spans="1:15">
      <c r="A1150" s="42" t="s">
        <v>805</v>
      </c>
      <c r="B1150" s="11">
        <v>30426498</v>
      </c>
      <c r="C1150" s="11">
        <v>2675412</v>
      </c>
      <c r="D1150" s="11">
        <v>110</v>
      </c>
      <c r="E1150">
        <f t="shared" si="289"/>
        <v>110</v>
      </c>
      <c r="F1150">
        <f t="shared" si="281"/>
        <v>15213249</v>
      </c>
      <c r="G1150">
        <f t="shared" si="282"/>
        <v>1521.3249</v>
      </c>
      <c r="H1150">
        <f t="shared" si="286"/>
        <v>110000000</v>
      </c>
      <c r="I1150">
        <f t="shared" si="285"/>
        <v>52800000</v>
      </c>
      <c r="K1150">
        <f t="shared" si="287"/>
        <v>241444474</v>
      </c>
      <c r="M1150">
        <f t="shared" si="283"/>
        <v>33101910</v>
      </c>
      <c r="N1150">
        <f t="shared" si="288"/>
        <v>295715979</v>
      </c>
      <c r="O1150">
        <f t="shared" si="290"/>
        <v>0.289910289869992</v>
      </c>
    </row>
    <row r="1151" ht="13.9" spans="1:15">
      <c r="A1151" s="42" t="s">
        <v>806</v>
      </c>
      <c r="B1151" s="11">
        <v>31630790</v>
      </c>
      <c r="C1151" s="11">
        <v>2862639</v>
      </c>
      <c r="D1151" s="11">
        <v>100</v>
      </c>
      <c r="E1151">
        <f t="shared" si="289"/>
        <v>100</v>
      </c>
      <c r="F1151">
        <f t="shared" si="281"/>
        <v>15815395</v>
      </c>
      <c r="G1151">
        <f t="shared" si="282"/>
        <v>1581.5395</v>
      </c>
      <c r="H1151">
        <f t="shared" si="286"/>
        <v>100000000</v>
      </c>
      <c r="I1151">
        <f t="shared" si="285"/>
        <v>48000000</v>
      </c>
      <c r="K1151">
        <f t="shared" si="287"/>
        <v>209813684</v>
      </c>
      <c r="M1151">
        <f t="shared" si="283"/>
        <v>34493429</v>
      </c>
      <c r="N1151">
        <f t="shared" si="288"/>
        <v>262614069</v>
      </c>
      <c r="O1151">
        <f t="shared" si="290"/>
        <v>0.366429220531762</v>
      </c>
    </row>
    <row r="1152" ht="13.9" spans="1:15">
      <c r="A1152" s="42" t="s">
        <v>807</v>
      </c>
      <c r="B1152" s="11">
        <v>24940694</v>
      </c>
      <c r="C1152" s="11">
        <v>2349706</v>
      </c>
      <c r="D1152" s="11">
        <v>90</v>
      </c>
      <c r="E1152">
        <f t="shared" si="289"/>
        <v>90</v>
      </c>
      <c r="F1152">
        <f t="shared" si="281"/>
        <v>12470347</v>
      </c>
      <c r="G1152">
        <f t="shared" si="282"/>
        <v>1247.0347</v>
      </c>
      <c r="H1152">
        <f t="shared" si="286"/>
        <v>90000000</v>
      </c>
      <c r="I1152">
        <f t="shared" si="285"/>
        <v>43200000</v>
      </c>
      <c r="K1152">
        <f t="shared" si="287"/>
        <v>184872990</v>
      </c>
      <c r="M1152">
        <f t="shared" si="283"/>
        <v>27290400</v>
      </c>
      <c r="N1152">
        <f t="shared" si="288"/>
        <v>228120640</v>
      </c>
      <c r="O1152">
        <f t="shared" si="290"/>
        <v>0.341818277030109</v>
      </c>
    </row>
    <row r="1153" ht="13.85" spans="1:15">
      <c r="A1153" s="43">
        <v>40496</v>
      </c>
      <c r="B1153" s="11">
        <v>26694518</v>
      </c>
      <c r="C1153" s="11">
        <v>2560793</v>
      </c>
      <c r="D1153" s="11">
        <v>80</v>
      </c>
      <c r="E1153">
        <f t="shared" si="289"/>
        <v>80</v>
      </c>
      <c r="F1153">
        <f t="shared" si="281"/>
        <v>13347259</v>
      </c>
      <c r="G1153">
        <f t="shared" si="282"/>
        <v>1334.7259</v>
      </c>
      <c r="H1153">
        <f t="shared" si="286"/>
        <v>80000000</v>
      </c>
      <c r="I1153">
        <f t="shared" si="285"/>
        <v>38400000</v>
      </c>
      <c r="K1153">
        <f t="shared" si="287"/>
        <v>158178472</v>
      </c>
      <c r="M1153">
        <f t="shared" si="283"/>
        <v>29255311</v>
      </c>
      <c r="N1153">
        <f t="shared" si="288"/>
        <v>200830240</v>
      </c>
      <c r="O1153">
        <f t="shared" si="290"/>
        <v>0.38404730479634</v>
      </c>
    </row>
    <row r="1154" ht="13.85" spans="1:15">
      <c r="A1154" s="43">
        <v>40404</v>
      </c>
      <c r="B1154" s="11">
        <v>23752172</v>
      </c>
      <c r="C1154" s="11">
        <v>2286287</v>
      </c>
      <c r="D1154" s="11">
        <v>70</v>
      </c>
      <c r="E1154">
        <f t="shared" si="289"/>
        <v>70</v>
      </c>
      <c r="F1154">
        <f t="shared" si="281"/>
        <v>11876086</v>
      </c>
      <c r="G1154">
        <f t="shared" si="282"/>
        <v>1187.6086</v>
      </c>
      <c r="H1154">
        <f t="shared" si="286"/>
        <v>70000000</v>
      </c>
      <c r="I1154">
        <f t="shared" si="285"/>
        <v>33600000</v>
      </c>
      <c r="K1154">
        <f t="shared" si="287"/>
        <v>134426300</v>
      </c>
      <c r="M1154">
        <f t="shared" si="283"/>
        <v>26038459</v>
      </c>
      <c r="N1154">
        <f t="shared" si="288"/>
        <v>171574929</v>
      </c>
      <c r="O1154">
        <f t="shared" si="290"/>
        <v>0.351954742562</v>
      </c>
    </row>
    <row r="1155" ht="13.85" spans="1:15">
      <c r="A1155" s="43">
        <v>40282</v>
      </c>
      <c r="B1155" s="11">
        <v>25898918</v>
      </c>
      <c r="C1155" s="11">
        <v>2513826</v>
      </c>
      <c r="D1155" s="11">
        <v>60</v>
      </c>
      <c r="E1155">
        <f t="shared" si="289"/>
        <v>60</v>
      </c>
      <c r="F1155">
        <f t="shared" si="281"/>
        <v>12949459</v>
      </c>
      <c r="G1155">
        <f t="shared" si="282"/>
        <v>1294.9459</v>
      </c>
      <c r="H1155">
        <f t="shared" si="286"/>
        <v>60000000</v>
      </c>
      <c r="I1155">
        <f t="shared" si="285"/>
        <v>28800000</v>
      </c>
      <c r="K1155">
        <f t="shared" si="287"/>
        <v>108527382</v>
      </c>
      <c r="M1155">
        <f t="shared" si="283"/>
        <v>28412744</v>
      </c>
      <c r="N1155">
        <f t="shared" si="288"/>
        <v>145536470</v>
      </c>
      <c r="O1155">
        <f t="shared" ref="O1155:O1218" si="291">IF(H1155&gt;H1156,(H1155-H1156)/M1156,0)</f>
        <v>0.393509455048431</v>
      </c>
    </row>
    <row r="1156" ht="13.85" spans="1:15">
      <c r="A1156" s="43">
        <v>40192</v>
      </c>
      <c r="B1156" s="11">
        <v>23152118</v>
      </c>
      <c r="C1156" s="11">
        <v>2260232</v>
      </c>
      <c r="D1156" s="11">
        <v>50</v>
      </c>
      <c r="E1156">
        <f t="shared" si="289"/>
        <v>50</v>
      </c>
      <c r="F1156">
        <f t="shared" ref="F1156:F1219" si="292">B1156/2</f>
        <v>11576059</v>
      </c>
      <c r="G1156">
        <f t="shared" ref="G1156:G1219" si="293">F1156/10000</f>
        <v>1157.6059</v>
      </c>
      <c r="H1156">
        <f t="shared" si="286"/>
        <v>50000000</v>
      </c>
      <c r="I1156">
        <f t="shared" si="285"/>
        <v>24000000</v>
      </c>
      <c r="K1156">
        <f t="shared" si="287"/>
        <v>85375264</v>
      </c>
      <c r="M1156">
        <f t="shared" si="283"/>
        <v>25412350</v>
      </c>
      <c r="N1156">
        <f t="shared" si="288"/>
        <v>117123726</v>
      </c>
      <c r="O1156">
        <f t="shared" si="291"/>
        <v>0.362253018156302</v>
      </c>
    </row>
    <row r="1157" ht="13.9" spans="1:15">
      <c r="A1157" s="42" t="s">
        <v>808</v>
      </c>
      <c r="B1157" s="11">
        <v>25300628</v>
      </c>
      <c r="C1157" s="11">
        <v>2304387</v>
      </c>
      <c r="D1157" s="11">
        <v>40</v>
      </c>
      <c r="E1157">
        <f t="shared" si="289"/>
        <v>40</v>
      </c>
      <c r="F1157">
        <f t="shared" si="292"/>
        <v>12650314</v>
      </c>
      <c r="G1157">
        <f t="shared" si="293"/>
        <v>1265.0314</v>
      </c>
      <c r="H1157">
        <f t="shared" si="286"/>
        <v>40000000</v>
      </c>
      <c r="I1157">
        <f t="shared" si="285"/>
        <v>19200000</v>
      </c>
      <c r="K1157">
        <f t="shared" si="287"/>
        <v>60074636</v>
      </c>
      <c r="M1157">
        <f t="shared" si="283"/>
        <v>27605015</v>
      </c>
      <c r="N1157">
        <f t="shared" si="288"/>
        <v>91711376</v>
      </c>
      <c r="O1157">
        <f t="shared" si="291"/>
        <v>0</v>
      </c>
    </row>
    <row r="1158" ht="13.9" spans="1:15">
      <c r="A1158" s="42" t="s">
        <v>809</v>
      </c>
      <c r="B1158" s="11">
        <v>60074636</v>
      </c>
      <c r="C1158" s="11">
        <v>4031725</v>
      </c>
      <c r="D1158" s="11">
        <v>225</v>
      </c>
      <c r="E1158">
        <f t="shared" si="289"/>
        <v>225</v>
      </c>
      <c r="F1158">
        <f t="shared" si="292"/>
        <v>30037318</v>
      </c>
      <c r="G1158">
        <f t="shared" si="293"/>
        <v>3003.7318</v>
      </c>
      <c r="H1158">
        <f t="shared" si="286"/>
        <v>225000000</v>
      </c>
      <c r="I1158">
        <f t="shared" si="285"/>
        <v>108000000</v>
      </c>
      <c r="K1158">
        <f t="shared" si="287"/>
        <v>407441566</v>
      </c>
      <c r="M1158">
        <f t="shared" si="283"/>
        <v>64106361</v>
      </c>
      <c r="N1158">
        <f t="shared" si="288"/>
        <v>505389435</v>
      </c>
      <c r="O1158">
        <f t="shared" si="291"/>
        <v>0.535426919053623</v>
      </c>
    </row>
    <row r="1159" ht="13.9" spans="1:15">
      <c r="A1159" s="42" t="s">
        <v>810</v>
      </c>
      <c r="B1159" s="11">
        <v>50509168</v>
      </c>
      <c r="C1159" s="11">
        <v>3653219</v>
      </c>
      <c r="D1159" s="11">
        <v>196</v>
      </c>
      <c r="E1159">
        <f t="shared" si="289"/>
        <v>196</v>
      </c>
      <c r="F1159">
        <f t="shared" si="292"/>
        <v>25254584</v>
      </c>
      <c r="G1159">
        <f t="shared" si="293"/>
        <v>2525.4584</v>
      </c>
      <c r="H1159">
        <f t="shared" si="286"/>
        <v>196000000</v>
      </c>
      <c r="I1159">
        <f t="shared" si="285"/>
        <v>94080000</v>
      </c>
      <c r="K1159">
        <f t="shared" si="287"/>
        <v>356932398</v>
      </c>
      <c r="M1159">
        <f t="shared" ref="M1159:M1222" si="294">B1159+C1159</f>
        <v>54162387</v>
      </c>
      <c r="N1159">
        <f t="shared" si="288"/>
        <v>441283074</v>
      </c>
      <c r="O1159">
        <f t="shared" si="291"/>
        <v>0.552962065165562</v>
      </c>
    </row>
    <row r="1160" ht="13.9" spans="1:15">
      <c r="A1160" s="42" t="s">
        <v>811</v>
      </c>
      <c r="B1160" s="11">
        <v>42070548</v>
      </c>
      <c r="C1160" s="11">
        <v>3140510</v>
      </c>
      <c r="D1160" s="11">
        <v>171</v>
      </c>
      <c r="E1160">
        <f t="shared" si="289"/>
        <v>171</v>
      </c>
      <c r="F1160">
        <f t="shared" si="292"/>
        <v>21035274</v>
      </c>
      <c r="G1160">
        <f t="shared" si="293"/>
        <v>2103.5274</v>
      </c>
      <c r="H1160">
        <f t="shared" si="286"/>
        <v>171000000</v>
      </c>
      <c r="I1160">
        <f t="shared" si="285"/>
        <v>82080000</v>
      </c>
      <c r="K1160">
        <f t="shared" si="287"/>
        <v>314861850</v>
      </c>
      <c r="M1160">
        <f t="shared" si="294"/>
        <v>45211058</v>
      </c>
      <c r="N1160">
        <f t="shared" si="288"/>
        <v>387120687</v>
      </c>
      <c r="O1160">
        <f t="shared" si="291"/>
        <v>0.511105901444797</v>
      </c>
    </row>
    <row r="1161" ht="13.9" spans="1:15">
      <c r="A1161" s="42" t="s">
        <v>812</v>
      </c>
      <c r="B1161" s="11">
        <v>39889050</v>
      </c>
      <c r="C1161" s="11">
        <v>3154867</v>
      </c>
      <c r="D1161" s="11">
        <v>149</v>
      </c>
      <c r="E1161">
        <f t="shared" si="289"/>
        <v>149</v>
      </c>
      <c r="F1161">
        <f t="shared" si="292"/>
        <v>19944525</v>
      </c>
      <c r="G1161">
        <f t="shared" si="293"/>
        <v>1994.4525</v>
      </c>
      <c r="H1161">
        <f t="shared" si="286"/>
        <v>149000000</v>
      </c>
      <c r="I1161">
        <f t="shared" si="285"/>
        <v>71520000</v>
      </c>
      <c r="K1161">
        <f t="shared" si="287"/>
        <v>274972800</v>
      </c>
      <c r="M1161">
        <f t="shared" si="294"/>
        <v>43043917</v>
      </c>
      <c r="N1161">
        <f t="shared" si="288"/>
        <v>341909629</v>
      </c>
      <c r="O1161">
        <f t="shared" si="291"/>
        <v>0.58320787074014</v>
      </c>
    </row>
    <row r="1162" ht="13.85" spans="1:15">
      <c r="A1162" s="43">
        <v>40100</v>
      </c>
      <c r="B1162" s="11">
        <v>34954718</v>
      </c>
      <c r="C1162" s="11">
        <v>2767681</v>
      </c>
      <c r="D1162" s="11">
        <v>127</v>
      </c>
      <c r="E1162">
        <f t="shared" ref="E1162:E1203" si="295">IF(RIGHT(D1162,1)="B",VALUE(LEFT(D1162,LEN(D1162)-1))*1000,D1162)</f>
        <v>127</v>
      </c>
      <c r="F1162">
        <f t="shared" si="292"/>
        <v>17477359</v>
      </c>
      <c r="G1162">
        <f t="shared" si="293"/>
        <v>1747.7359</v>
      </c>
      <c r="H1162">
        <f t="shared" si="286"/>
        <v>127000000</v>
      </c>
      <c r="I1162">
        <f t="shared" si="285"/>
        <v>60960000</v>
      </c>
      <c r="K1162">
        <f t="shared" si="287"/>
        <v>240018082</v>
      </c>
      <c r="M1162">
        <f t="shared" si="294"/>
        <v>37722399</v>
      </c>
      <c r="N1162">
        <f t="shared" si="288"/>
        <v>298865712</v>
      </c>
      <c r="O1162">
        <f t="shared" si="291"/>
        <v>0.449686341131847</v>
      </c>
    </row>
    <row r="1163" ht="13.85" spans="1:15">
      <c r="A1163" s="43">
        <v>39978</v>
      </c>
      <c r="B1163" s="11">
        <v>34927144</v>
      </c>
      <c r="C1163" s="11">
        <v>2876984</v>
      </c>
      <c r="D1163" s="11">
        <v>110</v>
      </c>
      <c r="E1163">
        <f t="shared" si="295"/>
        <v>110</v>
      </c>
      <c r="F1163">
        <f t="shared" si="292"/>
        <v>17463572</v>
      </c>
      <c r="G1163">
        <f t="shared" si="293"/>
        <v>1746.3572</v>
      </c>
      <c r="H1163">
        <f t="shared" si="286"/>
        <v>110000000</v>
      </c>
      <c r="I1163">
        <f t="shared" ref="I1163:I1226" si="296">H1163*0.48</f>
        <v>52800000</v>
      </c>
      <c r="K1163">
        <f t="shared" si="287"/>
        <v>205090938</v>
      </c>
      <c r="M1163">
        <f t="shared" si="294"/>
        <v>37804128</v>
      </c>
      <c r="N1163">
        <f t="shared" si="288"/>
        <v>261143313</v>
      </c>
      <c r="O1163">
        <f t="shared" si="291"/>
        <v>0.300610398432329</v>
      </c>
    </row>
    <row r="1164" ht="13.85" spans="1:15">
      <c r="A1164" s="43">
        <v>39886</v>
      </c>
      <c r="B1164" s="11">
        <v>30712716</v>
      </c>
      <c r="C1164" s="11">
        <v>2552933</v>
      </c>
      <c r="D1164" s="11">
        <v>100</v>
      </c>
      <c r="E1164">
        <f t="shared" si="295"/>
        <v>100</v>
      </c>
      <c r="F1164">
        <f t="shared" si="292"/>
        <v>15356358</v>
      </c>
      <c r="G1164">
        <f t="shared" si="293"/>
        <v>1535.6358</v>
      </c>
      <c r="H1164">
        <f t="shared" si="286"/>
        <v>100000000</v>
      </c>
      <c r="I1164">
        <f t="shared" si="296"/>
        <v>48000000</v>
      </c>
      <c r="K1164">
        <f t="shared" si="287"/>
        <v>174378222</v>
      </c>
      <c r="M1164">
        <f t="shared" si="294"/>
        <v>33265649</v>
      </c>
      <c r="N1164">
        <f t="shared" si="288"/>
        <v>223339185</v>
      </c>
      <c r="O1164">
        <f t="shared" si="291"/>
        <v>0.318691214218625</v>
      </c>
    </row>
    <row r="1165" ht="13.9" spans="1:15">
      <c r="A1165" s="42" t="s">
        <v>813</v>
      </c>
      <c r="B1165" s="11">
        <v>28847454</v>
      </c>
      <c r="C1165" s="11">
        <v>2530882</v>
      </c>
      <c r="D1165" s="11">
        <v>90</v>
      </c>
      <c r="E1165">
        <f t="shared" si="295"/>
        <v>90</v>
      </c>
      <c r="F1165">
        <f t="shared" si="292"/>
        <v>14423727</v>
      </c>
      <c r="G1165">
        <f t="shared" si="293"/>
        <v>1442.3727</v>
      </c>
      <c r="H1165">
        <f t="shared" si="286"/>
        <v>90000000</v>
      </c>
      <c r="I1165">
        <f t="shared" si="296"/>
        <v>43200000</v>
      </c>
      <c r="K1165">
        <f t="shared" si="287"/>
        <v>145530768</v>
      </c>
      <c r="M1165">
        <f t="shared" si="294"/>
        <v>31378336</v>
      </c>
      <c r="N1165">
        <f t="shared" si="288"/>
        <v>190073536</v>
      </c>
      <c r="O1165">
        <f t="shared" si="291"/>
        <v>0.376376715454498</v>
      </c>
    </row>
    <row r="1166" ht="13.9" spans="1:15">
      <c r="A1166" s="42" t="s">
        <v>814</v>
      </c>
      <c r="B1166" s="11">
        <v>24388372</v>
      </c>
      <c r="C1166" s="11">
        <v>2180753</v>
      </c>
      <c r="D1166" s="11">
        <v>80</v>
      </c>
      <c r="E1166">
        <f t="shared" si="295"/>
        <v>80</v>
      </c>
      <c r="F1166">
        <f t="shared" si="292"/>
        <v>12194186</v>
      </c>
      <c r="G1166">
        <f t="shared" si="293"/>
        <v>1219.4186</v>
      </c>
      <c r="H1166">
        <f t="shared" si="286"/>
        <v>80000000</v>
      </c>
      <c r="I1166">
        <f t="shared" si="296"/>
        <v>38400000</v>
      </c>
      <c r="K1166">
        <f t="shared" si="287"/>
        <v>121142396</v>
      </c>
      <c r="M1166">
        <f t="shared" si="294"/>
        <v>26569125</v>
      </c>
      <c r="N1166">
        <f t="shared" si="288"/>
        <v>158695200</v>
      </c>
      <c r="O1166">
        <f t="shared" si="291"/>
        <v>0.362346778041437</v>
      </c>
    </row>
    <row r="1167" ht="13.9" spans="1:15">
      <c r="A1167" s="42" t="s">
        <v>815</v>
      </c>
      <c r="B1167" s="11">
        <v>25311554</v>
      </c>
      <c r="C1167" s="11">
        <v>2286318</v>
      </c>
      <c r="D1167" s="11">
        <v>70</v>
      </c>
      <c r="E1167">
        <f t="shared" si="295"/>
        <v>70</v>
      </c>
      <c r="F1167">
        <f t="shared" si="292"/>
        <v>12655777</v>
      </c>
      <c r="G1167">
        <f t="shared" si="293"/>
        <v>1265.5777</v>
      </c>
      <c r="H1167">
        <f t="shared" si="286"/>
        <v>70000000</v>
      </c>
      <c r="I1167">
        <f t="shared" si="296"/>
        <v>33600000</v>
      </c>
      <c r="K1167">
        <f t="shared" si="287"/>
        <v>95830842</v>
      </c>
      <c r="M1167">
        <f t="shared" si="294"/>
        <v>27597872</v>
      </c>
      <c r="N1167">
        <f t="shared" si="288"/>
        <v>132126075</v>
      </c>
      <c r="O1167">
        <f t="shared" si="291"/>
        <v>0.417578379461825</v>
      </c>
    </row>
    <row r="1168" ht="13.9" spans="1:15">
      <c r="A1168" s="42" t="s">
        <v>816</v>
      </c>
      <c r="B1168" s="11">
        <v>21940568</v>
      </c>
      <c r="C1168" s="11">
        <v>2007032</v>
      </c>
      <c r="D1168" s="11">
        <v>60</v>
      </c>
      <c r="E1168">
        <f t="shared" si="295"/>
        <v>60</v>
      </c>
      <c r="F1168">
        <f t="shared" si="292"/>
        <v>10970284</v>
      </c>
      <c r="G1168">
        <f t="shared" si="293"/>
        <v>1097.0284</v>
      </c>
      <c r="H1168">
        <f t="shared" ref="H1168:H1231" si="297">E1168*1000000</f>
        <v>60000000</v>
      </c>
      <c r="I1168">
        <f t="shared" si="296"/>
        <v>28800000</v>
      </c>
      <c r="K1168">
        <f t="shared" si="287"/>
        <v>73890274</v>
      </c>
      <c r="M1168">
        <f t="shared" si="294"/>
        <v>23947600</v>
      </c>
      <c r="N1168">
        <f t="shared" si="288"/>
        <v>104528203</v>
      </c>
      <c r="O1168">
        <f t="shared" si="291"/>
        <v>0.37941345108708</v>
      </c>
    </row>
    <row r="1169" ht="13.9" spans="1:15">
      <c r="A1169" s="42" t="s">
        <v>817</v>
      </c>
      <c r="B1169" s="11">
        <v>24143578</v>
      </c>
      <c r="C1169" s="11">
        <v>2212894</v>
      </c>
      <c r="D1169" s="11">
        <v>50</v>
      </c>
      <c r="E1169">
        <f t="shared" si="295"/>
        <v>50</v>
      </c>
      <c r="F1169">
        <f t="shared" si="292"/>
        <v>12071789</v>
      </c>
      <c r="G1169">
        <f t="shared" si="293"/>
        <v>1207.1789</v>
      </c>
      <c r="H1169">
        <f t="shared" si="297"/>
        <v>50000000</v>
      </c>
      <c r="I1169">
        <f t="shared" si="296"/>
        <v>24000000</v>
      </c>
      <c r="K1169">
        <f t="shared" ref="K1169:K1232" si="298">IF(E1169&gt;E1170,B1170+K1170,B1170)</f>
        <v>49746696</v>
      </c>
      <c r="M1169">
        <f t="shared" si="294"/>
        <v>26356472</v>
      </c>
      <c r="N1169">
        <f t="shared" si="288"/>
        <v>80580603</v>
      </c>
      <c r="O1169">
        <f t="shared" si="291"/>
        <v>0.431702337439355</v>
      </c>
    </row>
    <row r="1170" ht="13.9" spans="1:15">
      <c r="A1170" s="42" t="s">
        <v>818</v>
      </c>
      <c r="B1170" s="11">
        <v>21209742</v>
      </c>
      <c r="C1170" s="11">
        <v>1954367</v>
      </c>
      <c r="D1170" s="11">
        <v>40</v>
      </c>
      <c r="E1170">
        <f t="shared" si="295"/>
        <v>40</v>
      </c>
      <c r="F1170">
        <f t="shared" si="292"/>
        <v>10604871</v>
      </c>
      <c r="G1170">
        <f t="shared" si="293"/>
        <v>1060.4871</v>
      </c>
      <c r="H1170">
        <f t="shared" si="297"/>
        <v>40000000</v>
      </c>
      <c r="I1170">
        <f t="shared" si="296"/>
        <v>19200000</v>
      </c>
      <c r="K1170">
        <f t="shared" si="298"/>
        <v>28536954</v>
      </c>
      <c r="M1170">
        <f t="shared" si="294"/>
        <v>23164109</v>
      </c>
      <c r="N1170">
        <f t="shared" si="288"/>
        <v>54224131</v>
      </c>
      <c r="O1170">
        <f t="shared" si="291"/>
        <v>0</v>
      </c>
    </row>
    <row r="1171" ht="13.85" spans="1:15">
      <c r="A1171" s="43">
        <v>39705</v>
      </c>
      <c r="B1171" s="11">
        <v>28536954</v>
      </c>
      <c r="C1171" s="11">
        <v>2523068</v>
      </c>
      <c r="D1171" s="11">
        <v>90</v>
      </c>
      <c r="E1171">
        <f t="shared" si="295"/>
        <v>90</v>
      </c>
      <c r="F1171">
        <f t="shared" si="292"/>
        <v>14268477</v>
      </c>
      <c r="G1171">
        <f t="shared" si="293"/>
        <v>1426.8477</v>
      </c>
      <c r="H1171">
        <f t="shared" si="297"/>
        <v>90000000</v>
      </c>
      <c r="I1171">
        <f t="shared" si="296"/>
        <v>43200000</v>
      </c>
      <c r="K1171">
        <f t="shared" si="298"/>
        <v>149217118</v>
      </c>
      <c r="M1171">
        <f t="shared" si="294"/>
        <v>31060022</v>
      </c>
      <c r="N1171">
        <f t="shared" si="288"/>
        <v>193673140</v>
      </c>
      <c r="O1171">
        <f t="shared" si="291"/>
        <v>0.360727912855351</v>
      </c>
    </row>
    <row r="1172" ht="13.85" spans="1:15">
      <c r="A1172" s="43">
        <v>39613</v>
      </c>
      <c r="B1172" s="11">
        <v>25472092</v>
      </c>
      <c r="C1172" s="11">
        <v>2249633</v>
      </c>
      <c r="D1172" s="11">
        <v>80</v>
      </c>
      <c r="E1172">
        <f t="shared" si="295"/>
        <v>80</v>
      </c>
      <c r="F1172">
        <f t="shared" si="292"/>
        <v>12736046</v>
      </c>
      <c r="G1172">
        <f t="shared" si="293"/>
        <v>1273.6046</v>
      </c>
      <c r="H1172">
        <f t="shared" si="297"/>
        <v>80000000</v>
      </c>
      <c r="I1172">
        <f t="shared" si="296"/>
        <v>38400000</v>
      </c>
      <c r="K1172">
        <f t="shared" si="298"/>
        <v>123745026</v>
      </c>
      <c r="M1172">
        <f t="shared" si="294"/>
        <v>27721725</v>
      </c>
      <c r="N1172">
        <f t="shared" si="288"/>
        <v>162613118</v>
      </c>
      <c r="O1172">
        <f t="shared" si="291"/>
        <v>0.335033135112096</v>
      </c>
    </row>
    <row r="1173" ht="13.85" spans="1:15">
      <c r="A1173" s="43">
        <v>39492</v>
      </c>
      <c r="B1173" s="11">
        <v>27373050</v>
      </c>
      <c r="C1173" s="11">
        <v>2474744</v>
      </c>
      <c r="D1173" s="11">
        <v>70</v>
      </c>
      <c r="E1173">
        <f t="shared" si="295"/>
        <v>70</v>
      </c>
      <c r="F1173">
        <f t="shared" si="292"/>
        <v>13686525</v>
      </c>
      <c r="G1173">
        <f t="shared" si="293"/>
        <v>1368.6525</v>
      </c>
      <c r="H1173">
        <f t="shared" si="297"/>
        <v>70000000</v>
      </c>
      <c r="I1173">
        <f t="shared" si="296"/>
        <v>33600000</v>
      </c>
      <c r="K1173">
        <f t="shared" si="298"/>
        <v>96371976</v>
      </c>
      <c r="M1173">
        <f t="shared" si="294"/>
        <v>29847794</v>
      </c>
      <c r="N1173">
        <f t="shared" si="288"/>
        <v>134891393</v>
      </c>
      <c r="O1173">
        <f t="shared" si="291"/>
        <v>0.400022273240174</v>
      </c>
    </row>
    <row r="1174" ht="13.9" spans="1:15">
      <c r="A1174" s="42" t="s">
        <v>819</v>
      </c>
      <c r="B1174" s="11">
        <v>22939004</v>
      </c>
      <c r="C1174" s="11">
        <v>2059604</v>
      </c>
      <c r="D1174" s="11">
        <v>60</v>
      </c>
      <c r="E1174">
        <f t="shared" si="295"/>
        <v>60</v>
      </c>
      <c r="F1174">
        <f t="shared" si="292"/>
        <v>11469502</v>
      </c>
      <c r="G1174">
        <f t="shared" si="293"/>
        <v>1146.9502</v>
      </c>
      <c r="H1174">
        <f t="shared" si="297"/>
        <v>60000000</v>
      </c>
      <c r="I1174">
        <f t="shared" si="296"/>
        <v>28800000</v>
      </c>
      <c r="K1174">
        <f t="shared" si="298"/>
        <v>73432972</v>
      </c>
      <c r="M1174">
        <f t="shared" si="294"/>
        <v>24998608</v>
      </c>
      <c r="N1174">
        <f t="shared" si="288"/>
        <v>105043599</v>
      </c>
      <c r="O1174">
        <f t="shared" si="291"/>
        <v>0.367728324079266</v>
      </c>
    </row>
    <row r="1175" ht="13.9" spans="1:15">
      <c r="A1175" s="42" t="s">
        <v>820</v>
      </c>
      <c r="B1175" s="11">
        <v>24930534</v>
      </c>
      <c r="C1175" s="11">
        <v>2263455</v>
      </c>
      <c r="D1175" s="11">
        <v>50</v>
      </c>
      <c r="E1175">
        <f t="shared" si="295"/>
        <v>50</v>
      </c>
      <c r="F1175">
        <f t="shared" si="292"/>
        <v>12465267</v>
      </c>
      <c r="G1175">
        <f t="shared" si="293"/>
        <v>1246.5267</v>
      </c>
      <c r="H1175">
        <f t="shared" si="297"/>
        <v>50000000</v>
      </c>
      <c r="I1175">
        <f t="shared" si="296"/>
        <v>24000000</v>
      </c>
      <c r="K1175">
        <f t="shared" si="298"/>
        <v>48502438</v>
      </c>
      <c r="M1175">
        <f t="shared" si="294"/>
        <v>27193989</v>
      </c>
      <c r="N1175">
        <f t="shared" si="288"/>
        <v>80044991</v>
      </c>
      <c r="O1175">
        <f t="shared" si="291"/>
        <v>0.420029457505914</v>
      </c>
    </row>
    <row r="1176" ht="13.9" spans="1:15">
      <c r="A1176" s="42" t="s">
        <v>821</v>
      </c>
      <c r="B1176" s="11">
        <v>21826228</v>
      </c>
      <c r="C1176" s="11">
        <v>1981626</v>
      </c>
      <c r="D1176" s="11">
        <v>40</v>
      </c>
      <c r="E1176">
        <f t="shared" si="295"/>
        <v>40</v>
      </c>
      <c r="F1176">
        <f t="shared" si="292"/>
        <v>10913114</v>
      </c>
      <c r="G1176">
        <f t="shared" si="293"/>
        <v>1091.3114</v>
      </c>
      <c r="H1176">
        <f t="shared" si="297"/>
        <v>40000000</v>
      </c>
      <c r="I1176">
        <f t="shared" si="296"/>
        <v>19200000</v>
      </c>
      <c r="K1176">
        <f t="shared" si="298"/>
        <v>26676210</v>
      </c>
      <c r="M1176">
        <f t="shared" si="294"/>
        <v>23807854</v>
      </c>
      <c r="N1176">
        <f t="shared" si="288"/>
        <v>52851002</v>
      </c>
      <c r="O1176">
        <f t="shared" si="291"/>
        <v>0</v>
      </c>
    </row>
    <row r="1177" ht="13.9" spans="1:15">
      <c r="A1177" s="42" t="s">
        <v>822</v>
      </c>
      <c r="B1177" s="11">
        <v>26676210</v>
      </c>
      <c r="C1177" s="11">
        <v>2366938</v>
      </c>
      <c r="D1177" s="11">
        <v>60</v>
      </c>
      <c r="E1177">
        <f t="shared" si="295"/>
        <v>60</v>
      </c>
      <c r="F1177">
        <f t="shared" si="292"/>
        <v>13338105</v>
      </c>
      <c r="G1177">
        <f t="shared" si="293"/>
        <v>1333.8105</v>
      </c>
      <c r="H1177">
        <f t="shared" si="297"/>
        <v>60000000</v>
      </c>
      <c r="I1177">
        <f t="shared" si="296"/>
        <v>28800000</v>
      </c>
      <c r="K1177">
        <f t="shared" si="298"/>
        <v>84237522</v>
      </c>
      <c r="M1177">
        <f t="shared" si="294"/>
        <v>29043148</v>
      </c>
      <c r="N1177">
        <f t="shared" si="288"/>
        <v>120427632</v>
      </c>
      <c r="O1177">
        <f t="shared" si="291"/>
        <v>0.388714543937357</v>
      </c>
    </row>
    <row r="1178" ht="13.9" spans="1:15">
      <c r="A1178" s="42" t="s">
        <v>823</v>
      </c>
      <c r="B1178" s="11">
        <v>23621466</v>
      </c>
      <c r="C1178" s="11">
        <v>2104353</v>
      </c>
      <c r="D1178" s="11">
        <v>50</v>
      </c>
      <c r="E1178">
        <f t="shared" si="295"/>
        <v>50</v>
      </c>
      <c r="F1178">
        <f t="shared" si="292"/>
        <v>11810733</v>
      </c>
      <c r="G1178">
        <f t="shared" si="293"/>
        <v>1181.0733</v>
      </c>
      <c r="H1178">
        <f t="shared" si="297"/>
        <v>50000000</v>
      </c>
      <c r="I1178">
        <f t="shared" si="296"/>
        <v>24000000</v>
      </c>
      <c r="K1178">
        <f t="shared" si="298"/>
        <v>60616056</v>
      </c>
      <c r="M1178">
        <f t="shared" si="294"/>
        <v>25725819</v>
      </c>
      <c r="N1178">
        <f t="shared" si="288"/>
        <v>91384484</v>
      </c>
      <c r="O1178">
        <f t="shared" si="291"/>
        <v>0.360359191627847</v>
      </c>
    </row>
    <row r="1179" ht="13.85" spans="1:15">
      <c r="A1179" s="43">
        <v>39430</v>
      </c>
      <c r="B1179" s="11">
        <v>25471908</v>
      </c>
      <c r="C1179" s="11">
        <v>2278182</v>
      </c>
      <c r="D1179" s="11">
        <v>40</v>
      </c>
      <c r="E1179">
        <f t="shared" si="295"/>
        <v>40</v>
      </c>
      <c r="F1179">
        <f t="shared" si="292"/>
        <v>12735954</v>
      </c>
      <c r="G1179">
        <f t="shared" si="293"/>
        <v>1273.5954</v>
      </c>
      <c r="H1179">
        <f t="shared" si="297"/>
        <v>40000000</v>
      </c>
      <c r="I1179">
        <f t="shared" si="296"/>
        <v>19200000</v>
      </c>
      <c r="K1179">
        <f t="shared" si="298"/>
        <v>35144148</v>
      </c>
      <c r="M1179">
        <f t="shared" si="294"/>
        <v>27750090</v>
      </c>
      <c r="N1179">
        <f t="shared" si="288"/>
        <v>65658665</v>
      </c>
      <c r="O1179">
        <f t="shared" si="291"/>
        <v>0</v>
      </c>
    </row>
    <row r="1180" ht="13.85" spans="1:15">
      <c r="A1180" s="43">
        <v>39339</v>
      </c>
      <c r="B1180" s="11">
        <v>35144148</v>
      </c>
      <c r="C1180" s="11">
        <v>2764427</v>
      </c>
      <c r="D1180" s="11">
        <v>122</v>
      </c>
      <c r="E1180">
        <f t="shared" si="295"/>
        <v>122</v>
      </c>
      <c r="F1180">
        <f t="shared" si="292"/>
        <v>17572074</v>
      </c>
      <c r="G1180">
        <f t="shared" si="293"/>
        <v>1757.2074</v>
      </c>
      <c r="H1180">
        <f t="shared" si="297"/>
        <v>122000000</v>
      </c>
      <c r="I1180">
        <f t="shared" si="296"/>
        <v>58560000</v>
      </c>
      <c r="K1180">
        <f t="shared" si="298"/>
        <v>259417944</v>
      </c>
      <c r="M1180">
        <f t="shared" si="294"/>
        <v>37908575</v>
      </c>
      <c r="N1180">
        <f t="shared" si="288"/>
        <v>318176798</v>
      </c>
      <c r="O1180">
        <f t="shared" si="291"/>
        <v>0.579334029600879</v>
      </c>
    </row>
    <row r="1181" ht="13.85" spans="1:15">
      <c r="A1181" s="43">
        <v>39216</v>
      </c>
      <c r="B1181" s="11">
        <v>33479402</v>
      </c>
      <c r="C1181" s="11">
        <v>2769116</v>
      </c>
      <c r="D1181" s="11">
        <v>101</v>
      </c>
      <c r="E1181">
        <f t="shared" si="295"/>
        <v>101</v>
      </c>
      <c r="F1181">
        <f t="shared" si="292"/>
        <v>16739701</v>
      </c>
      <c r="G1181">
        <f t="shared" si="293"/>
        <v>1673.9701</v>
      </c>
      <c r="H1181">
        <f t="shared" si="297"/>
        <v>101000000</v>
      </c>
      <c r="I1181">
        <f t="shared" si="296"/>
        <v>48480000</v>
      </c>
      <c r="K1181">
        <f t="shared" si="298"/>
        <v>225938542</v>
      </c>
      <c r="M1181">
        <f t="shared" si="294"/>
        <v>36248518</v>
      </c>
      <c r="N1181">
        <f t="shared" si="288"/>
        <v>280268223</v>
      </c>
      <c r="O1181">
        <f t="shared" si="291"/>
        <v>0.357227733524478</v>
      </c>
    </row>
    <row r="1182" ht="13.85" spans="1:15">
      <c r="A1182" s="43">
        <v>39127</v>
      </c>
      <c r="B1182" s="11">
        <v>28407434</v>
      </c>
      <c r="C1182" s="11">
        <v>2385248</v>
      </c>
      <c r="D1182" s="11">
        <v>90</v>
      </c>
      <c r="E1182">
        <f t="shared" si="295"/>
        <v>90</v>
      </c>
      <c r="F1182">
        <f t="shared" si="292"/>
        <v>14203717</v>
      </c>
      <c r="G1182">
        <f t="shared" si="293"/>
        <v>1420.3717</v>
      </c>
      <c r="H1182">
        <f t="shared" si="297"/>
        <v>90000000</v>
      </c>
      <c r="I1182">
        <f t="shared" si="296"/>
        <v>43200000</v>
      </c>
      <c r="K1182">
        <f t="shared" si="298"/>
        <v>197531108</v>
      </c>
      <c r="M1182">
        <f t="shared" si="294"/>
        <v>30792682</v>
      </c>
      <c r="N1182">
        <f t="shared" si="288"/>
        <v>244019705</v>
      </c>
      <c r="O1182">
        <f t="shared" si="291"/>
        <v>0.321356835401286</v>
      </c>
    </row>
    <row r="1183" ht="13.9" spans="1:15">
      <c r="A1183" s="42" t="s">
        <v>824</v>
      </c>
      <c r="B1183" s="11">
        <v>28651984</v>
      </c>
      <c r="C1183" s="11">
        <v>2466072</v>
      </c>
      <c r="D1183" s="11">
        <v>80</v>
      </c>
      <c r="E1183">
        <f t="shared" si="295"/>
        <v>80</v>
      </c>
      <c r="F1183">
        <f t="shared" si="292"/>
        <v>14325992</v>
      </c>
      <c r="G1183">
        <f t="shared" si="293"/>
        <v>1432.5992</v>
      </c>
      <c r="H1183">
        <f t="shared" si="297"/>
        <v>80000000</v>
      </c>
      <c r="I1183">
        <f t="shared" si="296"/>
        <v>38400000</v>
      </c>
      <c r="K1183">
        <f t="shared" si="298"/>
        <v>168879124</v>
      </c>
      <c r="M1183">
        <f t="shared" si="294"/>
        <v>31118056</v>
      </c>
      <c r="N1183">
        <f t="shared" ref="N1183:N1246" si="299">IF(H1183&lt;H1184,M1183+M1184,M1183+N1184)</f>
        <v>213227023</v>
      </c>
      <c r="O1183">
        <f t="shared" si="291"/>
        <v>0.360206036412003</v>
      </c>
    </row>
    <row r="1184" ht="13.9" spans="1:15">
      <c r="A1184" s="42" t="s">
        <v>825</v>
      </c>
      <c r="B1184" s="11">
        <v>25561176</v>
      </c>
      <c r="C1184" s="11">
        <v>2200713</v>
      </c>
      <c r="D1184" s="11">
        <v>70</v>
      </c>
      <c r="E1184">
        <f t="shared" si="295"/>
        <v>70</v>
      </c>
      <c r="F1184">
        <f t="shared" si="292"/>
        <v>12780588</v>
      </c>
      <c r="G1184">
        <f t="shared" si="293"/>
        <v>1278.0588</v>
      </c>
      <c r="H1184">
        <f t="shared" si="297"/>
        <v>70000000</v>
      </c>
      <c r="I1184">
        <f t="shared" si="296"/>
        <v>33600000</v>
      </c>
      <c r="K1184">
        <f t="shared" si="298"/>
        <v>143317948</v>
      </c>
      <c r="M1184">
        <f t="shared" si="294"/>
        <v>27761889</v>
      </c>
      <c r="N1184">
        <f t="shared" si="299"/>
        <v>182108967</v>
      </c>
      <c r="O1184">
        <f t="shared" si="291"/>
        <v>0.340486894897756</v>
      </c>
    </row>
    <row r="1185" ht="13.9" spans="1:15">
      <c r="A1185" s="42" t="s">
        <v>826</v>
      </c>
      <c r="B1185" s="11">
        <v>27010302</v>
      </c>
      <c r="C1185" s="11">
        <v>2359404</v>
      </c>
      <c r="D1185" s="11">
        <v>60</v>
      </c>
      <c r="E1185">
        <f t="shared" si="295"/>
        <v>60</v>
      </c>
      <c r="F1185">
        <f t="shared" si="292"/>
        <v>13505151</v>
      </c>
      <c r="G1185">
        <f t="shared" si="293"/>
        <v>1350.5151</v>
      </c>
      <c r="H1185">
        <f t="shared" si="297"/>
        <v>60000000</v>
      </c>
      <c r="I1185">
        <f t="shared" si="296"/>
        <v>28800000</v>
      </c>
      <c r="K1185">
        <f t="shared" si="298"/>
        <v>116307646</v>
      </c>
      <c r="M1185">
        <f t="shared" si="294"/>
        <v>29369706</v>
      </c>
      <c r="N1185">
        <f t="shared" si="299"/>
        <v>154347078</v>
      </c>
      <c r="O1185">
        <f t="shared" si="291"/>
        <v>0.384953388496384</v>
      </c>
    </row>
    <row r="1186" ht="13.9" spans="1:15">
      <c r="A1186" s="42" t="s">
        <v>827</v>
      </c>
      <c r="B1186" s="11">
        <v>23884472</v>
      </c>
      <c r="C1186" s="11">
        <v>2092699</v>
      </c>
      <c r="D1186" s="11">
        <v>50</v>
      </c>
      <c r="E1186">
        <f t="shared" si="295"/>
        <v>50</v>
      </c>
      <c r="F1186">
        <f t="shared" si="292"/>
        <v>11942236</v>
      </c>
      <c r="G1186">
        <f t="shared" si="293"/>
        <v>1194.2236</v>
      </c>
      <c r="H1186">
        <f t="shared" si="297"/>
        <v>50000000</v>
      </c>
      <c r="I1186">
        <f t="shared" si="296"/>
        <v>24000000</v>
      </c>
      <c r="K1186">
        <f t="shared" si="298"/>
        <v>92423174</v>
      </c>
      <c r="M1186">
        <f t="shared" si="294"/>
        <v>25977171</v>
      </c>
      <c r="N1186">
        <f t="shared" si="299"/>
        <v>124977372</v>
      </c>
      <c r="O1186">
        <f t="shared" si="291"/>
        <v>0.338964126307931</v>
      </c>
    </row>
    <row r="1187" ht="13.9" spans="1:15">
      <c r="A1187" s="42" t="s">
        <v>828</v>
      </c>
      <c r="B1187" s="11">
        <v>27136016</v>
      </c>
      <c r="C1187" s="11">
        <v>2365631</v>
      </c>
      <c r="D1187" s="11">
        <v>40</v>
      </c>
      <c r="E1187">
        <f t="shared" si="295"/>
        <v>40</v>
      </c>
      <c r="F1187">
        <f t="shared" si="292"/>
        <v>13568008</v>
      </c>
      <c r="G1187">
        <f t="shared" si="293"/>
        <v>1356.8008</v>
      </c>
      <c r="H1187">
        <f t="shared" si="297"/>
        <v>40000000</v>
      </c>
      <c r="I1187">
        <f t="shared" si="296"/>
        <v>19200000</v>
      </c>
      <c r="K1187">
        <f t="shared" si="298"/>
        <v>65287158</v>
      </c>
      <c r="M1187">
        <f t="shared" si="294"/>
        <v>29501647</v>
      </c>
      <c r="N1187">
        <f t="shared" si="299"/>
        <v>99000201</v>
      </c>
      <c r="O1187">
        <f t="shared" si="291"/>
        <v>0</v>
      </c>
    </row>
    <row r="1188" ht="13.85" spans="1:15">
      <c r="A1188" s="43">
        <v>39035</v>
      </c>
      <c r="B1188" s="11">
        <v>65287158</v>
      </c>
      <c r="C1188" s="11">
        <v>4211396</v>
      </c>
      <c r="D1188" s="11">
        <v>257</v>
      </c>
      <c r="E1188">
        <f t="shared" si="295"/>
        <v>257</v>
      </c>
      <c r="F1188">
        <f t="shared" si="292"/>
        <v>32643579</v>
      </c>
      <c r="G1188">
        <f t="shared" si="293"/>
        <v>3264.3579</v>
      </c>
      <c r="H1188">
        <f t="shared" si="297"/>
        <v>257000000</v>
      </c>
      <c r="I1188">
        <f t="shared" si="296"/>
        <v>123360000</v>
      </c>
      <c r="K1188">
        <f t="shared" si="298"/>
        <v>470257694</v>
      </c>
      <c r="M1188">
        <f t="shared" si="294"/>
        <v>69498554</v>
      </c>
      <c r="N1188">
        <f t="shared" si="299"/>
        <v>577390933</v>
      </c>
      <c r="O1188">
        <f t="shared" si="291"/>
        <v>0.588374081180326</v>
      </c>
    </row>
    <row r="1189" ht="13.85" spans="1:15">
      <c r="A1189" s="43">
        <v>38912</v>
      </c>
      <c r="B1189" s="11">
        <v>57251954</v>
      </c>
      <c r="C1189" s="11">
        <v>3933610</v>
      </c>
      <c r="D1189" s="11">
        <v>221</v>
      </c>
      <c r="E1189">
        <f t="shared" si="295"/>
        <v>221</v>
      </c>
      <c r="F1189">
        <f t="shared" si="292"/>
        <v>28625977</v>
      </c>
      <c r="G1189">
        <f t="shared" si="293"/>
        <v>2862.5977</v>
      </c>
      <c r="H1189">
        <f t="shared" si="297"/>
        <v>221000000</v>
      </c>
      <c r="I1189">
        <f t="shared" si="296"/>
        <v>106080000</v>
      </c>
      <c r="K1189">
        <f t="shared" si="298"/>
        <v>413005740</v>
      </c>
      <c r="M1189">
        <f t="shared" si="294"/>
        <v>61185564</v>
      </c>
      <c r="N1189">
        <f t="shared" si="299"/>
        <v>507892379</v>
      </c>
      <c r="O1189">
        <f t="shared" si="291"/>
        <v>0.57998206695449</v>
      </c>
    </row>
    <row r="1190" ht="13.85" spans="1:15">
      <c r="A1190" s="43">
        <v>38821</v>
      </c>
      <c r="B1190" s="11">
        <v>46708576</v>
      </c>
      <c r="C1190" s="11">
        <v>3292970</v>
      </c>
      <c r="D1190" s="11">
        <v>192</v>
      </c>
      <c r="E1190">
        <f t="shared" si="295"/>
        <v>192</v>
      </c>
      <c r="F1190">
        <f t="shared" si="292"/>
        <v>23354288</v>
      </c>
      <c r="G1190">
        <f t="shared" si="293"/>
        <v>2335.4288</v>
      </c>
      <c r="H1190">
        <f t="shared" si="297"/>
        <v>192000000</v>
      </c>
      <c r="I1190">
        <f t="shared" si="296"/>
        <v>92160000</v>
      </c>
      <c r="K1190">
        <f t="shared" si="298"/>
        <v>366297164</v>
      </c>
      <c r="M1190">
        <f t="shared" si="294"/>
        <v>50001546</v>
      </c>
      <c r="N1190">
        <f t="shared" si="299"/>
        <v>446706815</v>
      </c>
      <c r="O1190">
        <f t="shared" si="291"/>
        <v>0.408044472208649</v>
      </c>
    </row>
    <row r="1191" ht="13.9" spans="1:15">
      <c r="A1191" s="42" t="s">
        <v>829</v>
      </c>
      <c r="B1191" s="11">
        <v>43305488</v>
      </c>
      <c r="C1191" s="11">
        <v>3258064</v>
      </c>
      <c r="D1191" s="11">
        <v>173</v>
      </c>
      <c r="E1191">
        <f t="shared" si="295"/>
        <v>173</v>
      </c>
      <c r="F1191">
        <f t="shared" si="292"/>
        <v>21652744</v>
      </c>
      <c r="G1191">
        <f t="shared" si="293"/>
        <v>2165.2744</v>
      </c>
      <c r="H1191">
        <f t="shared" si="297"/>
        <v>173000000</v>
      </c>
      <c r="I1191">
        <f t="shared" si="296"/>
        <v>83040000</v>
      </c>
      <c r="K1191">
        <f t="shared" si="298"/>
        <v>322991676</v>
      </c>
      <c r="M1191">
        <f t="shared" si="294"/>
        <v>46563552</v>
      </c>
      <c r="N1191">
        <f t="shared" si="299"/>
        <v>396705269</v>
      </c>
      <c r="O1191">
        <f t="shared" si="291"/>
        <v>0.554713037436368</v>
      </c>
    </row>
    <row r="1192" ht="13.9" spans="1:15">
      <c r="A1192" s="42" t="s">
        <v>830</v>
      </c>
      <c r="B1192" s="11">
        <v>35176564</v>
      </c>
      <c r="C1192" s="11">
        <v>2680848</v>
      </c>
      <c r="D1192" s="11">
        <v>152</v>
      </c>
      <c r="E1192">
        <f t="shared" si="295"/>
        <v>152</v>
      </c>
      <c r="F1192">
        <f t="shared" si="292"/>
        <v>17588282</v>
      </c>
      <c r="G1192">
        <f t="shared" si="293"/>
        <v>1758.8282</v>
      </c>
      <c r="H1192">
        <f t="shared" si="297"/>
        <v>152000000</v>
      </c>
      <c r="I1192">
        <f t="shared" si="296"/>
        <v>72960000</v>
      </c>
      <c r="K1192">
        <f t="shared" si="298"/>
        <v>287815112</v>
      </c>
      <c r="M1192">
        <f t="shared" si="294"/>
        <v>37857412</v>
      </c>
      <c r="N1192">
        <f t="shared" si="299"/>
        <v>350141717</v>
      </c>
      <c r="O1192">
        <f t="shared" si="291"/>
        <v>0.516500259321868</v>
      </c>
    </row>
    <row r="1193" ht="13.9" spans="1:15">
      <c r="A1193" s="42" t="s">
        <v>831</v>
      </c>
      <c r="B1193" s="11">
        <v>35858982</v>
      </c>
      <c r="C1193" s="11">
        <v>2863167</v>
      </c>
      <c r="D1193" s="11">
        <v>132</v>
      </c>
      <c r="E1193">
        <f t="shared" si="295"/>
        <v>132</v>
      </c>
      <c r="F1193">
        <f t="shared" si="292"/>
        <v>17929491</v>
      </c>
      <c r="G1193">
        <f t="shared" si="293"/>
        <v>1792.9491</v>
      </c>
      <c r="H1193">
        <f t="shared" si="297"/>
        <v>132000000</v>
      </c>
      <c r="I1193">
        <f t="shared" si="296"/>
        <v>63360000</v>
      </c>
      <c r="K1193">
        <f t="shared" si="298"/>
        <v>251956130</v>
      </c>
      <c r="M1193">
        <f t="shared" si="294"/>
        <v>38722149</v>
      </c>
      <c r="N1193">
        <f t="shared" si="299"/>
        <v>312284305</v>
      </c>
      <c r="O1193">
        <f t="shared" si="291"/>
        <v>0.554182141689842</v>
      </c>
    </row>
    <row r="1194" ht="13.9" spans="1:15">
      <c r="A1194" s="42" t="s">
        <v>832</v>
      </c>
      <c r="B1194" s="11">
        <v>30025930</v>
      </c>
      <c r="C1194" s="11">
        <v>2454366</v>
      </c>
      <c r="D1194" s="11">
        <v>114</v>
      </c>
      <c r="E1194">
        <f t="shared" si="295"/>
        <v>114</v>
      </c>
      <c r="F1194">
        <f t="shared" si="292"/>
        <v>15012965</v>
      </c>
      <c r="G1194">
        <f t="shared" si="293"/>
        <v>1501.2965</v>
      </c>
      <c r="H1194">
        <f t="shared" si="297"/>
        <v>114000000</v>
      </c>
      <c r="I1194">
        <f t="shared" si="296"/>
        <v>54720000</v>
      </c>
      <c r="K1194">
        <f t="shared" si="298"/>
        <v>221930200</v>
      </c>
      <c r="M1194">
        <f t="shared" si="294"/>
        <v>32480296</v>
      </c>
      <c r="N1194">
        <f t="shared" si="299"/>
        <v>273562156</v>
      </c>
      <c r="O1194">
        <f t="shared" si="291"/>
        <v>0.412374292115345</v>
      </c>
    </row>
    <row r="1195" ht="13.9" spans="1:15">
      <c r="A1195" s="42" t="s">
        <v>833</v>
      </c>
      <c r="B1195" s="11">
        <v>31308206</v>
      </c>
      <c r="C1195" s="11">
        <v>2641534</v>
      </c>
      <c r="D1195" s="11">
        <v>100</v>
      </c>
      <c r="E1195">
        <f t="shared" si="295"/>
        <v>100</v>
      </c>
      <c r="F1195">
        <f t="shared" si="292"/>
        <v>15654103</v>
      </c>
      <c r="G1195">
        <f t="shared" si="293"/>
        <v>1565.4103</v>
      </c>
      <c r="H1195">
        <f t="shared" si="297"/>
        <v>100000000</v>
      </c>
      <c r="I1195">
        <f t="shared" si="296"/>
        <v>48000000</v>
      </c>
      <c r="K1195">
        <f t="shared" si="298"/>
        <v>190621994</v>
      </c>
      <c r="M1195">
        <f t="shared" si="294"/>
        <v>33949740</v>
      </c>
      <c r="N1195">
        <f t="shared" si="299"/>
        <v>241081860</v>
      </c>
      <c r="O1195">
        <f t="shared" si="291"/>
        <v>0.361162962073699</v>
      </c>
    </row>
    <row r="1196" ht="13.9" spans="1:15">
      <c r="A1196" s="42" t="s">
        <v>834</v>
      </c>
      <c r="B1196" s="11">
        <v>25483670</v>
      </c>
      <c r="C1196" s="11">
        <v>2204662</v>
      </c>
      <c r="D1196" s="11">
        <v>90</v>
      </c>
      <c r="E1196">
        <f t="shared" si="295"/>
        <v>90</v>
      </c>
      <c r="F1196">
        <f t="shared" si="292"/>
        <v>12741835</v>
      </c>
      <c r="G1196">
        <f t="shared" si="293"/>
        <v>1274.1835</v>
      </c>
      <c r="H1196">
        <f t="shared" si="297"/>
        <v>90000000</v>
      </c>
      <c r="I1196">
        <f t="shared" si="296"/>
        <v>43200000</v>
      </c>
      <c r="K1196">
        <f t="shared" si="298"/>
        <v>165138324</v>
      </c>
      <c r="M1196">
        <f t="shared" si="294"/>
        <v>27688332</v>
      </c>
      <c r="N1196">
        <f t="shared" si="299"/>
        <v>207132120</v>
      </c>
      <c r="O1196">
        <f t="shared" si="291"/>
        <v>0.332739205299657</v>
      </c>
    </row>
    <row r="1197" ht="13.85" spans="1:15">
      <c r="A1197" s="43">
        <v>38639</v>
      </c>
      <c r="B1197" s="11">
        <v>27631562</v>
      </c>
      <c r="C1197" s="11">
        <v>2422005</v>
      </c>
      <c r="D1197" s="11">
        <v>80</v>
      </c>
      <c r="E1197">
        <f t="shared" si="295"/>
        <v>80</v>
      </c>
      <c r="F1197">
        <f t="shared" si="292"/>
        <v>13815781</v>
      </c>
      <c r="G1197">
        <f t="shared" si="293"/>
        <v>1381.5781</v>
      </c>
      <c r="H1197">
        <f t="shared" si="297"/>
        <v>80000000</v>
      </c>
      <c r="I1197">
        <f t="shared" si="296"/>
        <v>38400000</v>
      </c>
      <c r="K1197">
        <f t="shared" si="298"/>
        <v>137506762</v>
      </c>
      <c r="M1197">
        <f t="shared" si="294"/>
        <v>30053567</v>
      </c>
      <c r="N1197">
        <f t="shared" si="299"/>
        <v>179443788</v>
      </c>
      <c r="O1197">
        <f t="shared" si="291"/>
        <v>0.371999715345818</v>
      </c>
    </row>
    <row r="1198" ht="13.85" spans="1:15">
      <c r="A1198" s="43">
        <v>38547</v>
      </c>
      <c r="B1198" s="11">
        <v>24688484</v>
      </c>
      <c r="C1198" s="11">
        <v>2193257</v>
      </c>
      <c r="D1198" s="11">
        <v>70</v>
      </c>
      <c r="E1198">
        <f t="shared" si="295"/>
        <v>70</v>
      </c>
      <c r="F1198">
        <f t="shared" si="292"/>
        <v>12344242</v>
      </c>
      <c r="G1198">
        <f t="shared" si="293"/>
        <v>1234.4242</v>
      </c>
      <c r="H1198">
        <f t="shared" si="297"/>
        <v>70000000</v>
      </c>
      <c r="I1198">
        <f t="shared" si="296"/>
        <v>33600000</v>
      </c>
      <c r="K1198">
        <f t="shared" si="298"/>
        <v>112818278</v>
      </c>
      <c r="M1198">
        <f t="shared" si="294"/>
        <v>26881741</v>
      </c>
      <c r="N1198">
        <f t="shared" si="299"/>
        <v>149390221</v>
      </c>
      <c r="O1198">
        <f t="shared" si="291"/>
        <v>0.340528588907417</v>
      </c>
    </row>
    <row r="1199" ht="13.85" spans="1:15">
      <c r="A1199" s="43">
        <v>38425</v>
      </c>
      <c r="B1199" s="11">
        <v>26942550</v>
      </c>
      <c r="C1199" s="11">
        <v>2423560</v>
      </c>
      <c r="D1199" s="11">
        <v>60</v>
      </c>
      <c r="E1199">
        <f t="shared" si="295"/>
        <v>60</v>
      </c>
      <c r="F1199">
        <f t="shared" si="292"/>
        <v>13471275</v>
      </c>
      <c r="G1199">
        <f t="shared" si="293"/>
        <v>1347.1275</v>
      </c>
      <c r="H1199">
        <f t="shared" si="297"/>
        <v>60000000</v>
      </c>
      <c r="I1199">
        <f t="shared" si="296"/>
        <v>28800000</v>
      </c>
      <c r="K1199">
        <f t="shared" si="298"/>
        <v>85875728</v>
      </c>
      <c r="M1199">
        <f t="shared" si="294"/>
        <v>29366110</v>
      </c>
      <c r="N1199">
        <f t="shared" si="299"/>
        <v>122508480</v>
      </c>
      <c r="O1199">
        <f t="shared" si="291"/>
        <v>0.396450389367803</v>
      </c>
    </row>
    <row r="1200" ht="13.9" spans="1:15">
      <c r="A1200" s="42" t="s">
        <v>835</v>
      </c>
      <c r="B1200" s="11">
        <v>23111638</v>
      </c>
      <c r="C1200" s="11">
        <v>2112199</v>
      </c>
      <c r="D1200" s="11">
        <v>50</v>
      </c>
      <c r="E1200">
        <f t="shared" si="295"/>
        <v>50</v>
      </c>
      <c r="F1200">
        <f t="shared" si="292"/>
        <v>11555819</v>
      </c>
      <c r="G1200">
        <f t="shared" si="293"/>
        <v>1155.5819</v>
      </c>
      <c r="H1200">
        <f t="shared" si="297"/>
        <v>50000000</v>
      </c>
      <c r="I1200">
        <f t="shared" si="296"/>
        <v>24000000</v>
      </c>
      <c r="K1200">
        <f t="shared" si="298"/>
        <v>62764090</v>
      </c>
      <c r="M1200">
        <f t="shared" si="294"/>
        <v>25223837</v>
      </c>
      <c r="N1200">
        <f t="shared" si="299"/>
        <v>93142370</v>
      </c>
      <c r="O1200">
        <f t="shared" si="291"/>
        <v>0.352756655689115</v>
      </c>
    </row>
    <row r="1201" ht="13.9" spans="1:15">
      <c r="A1201" s="42" t="s">
        <v>836</v>
      </c>
      <c r="B1201" s="11">
        <v>26016988</v>
      </c>
      <c r="C1201" s="11">
        <v>2331166</v>
      </c>
      <c r="D1201" s="11">
        <v>40</v>
      </c>
      <c r="E1201">
        <f t="shared" si="295"/>
        <v>40</v>
      </c>
      <c r="F1201">
        <f t="shared" si="292"/>
        <v>13008494</v>
      </c>
      <c r="G1201">
        <f t="shared" si="293"/>
        <v>1300.8494</v>
      </c>
      <c r="H1201">
        <f t="shared" si="297"/>
        <v>40000000</v>
      </c>
      <c r="I1201">
        <f t="shared" si="296"/>
        <v>19200000</v>
      </c>
      <c r="K1201">
        <f t="shared" si="298"/>
        <v>36747102</v>
      </c>
      <c r="M1201">
        <f t="shared" si="294"/>
        <v>28348154</v>
      </c>
      <c r="N1201">
        <f t="shared" si="299"/>
        <v>67918533</v>
      </c>
      <c r="O1201">
        <f t="shared" si="291"/>
        <v>0</v>
      </c>
    </row>
    <row r="1202" ht="13.9" spans="1:15">
      <c r="A1202" s="42" t="s">
        <v>837</v>
      </c>
      <c r="B1202" s="11">
        <v>36747102</v>
      </c>
      <c r="C1202" s="11">
        <v>2823277</v>
      </c>
      <c r="D1202" s="26">
        <v>148.8</v>
      </c>
      <c r="E1202">
        <f t="shared" si="295"/>
        <v>148.8</v>
      </c>
      <c r="F1202">
        <f t="shared" si="292"/>
        <v>18373551</v>
      </c>
      <c r="G1202">
        <f t="shared" si="293"/>
        <v>1837.3551</v>
      </c>
      <c r="H1202">
        <f t="shared" si="297"/>
        <v>148800000</v>
      </c>
      <c r="I1202">
        <f t="shared" si="296"/>
        <v>71424000</v>
      </c>
      <c r="K1202">
        <f t="shared" si="298"/>
        <v>270702220</v>
      </c>
      <c r="M1202">
        <f t="shared" si="294"/>
        <v>39570379</v>
      </c>
      <c r="N1202">
        <f t="shared" si="299"/>
        <v>333187301</v>
      </c>
      <c r="O1202">
        <f t="shared" si="291"/>
        <v>0.51522936252504</v>
      </c>
    </row>
    <row r="1203" ht="13.9" spans="1:15">
      <c r="A1203" s="42" t="s">
        <v>838</v>
      </c>
      <c r="B1203" s="11">
        <v>37392468</v>
      </c>
      <c r="C1203" s="11">
        <v>2977902</v>
      </c>
      <c r="D1203" s="11">
        <v>128</v>
      </c>
      <c r="E1203">
        <f t="shared" si="295"/>
        <v>128</v>
      </c>
      <c r="F1203">
        <f t="shared" si="292"/>
        <v>18696234</v>
      </c>
      <c r="G1203">
        <f t="shared" si="293"/>
        <v>1869.6234</v>
      </c>
      <c r="H1203">
        <f t="shared" si="297"/>
        <v>128000000</v>
      </c>
      <c r="I1203">
        <f t="shared" si="296"/>
        <v>61440000</v>
      </c>
      <c r="K1203">
        <f t="shared" si="298"/>
        <v>233309752</v>
      </c>
      <c r="M1203">
        <f t="shared" si="294"/>
        <v>40370370</v>
      </c>
      <c r="N1203">
        <f t="shared" si="299"/>
        <v>293616922</v>
      </c>
      <c r="O1203">
        <f t="shared" si="291"/>
        <v>0.503562255345677</v>
      </c>
    </row>
    <row r="1204" ht="13.9" spans="1:15">
      <c r="A1204" s="42" t="s">
        <v>839</v>
      </c>
      <c r="B1204" s="11">
        <v>33095206</v>
      </c>
      <c r="C1204" s="11">
        <v>2650126</v>
      </c>
      <c r="D1204" s="11">
        <v>110</v>
      </c>
      <c r="E1204">
        <f t="shared" ref="E1204:E1233" si="300">IF(RIGHT(D1204,1)="B",VALUE(LEFT(D1204,LEN(D1204)-1))*1000,D1204)</f>
        <v>110</v>
      </c>
      <c r="F1204">
        <f t="shared" si="292"/>
        <v>16547603</v>
      </c>
      <c r="G1204">
        <f t="shared" si="293"/>
        <v>1654.7603</v>
      </c>
      <c r="H1204">
        <f t="shared" si="297"/>
        <v>110000000</v>
      </c>
      <c r="I1204">
        <f t="shared" si="296"/>
        <v>52800000</v>
      </c>
      <c r="K1204">
        <f t="shared" si="298"/>
        <v>200214546</v>
      </c>
      <c r="M1204">
        <f t="shared" si="294"/>
        <v>35745332</v>
      </c>
      <c r="N1204">
        <f t="shared" si="299"/>
        <v>253246552</v>
      </c>
      <c r="O1204">
        <f t="shared" si="291"/>
        <v>0.461353897798866</v>
      </c>
    </row>
    <row r="1205" ht="13.85" spans="1:15">
      <c r="A1205" s="43">
        <v>38335</v>
      </c>
      <c r="B1205" s="11">
        <v>31987612</v>
      </c>
      <c r="C1205" s="11">
        <v>2692923</v>
      </c>
      <c r="D1205" s="11">
        <v>94</v>
      </c>
      <c r="E1205">
        <f t="shared" si="300"/>
        <v>94</v>
      </c>
      <c r="F1205">
        <f t="shared" si="292"/>
        <v>15993806</v>
      </c>
      <c r="G1205">
        <f t="shared" si="293"/>
        <v>1599.3806</v>
      </c>
      <c r="H1205">
        <f t="shared" si="297"/>
        <v>94000000</v>
      </c>
      <c r="I1205">
        <f t="shared" si="296"/>
        <v>45120000</v>
      </c>
      <c r="K1205">
        <f t="shared" si="298"/>
        <v>168226934</v>
      </c>
      <c r="M1205">
        <f t="shared" si="294"/>
        <v>34680535</v>
      </c>
      <c r="N1205">
        <f t="shared" si="299"/>
        <v>217501220</v>
      </c>
      <c r="O1205">
        <f t="shared" si="291"/>
        <v>0.460413741600615</v>
      </c>
    </row>
    <row r="1206" ht="13.85" spans="1:15">
      <c r="A1206" s="43">
        <v>38244</v>
      </c>
      <c r="B1206" s="11">
        <v>28003954</v>
      </c>
      <c r="C1206" s="11">
        <v>2403479</v>
      </c>
      <c r="D1206" s="11">
        <v>80</v>
      </c>
      <c r="E1206">
        <f t="shared" si="300"/>
        <v>80</v>
      </c>
      <c r="F1206">
        <f t="shared" si="292"/>
        <v>14001977</v>
      </c>
      <c r="G1206">
        <f t="shared" si="293"/>
        <v>1400.1977</v>
      </c>
      <c r="H1206">
        <f t="shared" si="297"/>
        <v>80000000</v>
      </c>
      <c r="I1206">
        <f t="shared" si="296"/>
        <v>38400000</v>
      </c>
      <c r="K1206">
        <f t="shared" si="298"/>
        <v>140222980</v>
      </c>
      <c r="M1206">
        <f t="shared" si="294"/>
        <v>30407433</v>
      </c>
      <c r="N1206">
        <f t="shared" si="299"/>
        <v>182820685</v>
      </c>
      <c r="O1206">
        <f t="shared" si="291"/>
        <v>0.307838365156637</v>
      </c>
    </row>
    <row r="1207" ht="13.85" spans="1:15">
      <c r="A1207" s="43">
        <v>38121</v>
      </c>
      <c r="B1207" s="11">
        <v>29883772</v>
      </c>
      <c r="C1207" s="11">
        <v>2600808</v>
      </c>
      <c r="D1207" s="11">
        <v>70</v>
      </c>
      <c r="E1207">
        <f t="shared" si="300"/>
        <v>70</v>
      </c>
      <c r="F1207">
        <f t="shared" si="292"/>
        <v>14941886</v>
      </c>
      <c r="G1207">
        <f t="shared" si="293"/>
        <v>1494.1886</v>
      </c>
      <c r="H1207">
        <f t="shared" si="297"/>
        <v>70000000</v>
      </c>
      <c r="I1207">
        <f t="shared" si="296"/>
        <v>33600000</v>
      </c>
      <c r="K1207">
        <f t="shared" si="298"/>
        <v>110339208</v>
      </c>
      <c r="M1207">
        <f t="shared" si="294"/>
        <v>32484580</v>
      </c>
      <c r="N1207">
        <f t="shared" si="299"/>
        <v>152413252</v>
      </c>
      <c r="O1207">
        <f t="shared" si="291"/>
        <v>0.347591876527579</v>
      </c>
    </row>
    <row r="1208" ht="13.85" spans="1:15">
      <c r="A1208" s="43">
        <v>38031</v>
      </c>
      <c r="B1208" s="11">
        <v>26453016</v>
      </c>
      <c r="C1208" s="11">
        <v>2316356</v>
      </c>
      <c r="D1208" s="11">
        <v>60</v>
      </c>
      <c r="E1208">
        <f t="shared" si="300"/>
        <v>60</v>
      </c>
      <c r="F1208">
        <f t="shared" si="292"/>
        <v>13226508</v>
      </c>
      <c r="G1208">
        <f t="shared" si="293"/>
        <v>1322.6508</v>
      </c>
      <c r="H1208">
        <f t="shared" si="297"/>
        <v>60000000</v>
      </c>
      <c r="I1208">
        <f t="shared" si="296"/>
        <v>28800000</v>
      </c>
      <c r="K1208">
        <f t="shared" si="298"/>
        <v>83886192</v>
      </c>
      <c r="M1208">
        <f t="shared" si="294"/>
        <v>28769372</v>
      </c>
      <c r="N1208">
        <f t="shared" si="299"/>
        <v>119928672</v>
      </c>
      <c r="O1208">
        <f t="shared" si="291"/>
        <v>0.333415542492261</v>
      </c>
    </row>
    <row r="1209" ht="13.9" spans="1:15">
      <c r="A1209" s="42" t="s">
        <v>840</v>
      </c>
      <c r="B1209" s="11">
        <v>27573672</v>
      </c>
      <c r="C1209" s="11">
        <v>2418931</v>
      </c>
      <c r="D1209" s="11">
        <v>50</v>
      </c>
      <c r="E1209">
        <f t="shared" si="300"/>
        <v>50</v>
      </c>
      <c r="F1209">
        <f t="shared" si="292"/>
        <v>13786836</v>
      </c>
      <c r="G1209">
        <f t="shared" si="293"/>
        <v>1378.6836</v>
      </c>
      <c r="H1209">
        <f t="shared" si="297"/>
        <v>50000000</v>
      </c>
      <c r="I1209">
        <f t="shared" si="296"/>
        <v>24000000</v>
      </c>
      <c r="K1209">
        <f t="shared" si="298"/>
        <v>56312520</v>
      </c>
      <c r="M1209">
        <f t="shared" si="294"/>
        <v>29992603</v>
      </c>
      <c r="N1209">
        <f t="shared" si="299"/>
        <v>91159300</v>
      </c>
      <c r="O1209">
        <f t="shared" si="291"/>
        <v>0.378957749469971</v>
      </c>
    </row>
    <row r="1210" ht="13.9" spans="1:15">
      <c r="A1210" s="42" t="s">
        <v>841</v>
      </c>
      <c r="B1210" s="11">
        <v>24247664</v>
      </c>
      <c r="C1210" s="11">
        <v>2140502</v>
      </c>
      <c r="D1210" s="11">
        <v>40</v>
      </c>
      <c r="E1210">
        <f t="shared" si="300"/>
        <v>40</v>
      </c>
      <c r="F1210">
        <f t="shared" si="292"/>
        <v>12123832</v>
      </c>
      <c r="G1210">
        <f t="shared" si="293"/>
        <v>1212.3832</v>
      </c>
      <c r="H1210">
        <f t="shared" si="297"/>
        <v>40000000</v>
      </c>
      <c r="I1210">
        <f t="shared" si="296"/>
        <v>19200000</v>
      </c>
      <c r="K1210">
        <f t="shared" si="298"/>
        <v>32064856</v>
      </c>
      <c r="M1210">
        <f t="shared" si="294"/>
        <v>26388166</v>
      </c>
      <c r="N1210">
        <f t="shared" si="299"/>
        <v>61166697</v>
      </c>
      <c r="O1210">
        <f t="shared" si="291"/>
        <v>0</v>
      </c>
    </row>
    <row r="1211" ht="13.9" spans="1:15">
      <c r="A1211" s="42" t="s">
        <v>842</v>
      </c>
      <c r="B1211" s="11">
        <v>32064856</v>
      </c>
      <c r="C1211" s="11">
        <v>2713675</v>
      </c>
      <c r="D1211" s="11">
        <v>96</v>
      </c>
      <c r="E1211">
        <f t="shared" si="300"/>
        <v>96</v>
      </c>
      <c r="F1211">
        <f t="shared" si="292"/>
        <v>16032428</v>
      </c>
      <c r="G1211">
        <f t="shared" si="293"/>
        <v>1603.2428</v>
      </c>
      <c r="H1211">
        <f t="shared" si="297"/>
        <v>96000000</v>
      </c>
      <c r="I1211">
        <f t="shared" si="296"/>
        <v>46080000</v>
      </c>
      <c r="K1211">
        <f t="shared" si="298"/>
        <v>171787390</v>
      </c>
      <c r="M1211">
        <f t="shared" si="294"/>
        <v>34778531</v>
      </c>
      <c r="N1211">
        <f t="shared" si="299"/>
        <v>221669744</v>
      </c>
      <c r="O1211">
        <f t="shared" si="291"/>
        <v>0.497639927094507</v>
      </c>
    </row>
    <row r="1212" ht="13.9" spans="1:15">
      <c r="A1212" s="42" t="s">
        <v>843</v>
      </c>
      <c r="B1212" s="11">
        <v>29630474</v>
      </c>
      <c r="C1212" s="11">
        <v>2521287</v>
      </c>
      <c r="D1212" s="11">
        <v>80</v>
      </c>
      <c r="E1212">
        <f t="shared" si="300"/>
        <v>80</v>
      </c>
      <c r="F1212">
        <f t="shared" si="292"/>
        <v>14815237</v>
      </c>
      <c r="G1212">
        <f t="shared" si="293"/>
        <v>1481.5237</v>
      </c>
      <c r="H1212">
        <f t="shared" si="297"/>
        <v>80000000</v>
      </c>
      <c r="I1212">
        <f t="shared" si="296"/>
        <v>38400000</v>
      </c>
      <c r="K1212">
        <f t="shared" si="298"/>
        <v>142156916</v>
      </c>
      <c r="M1212">
        <f t="shared" si="294"/>
        <v>32151761</v>
      </c>
      <c r="N1212">
        <f t="shared" si="299"/>
        <v>186891213</v>
      </c>
      <c r="O1212">
        <f t="shared" si="291"/>
        <v>0.301068757962516</v>
      </c>
    </row>
    <row r="1213" ht="13.9" spans="1:15">
      <c r="A1213" s="42" t="s">
        <v>844</v>
      </c>
      <c r="B1213" s="11">
        <v>30542376</v>
      </c>
      <c r="C1213" s="11">
        <v>2672628</v>
      </c>
      <c r="D1213" s="11">
        <v>70</v>
      </c>
      <c r="E1213">
        <f t="shared" si="300"/>
        <v>70</v>
      </c>
      <c r="F1213">
        <f t="shared" si="292"/>
        <v>15271188</v>
      </c>
      <c r="G1213">
        <f t="shared" si="293"/>
        <v>1527.1188</v>
      </c>
      <c r="H1213">
        <f t="shared" si="297"/>
        <v>70000000</v>
      </c>
      <c r="I1213">
        <f t="shared" si="296"/>
        <v>33600000</v>
      </c>
      <c r="K1213">
        <f t="shared" si="298"/>
        <v>111614540</v>
      </c>
      <c r="M1213">
        <f t="shared" si="294"/>
        <v>33215004</v>
      </c>
      <c r="N1213">
        <f t="shared" si="299"/>
        <v>154739452</v>
      </c>
      <c r="O1213">
        <f t="shared" si="291"/>
        <v>0.347308940923409</v>
      </c>
    </row>
    <row r="1214" ht="13.85" spans="1:15">
      <c r="A1214" s="43">
        <v>37969</v>
      </c>
      <c r="B1214" s="11">
        <v>26464444</v>
      </c>
      <c r="C1214" s="11">
        <v>2328365</v>
      </c>
      <c r="D1214" s="11">
        <v>60</v>
      </c>
      <c r="E1214">
        <f t="shared" si="300"/>
        <v>60</v>
      </c>
      <c r="F1214">
        <f t="shared" si="292"/>
        <v>13232222</v>
      </c>
      <c r="G1214">
        <f t="shared" si="293"/>
        <v>1323.2222</v>
      </c>
      <c r="H1214">
        <f t="shared" si="297"/>
        <v>60000000</v>
      </c>
      <c r="I1214">
        <f t="shared" si="296"/>
        <v>28800000</v>
      </c>
      <c r="K1214">
        <f t="shared" si="298"/>
        <v>85150096</v>
      </c>
      <c r="M1214">
        <f t="shared" si="294"/>
        <v>28792809</v>
      </c>
      <c r="N1214">
        <f t="shared" si="299"/>
        <v>121524448</v>
      </c>
      <c r="O1214">
        <f t="shared" si="291"/>
        <v>0.318727273550169</v>
      </c>
    </row>
    <row r="1215" ht="13.85" spans="1:15">
      <c r="A1215" s="43">
        <v>37847</v>
      </c>
      <c r="B1215" s="11">
        <v>28814004</v>
      </c>
      <c r="C1215" s="11">
        <v>2560782</v>
      </c>
      <c r="D1215" s="11">
        <v>50</v>
      </c>
      <c r="E1215">
        <f t="shared" si="300"/>
        <v>50</v>
      </c>
      <c r="F1215">
        <f t="shared" si="292"/>
        <v>14407002</v>
      </c>
      <c r="G1215">
        <f t="shared" si="293"/>
        <v>1440.7002</v>
      </c>
      <c r="H1215">
        <f t="shared" si="297"/>
        <v>50000000</v>
      </c>
      <c r="I1215">
        <f t="shared" si="296"/>
        <v>24000000</v>
      </c>
      <c r="K1215">
        <f t="shared" si="298"/>
        <v>56336092</v>
      </c>
      <c r="M1215">
        <f t="shared" si="294"/>
        <v>31374786</v>
      </c>
      <c r="N1215">
        <f t="shared" si="299"/>
        <v>92731639</v>
      </c>
      <c r="O1215">
        <f t="shared" si="291"/>
        <v>0.358707024746193</v>
      </c>
    </row>
    <row r="1216" ht="13.85" spans="1:15">
      <c r="A1216" s="43">
        <v>37755</v>
      </c>
      <c r="B1216" s="11">
        <v>25588276</v>
      </c>
      <c r="C1216" s="11">
        <v>2289628</v>
      </c>
      <c r="D1216" s="11">
        <v>40</v>
      </c>
      <c r="E1216">
        <f t="shared" si="300"/>
        <v>40</v>
      </c>
      <c r="F1216">
        <f t="shared" si="292"/>
        <v>12794138</v>
      </c>
      <c r="G1216">
        <f t="shared" si="293"/>
        <v>1279.4138</v>
      </c>
      <c r="H1216">
        <f t="shared" si="297"/>
        <v>40000000</v>
      </c>
      <c r="I1216">
        <f t="shared" si="296"/>
        <v>19200000</v>
      </c>
      <c r="K1216">
        <f t="shared" si="298"/>
        <v>30747816</v>
      </c>
      <c r="M1216">
        <f t="shared" si="294"/>
        <v>27877904</v>
      </c>
      <c r="N1216">
        <f t="shared" si="299"/>
        <v>61356853</v>
      </c>
      <c r="O1216">
        <f t="shared" si="291"/>
        <v>0</v>
      </c>
    </row>
    <row r="1217" ht="13.85" spans="1:15">
      <c r="A1217" s="43">
        <v>37635</v>
      </c>
      <c r="B1217" s="11">
        <v>30747816</v>
      </c>
      <c r="C1217" s="11">
        <v>2731133</v>
      </c>
      <c r="D1217" s="11">
        <v>60</v>
      </c>
      <c r="E1217">
        <f t="shared" si="300"/>
        <v>60</v>
      </c>
      <c r="F1217">
        <f t="shared" si="292"/>
        <v>15373908</v>
      </c>
      <c r="G1217">
        <f t="shared" si="293"/>
        <v>1537.3908</v>
      </c>
      <c r="H1217">
        <f t="shared" si="297"/>
        <v>60000000</v>
      </c>
      <c r="I1217">
        <f t="shared" si="296"/>
        <v>28800000</v>
      </c>
      <c r="K1217">
        <f t="shared" si="298"/>
        <v>237116078</v>
      </c>
      <c r="M1217">
        <f t="shared" si="294"/>
        <v>33478949</v>
      </c>
      <c r="N1217">
        <f t="shared" si="299"/>
        <v>285107170</v>
      </c>
      <c r="O1217">
        <f t="shared" si="291"/>
        <v>0.353125898705412</v>
      </c>
    </row>
    <row r="1218" ht="13.9" spans="1:15">
      <c r="A1218" s="42" t="s">
        <v>845</v>
      </c>
      <c r="B1218" s="11">
        <v>26006844</v>
      </c>
      <c r="C1218" s="11">
        <v>2311668</v>
      </c>
      <c r="D1218" s="11">
        <v>50</v>
      </c>
      <c r="E1218">
        <f t="shared" si="300"/>
        <v>50</v>
      </c>
      <c r="F1218">
        <f t="shared" si="292"/>
        <v>13003422</v>
      </c>
      <c r="G1218">
        <f t="shared" si="293"/>
        <v>1300.3422</v>
      </c>
      <c r="H1218">
        <f t="shared" si="297"/>
        <v>50000000</v>
      </c>
      <c r="I1218">
        <f t="shared" si="296"/>
        <v>24000000</v>
      </c>
      <c r="K1218">
        <f t="shared" si="298"/>
        <v>211109234</v>
      </c>
      <c r="M1218">
        <f t="shared" si="294"/>
        <v>28318512</v>
      </c>
      <c r="N1218">
        <f t="shared" si="299"/>
        <v>251628221</v>
      </c>
      <c r="O1218">
        <f t="shared" si="291"/>
        <v>0.327302929596878</v>
      </c>
    </row>
    <row r="1219" ht="13.9" spans="1:15">
      <c r="A1219" s="42" t="s">
        <v>846</v>
      </c>
      <c r="B1219" s="11">
        <v>28078212</v>
      </c>
      <c r="C1219" s="11">
        <v>2474524</v>
      </c>
      <c r="D1219" s="11">
        <v>40</v>
      </c>
      <c r="E1219">
        <f t="shared" si="300"/>
        <v>40</v>
      </c>
      <c r="F1219">
        <f t="shared" si="292"/>
        <v>14039106</v>
      </c>
      <c r="G1219">
        <f t="shared" si="293"/>
        <v>1403.9106</v>
      </c>
      <c r="H1219">
        <f t="shared" si="297"/>
        <v>40000000</v>
      </c>
      <c r="I1219">
        <f t="shared" si="296"/>
        <v>19200000</v>
      </c>
      <c r="K1219">
        <f t="shared" si="298"/>
        <v>183031022</v>
      </c>
      <c r="M1219">
        <f t="shared" si="294"/>
        <v>30552736</v>
      </c>
      <c r="N1219">
        <f t="shared" si="299"/>
        <v>223309709</v>
      </c>
      <c r="O1219">
        <f t="shared" ref="O1219:O1282" si="301">IF(H1219&gt;H1220,(H1219-H1220)/M1220,0)</f>
        <v>0</v>
      </c>
    </row>
    <row r="1220" ht="13.9" spans="1:15">
      <c r="A1220" s="42" t="s">
        <v>847</v>
      </c>
      <c r="B1220" s="11">
        <v>183031022</v>
      </c>
      <c r="C1220" s="11">
        <v>9725951</v>
      </c>
      <c r="D1220" s="25">
        <v>425</v>
      </c>
      <c r="E1220">
        <f t="shared" si="300"/>
        <v>425</v>
      </c>
      <c r="F1220">
        <f t="shared" ref="F1220:F1283" si="302">B1220/2</f>
        <v>91515511</v>
      </c>
      <c r="G1220">
        <f t="shared" ref="G1220:G1283" si="303">F1220/10000</f>
        <v>9151.5511</v>
      </c>
      <c r="H1220">
        <f t="shared" si="297"/>
        <v>425000000</v>
      </c>
      <c r="I1220">
        <f t="shared" si="296"/>
        <v>204000000</v>
      </c>
      <c r="K1220">
        <f t="shared" si="298"/>
        <v>649350700</v>
      </c>
      <c r="M1220">
        <f t="shared" si="294"/>
        <v>192756973</v>
      </c>
      <c r="N1220">
        <f t="shared" si="299"/>
        <v>890461893</v>
      </c>
      <c r="O1220">
        <f t="shared" si="301"/>
        <v>1.05703759272974</v>
      </c>
    </row>
    <row r="1221" ht="13.9" spans="1:15">
      <c r="A1221" s="42" t="s">
        <v>848</v>
      </c>
      <c r="B1221" s="11">
        <v>84502534</v>
      </c>
      <c r="C1221" s="11">
        <v>5371280</v>
      </c>
      <c r="D1221" s="11">
        <v>330</v>
      </c>
      <c r="E1221">
        <f t="shared" si="300"/>
        <v>330</v>
      </c>
      <c r="F1221">
        <f t="shared" si="302"/>
        <v>42251267</v>
      </c>
      <c r="G1221">
        <f t="shared" si="303"/>
        <v>4225.1267</v>
      </c>
      <c r="H1221">
        <f t="shared" si="297"/>
        <v>330000000</v>
      </c>
      <c r="I1221">
        <f t="shared" si="296"/>
        <v>158400000</v>
      </c>
      <c r="K1221">
        <f t="shared" si="298"/>
        <v>564848166</v>
      </c>
      <c r="M1221">
        <f t="shared" si="294"/>
        <v>89873814</v>
      </c>
      <c r="N1221">
        <f t="shared" si="299"/>
        <v>697704920</v>
      </c>
      <c r="O1221">
        <f t="shared" si="301"/>
        <v>0.643525391014771</v>
      </c>
    </row>
    <row r="1222" ht="13.85" spans="1:15">
      <c r="A1222" s="43">
        <v>37604</v>
      </c>
      <c r="B1222" s="11">
        <v>67249908</v>
      </c>
      <c r="C1222" s="11">
        <v>4231343</v>
      </c>
      <c r="D1222" s="11">
        <v>284</v>
      </c>
      <c r="E1222">
        <f t="shared" si="300"/>
        <v>284</v>
      </c>
      <c r="F1222">
        <f t="shared" si="302"/>
        <v>33624954</v>
      </c>
      <c r="G1222">
        <f t="shared" si="303"/>
        <v>3362.4954</v>
      </c>
      <c r="H1222">
        <f t="shared" si="297"/>
        <v>284000000</v>
      </c>
      <c r="I1222">
        <f t="shared" si="296"/>
        <v>136320000</v>
      </c>
      <c r="K1222">
        <f t="shared" si="298"/>
        <v>497598258</v>
      </c>
      <c r="M1222">
        <f t="shared" si="294"/>
        <v>71481251</v>
      </c>
      <c r="N1222">
        <f t="shared" si="299"/>
        <v>607831106</v>
      </c>
      <c r="O1222">
        <f t="shared" si="301"/>
        <v>0.560989471410248</v>
      </c>
    </row>
    <row r="1223" ht="13.85" spans="1:15">
      <c r="A1223" s="43">
        <v>37482</v>
      </c>
      <c r="B1223" s="11">
        <v>61665430</v>
      </c>
      <c r="C1223" s="11">
        <v>4289462</v>
      </c>
      <c r="D1223" s="11">
        <v>247</v>
      </c>
      <c r="E1223">
        <f t="shared" si="300"/>
        <v>247</v>
      </c>
      <c r="F1223">
        <f t="shared" si="302"/>
        <v>30832715</v>
      </c>
      <c r="G1223">
        <f t="shared" si="303"/>
        <v>3083.2715</v>
      </c>
      <c r="H1223">
        <f t="shared" si="297"/>
        <v>247000000</v>
      </c>
      <c r="I1223">
        <f t="shared" si="296"/>
        <v>118560000</v>
      </c>
      <c r="K1223">
        <f t="shared" si="298"/>
        <v>435932828</v>
      </c>
      <c r="M1223">
        <f t="shared" ref="M1223:M1286" si="304">B1223+C1223</f>
        <v>65954892</v>
      </c>
      <c r="N1223">
        <f t="shared" si="299"/>
        <v>536349855</v>
      </c>
      <c r="O1223">
        <f t="shared" si="301"/>
        <v>0.603498480692575</v>
      </c>
    </row>
    <row r="1224" ht="13.85" spans="1:15">
      <c r="A1224" s="43">
        <v>37390</v>
      </c>
      <c r="B1224" s="11">
        <v>49510642</v>
      </c>
      <c r="C1224" s="11">
        <v>3513518</v>
      </c>
      <c r="D1224" s="11">
        <v>215</v>
      </c>
      <c r="E1224">
        <f t="shared" si="300"/>
        <v>215</v>
      </c>
      <c r="F1224">
        <f t="shared" si="302"/>
        <v>24755321</v>
      </c>
      <c r="G1224">
        <f t="shared" si="303"/>
        <v>2475.5321</v>
      </c>
      <c r="H1224">
        <f t="shared" si="297"/>
        <v>215000000</v>
      </c>
      <c r="I1224">
        <f t="shared" si="296"/>
        <v>103200000</v>
      </c>
      <c r="K1224">
        <f t="shared" si="298"/>
        <v>386422186</v>
      </c>
      <c r="M1224">
        <f t="shared" si="304"/>
        <v>53024160</v>
      </c>
      <c r="N1224">
        <f t="shared" si="299"/>
        <v>470394963</v>
      </c>
      <c r="O1224">
        <f t="shared" si="301"/>
        <v>0.398368200383606</v>
      </c>
    </row>
    <row r="1225" ht="13.85" spans="1:15">
      <c r="A1225" s="43">
        <v>37270</v>
      </c>
      <c r="B1225" s="11">
        <v>49062416</v>
      </c>
      <c r="C1225" s="11">
        <v>3652635</v>
      </c>
      <c r="D1225" s="11">
        <v>194</v>
      </c>
      <c r="E1225">
        <f t="shared" si="300"/>
        <v>194</v>
      </c>
      <c r="F1225">
        <f t="shared" si="302"/>
        <v>24531208</v>
      </c>
      <c r="G1225">
        <f t="shared" si="303"/>
        <v>2453.1208</v>
      </c>
      <c r="H1225">
        <f t="shared" si="297"/>
        <v>194000000</v>
      </c>
      <c r="I1225">
        <f t="shared" si="296"/>
        <v>93120000</v>
      </c>
      <c r="K1225">
        <f t="shared" si="298"/>
        <v>337359770</v>
      </c>
      <c r="M1225">
        <f t="shared" si="304"/>
        <v>52715051</v>
      </c>
      <c r="N1225">
        <f t="shared" si="299"/>
        <v>417370803</v>
      </c>
      <c r="O1225">
        <f t="shared" si="301"/>
        <v>0.559519684948575</v>
      </c>
    </row>
    <row r="1226" ht="13.9" spans="1:15">
      <c r="A1226" s="42" t="s">
        <v>849</v>
      </c>
      <c r="B1226" s="11">
        <v>38257408</v>
      </c>
      <c r="C1226" s="11">
        <v>2849278</v>
      </c>
      <c r="D1226" s="11">
        <v>171</v>
      </c>
      <c r="E1226">
        <f t="shared" si="300"/>
        <v>171</v>
      </c>
      <c r="F1226">
        <f t="shared" si="302"/>
        <v>19128704</v>
      </c>
      <c r="G1226">
        <f t="shared" si="303"/>
        <v>1912.8704</v>
      </c>
      <c r="H1226">
        <f t="shared" si="297"/>
        <v>171000000</v>
      </c>
      <c r="I1226">
        <f t="shared" si="296"/>
        <v>82080000</v>
      </c>
      <c r="K1226">
        <f t="shared" si="298"/>
        <v>299102362</v>
      </c>
      <c r="M1226">
        <f t="shared" si="304"/>
        <v>41106686</v>
      </c>
      <c r="N1226">
        <f t="shared" si="299"/>
        <v>364655752</v>
      </c>
      <c r="O1226">
        <f t="shared" si="301"/>
        <v>0.44788682399705</v>
      </c>
    </row>
    <row r="1227" ht="13.9" spans="1:15">
      <c r="A1227" s="42" t="s">
        <v>850</v>
      </c>
      <c r="B1227" s="11">
        <v>39396676</v>
      </c>
      <c r="C1227" s="11">
        <v>3024755</v>
      </c>
      <c r="D1227" s="11">
        <v>152</v>
      </c>
      <c r="E1227">
        <f t="shared" si="300"/>
        <v>152</v>
      </c>
      <c r="F1227">
        <f t="shared" si="302"/>
        <v>19698338</v>
      </c>
      <c r="G1227">
        <f t="shared" si="303"/>
        <v>1969.8338</v>
      </c>
      <c r="H1227">
        <f t="shared" si="297"/>
        <v>152000000</v>
      </c>
      <c r="I1227">
        <f t="shared" ref="I1227:I1290" si="305">H1227*0.48</f>
        <v>72960000</v>
      </c>
      <c r="K1227">
        <f t="shared" si="298"/>
        <v>259705686</v>
      </c>
      <c r="M1227">
        <f t="shared" si="304"/>
        <v>42421431</v>
      </c>
      <c r="N1227">
        <f t="shared" si="299"/>
        <v>323549066</v>
      </c>
      <c r="O1227">
        <f t="shared" si="301"/>
        <v>0.59549148294053</v>
      </c>
    </row>
    <row r="1228" ht="13.9" spans="1:15">
      <c r="A1228" s="42" t="s">
        <v>851</v>
      </c>
      <c r="B1228" s="11">
        <v>32714630</v>
      </c>
      <c r="C1228" s="11">
        <v>2550358</v>
      </c>
      <c r="D1228" s="11">
        <v>131</v>
      </c>
      <c r="E1228">
        <f t="shared" si="300"/>
        <v>131</v>
      </c>
      <c r="F1228">
        <f t="shared" si="302"/>
        <v>16357315</v>
      </c>
      <c r="G1228">
        <f t="shared" si="303"/>
        <v>1635.7315</v>
      </c>
      <c r="H1228">
        <f t="shared" si="297"/>
        <v>131000000</v>
      </c>
      <c r="I1228">
        <f t="shared" si="305"/>
        <v>62880000</v>
      </c>
      <c r="K1228">
        <f t="shared" si="298"/>
        <v>226991056</v>
      </c>
      <c r="M1228">
        <f t="shared" si="304"/>
        <v>35264988</v>
      </c>
      <c r="N1228">
        <f t="shared" si="299"/>
        <v>281127635</v>
      </c>
      <c r="O1228">
        <f t="shared" si="301"/>
        <v>0.467382188983963</v>
      </c>
    </row>
    <row r="1229" ht="13.9" spans="1:15">
      <c r="A1229" s="42" t="s">
        <v>852</v>
      </c>
      <c r="B1229" s="11">
        <v>35703424</v>
      </c>
      <c r="C1229" s="11">
        <v>2808955</v>
      </c>
      <c r="D1229" s="11">
        <v>113</v>
      </c>
      <c r="E1229">
        <f t="shared" si="300"/>
        <v>113</v>
      </c>
      <c r="F1229">
        <f t="shared" si="302"/>
        <v>17851712</v>
      </c>
      <c r="G1229">
        <f t="shared" si="303"/>
        <v>1785.1712</v>
      </c>
      <c r="H1229">
        <f t="shared" si="297"/>
        <v>113000000</v>
      </c>
      <c r="I1229">
        <f t="shared" si="305"/>
        <v>54240000</v>
      </c>
      <c r="K1229">
        <f t="shared" si="298"/>
        <v>191287632</v>
      </c>
      <c r="M1229">
        <f t="shared" si="304"/>
        <v>38512379</v>
      </c>
      <c r="N1229">
        <f t="shared" si="299"/>
        <v>245862647</v>
      </c>
      <c r="O1229">
        <f t="shared" si="301"/>
        <v>0.628251693334642</v>
      </c>
    </row>
    <row r="1230" ht="13.9" spans="1:15">
      <c r="A1230" s="42" t="s">
        <v>853</v>
      </c>
      <c r="B1230" s="11">
        <v>29454450</v>
      </c>
      <c r="C1230" s="11">
        <v>2379925</v>
      </c>
      <c r="D1230" s="11">
        <v>93</v>
      </c>
      <c r="E1230">
        <f t="shared" si="300"/>
        <v>93</v>
      </c>
      <c r="F1230">
        <f t="shared" si="302"/>
        <v>14727225</v>
      </c>
      <c r="G1230">
        <f t="shared" si="303"/>
        <v>1472.7225</v>
      </c>
      <c r="H1230">
        <f t="shared" si="297"/>
        <v>93000000</v>
      </c>
      <c r="I1230">
        <f t="shared" si="305"/>
        <v>44640000</v>
      </c>
      <c r="K1230">
        <f t="shared" si="298"/>
        <v>161833182</v>
      </c>
      <c r="M1230">
        <f t="shared" si="304"/>
        <v>31834375</v>
      </c>
      <c r="N1230">
        <f t="shared" si="299"/>
        <v>207350268</v>
      </c>
      <c r="O1230">
        <f t="shared" si="301"/>
        <v>0.405134272872954</v>
      </c>
    </row>
    <row r="1231" ht="13.85" spans="1:15">
      <c r="A1231" s="43">
        <v>37209</v>
      </c>
      <c r="B1231" s="11">
        <v>29616924</v>
      </c>
      <c r="C1231" s="11">
        <v>2471203</v>
      </c>
      <c r="D1231" s="11">
        <v>80</v>
      </c>
      <c r="E1231">
        <f t="shared" si="300"/>
        <v>80</v>
      </c>
      <c r="F1231">
        <f t="shared" si="302"/>
        <v>14808462</v>
      </c>
      <c r="G1231">
        <f t="shared" si="303"/>
        <v>1480.8462</v>
      </c>
      <c r="H1231">
        <f t="shared" si="297"/>
        <v>80000000</v>
      </c>
      <c r="I1231">
        <f t="shared" si="305"/>
        <v>38400000</v>
      </c>
      <c r="K1231">
        <f t="shared" si="298"/>
        <v>132216258</v>
      </c>
      <c r="M1231">
        <f t="shared" si="304"/>
        <v>32088127</v>
      </c>
      <c r="N1231">
        <f t="shared" si="299"/>
        <v>175515893</v>
      </c>
      <c r="O1231">
        <f t="shared" si="301"/>
        <v>0.357998063373676</v>
      </c>
    </row>
    <row r="1232" ht="13.85" spans="1:15">
      <c r="A1232" s="43">
        <v>37117</v>
      </c>
      <c r="B1232" s="11">
        <v>25761674</v>
      </c>
      <c r="C1232" s="11">
        <v>2171438</v>
      </c>
      <c r="D1232" s="11">
        <v>70</v>
      </c>
      <c r="E1232">
        <f t="shared" si="300"/>
        <v>70</v>
      </c>
      <c r="F1232">
        <f t="shared" si="302"/>
        <v>12880837</v>
      </c>
      <c r="G1232">
        <f t="shared" si="303"/>
        <v>1288.0837</v>
      </c>
      <c r="H1232">
        <f t="shared" ref="H1232:H1295" si="306">E1232*1000000</f>
        <v>70000000</v>
      </c>
      <c r="I1232">
        <f t="shared" si="305"/>
        <v>33600000</v>
      </c>
      <c r="K1232">
        <f t="shared" si="298"/>
        <v>106454584</v>
      </c>
      <c r="M1232">
        <f t="shared" si="304"/>
        <v>27933112</v>
      </c>
      <c r="N1232">
        <f t="shared" si="299"/>
        <v>143427766</v>
      </c>
      <c r="O1232">
        <f t="shared" si="301"/>
        <v>0.33145694452183</v>
      </c>
    </row>
    <row r="1233" ht="13.85" spans="1:15">
      <c r="A1233" s="43">
        <v>36995</v>
      </c>
      <c r="B1233" s="11">
        <v>27745090</v>
      </c>
      <c r="C1233" s="11">
        <v>2424741</v>
      </c>
      <c r="D1233" s="11">
        <v>60</v>
      </c>
      <c r="E1233">
        <f t="shared" si="300"/>
        <v>60</v>
      </c>
      <c r="F1233">
        <f t="shared" si="302"/>
        <v>13872545</v>
      </c>
      <c r="G1233">
        <f t="shared" si="303"/>
        <v>1387.2545</v>
      </c>
      <c r="H1233">
        <f t="shared" si="306"/>
        <v>60000000</v>
      </c>
      <c r="I1233">
        <f t="shared" si="305"/>
        <v>28800000</v>
      </c>
      <c r="K1233">
        <f t="shared" ref="K1233:K1296" si="307">IF(E1233&gt;E1234,B1234+K1234,B1234)</f>
        <v>78709494</v>
      </c>
      <c r="M1233">
        <f t="shared" si="304"/>
        <v>30169831</v>
      </c>
      <c r="N1233">
        <f t="shared" si="299"/>
        <v>115494654</v>
      </c>
      <c r="O1233">
        <f t="shared" si="301"/>
        <v>0.366781091363739</v>
      </c>
    </row>
    <row r="1234" ht="13.85" spans="1:15">
      <c r="A1234" s="44">
        <v>36905</v>
      </c>
      <c r="B1234" s="15">
        <v>25121630</v>
      </c>
      <c r="C1234" s="15">
        <v>2142589</v>
      </c>
      <c r="D1234" s="15">
        <v>50</v>
      </c>
      <c r="E1234">
        <f t="shared" ref="E1234:E1297" si="308">IF(RIGHT(D1234,1)="B",VALUE(LEFT(D1234,LEN(D1234)-1))*1000,D1234)</f>
        <v>50</v>
      </c>
      <c r="F1234">
        <f t="shared" si="302"/>
        <v>12560815</v>
      </c>
      <c r="G1234">
        <f t="shared" si="303"/>
        <v>1256.0815</v>
      </c>
      <c r="H1234">
        <f t="shared" si="306"/>
        <v>50000000</v>
      </c>
      <c r="I1234">
        <f t="shared" si="305"/>
        <v>24000000</v>
      </c>
      <c r="K1234">
        <f t="shared" si="307"/>
        <v>53587864</v>
      </c>
      <c r="M1234">
        <f t="shared" si="304"/>
        <v>27264219</v>
      </c>
      <c r="N1234">
        <f t="shared" si="299"/>
        <v>85324823</v>
      </c>
      <c r="O1234">
        <f t="shared" si="301"/>
        <v>0.349771436608177</v>
      </c>
    </row>
    <row r="1235" ht="13.9" spans="1:15">
      <c r="A1235" s="41" t="s">
        <v>854</v>
      </c>
      <c r="B1235" s="13">
        <v>26298198</v>
      </c>
      <c r="C1235" s="13">
        <v>2291901</v>
      </c>
      <c r="D1235" s="13">
        <v>40</v>
      </c>
      <c r="E1235">
        <f t="shared" si="308"/>
        <v>40</v>
      </c>
      <c r="F1235">
        <f t="shared" si="302"/>
        <v>13149099</v>
      </c>
      <c r="G1235">
        <f t="shared" si="303"/>
        <v>1314.9099</v>
      </c>
      <c r="H1235">
        <f t="shared" si="306"/>
        <v>40000000</v>
      </c>
      <c r="I1235">
        <f t="shared" si="305"/>
        <v>19200000</v>
      </c>
      <c r="K1235">
        <f t="shared" si="307"/>
        <v>27289666</v>
      </c>
      <c r="M1235">
        <f t="shared" si="304"/>
        <v>28590099</v>
      </c>
      <c r="N1235">
        <f t="shared" si="299"/>
        <v>58060604</v>
      </c>
      <c r="O1235">
        <f t="shared" si="301"/>
        <v>0</v>
      </c>
    </row>
    <row r="1236" ht="13.9" spans="1:15">
      <c r="A1236" s="42" t="s">
        <v>855</v>
      </c>
      <c r="B1236" s="11">
        <v>27289666</v>
      </c>
      <c r="C1236" s="11">
        <v>2180839</v>
      </c>
      <c r="D1236" s="11">
        <v>74</v>
      </c>
      <c r="E1236">
        <f t="shared" si="308"/>
        <v>74</v>
      </c>
      <c r="F1236">
        <f t="shared" si="302"/>
        <v>13644833</v>
      </c>
      <c r="G1236">
        <f t="shared" si="303"/>
        <v>1364.4833</v>
      </c>
      <c r="H1236">
        <f t="shared" si="306"/>
        <v>74000000</v>
      </c>
      <c r="I1236">
        <f t="shared" si="305"/>
        <v>35520000</v>
      </c>
      <c r="K1236">
        <f t="shared" si="307"/>
        <v>134234440</v>
      </c>
      <c r="M1236">
        <f t="shared" si="304"/>
        <v>29470505</v>
      </c>
      <c r="N1236">
        <f t="shared" si="299"/>
        <v>174483703</v>
      </c>
      <c r="O1236">
        <f t="shared" si="301"/>
        <v>0.445279902628735</v>
      </c>
    </row>
    <row r="1237" ht="13.9" spans="1:15">
      <c r="A1237" s="42" t="s">
        <v>856</v>
      </c>
      <c r="B1237" s="11">
        <v>28986882</v>
      </c>
      <c r="C1237" s="11">
        <v>2454016</v>
      </c>
      <c r="D1237" s="11">
        <v>60</v>
      </c>
      <c r="E1237">
        <f t="shared" si="308"/>
        <v>60</v>
      </c>
      <c r="F1237">
        <f t="shared" si="302"/>
        <v>14493441</v>
      </c>
      <c r="G1237">
        <f t="shared" si="303"/>
        <v>1449.3441</v>
      </c>
      <c r="H1237">
        <f t="shared" si="306"/>
        <v>60000000</v>
      </c>
      <c r="I1237">
        <f t="shared" si="305"/>
        <v>28800000</v>
      </c>
      <c r="K1237">
        <f t="shared" si="307"/>
        <v>105247558</v>
      </c>
      <c r="M1237">
        <f t="shared" si="304"/>
        <v>31440898</v>
      </c>
      <c r="N1237">
        <f t="shared" si="299"/>
        <v>145013198</v>
      </c>
      <c r="O1237">
        <f t="shared" si="301"/>
        <v>0.277556187711361</v>
      </c>
    </row>
    <row r="1238" ht="13.9" spans="1:15">
      <c r="A1238" s="42" t="s">
        <v>857</v>
      </c>
      <c r="B1238" s="11">
        <v>33401446</v>
      </c>
      <c r="C1238" s="11">
        <v>2627295</v>
      </c>
      <c r="D1238" s="11">
        <v>50</v>
      </c>
      <c r="E1238">
        <f t="shared" si="308"/>
        <v>50</v>
      </c>
      <c r="F1238">
        <f t="shared" si="302"/>
        <v>16700723</v>
      </c>
      <c r="G1238">
        <f t="shared" si="303"/>
        <v>1670.0723</v>
      </c>
      <c r="H1238">
        <f t="shared" si="306"/>
        <v>50000000</v>
      </c>
      <c r="I1238">
        <f t="shared" si="305"/>
        <v>24000000</v>
      </c>
      <c r="K1238">
        <f t="shared" si="307"/>
        <v>71846112</v>
      </c>
      <c r="M1238">
        <f t="shared" si="304"/>
        <v>36028741</v>
      </c>
      <c r="N1238">
        <f t="shared" si="299"/>
        <v>113572300</v>
      </c>
      <c r="O1238">
        <f t="shared" si="301"/>
        <v>0.264206718930102</v>
      </c>
    </row>
    <row r="1239" ht="13.9" spans="1:15">
      <c r="A1239" s="42" t="s">
        <v>858</v>
      </c>
      <c r="B1239" s="11">
        <v>35027210</v>
      </c>
      <c r="C1239" s="11">
        <v>2821941</v>
      </c>
      <c r="D1239" s="11">
        <v>40</v>
      </c>
      <c r="E1239">
        <f t="shared" si="308"/>
        <v>40</v>
      </c>
      <c r="F1239">
        <f t="shared" si="302"/>
        <v>17513605</v>
      </c>
      <c r="G1239">
        <f t="shared" si="303"/>
        <v>1751.3605</v>
      </c>
      <c r="H1239">
        <f t="shared" si="306"/>
        <v>40000000</v>
      </c>
      <c r="I1239">
        <f t="shared" si="305"/>
        <v>19200000</v>
      </c>
      <c r="K1239">
        <f t="shared" si="307"/>
        <v>36818902</v>
      </c>
      <c r="M1239">
        <f t="shared" si="304"/>
        <v>37849151</v>
      </c>
      <c r="N1239">
        <f t="shared" si="299"/>
        <v>77543559</v>
      </c>
      <c r="O1239">
        <f t="shared" si="301"/>
        <v>0</v>
      </c>
    </row>
    <row r="1240" ht="13.85" spans="1:15">
      <c r="A1240" s="43">
        <v>41226</v>
      </c>
      <c r="B1240" s="11">
        <v>36818902</v>
      </c>
      <c r="C1240" s="11">
        <v>2875506</v>
      </c>
      <c r="D1240" s="11">
        <v>122</v>
      </c>
      <c r="E1240">
        <f t="shared" si="308"/>
        <v>122</v>
      </c>
      <c r="F1240">
        <f t="shared" si="302"/>
        <v>18409451</v>
      </c>
      <c r="G1240">
        <f t="shared" si="303"/>
        <v>1840.9451</v>
      </c>
      <c r="H1240">
        <f t="shared" si="306"/>
        <v>122000000</v>
      </c>
      <c r="I1240">
        <f t="shared" si="305"/>
        <v>58560000</v>
      </c>
      <c r="K1240">
        <f t="shared" si="307"/>
        <v>217575162</v>
      </c>
      <c r="M1240">
        <f t="shared" si="304"/>
        <v>39694408</v>
      </c>
      <c r="N1240">
        <f t="shared" si="299"/>
        <v>275350920</v>
      </c>
      <c r="O1240">
        <f t="shared" si="301"/>
        <v>0.567481918929791</v>
      </c>
    </row>
    <row r="1241" ht="13.85" spans="1:15">
      <c r="A1241" s="43">
        <v>41103</v>
      </c>
      <c r="B1241" s="11">
        <v>35889328</v>
      </c>
      <c r="C1241" s="11">
        <v>2878427</v>
      </c>
      <c r="D1241" s="11">
        <v>100</v>
      </c>
      <c r="E1241">
        <f t="shared" si="308"/>
        <v>100</v>
      </c>
      <c r="F1241">
        <f t="shared" si="302"/>
        <v>17944664</v>
      </c>
      <c r="G1241">
        <f t="shared" si="303"/>
        <v>1794.4664</v>
      </c>
      <c r="H1241">
        <f t="shared" si="306"/>
        <v>100000000</v>
      </c>
      <c r="I1241">
        <f t="shared" si="305"/>
        <v>48000000</v>
      </c>
      <c r="K1241">
        <f t="shared" si="307"/>
        <v>181685834</v>
      </c>
      <c r="M1241">
        <f t="shared" si="304"/>
        <v>38767755</v>
      </c>
      <c r="N1241">
        <f t="shared" si="299"/>
        <v>235656512</v>
      </c>
      <c r="O1241">
        <f t="shared" si="301"/>
        <v>0.595155552831066</v>
      </c>
    </row>
    <row r="1242" ht="13.85" spans="1:15">
      <c r="A1242" s="43">
        <v>41012</v>
      </c>
      <c r="B1242" s="11">
        <v>29444180</v>
      </c>
      <c r="C1242" s="11">
        <v>2480247</v>
      </c>
      <c r="D1242" s="11">
        <v>81</v>
      </c>
      <c r="E1242">
        <f t="shared" si="308"/>
        <v>81</v>
      </c>
      <c r="F1242">
        <f t="shared" si="302"/>
        <v>14722090</v>
      </c>
      <c r="G1242">
        <f t="shared" si="303"/>
        <v>1472.209</v>
      </c>
      <c r="H1242">
        <f t="shared" si="306"/>
        <v>81000000</v>
      </c>
      <c r="I1242">
        <f t="shared" si="305"/>
        <v>38880000</v>
      </c>
      <c r="K1242">
        <f t="shared" si="307"/>
        <v>152241654</v>
      </c>
      <c r="M1242">
        <f t="shared" si="304"/>
        <v>31924427</v>
      </c>
      <c r="N1242">
        <f t="shared" si="299"/>
        <v>196888757</v>
      </c>
      <c r="O1242">
        <f t="shared" si="301"/>
        <v>0.352510310846476</v>
      </c>
    </row>
    <row r="1243" ht="13.9" spans="1:15">
      <c r="A1243" s="42" t="s">
        <v>859</v>
      </c>
      <c r="B1243" s="11">
        <v>28693078</v>
      </c>
      <c r="C1243" s="11">
        <v>2511683</v>
      </c>
      <c r="D1243" s="11">
        <v>70</v>
      </c>
      <c r="E1243">
        <f t="shared" si="308"/>
        <v>70</v>
      </c>
      <c r="F1243">
        <f t="shared" si="302"/>
        <v>14346539</v>
      </c>
      <c r="G1243">
        <f t="shared" si="303"/>
        <v>1434.6539</v>
      </c>
      <c r="H1243">
        <f t="shared" si="306"/>
        <v>70000000</v>
      </c>
      <c r="I1243">
        <f t="shared" si="305"/>
        <v>33600000</v>
      </c>
      <c r="K1243">
        <f t="shared" si="307"/>
        <v>123548576</v>
      </c>
      <c r="M1243">
        <f t="shared" si="304"/>
        <v>31204761</v>
      </c>
      <c r="N1243">
        <f t="shared" si="299"/>
        <v>164964330</v>
      </c>
      <c r="O1243">
        <f t="shared" si="301"/>
        <v>0.327148246770016</v>
      </c>
    </row>
    <row r="1244" ht="13.9" spans="1:15">
      <c r="A1244" s="42" t="s">
        <v>860</v>
      </c>
      <c r="B1244" s="11">
        <v>28182982</v>
      </c>
      <c r="C1244" s="11">
        <v>2384200</v>
      </c>
      <c r="D1244" s="11">
        <v>60</v>
      </c>
      <c r="E1244">
        <f t="shared" si="308"/>
        <v>60</v>
      </c>
      <c r="F1244">
        <f t="shared" si="302"/>
        <v>14091491</v>
      </c>
      <c r="G1244">
        <f t="shared" si="303"/>
        <v>1409.1491</v>
      </c>
      <c r="H1244">
        <f t="shared" si="306"/>
        <v>60000000</v>
      </c>
      <c r="I1244">
        <f t="shared" si="305"/>
        <v>28800000</v>
      </c>
      <c r="K1244">
        <f t="shared" si="307"/>
        <v>95365594</v>
      </c>
      <c r="M1244">
        <f t="shared" si="304"/>
        <v>30567182</v>
      </c>
      <c r="N1244">
        <f t="shared" si="299"/>
        <v>133759569</v>
      </c>
      <c r="O1244">
        <f t="shared" si="301"/>
        <v>0.31583926990089</v>
      </c>
    </row>
    <row r="1245" ht="13.9" spans="1:15">
      <c r="A1245" s="42" t="s">
        <v>861</v>
      </c>
      <c r="B1245" s="11">
        <v>29182882</v>
      </c>
      <c r="C1245" s="11">
        <v>2478792</v>
      </c>
      <c r="D1245" s="11">
        <v>50</v>
      </c>
      <c r="E1245">
        <f t="shared" si="308"/>
        <v>50</v>
      </c>
      <c r="F1245">
        <f t="shared" si="302"/>
        <v>14591441</v>
      </c>
      <c r="G1245">
        <f t="shared" si="303"/>
        <v>1459.1441</v>
      </c>
      <c r="H1245">
        <f t="shared" si="306"/>
        <v>50000000</v>
      </c>
      <c r="I1245">
        <f t="shared" si="305"/>
        <v>24000000</v>
      </c>
      <c r="K1245">
        <f t="shared" si="307"/>
        <v>66182712</v>
      </c>
      <c r="M1245">
        <f t="shared" si="304"/>
        <v>31661674</v>
      </c>
      <c r="N1245">
        <f t="shared" si="299"/>
        <v>103192387</v>
      </c>
      <c r="O1245">
        <f t="shared" si="301"/>
        <v>0.355138178227799</v>
      </c>
    </row>
    <row r="1246" ht="13.9" spans="1:15">
      <c r="A1246" s="42" t="s">
        <v>862</v>
      </c>
      <c r="B1246" s="11">
        <v>25934724</v>
      </c>
      <c r="C1246" s="11">
        <v>2223330</v>
      </c>
      <c r="D1246" s="11">
        <v>40</v>
      </c>
      <c r="E1246">
        <f t="shared" si="308"/>
        <v>40</v>
      </c>
      <c r="F1246">
        <f t="shared" si="302"/>
        <v>12967362</v>
      </c>
      <c r="G1246">
        <f t="shared" si="303"/>
        <v>1296.7362</v>
      </c>
      <c r="H1246">
        <f t="shared" si="306"/>
        <v>40000000</v>
      </c>
      <c r="I1246">
        <f t="shared" si="305"/>
        <v>19200000</v>
      </c>
      <c r="K1246">
        <f t="shared" si="307"/>
        <v>40247988</v>
      </c>
      <c r="M1246">
        <f t="shared" si="304"/>
        <v>28158054</v>
      </c>
      <c r="N1246">
        <f t="shared" si="299"/>
        <v>71530713</v>
      </c>
      <c r="O1246">
        <f t="shared" si="301"/>
        <v>0</v>
      </c>
    </row>
    <row r="1247" ht="13.9" spans="1:15">
      <c r="A1247" s="42" t="s">
        <v>863</v>
      </c>
      <c r="B1247" s="11">
        <v>40247988</v>
      </c>
      <c r="C1247" s="11">
        <v>3124671</v>
      </c>
      <c r="D1247" s="11">
        <v>130</v>
      </c>
      <c r="E1247">
        <f t="shared" si="308"/>
        <v>130</v>
      </c>
      <c r="F1247">
        <f t="shared" si="302"/>
        <v>20123994</v>
      </c>
      <c r="G1247">
        <f t="shared" si="303"/>
        <v>2012.3994</v>
      </c>
      <c r="H1247">
        <f t="shared" si="306"/>
        <v>130000000</v>
      </c>
      <c r="I1247">
        <f t="shared" si="305"/>
        <v>62400000</v>
      </c>
      <c r="K1247">
        <f t="shared" si="307"/>
        <v>248883498</v>
      </c>
      <c r="M1247">
        <f t="shared" si="304"/>
        <v>43372659</v>
      </c>
      <c r="N1247">
        <f t="shared" ref="N1247:N1310" si="309">IF(H1247&lt;H1248,M1247+M1248,M1247+N1248)</f>
        <v>311745940</v>
      </c>
      <c r="O1247">
        <f t="shared" si="301"/>
        <v>0.534854230560576</v>
      </c>
    </row>
    <row r="1248" ht="13.9" spans="1:15">
      <c r="A1248" s="42" t="s">
        <v>864</v>
      </c>
      <c r="B1248" s="11">
        <v>34678780</v>
      </c>
      <c r="C1248" s="11">
        <v>2714586</v>
      </c>
      <c r="D1248" s="11">
        <v>110</v>
      </c>
      <c r="E1248">
        <f t="shared" si="308"/>
        <v>110</v>
      </c>
      <c r="F1248">
        <f t="shared" si="302"/>
        <v>17339390</v>
      </c>
      <c r="G1248">
        <f t="shared" si="303"/>
        <v>1733.939</v>
      </c>
      <c r="H1248">
        <f t="shared" si="306"/>
        <v>110000000</v>
      </c>
      <c r="I1248">
        <f t="shared" si="305"/>
        <v>52800000</v>
      </c>
      <c r="K1248">
        <f t="shared" si="307"/>
        <v>214204718</v>
      </c>
      <c r="M1248">
        <f t="shared" si="304"/>
        <v>37393366</v>
      </c>
      <c r="N1248">
        <f t="shared" si="309"/>
        <v>268373281</v>
      </c>
      <c r="O1248">
        <f t="shared" si="301"/>
        <v>0.627696690736651</v>
      </c>
    </row>
    <row r="1249" ht="13.85" spans="1:15">
      <c r="A1249" s="43">
        <v>40799</v>
      </c>
      <c r="B1249" s="11">
        <v>33853702</v>
      </c>
      <c r="C1249" s="11">
        <v>2788199</v>
      </c>
      <c r="D1249" s="11">
        <v>87</v>
      </c>
      <c r="E1249">
        <f t="shared" si="308"/>
        <v>87</v>
      </c>
      <c r="F1249">
        <f t="shared" si="302"/>
        <v>16926851</v>
      </c>
      <c r="G1249">
        <f t="shared" si="303"/>
        <v>1692.6851</v>
      </c>
      <c r="H1249">
        <f t="shared" si="306"/>
        <v>87000000</v>
      </c>
      <c r="I1249">
        <f t="shared" si="305"/>
        <v>41760000</v>
      </c>
      <c r="K1249">
        <f t="shared" si="307"/>
        <v>180351016</v>
      </c>
      <c r="M1249">
        <f t="shared" si="304"/>
        <v>36641901</v>
      </c>
      <c r="N1249">
        <f t="shared" si="309"/>
        <v>230979915</v>
      </c>
      <c r="O1249">
        <f t="shared" si="301"/>
        <v>0.526910464212458</v>
      </c>
    </row>
    <row r="1250" ht="13.85" spans="1:15">
      <c r="A1250" s="43">
        <v>40707</v>
      </c>
      <c r="B1250" s="11">
        <v>29779240</v>
      </c>
      <c r="C1250" s="11">
        <v>2484306</v>
      </c>
      <c r="D1250" s="11">
        <v>70</v>
      </c>
      <c r="E1250">
        <f t="shared" si="308"/>
        <v>70</v>
      </c>
      <c r="F1250">
        <f t="shared" si="302"/>
        <v>14889620</v>
      </c>
      <c r="G1250">
        <f t="shared" si="303"/>
        <v>1488.962</v>
      </c>
      <c r="H1250">
        <f t="shared" si="306"/>
        <v>70000000</v>
      </c>
      <c r="I1250">
        <f t="shared" si="305"/>
        <v>33600000</v>
      </c>
      <c r="K1250">
        <f t="shared" si="307"/>
        <v>150571776</v>
      </c>
      <c r="M1250">
        <f t="shared" si="304"/>
        <v>32263546</v>
      </c>
      <c r="N1250">
        <f t="shared" si="309"/>
        <v>194338014</v>
      </c>
      <c r="O1250">
        <f t="shared" si="301"/>
        <v>0.284361642378438</v>
      </c>
    </row>
    <row r="1251" ht="13.85" spans="1:15">
      <c r="A1251" s="43">
        <v>40587</v>
      </c>
      <c r="B1251" s="11">
        <v>32429546</v>
      </c>
      <c r="C1251" s="11">
        <v>2736941</v>
      </c>
      <c r="D1251" s="11">
        <v>60</v>
      </c>
      <c r="E1251">
        <f t="shared" si="308"/>
        <v>60</v>
      </c>
      <c r="F1251">
        <f t="shared" si="302"/>
        <v>16214773</v>
      </c>
      <c r="G1251">
        <f t="shared" si="303"/>
        <v>1621.4773</v>
      </c>
      <c r="H1251">
        <f t="shared" si="306"/>
        <v>60000000</v>
      </c>
      <c r="I1251">
        <f t="shared" si="305"/>
        <v>28800000</v>
      </c>
      <c r="K1251">
        <f t="shared" si="307"/>
        <v>118142230</v>
      </c>
      <c r="M1251">
        <f t="shared" si="304"/>
        <v>35166487</v>
      </c>
      <c r="N1251">
        <f t="shared" si="309"/>
        <v>162074468</v>
      </c>
      <c r="O1251">
        <f t="shared" si="301"/>
        <v>0.331606118650195</v>
      </c>
    </row>
    <row r="1252" ht="13.9" spans="1:15">
      <c r="A1252" s="42" t="s">
        <v>865</v>
      </c>
      <c r="B1252" s="11">
        <v>27830994</v>
      </c>
      <c r="C1252" s="11">
        <v>2325265</v>
      </c>
      <c r="D1252" s="11">
        <v>50</v>
      </c>
      <c r="E1252">
        <f t="shared" si="308"/>
        <v>50</v>
      </c>
      <c r="F1252">
        <f t="shared" si="302"/>
        <v>13915497</v>
      </c>
      <c r="G1252">
        <f t="shared" si="303"/>
        <v>1391.5497</v>
      </c>
      <c r="H1252">
        <f t="shared" si="306"/>
        <v>50000000</v>
      </c>
      <c r="I1252">
        <f t="shared" si="305"/>
        <v>24000000</v>
      </c>
      <c r="K1252">
        <f t="shared" si="307"/>
        <v>90311236</v>
      </c>
      <c r="M1252">
        <f t="shared" si="304"/>
        <v>30156259</v>
      </c>
      <c r="N1252">
        <f t="shared" si="309"/>
        <v>126907981</v>
      </c>
      <c r="O1252">
        <f t="shared" si="301"/>
        <v>0.290403531097848</v>
      </c>
    </row>
    <row r="1253" ht="13.9" spans="1:15">
      <c r="A1253" s="42" t="s">
        <v>866</v>
      </c>
      <c r="B1253" s="11">
        <v>31802548</v>
      </c>
      <c r="C1253" s="11">
        <v>2632295</v>
      </c>
      <c r="D1253" s="11">
        <v>40</v>
      </c>
      <c r="E1253">
        <f t="shared" si="308"/>
        <v>40</v>
      </c>
      <c r="F1253">
        <f t="shared" si="302"/>
        <v>15901274</v>
      </c>
      <c r="G1253">
        <f t="shared" si="303"/>
        <v>1590.1274</v>
      </c>
      <c r="H1253">
        <f t="shared" si="306"/>
        <v>40000000</v>
      </c>
      <c r="I1253">
        <f t="shared" si="305"/>
        <v>19200000</v>
      </c>
      <c r="K1253">
        <f t="shared" si="307"/>
        <v>58508688</v>
      </c>
      <c r="M1253">
        <f t="shared" si="304"/>
        <v>34434843</v>
      </c>
      <c r="N1253">
        <f t="shared" si="309"/>
        <v>96751722</v>
      </c>
      <c r="O1253">
        <f t="shared" si="301"/>
        <v>0</v>
      </c>
    </row>
    <row r="1254" ht="13.9" spans="1:15">
      <c r="A1254" s="42" t="s">
        <v>867</v>
      </c>
      <c r="B1254" s="11">
        <v>58508688</v>
      </c>
      <c r="C1254" s="11">
        <v>3808191</v>
      </c>
      <c r="D1254" s="11">
        <v>216</v>
      </c>
      <c r="E1254">
        <f t="shared" si="308"/>
        <v>216</v>
      </c>
      <c r="F1254">
        <f t="shared" si="302"/>
        <v>29254344</v>
      </c>
      <c r="G1254">
        <f t="shared" si="303"/>
        <v>2925.4344</v>
      </c>
      <c r="H1254">
        <f t="shared" si="306"/>
        <v>216000000</v>
      </c>
      <c r="I1254">
        <f t="shared" si="305"/>
        <v>103680000</v>
      </c>
      <c r="K1254">
        <f t="shared" si="307"/>
        <v>529196276</v>
      </c>
      <c r="M1254">
        <f t="shared" si="304"/>
        <v>62316879</v>
      </c>
      <c r="N1254">
        <f t="shared" si="309"/>
        <v>627493244</v>
      </c>
      <c r="O1254">
        <f t="shared" si="301"/>
        <v>0.538412172967997</v>
      </c>
    </row>
    <row r="1255" ht="13.9" spans="1:15">
      <c r="A1255" s="42" t="s">
        <v>868</v>
      </c>
      <c r="B1255" s="11">
        <v>52089906</v>
      </c>
      <c r="C1255" s="11">
        <v>3629488</v>
      </c>
      <c r="D1255" s="11">
        <v>186</v>
      </c>
      <c r="E1255">
        <f t="shared" si="308"/>
        <v>186</v>
      </c>
      <c r="F1255">
        <f t="shared" si="302"/>
        <v>26044953</v>
      </c>
      <c r="G1255">
        <f t="shared" si="303"/>
        <v>2604.4953</v>
      </c>
      <c r="H1255">
        <f t="shared" si="306"/>
        <v>186000000</v>
      </c>
      <c r="I1255">
        <f t="shared" si="305"/>
        <v>89280000</v>
      </c>
      <c r="K1255">
        <f t="shared" si="307"/>
        <v>477106370</v>
      </c>
      <c r="M1255">
        <f t="shared" si="304"/>
        <v>55719394</v>
      </c>
      <c r="N1255">
        <f t="shared" si="309"/>
        <v>565176365</v>
      </c>
      <c r="O1255">
        <f t="shared" si="301"/>
        <v>0.617558204912276</v>
      </c>
    </row>
    <row r="1256" ht="13.9" spans="1:15">
      <c r="A1256" s="42" t="s">
        <v>869</v>
      </c>
      <c r="B1256" s="11">
        <v>45357682</v>
      </c>
      <c r="C1256" s="11">
        <v>3220735</v>
      </c>
      <c r="D1256" s="11">
        <v>156</v>
      </c>
      <c r="E1256">
        <f t="shared" si="308"/>
        <v>156</v>
      </c>
      <c r="F1256">
        <f t="shared" si="302"/>
        <v>22678841</v>
      </c>
      <c r="G1256">
        <f t="shared" si="303"/>
        <v>2267.8841</v>
      </c>
      <c r="H1256">
        <f t="shared" si="306"/>
        <v>156000000</v>
      </c>
      <c r="I1256">
        <f t="shared" si="305"/>
        <v>74880000</v>
      </c>
      <c r="K1256">
        <f t="shared" si="307"/>
        <v>431748688</v>
      </c>
      <c r="M1256">
        <f t="shared" si="304"/>
        <v>48578417</v>
      </c>
      <c r="N1256">
        <f t="shared" si="309"/>
        <v>509456971</v>
      </c>
      <c r="O1256">
        <f t="shared" si="301"/>
        <v>0.478108691816459</v>
      </c>
    </row>
    <row r="1257" ht="13.85" spans="1:15">
      <c r="A1257" s="43">
        <v>40525</v>
      </c>
      <c r="B1257" s="11">
        <v>44775232</v>
      </c>
      <c r="C1257" s="11">
        <v>3330984</v>
      </c>
      <c r="D1257" s="11">
        <v>133</v>
      </c>
      <c r="E1257">
        <f t="shared" si="308"/>
        <v>133</v>
      </c>
      <c r="F1257">
        <f t="shared" si="302"/>
        <v>22387616</v>
      </c>
      <c r="G1257">
        <f t="shared" si="303"/>
        <v>2238.7616</v>
      </c>
      <c r="H1257">
        <f t="shared" si="306"/>
        <v>133000000</v>
      </c>
      <c r="I1257">
        <f t="shared" si="305"/>
        <v>63840000</v>
      </c>
      <c r="K1257">
        <f t="shared" si="307"/>
        <v>386973456</v>
      </c>
      <c r="M1257">
        <f t="shared" si="304"/>
        <v>48106216</v>
      </c>
      <c r="N1257">
        <f t="shared" si="309"/>
        <v>460878554</v>
      </c>
      <c r="O1257">
        <f t="shared" si="301"/>
        <v>0.59514376495135</v>
      </c>
    </row>
    <row r="1258" ht="13.85" spans="1:15">
      <c r="A1258" s="43">
        <v>40434</v>
      </c>
      <c r="B1258" s="11">
        <v>39054982</v>
      </c>
      <c r="C1258" s="11">
        <v>2951675</v>
      </c>
      <c r="D1258" s="11">
        <v>108</v>
      </c>
      <c r="E1258">
        <f t="shared" si="308"/>
        <v>108</v>
      </c>
      <c r="F1258">
        <f t="shared" si="302"/>
        <v>19527491</v>
      </c>
      <c r="G1258">
        <f t="shared" si="303"/>
        <v>1952.7491</v>
      </c>
      <c r="H1258">
        <f t="shared" si="306"/>
        <v>108000000</v>
      </c>
      <c r="I1258">
        <f t="shared" si="305"/>
        <v>51840000</v>
      </c>
      <c r="K1258">
        <f t="shared" si="307"/>
        <v>347918474</v>
      </c>
      <c r="M1258">
        <f t="shared" si="304"/>
        <v>42006657</v>
      </c>
      <c r="N1258">
        <f t="shared" si="309"/>
        <v>412772338</v>
      </c>
      <c r="O1258">
        <f t="shared" si="301"/>
        <v>0.554348741145822</v>
      </c>
    </row>
    <row r="1259" ht="13.85" spans="1:15">
      <c r="A1259" s="43">
        <v>40311</v>
      </c>
      <c r="B1259" s="11">
        <v>36749138</v>
      </c>
      <c r="C1259" s="11">
        <v>2937071</v>
      </c>
      <c r="D1259" s="11">
        <v>86</v>
      </c>
      <c r="E1259">
        <f t="shared" si="308"/>
        <v>86</v>
      </c>
      <c r="F1259">
        <f t="shared" si="302"/>
        <v>18374569</v>
      </c>
      <c r="G1259">
        <f t="shared" si="303"/>
        <v>1837.4569</v>
      </c>
      <c r="H1259">
        <f t="shared" si="306"/>
        <v>86000000</v>
      </c>
      <c r="I1259">
        <f t="shared" si="305"/>
        <v>41280000</v>
      </c>
      <c r="K1259">
        <f t="shared" si="307"/>
        <v>311169336</v>
      </c>
      <c r="M1259">
        <f t="shared" si="304"/>
        <v>39686209</v>
      </c>
      <c r="N1259">
        <f t="shared" si="309"/>
        <v>370765681</v>
      </c>
      <c r="O1259">
        <f t="shared" si="301"/>
        <v>0.463227549532053</v>
      </c>
    </row>
    <row r="1260" ht="13.85" spans="1:15">
      <c r="A1260" s="43">
        <v>40222</v>
      </c>
      <c r="B1260" s="11">
        <v>31931180</v>
      </c>
      <c r="C1260" s="11">
        <v>2609080</v>
      </c>
      <c r="D1260" s="11">
        <v>70</v>
      </c>
      <c r="E1260">
        <f t="shared" si="308"/>
        <v>70</v>
      </c>
      <c r="F1260">
        <f t="shared" si="302"/>
        <v>15965590</v>
      </c>
      <c r="G1260">
        <f t="shared" si="303"/>
        <v>1596.559</v>
      </c>
      <c r="H1260">
        <f t="shared" si="306"/>
        <v>70000000</v>
      </c>
      <c r="I1260">
        <f t="shared" si="305"/>
        <v>33600000</v>
      </c>
      <c r="K1260">
        <f t="shared" si="307"/>
        <v>279238156</v>
      </c>
      <c r="M1260">
        <f t="shared" si="304"/>
        <v>34540260</v>
      </c>
      <c r="N1260">
        <f t="shared" si="309"/>
        <v>331079472</v>
      </c>
      <c r="O1260">
        <f t="shared" si="301"/>
        <v>0.272429183191653</v>
      </c>
    </row>
    <row r="1261" ht="13.9" spans="1:15">
      <c r="A1261" s="42" t="s">
        <v>870</v>
      </c>
      <c r="B1261" s="11">
        <v>33923886</v>
      </c>
      <c r="C1261" s="11">
        <v>2782901</v>
      </c>
      <c r="D1261" s="11">
        <v>60</v>
      </c>
      <c r="E1261">
        <f t="shared" si="308"/>
        <v>60</v>
      </c>
      <c r="F1261">
        <f t="shared" si="302"/>
        <v>16961943</v>
      </c>
      <c r="G1261">
        <f t="shared" si="303"/>
        <v>1696.1943</v>
      </c>
      <c r="H1261">
        <f t="shared" si="306"/>
        <v>60000000</v>
      </c>
      <c r="I1261">
        <f t="shared" si="305"/>
        <v>28800000</v>
      </c>
      <c r="K1261">
        <f t="shared" si="307"/>
        <v>245314270</v>
      </c>
      <c r="M1261">
        <f t="shared" si="304"/>
        <v>36706787</v>
      </c>
      <c r="N1261">
        <f t="shared" si="309"/>
        <v>296539212</v>
      </c>
      <c r="O1261">
        <f t="shared" si="301"/>
        <v>0.305527583656584</v>
      </c>
    </row>
    <row r="1262" ht="13.9" spans="1:15">
      <c r="A1262" s="42" t="s">
        <v>871</v>
      </c>
      <c r="B1262" s="11">
        <v>30244738</v>
      </c>
      <c r="C1262" s="11">
        <v>2485531</v>
      </c>
      <c r="D1262" s="11">
        <v>50</v>
      </c>
      <c r="E1262">
        <f t="shared" si="308"/>
        <v>50</v>
      </c>
      <c r="F1262">
        <f t="shared" si="302"/>
        <v>15122369</v>
      </c>
      <c r="G1262">
        <f t="shared" si="303"/>
        <v>1512.2369</v>
      </c>
      <c r="H1262">
        <f t="shared" si="306"/>
        <v>50000000</v>
      </c>
      <c r="I1262">
        <f t="shared" si="305"/>
        <v>24000000</v>
      </c>
      <c r="K1262">
        <f t="shared" si="307"/>
        <v>215069532</v>
      </c>
      <c r="M1262">
        <f t="shared" si="304"/>
        <v>32730269</v>
      </c>
      <c r="N1262">
        <f t="shared" si="309"/>
        <v>259832425</v>
      </c>
      <c r="O1262">
        <f t="shared" si="301"/>
        <v>0.286107528250114</v>
      </c>
    </row>
    <row r="1263" ht="13.9" spans="1:15">
      <c r="A1263" s="42" t="s">
        <v>872</v>
      </c>
      <c r="B1263" s="11">
        <v>32296040</v>
      </c>
      <c r="C1263" s="11">
        <v>2655854</v>
      </c>
      <c r="D1263" s="11">
        <v>40</v>
      </c>
      <c r="E1263">
        <f t="shared" si="308"/>
        <v>40</v>
      </c>
      <c r="F1263">
        <f t="shared" si="302"/>
        <v>16148020</v>
      </c>
      <c r="G1263">
        <f t="shared" si="303"/>
        <v>1614.802</v>
      </c>
      <c r="H1263">
        <f t="shared" si="306"/>
        <v>40000000</v>
      </c>
      <c r="I1263">
        <f t="shared" si="305"/>
        <v>19200000</v>
      </c>
      <c r="K1263">
        <f t="shared" si="307"/>
        <v>182773492</v>
      </c>
      <c r="M1263">
        <f t="shared" si="304"/>
        <v>34951894</v>
      </c>
      <c r="N1263">
        <f t="shared" si="309"/>
        <v>227102156</v>
      </c>
      <c r="O1263">
        <f t="shared" si="301"/>
        <v>0</v>
      </c>
    </row>
    <row r="1264" ht="13.9" spans="1:15">
      <c r="A1264" s="42" t="s">
        <v>873</v>
      </c>
      <c r="B1264" s="11">
        <v>182773492</v>
      </c>
      <c r="C1264" s="11">
        <v>9376770</v>
      </c>
      <c r="D1264" s="11">
        <v>400</v>
      </c>
      <c r="E1264">
        <f t="shared" si="308"/>
        <v>400</v>
      </c>
      <c r="F1264">
        <f t="shared" si="302"/>
        <v>91386746</v>
      </c>
      <c r="G1264">
        <f t="shared" si="303"/>
        <v>9138.6746</v>
      </c>
      <c r="H1264">
        <f t="shared" si="306"/>
        <v>400000000</v>
      </c>
      <c r="I1264">
        <f t="shared" si="305"/>
        <v>192000000</v>
      </c>
      <c r="K1264">
        <f t="shared" si="307"/>
        <v>833030884</v>
      </c>
      <c r="M1264">
        <f t="shared" si="304"/>
        <v>192150262</v>
      </c>
      <c r="N1264">
        <f t="shared" si="309"/>
        <v>1077834286</v>
      </c>
      <c r="O1264">
        <f t="shared" si="301"/>
        <v>0.773150124450622</v>
      </c>
    </row>
    <row r="1265" ht="13.9" spans="1:15">
      <c r="A1265" s="42" t="s">
        <v>874</v>
      </c>
      <c r="B1265" s="11">
        <v>101377126</v>
      </c>
      <c r="C1265" s="11">
        <v>5975893</v>
      </c>
      <c r="D1265" s="11">
        <v>317</v>
      </c>
      <c r="E1265">
        <f t="shared" si="308"/>
        <v>317</v>
      </c>
      <c r="F1265">
        <f t="shared" si="302"/>
        <v>50688563</v>
      </c>
      <c r="G1265">
        <f t="shared" si="303"/>
        <v>5068.8563</v>
      </c>
      <c r="H1265">
        <f t="shared" si="306"/>
        <v>317000000</v>
      </c>
      <c r="I1265">
        <f t="shared" si="305"/>
        <v>152160000</v>
      </c>
      <c r="K1265">
        <f t="shared" si="307"/>
        <v>731653758</v>
      </c>
      <c r="M1265">
        <f t="shared" si="304"/>
        <v>107353019</v>
      </c>
      <c r="N1265">
        <f t="shared" si="309"/>
        <v>885684024</v>
      </c>
      <c r="O1265">
        <f t="shared" si="301"/>
        <v>0.919923460834853</v>
      </c>
    </row>
    <row r="1266" ht="13.85" spans="1:15">
      <c r="A1266" s="43">
        <v>40130</v>
      </c>
      <c r="B1266" s="11">
        <v>73685004</v>
      </c>
      <c r="C1266" s="11">
        <v>4582377</v>
      </c>
      <c r="D1266" s="11">
        <v>245</v>
      </c>
      <c r="E1266">
        <f t="shared" si="308"/>
        <v>245</v>
      </c>
      <c r="F1266">
        <f t="shared" si="302"/>
        <v>36842502</v>
      </c>
      <c r="G1266">
        <f t="shared" si="303"/>
        <v>3684.2502</v>
      </c>
      <c r="H1266">
        <f t="shared" si="306"/>
        <v>245000000</v>
      </c>
      <c r="I1266">
        <f t="shared" si="305"/>
        <v>117600000</v>
      </c>
      <c r="K1266">
        <f t="shared" si="307"/>
        <v>657968754</v>
      </c>
      <c r="M1266">
        <f t="shared" si="304"/>
        <v>78267381</v>
      </c>
      <c r="N1266">
        <f t="shared" si="309"/>
        <v>778331005</v>
      </c>
      <c r="O1266">
        <f t="shared" si="301"/>
        <v>0.590367803499057</v>
      </c>
    </row>
    <row r="1267" ht="13.85" spans="1:15">
      <c r="A1267" s="43">
        <v>40007</v>
      </c>
      <c r="B1267" s="11">
        <v>66736054</v>
      </c>
      <c r="C1267" s="11">
        <v>4406037</v>
      </c>
      <c r="D1267" s="11">
        <v>203</v>
      </c>
      <c r="E1267">
        <f t="shared" si="308"/>
        <v>203</v>
      </c>
      <c r="F1267">
        <f t="shared" si="302"/>
        <v>33368027</v>
      </c>
      <c r="G1267">
        <f t="shared" si="303"/>
        <v>3336.8027</v>
      </c>
      <c r="H1267">
        <f t="shared" si="306"/>
        <v>203000000</v>
      </c>
      <c r="I1267">
        <f t="shared" si="305"/>
        <v>97440000</v>
      </c>
      <c r="K1267">
        <f t="shared" si="307"/>
        <v>591232700</v>
      </c>
      <c r="M1267">
        <f t="shared" si="304"/>
        <v>71142091</v>
      </c>
      <c r="N1267">
        <f t="shared" si="309"/>
        <v>700063624</v>
      </c>
      <c r="O1267">
        <f t="shared" si="301"/>
        <v>0.633520442353786</v>
      </c>
    </row>
    <row r="1268" ht="13.85" spans="1:15">
      <c r="A1268" s="43">
        <v>39916</v>
      </c>
      <c r="B1268" s="11">
        <v>50164254</v>
      </c>
      <c r="C1268" s="11">
        <v>3504101</v>
      </c>
      <c r="D1268" s="11">
        <v>169</v>
      </c>
      <c r="E1268">
        <f t="shared" si="308"/>
        <v>169</v>
      </c>
      <c r="F1268">
        <f t="shared" si="302"/>
        <v>25082127</v>
      </c>
      <c r="G1268">
        <f t="shared" si="303"/>
        <v>2508.2127</v>
      </c>
      <c r="H1268">
        <f t="shared" si="306"/>
        <v>169000000</v>
      </c>
      <c r="I1268">
        <f t="shared" si="305"/>
        <v>81120000</v>
      </c>
      <c r="K1268">
        <f t="shared" si="307"/>
        <v>541068446</v>
      </c>
      <c r="M1268">
        <f t="shared" si="304"/>
        <v>53668355</v>
      </c>
      <c r="N1268">
        <f t="shared" si="309"/>
        <v>628921533</v>
      </c>
      <c r="O1268">
        <f t="shared" si="301"/>
        <v>0.48305056090221</v>
      </c>
    </row>
    <row r="1269" ht="13.9" spans="1:15">
      <c r="A1269" s="42" t="s">
        <v>875</v>
      </c>
      <c r="B1269" s="11">
        <v>52146876</v>
      </c>
      <c r="C1269" s="11">
        <v>3747894</v>
      </c>
      <c r="D1269" s="11">
        <v>142</v>
      </c>
      <c r="E1269">
        <f t="shared" si="308"/>
        <v>142</v>
      </c>
      <c r="F1269">
        <f t="shared" si="302"/>
        <v>26073438</v>
      </c>
      <c r="G1269">
        <f t="shared" si="303"/>
        <v>2607.3438</v>
      </c>
      <c r="H1269">
        <f t="shared" si="306"/>
        <v>142000000</v>
      </c>
      <c r="I1269">
        <f t="shared" si="305"/>
        <v>68160000</v>
      </c>
      <c r="K1269">
        <f t="shared" si="307"/>
        <v>488921570</v>
      </c>
      <c r="M1269">
        <f t="shared" si="304"/>
        <v>55894770</v>
      </c>
      <c r="N1269">
        <f t="shared" si="309"/>
        <v>575253178</v>
      </c>
      <c r="O1269">
        <f t="shared" si="301"/>
        <v>0.5617943296024</v>
      </c>
    </row>
    <row r="1270" ht="13.9" spans="1:15">
      <c r="A1270" s="42" t="s">
        <v>876</v>
      </c>
      <c r="B1270" s="11">
        <v>43157770</v>
      </c>
      <c r="C1270" s="11">
        <v>3122512</v>
      </c>
      <c r="D1270" s="11">
        <v>116</v>
      </c>
      <c r="E1270">
        <f t="shared" si="308"/>
        <v>116</v>
      </c>
      <c r="F1270">
        <f t="shared" si="302"/>
        <v>21578885</v>
      </c>
      <c r="G1270">
        <f t="shared" si="303"/>
        <v>2157.8885</v>
      </c>
      <c r="H1270">
        <f t="shared" si="306"/>
        <v>116000000</v>
      </c>
      <c r="I1270">
        <f t="shared" si="305"/>
        <v>55680000</v>
      </c>
      <c r="K1270">
        <f t="shared" si="307"/>
        <v>445763800</v>
      </c>
      <c r="M1270">
        <f t="shared" si="304"/>
        <v>46280282</v>
      </c>
      <c r="N1270">
        <f t="shared" si="309"/>
        <v>519358408</v>
      </c>
      <c r="O1270">
        <f t="shared" si="301"/>
        <v>0.549984202849574</v>
      </c>
    </row>
    <row r="1271" ht="13.9" spans="1:15">
      <c r="A1271" s="42" t="s">
        <v>877</v>
      </c>
      <c r="B1271" s="11">
        <v>40503768</v>
      </c>
      <c r="C1271" s="11">
        <v>3133849</v>
      </c>
      <c r="D1271" s="11">
        <v>92</v>
      </c>
      <c r="E1271">
        <f t="shared" si="308"/>
        <v>92</v>
      </c>
      <c r="F1271">
        <f t="shared" si="302"/>
        <v>20251884</v>
      </c>
      <c r="G1271">
        <f t="shared" si="303"/>
        <v>2025.1884</v>
      </c>
      <c r="H1271">
        <f t="shared" si="306"/>
        <v>92000000</v>
      </c>
      <c r="I1271">
        <f t="shared" si="305"/>
        <v>44160000</v>
      </c>
      <c r="K1271">
        <f t="shared" si="307"/>
        <v>405260032</v>
      </c>
      <c r="M1271">
        <f t="shared" si="304"/>
        <v>43637617</v>
      </c>
      <c r="N1271">
        <f t="shared" si="309"/>
        <v>473078126</v>
      </c>
      <c r="O1271">
        <f t="shared" si="301"/>
        <v>0.594865017015843</v>
      </c>
    </row>
    <row r="1272" ht="13.9" spans="1:15">
      <c r="A1272" s="42" t="s">
        <v>878</v>
      </c>
      <c r="B1272" s="11">
        <v>34274628</v>
      </c>
      <c r="C1272" s="11">
        <v>2708552</v>
      </c>
      <c r="D1272" s="11">
        <v>70</v>
      </c>
      <c r="E1272">
        <f t="shared" si="308"/>
        <v>70</v>
      </c>
      <c r="F1272">
        <f t="shared" si="302"/>
        <v>17137314</v>
      </c>
      <c r="G1272">
        <f t="shared" si="303"/>
        <v>1713.7314</v>
      </c>
      <c r="H1272">
        <f t="shared" si="306"/>
        <v>70000000</v>
      </c>
      <c r="I1272">
        <f t="shared" si="305"/>
        <v>33600000</v>
      </c>
      <c r="K1272">
        <f t="shared" si="307"/>
        <v>370985404</v>
      </c>
      <c r="M1272">
        <f t="shared" si="304"/>
        <v>36983180</v>
      </c>
      <c r="N1272">
        <f t="shared" si="309"/>
        <v>429440509</v>
      </c>
      <c r="O1272">
        <f t="shared" si="301"/>
        <v>0.256022257960654</v>
      </c>
    </row>
    <row r="1273" ht="13.9" spans="1:15">
      <c r="A1273" s="42" t="s">
        <v>879</v>
      </c>
      <c r="B1273" s="11">
        <v>36149700</v>
      </c>
      <c r="C1273" s="11">
        <v>2909404</v>
      </c>
      <c r="D1273" s="11">
        <v>60</v>
      </c>
      <c r="E1273">
        <f t="shared" si="308"/>
        <v>60</v>
      </c>
      <c r="F1273">
        <f t="shared" si="302"/>
        <v>18074850</v>
      </c>
      <c r="G1273">
        <f t="shared" si="303"/>
        <v>1807.485</v>
      </c>
      <c r="H1273">
        <f t="shared" si="306"/>
        <v>60000000</v>
      </c>
      <c r="I1273">
        <f t="shared" si="305"/>
        <v>28800000</v>
      </c>
      <c r="K1273">
        <f t="shared" si="307"/>
        <v>334835704</v>
      </c>
      <c r="M1273">
        <f t="shared" si="304"/>
        <v>39059104</v>
      </c>
      <c r="N1273">
        <f t="shared" si="309"/>
        <v>392457329</v>
      </c>
      <c r="O1273">
        <f t="shared" si="301"/>
        <v>0.294899129752668</v>
      </c>
    </row>
    <row r="1274" ht="13.9" spans="1:15">
      <c r="A1274" s="42" t="s">
        <v>880</v>
      </c>
      <c r="B1274" s="11">
        <v>31379796</v>
      </c>
      <c r="C1274" s="11">
        <v>2530104</v>
      </c>
      <c r="D1274" s="11">
        <v>50</v>
      </c>
      <c r="E1274">
        <f t="shared" si="308"/>
        <v>50</v>
      </c>
      <c r="F1274">
        <f t="shared" si="302"/>
        <v>15689898</v>
      </c>
      <c r="G1274">
        <f t="shared" si="303"/>
        <v>1568.9898</v>
      </c>
      <c r="H1274">
        <f t="shared" si="306"/>
        <v>50000000</v>
      </c>
      <c r="I1274">
        <f t="shared" si="305"/>
        <v>24000000</v>
      </c>
      <c r="K1274">
        <f t="shared" si="307"/>
        <v>303455908</v>
      </c>
      <c r="M1274">
        <f t="shared" si="304"/>
        <v>33909900</v>
      </c>
      <c r="N1274">
        <f t="shared" si="309"/>
        <v>353398225</v>
      </c>
      <c r="O1274">
        <f t="shared" si="301"/>
        <v>0.285031139366945</v>
      </c>
    </row>
    <row r="1275" ht="13.85" spans="1:15">
      <c r="A1275" s="43">
        <v>39734</v>
      </c>
      <c r="B1275" s="11">
        <v>32446598</v>
      </c>
      <c r="C1275" s="11">
        <v>2637288</v>
      </c>
      <c r="D1275" s="11">
        <v>40</v>
      </c>
      <c r="E1275">
        <f t="shared" si="308"/>
        <v>40</v>
      </c>
      <c r="F1275">
        <f t="shared" si="302"/>
        <v>16223299</v>
      </c>
      <c r="G1275">
        <f t="shared" si="303"/>
        <v>1622.3299</v>
      </c>
      <c r="H1275">
        <f t="shared" si="306"/>
        <v>40000000</v>
      </c>
      <c r="I1275">
        <f t="shared" si="305"/>
        <v>19200000</v>
      </c>
      <c r="K1275">
        <f t="shared" si="307"/>
        <v>271009310</v>
      </c>
      <c r="M1275">
        <f t="shared" si="304"/>
        <v>35083886</v>
      </c>
      <c r="N1275">
        <f t="shared" si="309"/>
        <v>319488325</v>
      </c>
      <c r="O1275">
        <f t="shared" si="301"/>
        <v>0</v>
      </c>
    </row>
    <row r="1276" ht="13.85" spans="1:15">
      <c r="A1276" s="43">
        <v>39642</v>
      </c>
      <c r="B1276" s="11">
        <v>271009310</v>
      </c>
      <c r="C1276" s="11">
        <v>13395129</v>
      </c>
      <c r="D1276" s="11">
        <v>425</v>
      </c>
      <c r="E1276">
        <f t="shared" si="308"/>
        <v>425</v>
      </c>
      <c r="F1276">
        <f t="shared" si="302"/>
        <v>135504655</v>
      </c>
      <c r="G1276">
        <f t="shared" si="303"/>
        <v>13550.4655</v>
      </c>
      <c r="H1276">
        <f t="shared" si="306"/>
        <v>425000000</v>
      </c>
      <c r="I1276">
        <f t="shared" si="305"/>
        <v>204000000</v>
      </c>
      <c r="K1276">
        <f t="shared" si="307"/>
        <v>635717212</v>
      </c>
      <c r="M1276">
        <f t="shared" si="304"/>
        <v>284404439</v>
      </c>
      <c r="N1276">
        <f t="shared" si="309"/>
        <v>964212488</v>
      </c>
      <c r="O1276">
        <f t="shared" si="301"/>
        <v>0.999895170990273</v>
      </c>
    </row>
    <row r="1277" ht="13.85" spans="1:15">
      <c r="A1277" s="43">
        <v>39520</v>
      </c>
      <c r="B1277" s="11">
        <v>118181040</v>
      </c>
      <c r="C1277" s="11">
        <v>6832065</v>
      </c>
      <c r="D1277" s="11">
        <v>300</v>
      </c>
      <c r="E1277">
        <f t="shared" si="308"/>
        <v>300</v>
      </c>
      <c r="F1277">
        <f t="shared" si="302"/>
        <v>59090520</v>
      </c>
      <c r="G1277">
        <f t="shared" si="303"/>
        <v>5909.052</v>
      </c>
      <c r="H1277">
        <f t="shared" si="306"/>
        <v>300000000</v>
      </c>
      <c r="I1277">
        <f t="shared" si="305"/>
        <v>144000000</v>
      </c>
      <c r="K1277">
        <f t="shared" si="307"/>
        <v>517536172</v>
      </c>
      <c r="M1277">
        <f t="shared" si="304"/>
        <v>125013105</v>
      </c>
      <c r="N1277">
        <f t="shared" si="309"/>
        <v>679808049</v>
      </c>
      <c r="O1277">
        <f t="shared" si="301"/>
        <v>0.748586972988149</v>
      </c>
    </row>
    <row r="1278" ht="13.9" spans="1:15">
      <c r="A1278" s="42" t="s">
        <v>881</v>
      </c>
      <c r="B1278" s="11">
        <v>82014782</v>
      </c>
      <c r="C1278" s="11">
        <v>4815476</v>
      </c>
      <c r="D1278" s="11">
        <v>235</v>
      </c>
      <c r="E1278">
        <f t="shared" si="308"/>
        <v>235</v>
      </c>
      <c r="F1278">
        <f t="shared" si="302"/>
        <v>41007391</v>
      </c>
      <c r="G1278">
        <f t="shared" si="303"/>
        <v>4100.7391</v>
      </c>
      <c r="H1278">
        <f t="shared" si="306"/>
        <v>235000000</v>
      </c>
      <c r="I1278">
        <f t="shared" si="305"/>
        <v>112800000</v>
      </c>
      <c r="K1278">
        <f t="shared" si="307"/>
        <v>435521390</v>
      </c>
      <c r="M1278">
        <f t="shared" si="304"/>
        <v>86830258</v>
      </c>
      <c r="N1278">
        <f t="shared" si="309"/>
        <v>554794944</v>
      </c>
      <c r="O1278">
        <f t="shared" si="301"/>
        <v>0.578050189281793</v>
      </c>
    </row>
    <row r="1279" ht="13.9" spans="1:15">
      <c r="A1279" s="42" t="s">
        <v>882</v>
      </c>
      <c r="B1279" s="11">
        <v>63365314</v>
      </c>
      <c r="C1279" s="11">
        <v>4102876</v>
      </c>
      <c r="D1279" s="11">
        <v>196</v>
      </c>
      <c r="E1279">
        <f t="shared" si="308"/>
        <v>196</v>
      </c>
      <c r="F1279">
        <f t="shared" si="302"/>
        <v>31682657</v>
      </c>
      <c r="G1279">
        <f t="shared" si="303"/>
        <v>3168.2657</v>
      </c>
      <c r="H1279">
        <f t="shared" si="306"/>
        <v>196000000</v>
      </c>
      <c r="I1279">
        <f t="shared" si="305"/>
        <v>94080000</v>
      </c>
      <c r="K1279">
        <f t="shared" si="307"/>
        <v>372156076</v>
      </c>
      <c r="M1279">
        <f t="shared" si="304"/>
        <v>67468190</v>
      </c>
      <c r="N1279">
        <f t="shared" si="309"/>
        <v>467964686</v>
      </c>
      <c r="O1279">
        <f t="shared" si="301"/>
        <v>0.569062863293289</v>
      </c>
    </row>
    <row r="1280" ht="13.9" spans="1:15">
      <c r="A1280" s="42" t="s">
        <v>883</v>
      </c>
      <c r="B1280" s="11">
        <v>49399020</v>
      </c>
      <c r="C1280" s="11">
        <v>3319233</v>
      </c>
      <c r="D1280" s="11">
        <v>166</v>
      </c>
      <c r="E1280">
        <f t="shared" si="308"/>
        <v>166</v>
      </c>
      <c r="F1280">
        <f t="shared" si="302"/>
        <v>24699510</v>
      </c>
      <c r="G1280">
        <f t="shared" si="303"/>
        <v>2469.951</v>
      </c>
      <c r="H1280">
        <f t="shared" si="306"/>
        <v>166000000</v>
      </c>
      <c r="I1280">
        <f t="shared" si="305"/>
        <v>79680000</v>
      </c>
      <c r="K1280">
        <f t="shared" si="307"/>
        <v>322757056</v>
      </c>
      <c r="M1280">
        <f t="shared" si="304"/>
        <v>52718253</v>
      </c>
      <c r="N1280">
        <f t="shared" si="309"/>
        <v>400496496</v>
      </c>
      <c r="O1280">
        <f t="shared" si="301"/>
        <v>0.488926680965621</v>
      </c>
    </row>
    <row r="1281" ht="13.9" spans="1:15">
      <c r="A1281" s="42" t="s">
        <v>884</v>
      </c>
      <c r="B1281" s="11">
        <v>47745826</v>
      </c>
      <c r="C1281" s="11">
        <v>3386585</v>
      </c>
      <c r="D1281" s="11">
        <v>141</v>
      </c>
      <c r="E1281">
        <f t="shared" si="308"/>
        <v>141</v>
      </c>
      <c r="F1281">
        <f t="shared" si="302"/>
        <v>23872913</v>
      </c>
      <c r="G1281">
        <f t="shared" si="303"/>
        <v>2387.2913</v>
      </c>
      <c r="H1281">
        <f t="shared" si="306"/>
        <v>141000000</v>
      </c>
      <c r="I1281">
        <f t="shared" si="305"/>
        <v>67680000</v>
      </c>
      <c r="K1281">
        <f t="shared" si="307"/>
        <v>275011230</v>
      </c>
      <c r="M1281">
        <f t="shared" si="304"/>
        <v>51132411</v>
      </c>
      <c r="N1281">
        <f t="shared" si="309"/>
        <v>347778243</v>
      </c>
      <c r="O1281">
        <f t="shared" si="301"/>
        <v>0.587262993869092</v>
      </c>
    </row>
    <row r="1282" ht="13.9" spans="1:15">
      <c r="A1282" s="42" t="s">
        <v>885</v>
      </c>
      <c r="B1282" s="11">
        <v>39692874</v>
      </c>
      <c r="C1282" s="11">
        <v>2877491</v>
      </c>
      <c r="D1282" s="11">
        <v>116</v>
      </c>
      <c r="E1282">
        <f t="shared" si="308"/>
        <v>116</v>
      </c>
      <c r="F1282">
        <f t="shared" si="302"/>
        <v>19846437</v>
      </c>
      <c r="G1282">
        <f t="shared" si="303"/>
        <v>1984.6437</v>
      </c>
      <c r="H1282">
        <f t="shared" si="306"/>
        <v>116000000</v>
      </c>
      <c r="I1282">
        <f t="shared" si="305"/>
        <v>55680000</v>
      </c>
      <c r="K1282">
        <f t="shared" si="307"/>
        <v>235318356</v>
      </c>
      <c r="M1282">
        <f t="shared" si="304"/>
        <v>42570365</v>
      </c>
      <c r="N1282">
        <f t="shared" si="309"/>
        <v>296645832</v>
      </c>
      <c r="O1282">
        <f t="shared" si="301"/>
        <v>0.547065445215412</v>
      </c>
    </row>
    <row r="1283" ht="13.9" spans="1:15">
      <c r="A1283" s="42" t="s">
        <v>886</v>
      </c>
      <c r="B1283" s="11">
        <v>37311468</v>
      </c>
      <c r="C1283" s="11">
        <v>2903099</v>
      </c>
      <c r="D1283" s="11">
        <v>94</v>
      </c>
      <c r="E1283">
        <f t="shared" si="308"/>
        <v>94</v>
      </c>
      <c r="F1283">
        <f t="shared" si="302"/>
        <v>18655734</v>
      </c>
      <c r="G1283">
        <f t="shared" si="303"/>
        <v>1865.5734</v>
      </c>
      <c r="H1283">
        <f t="shared" si="306"/>
        <v>94000000</v>
      </c>
      <c r="I1283">
        <f t="shared" si="305"/>
        <v>45120000</v>
      </c>
      <c r="K1283">
        <f t="shared" si="307"/>
        <v>198006888</v>
      </c>
      <c r="M1283">
        <f t="shared" si="304"/>
        <v>40214567</v>
      </c>
      <c r="N1283">
        <f t="shared" si="309"/>
        <v>254075467</v>
      </c>
      <c r="O1283">
        <f t="shared" ref="O1283:O1346" si="310">IF(H1283&gt;H1284,(H1283-H1284)/M1284,0)</f>
        <v>0.412680078847835</v>
      </c>
    </row>
    <row r="1284" ht="13.85" spans="1:15">
      <c r="A1284" s="43">
        <v>39368</v>
      </c>
      <c r="B1284" s="11">
        <v>31435340</v>
      </c>
      <c r="C1284" s="11">
        <v>2489244</v>
      </c>
      <c r="D1284" s="11">
        <v>80</v>
      </c>
      <c r="E1284">
        <f t="shared" si="308"/>
        <v>80</v>
      </c>
      <c r="F1284">
        <f t="shared" ref="F1284:F1347" si="311">B1284/2</f>
        <v>15717670</v>
      </c>
      <c r="G1284">
        <f t="shared" ref="G1284:G1347" si="312">F1284/10000</f>
        <v>1571.767</v>
      </c>
      <c r="H1284">
        <f t="shared" si="306"/>
        <v>80000000</v>
      </c>
      <c r="I1284">
        <f t="shared" si="305"/>
        <v>38400000</v>
      </c>
      <c r="K1284">
        <f t="shared" si="307"/>
        <v>166571548</v>
      </c>
      <c r="M1284">
        <f t="shared" si="304"/>
        <v>33924584</v>
      </c>
      <c r="N1284">
        <f t="shared" si="309"/>
        <v>213860900</v>
      </c>
      <c r="O1284">
        <f t="shared" si="310"/>
        <v>0.290889906984171</v>
      </c>
    </row>
    <row r="1285" ht="13.85" spans="1:15">
      <c r="A1285" s="43">
        <v>39246</v>
      </c>
      <c r="B1285" s="11">
        <v>31729376</v>
      </c>
      <c r="C1285" s="11">
        <v>2647891</v>
      </c>
      <c r="D1285" s="11">
        <v>70</v>
      </c>
      <c r="E1285">
        <f t="shared" si="308"/>
        <v>70</v>
      </c>
      <c r="F1285">
        <f t="shared" si="311"/>
        <v>15864688</v>
      </c>
      <c r="G1285">
        <f t="shared" si="312"/>
        <v>1586.4688</v>
      </c>
      <c r="H1285">
        <f t="shared" si="306"/>
        <v>70000000</v>
      </c>
      <c r="I1285">
        <f t="shared" si="305"/>
        <v>33600000</v>
      </c>
      <c r="K1285">
        <f t="shared" si="307"/>
        <v>134842172</v>
      </c>
      <c r="M1285">
        <f t="shared" si="304"/>
        <v>34377267</v>
      </c>
      <c r="N1285">
        <f t="shared" si="309"/>
        <v>179936316</v>
      </c>
      <c r="O1285">
        <f t="shared" si="310"/>
        <v>0.309342846904493</v>
      </c>
    </row>
    <row r="1286" ht="13.85" spans="1:15">
      <c r="A1286" s="43">
        <v>39154</v>
      </c>
      <c r="B1286" s="11">
        <v>29854872</v>
      </c>
      <c r="C1286" s="11">
        <v>2471720</v>
      </c>
      <c r="D1286" s="11">
        <v>60</v>
      </c>
      <c r="E1286">
        <f t="shared" si="308"/>
        <v>60</v>
      </c>
      <c r="F1286">
        <f t="shared" si="311"/>
        <v>14927436</v>
      </c>
      <c r="G1286">
        <f t="shared" si="312"/>
        <v>1492.7436</v>
      </c>
      <c r="H1286">
        <f t="shared" si="306"/>
        <v>60000000</v>
      </c>
      <c r="I1286">
        <f t="shared" si="305"/>
        <v>28800000</v>
      </c>
      <c r="K1286">
        <f t="shared" si="307"/>
        <v>104987300</v>
      </c>
      <c r="M1286">
        <f t="shared" si="304"/>
        <v>32326592</v>
      </c>
      <c r="N1286">
        <f t="shared" si="309"/>
        <v>145559049</v>
      </c>
      <c r="O1286">
        <f t="shared" si="310"/>
        <v>0.290274498079108</v>
      </c>
    </row>
    <row r="1287" ht="13.9" spans="1:15">
      <c r="A1287" s="42" t="s">
        <v>887</v>
      </c>
      <c r="B1287" s="11">
        <v>31805792</v>
      </c>
      <c r="C1287" s="11">
        <v>2644358</v>
      </c>
      <c r="D1287" s="11">
        <v>50</v>
      </c>
      <c r="E1287">
        <f t="shared" si="308"/>
        <v>50</v>
      </c>
      <c r="F1287">
        <f t="shared" si="311"/>
        <v>15902896</v>
      </c>
      <c r="G1287">
        <f t="shared" si="312"/>
        <v>1590.2896</v>
      </c>
      <c r="H1287">
        <f t="shared" si="306"/>
        <v>50000000</v>
      </c>
      <c r="I1287">
        <f t="shared" si="305"/>
        <v>24000000</v>
      </c>
      <c r="K1287">
        <f t="shared" si="307"/>
        <v>73181508</v>
      </c>
      <c r="M1287">
        <f t="shared" ref="M1287:M1350" si="313">B1287+C1287</f>
        <v>34450150</v>
      </c>
      <c r="N1287">
        <f t="shared" si="309"/>
        <v>113232457</v>
      </c>
      <c r="O1287">
        <f t="shared" si="310"/>
        <v>0.333420967477619</v>
      </c>
    </row>
    <row r="1288" ht="13.9" spans="1:15">
      <c r="A1288" s="42" t="s">
        <v>888</v>
      </c>
      <c r="B1288" s="11">
        <v>27700220</v>
      </c>
      <c r="C1288" s="11">
        <v>2291895</v>
      </c>
      <c r="D1288" s="11">
        <v>40</v>
      </c>
      <c r="E1288">
        <f t="shared" si="308"/>
        <v>40</v>
      </c>
      <c r="F1288">
        <f t="shared" si="311"/>
        <v>13850110</v>
      </c>
      <c r="G1288">
        <f t="shared" si="312"/>
        <v>1385.011</v>
      </c>
      <c r="H1288">
        <f t="shared" si="306"/>
        <v>40000000</v>
      </c>
      <c r="I1288">
        <f t="shared" si="305"/>
        <v>19200000</v>
      </c>
      <c r="K1288">
        <f t="shared" si="307"/>
        <v>45481288</v>
      </c>
      <c r="M1288">
        <f t="shared" si="313"/>
        <v>29992115</v>
      </c>
      <c r="N1288">
        <f t="shared" si="309"/>
        <v>78782307</v>
      </c>
      <c r="O1288">
        <f t="shared" si="310"/>
        <v>0</v>
      </c>
    </row>
    <row r="1289" ht="13.9" spans="1:15">
      <c r="A1289" s="42" t="s">
        <v>889</v>
      </c>
      <c r="B1289" s="11">
        <v>45481288</v>
      </c>
      <c r="C1289" s="11">
        <v>3308904</v>
      </c>
      <c r="D1289" s="11">
        <v>127</v>
      </c>
      <c r="E1289">
        <f t="shared" si="308"/>
        <v>127</v>
      </c>
      <c r="F1289">
        <f t="shared" si="311"/>
        <v>22740644</v>
      </c>
      <c r="G1289">
        <f t="shared" si="312"/>
        <v>2274.0644</v>
      </c>
      <c r="H1289">
        <f t="shared" si="306"/>
        <v>127000000</v>
      </c>
      <c r="I1289">
        <f t="shared" si="305"/>
        <v>60960000</v>
      </c>
      <c r="K1289">
        <f t="shared" si="307"/>
        <v>242176860</v>
      </c>
      <c r="M1289">
        <f t="shared" si="313"/>
        <v>48790192</v>
      </c>
      <c r="N1289">
        <f t="shared" si="309"/>
        <v>349324147</v>
      </c>
      <c r="O1289">
        <f t="shared" si="310"/>
        <v>0.522775772061399</v>
      </c>
    </row>
    <row r="1290" ht="13.9" spans="1:15">
      <c r="A1290" s="42" t="s">
        <v>890</v>
      </c>
      <c r="B1290" s="11">
        <v>39208848</v>
      </c>
      <c r="C1290" s="11">
        <v>2874204</v>
      </c>
      <c r="D1290" s="11">
        <v>105</v>
      </c>
      <c r="E1290">
        <f t="shared" si="308"/>
        <v>105</v>
      </c>
      <c r="F1290">
        <f t="shared" si="311"/>
        <v>19604424</v>
      </c>
      <c r="G1290">
        <f t="shared" si="312"/>
        <v>1960.4424</v>
      </c>
      <c r="H1290">
        <f t="shared" si="306"/>
        <v>105000000</v>
      </c>
      <c r="I1290">
        <f t="shared" si="305"/>
        <v>50400000</v>
      </c>
      <c r="K1290">
        <f t="shared" si="307"/>
        <v>202968012</v>
      </c>
      <c r="M1290">
        <f t="shared" si="313"/>
        <v>42083052</v>
      </c>
      <c r="N1290">
        <f t="shared" si="309"/>
        <v>300533955</v>
      </c>
      <c r="O1290">
        <f t="shared" si="310"/>
        <v>0.484361117756277</v>
      </c>
    </row>
    <row r="1291" ht="13.9" spans="1:15">
      <c r="A1291" s="42" t="s">
        <v>891</v>
      </c>
      <c r="B1291" s="11">
        <v>38313086</v>
      </c>
      <c r="C1291" s="11">
        <v>2978420</v>
      </c>
      <c r="D1291" s="11">
        <v>85</v>
      </c>
      <c r="E1291">
        <f t="shared" si="308"/>
        <v>85</v>
      </c>
      <c r="F1291">
        <f t="shared" si="311"/>
        <v>19156543</v>
      </c>
      <c r="G1291">
        <f t="shared" si="312"/>
        <v>1915.6543</v>
      </c>
      <c r="H1291">
        <f t="shared" si="306"/>
        <v>85000000</v>
      </c>
      <c r="I1291">
        <f t="shared" ref="I1291:I1354" si="314">H1291*0.48</f>
        <v>40800000</v>
      </c>
      <c r="K1291">
        <f t="shared" si="307"/>
        <v>164654926</v>
      </c>
      <c r="M1291">
        <f t="shared" si="313"/>
        <v>41291506</v>
      </c>
      <c r="N1291">
        <f t="shared" si="309"/>
        <v>258450903</v>
      </c>
      <c r="O1291">
        <f t="shared" si="310"/>
        <v>0.423286168624962</v>
      </c>
    </row>
    <row r="1292" ht="13.85" spans="1:15">
      <c r="A1292" s="43">
        <v>39064</v>
      </c>
      <c r="B1292" s="11">
        <v>32862694</v>
      </c>
      <c r="C1292" s="11">
        <v>2574325</v>
      </c>
      <c r="D1292" s="11">
        <v>70</v>
      </c>
      <c r="E1292">
        <f t="shared" si="308"/>
        <v>70</v>
      </c>
      <c r="F1292">
        <f t="shared" si="311"/>
        <v>16431347</v>
      </c>
      <c r="G1292">
        <f t="shared" si="312"/>
        <v>1643.1347</v>
      </c>
      <c r="H1292">
        <f t="shared" si="306"/>
        <v>70000000</v>
      </c>
      <c r="I1292">
        <f t="shared" si="314"/>
        <v>33600000</v>
      </c>
      <c r="K1292">
        <f t="shared" si="307"/>
        <v>131792232</v>
      </c>
      <c r="M1292">
        <f t="shared" si="313"/>
        <v>35437019</v>
      </c>
      <c r="N1292">
        <f t="shared" si="309"/>
        <v>217159397</v>
      </c>
      <c r="O1292">
        <f t="shared" si="310"/>
        <v>0.253484987655788</v>
      </c>
    </row>
    <row r="1293" ht="13.85" spans="1:15">
      <c r="A1293" s="43">
        <v>38942</v>
      </c>
      <c r="B1293" s="11">
        <v>36562116</v>
      </c>
      <c r="C1293" s="11">
        <v>2887952</v>
      </c>
      <c r="D1293" s="11">
        <v>60</v>
      </c>
      <c r="E1293">
        <f t="shared" si="308"/>
        <v>60</v>
      </c>
      <c r="F1293">
        <f t="shared" si="311"/>
        <v>18281058</v>
      </c>
      <c r="G1293">
        <f t="shared" si="312"/>
        <v>1828.1058</v>
      </c>
      <c r="H1293">
        <f t="shared" si="306"/>
        <v>60000000</v>
      </c>
      <c r="I1293">
        <f t="shared" si="314"/>
        <v>28800000</v>
      </c>
      <c r="K1293">
        <f t="shared" si="307"/>
        <v>95230116</v>
      </c>
      <c r="M1293">
        <f t="shared" si="313"/>
        <v>39450068</v>
      </c>
      <c r="N1293">
        <f t="shared" si="309"/>
        <v>181722378</v>
      </c>
      <c r="O1293">
        <f t="shared" si="310"/>
        <v>0.29530143233302</v>
      </c>
    </row>
    <row r="1294" ht="13.85" spans="1:15">
      <c r="A1294" s="43">
        <v>38850</v>
      </c>
      <c r="B1294" s="11">
        <v>31356400</v>
      </c>
      <c r="C1294" s="11">
        <v>2507303</v>
      </c>
      <c r="D1294" s="11">
        <v>50</v>
      </c>
      <c r="E1294">
        <f t="shared" si="308"/>
        <v>50</v>
      </c>
      <c r="F1294">
        <f t="shared" si="311"/>
        <v>15678200</v>
      </c>
      <c r="G1294">
        <f t="shared" si="312"/>
        <v>1567.82</v>
      </c>
      <c r="H1294">
        <f t="shared" si="306"/>
        <v>50000000</v>
      </c>
      <c r="I1294">
        <f t="shared" si="314"/>
        <v>24000000</v>
      </c>
      <c r="K1294">
        <f t="shared" si="307"/>
        <v>63873716</v>
      </c>
      <c r="M1294">
        <f t="shared" si="313"/>
        <v>33863703</v>
      </c>
      <c r="N1294">
        <f t="shared" si="309"/>
        <v>142272310</v>
      </c>
      <c r="O1294">
        <f t="shared" si="310"/>
        <v>0.268350073189799</v>
      </c>
    </row>
    <row r="1295" ht="13.85" spans="1:15">
      <c r="A1295" s="43">
        <v>38730</v>
      </c>
      <c r="B1295" s="11">
        <v>34468992</v>
      </c>
      <c r="C1295" s="11">
        <v>2795764</v>
      </c>
      <c r="D1295" s="11">
        <v>40</v>
      </c>
      <c r="E1295">
        <f t="shared" si="308"/>
        <v>40</v>
      </c>
      <c r="F1295">
        <f t="shared" si="311"/>
        <v>17234496</v>
      </c>
      <c r="G1295">
        <f t="shared" si="312"/>
        <v>1723.4496</v>
      </c>
      <c r="H1295">
        <f t="shared" si="306"/>
        <v>40000000</v>
      </c>
      <c r="I1295">
        <f t="shared" si="314"/>
        <v>19200000</v>
      </c>
      <c r="K1295">
        <f t="shared" si="307"/>
        <v>29404724</v>
      </c>
      <c r="M1295">
        <f t="shared" si="313"/>
        <v>37264756</v>
      </c>
      <c r="N1295">
        <f t="shared" si="309"/>
        <v>108408607</v>
      </c>
      <c r="O1295">
        <f t="shared" si="310"/>
        <v>0</v>
      </c>
    </row>
    <row r="1296" ht="13.9" spans="1:15">
      <c r="A1296" s="42" t="s">
        <v>892</v>
      </c>
      <c r="B1296" s="11">
        <v>29404724</v>
      </c>
      <c r="C1296" s="11">
        <v>2373539</v>
      </c>
      <c r="D1296" s="11">
        <v>40</v>
      </c>
      <c r="E1296">
        <f t="shared" si="308"/>
        <v>40</v>
      </c>
      <c r="F1296">
        <f t="shared" si="311"/>
        <v>14702362</v>
      </c>
      <c r="G1296">
        <f t="shared" si="312"/>
        <v>1470.2362</v>
      </c>
      <c r="H1296">
        <f t="shared" ref="H1296:H1359" si="315">E1296*1000000</f>
        <v>40000000</v>
      </c>
      <c r="I1296">
        <f t="shared" si="314"/>
        <v>19200000</v>
      </c>
      <c r="K1296">
        <f t="shared" si="307"/>
        <v>36490320</v>
      </c>
      <c r="M1296">
        <f t="shared" si="313"/>
        <v>31778263</v>
      </c>
      <c r="N1296">
        <f t="shared" si="309"/>
        <v>71143851</v>
      </c>
      <c r="O1296">
        <f t="shared" si="310"/>
        <v>0</v>
      </c>
    </row>
    <row r="1297" ht="13.9" spans="1:15">
      <c r="A1297" s="42" t="s">
        <v>893</v>
      </c>
      <c r="B1297" s="11">
        <v>36490320</v>
      </c>
      <c r="C1297" s="11">
        <v>2875268</v>
      </c>
      <c r="D1297" s="11">
        <v>50</v>
      </c>
      <c r="E1297">
        <f t="shared" si="308"/>
        <v>50</v>
      </c>
      <c r="F1297">
        <f t="shared" si="311"/>
        <v>18245160</v>
      </c>
      <c r="G1297">
        <f t="shared" si="312"/>
        <v>1824.516</v>
      </c>
      <c r="H1297">
        <f t="shared" si="315"/>
        <v>50000000</v>
      </c>
      <c r="I1297">
        <f t="shared" si="314"/>
        <v>24000000</v>
      </c>
      <c r="K1297">
        <f t="shared" ref="K1297:K1360" si="316">IF(E1297&gt;E1298,B1298+K1298,B1298)</f>
        <v>497455514</v>
      </c>
      <c r="M1297">
        <f t="shared" si="313"/>
        <v>39365588</v>
      </c>
      <c r="N1297">
        <f t="shared" si="309"/>
        <v>560990662</v>
      </c>
      <c r="O1297">
        <f t="shared" si="310"/>
        <v>0.28175837399271</v>
      </c>
    </row>
    <row r="1298" ht="13.9" spans="1:15">
      <c r="A1298" s="42" t="s">
        <v>894</v>
      </c>
      <c r="B1298" s="11">
        <v>32918966</v>
      </c>
      <c r="C1298" s="11">
        <v>2572437</v>
      </c>
      <c r="D1298" s="11">
        <v>40</v>
      </c>
      <c r="E1298">
        <f t="shared" ref="E1298:E1361" si="317">IF(RIGHT(D1298,1)="B",VALUE(LEFT(D1298,LEN(D1298)-1))*1000,D1298)</f>
        <v>40</v>
      </c>
      <c r="F1298">
        <f t="shared" si="311"/>
        <v>16459483</v>
      </c>
      <c r="G1298">
        <f t="shared" si="312"/>
        <v>1645.9483</v>
      </c>
      <c r="H1298">
        <f t="shared" si="315"/>
        <v>40000000</v>
      </c>
      <c r="I1298">
        <f t="shared" si="314"/>
        <v>19200000</v>
      </c>
      <c r="K1298">
        <f t="shared" si="316"/>
        <v>464536548</v>
      </c>
      <c r="M1298">
        <f t="shared" si="313"/>
        <v>35491403</v>
      </c>
      <c r="N1298">
        <f t="shared" si="309"/>
        <v>521625074</v>
      </c>
      <c r="O1298">
        <f t="shared" si="310"/>
        <v>0</v>
      </c>
    </row>
    <row r="1299" ht="13.9" spans="1:15">
      <c r="A1299" s="42" t="s">
        <v>895</v>
      </c>
      <c r="B1299" s="11">
        <v>464536548</v>
      </c>
      <c r="C1299" s="11">
        <v>21597123</v>
      </c>
      <c r="D1299" s="11">
        <v>590.5</v>
      </c>
      <c r="E1299">
        <f t="shared" si="317"/>
        <v>590.5</v>
      </c>
      <c r="F1299">
        <f t="shared" si="311"/>
        <v>232268274</v>
      </c>
      <c r="G1299">
        <f t="shared" si="312"/>
        <v>23226.8274</v>
      </c>
      <c r="H1299">
        <f t="shared" si="315"/>
        <v>590500000</v>
      </c>
      <c r="I1299">
        <f t="shared" si="314"/>
        <v>283440000</v>
      </c>
      <c r="K1299">
        <f t="shared" si="316"/>
        <v>803890382</v>
      </c>
      <c r="M1299">
        <f t="shared" si="313"/>
        <v>486133671</v>
      </c>
      <c r="N1299">
        <f t="shared" si="309"/>
        <v>1345041492</v>
      </c>
      <c r="O1299">
        <f t="shared" si="310"/>
        <v>1.26701709321434</v>
      </c>
    </row>
    <row r="1300" ht="13.9" spans="1:15">
      <c r="A1300" s="42" t="s">
        <v>896</v>
      </c>
      <c r="B1300" s="11">
        <v>180270170</v>
      </c>
      <c r="C1300" s="11">
        <v>9545738</v>
      </c>
      <c r="D1300" s="11">
        <v>350</v>
      </c>
      <c r="E1300">
        <f t="shared" si="317"/>
        <v>350</v>
      </c>
      <c r="F1300">
        <f t="shared" si="311"/>
        <v>90135085</v>
      </c>
      <c r="G1300">
        <f t="shared" si="312"/>
        <v>9013.5085</v>
      </c>
      <c r="H1300">
        <f t="shared" si="315"/>
        <v>350000000</v>
      </c>
      <c r="I1300">
        <f t="shared" si="314"/>
        <v>168000000</v>
      </c>
      <c r="K1300">
        <f t="shared" si="316"/>
        <v>623620212</v>
      </c>
      <c r="M1300">
        <f t="shared" si="313"/>
        <v>189815908</v>
      </c>
      <c r="N1300">
        <f t="shared" si="309"/>
        <v>858907821</v>
      </c>
      <c r="O1300">
        <f t="shared" si="310"/>
        <v>0.805187079581631</v>
      </c>
    </row>
    <row r="1301" ht="13.85" spans="1:15">
      <c r="A1301" s="43">
        <v>38669</v>
      </c>
      <c r="B1301" s="11">
        <v>93628856</v>
      </c>
      <c r="C1301" s="11">
        <v>5726936</v>
      </c>
      <c r="D1301" s="11">
        <v>270</v>
      </c>
      <c r="E1301">
        <f t="shared" si="317"/>
        <v>270</v>
      </c>
      <c r="F1301">
        <f t="shared" si="311"/>
        <v>46814428</v>
      </c>
      <c r="G1301">
        <f t="shared" si="312"/>
        <v>4681.4428</v>
      </c>
      <c r="H1301">
        <f t="shared" si="315"/>
        <v>270000000</v>
      </c>
      <c r="I1301">
        <f t="shared" si="314"/>
        <v>129600000</v>
      </c>
      <c r="K1301">
        <f t="shared" si="316"/>
        <v>529991356</v>
      </c>
      <c r="M1301">
        <f t="shared" si="313"/>
        <v>99355792</v>
      </c>
      <c r="N1301">
        <f t="shared" si="309"/>
        <v>669091913</v>
      </c>
      <c r="O1301">
        <f t="shared" si="310"/>
        <v>0.579840770167705</v>
      </c>
    </row>
    <row r="1302" ht="13.85" spans="1:15">
      <c r="A1302" s="43">
        <v>38577</v>
      </c>
      <c r="B1302" s="11">
        <v>77911916</v>
      </c>
      <c r="C1302" s="11">
        <v>4869431</v>
      </c>
      <c r="D1302" s="11">
        <v>222</v>
      </c>
      <c r="E1302">
        <f t="shared" si="317"/>
        <v>222</v>
      </c>
      <c r="F1302">
        <f t="shared" si="311"/>
        <v>38955958</v>
      </c>
      <c r="G1302">
        <f t="shared" si="312"/>
        <v>3895.5958</v>
      </c>
      <c r="H1302">
        <f t="shared" si="315"/>
        <v>222000000</v>
      </c>
      <c r="I1302">
        <f t="shared" si="314"/>
        <v>106560000</v>
      </c>
      <c r="K1302">
        <f t="shared" si="316"/>
        <v>452079440</v>
      </c>
      <c r="M1302">
        <f t="shared" si="313"/>
        <v>82781347</v>
      </c>
      <c r="N1302">
        <f t="shared" si="309"/>
        <v>569736121</v>
      </c>
      <c r="O1302">
        <f t="shared" si="310"/>
        <v>0.452044020571678</v>
      </c>
    </row>
    <row r="1303" ht="13.85" spans="1:15">
      <c r="A1303" s="43">
        <v>38455</v>
      </c>
      <c r="B1303" s="11">
        <v>64234610</v>
      </c>
      <c r="C1303" s="11">
        <v>4342782</v>
      </c>
      <c r="D1303" s="11">
        <v>191</v>
      </c>
      <c r="E1303">
        <f t="shared" si="317"/>
        <v>191</v>
      </c>
      <c r="F1303">
        <f t="shared" si="311"/>
        <v>32117305</v>
      </c>
      <c r="G1303">
        <f t="shared" si="312"/>
        <v>3211.7305</v>
      </c>
      <c r="H1303">
        <f t="shared" si="315"/>
        <v>191000000</v>
      </c>
      <c r="I1303">
        <f t="shared" si="314"/>
        <v>91680000</v>
      </c>
      <c r="K1303">
        <f t="shared" si="316"/>
        <v>387844830</v>
      </c>
      <c r="M1303">
        <f t="shared" si="313"/>
        <v>68577392</v>
      </c>
      <c r="N1303">
        <f t="shared" si="309"/>
        <v>486954774</v>
      </c>
      <c r="O1303">
        <f t="shared" si="310"/>
        <v>0.457110290797392</v>
      </c>
    </row>
    <row r="1304" ht="13.85" spans="1:15">
      <c r="A1304" s="43">
        <v>38365</v>
      </c>
      <c r="B1304" s="11">
        <v>53202316</v>
      </c>
      <c r="C1304" s="11">
        <v>3676736</v>
      </c>
      <c r="D1304" s="11">
        <v>165</v>
      </c>
      <c r="E1304">
        <f t="shared" si="317"/>
        <v>165</v>
      </c>
      <c r="F1304">
        <f t="shared" si="311"/>
        <v>26601158</v>
      </c>
      <c r="G1304">
        <f t="shared" si="312"/>
        <v>2660.1158</v>
      </c>
      <c r="H1304">
        <f t="shared" si="315"/>
        <v>165000000</v>
      </c>
      <c r="I1304">
        <f t="shared" si="314"/>
        <v>79200000</v>
      </c>
      <c r="K1304">
        <f t="shared" si="316"/>
        <v>334642514</v>
      </c>
      <c r="M1304">
        <f t="shared" si="313"/>
        <v>56879052</v>
      </c>
      <c r="N1304">
        <f t="shared" si="309"/>
        <v>418377382</v>
      </c>
      <c r="O1304">
        <f t="shared" si="310"/>
        <v>0.454352032754638</v>
      </c>
    </row>
    <row r="1305" ht="13.9" spans="1:15">
      <c r="A1305" s="42" t="s">
        <v>897</v>
      </c>
      <c r="B1305" s="11">
        <v>51345324</v>
      </c>
      <c r="C1305" s="11">
        <v>3678090</v>
      </c>
      <c r="D1305" s="11">
        <v>140</v>
      </c>
      <c r="E1305">
        <f t="shared" si="317"/>
        <v>140</v>
      </c>
      <c r="F1305">
        <f t="shared" si="311"/>
        <v>25672662</v>
      </c>
      <c r="G1305">
        <f t="shared" si="312"/>
        <v>2567.2662</v>
      </c>
      <c r="H1305">
        <f t="shared" si="315"/>
        <v>140000000</v>
      </c>
      <c r="I1305">
        <f t="shared" si="314"/>
        <v>67200000</v>
      </c>
      <c r="K1305">
        <f t="shared" si="316"/>
        <v>283297190</v>
      </c>
      <c r="M1305">
        <f t="shared" si="313"/>
        <v>55023414</v>
      </c>
      <c r="N1305">
        <f t="shared" si="309"/>
        <v>361498330</v>
      </c>
      <c r="O1305">
        <f t="shared" si="310"/>
        <v>0.505381832188552</v>
      </c>
    </row>
    <row r="1306" ht="13.9" spans="1:15">
      <c r="A1306" s="42" t="s">
        <v>898</v>
      </c>
      <c r="B1306" s="11">
        <v>44278652</v>
      </c>
      <c r="C1306" s="11">
        <v>3210194</v>
      </c>
      <c r="D1306" s="11">
        <v>116</v>
      </c>
      <c r="E1306">
        <f t="shared" si="317"/>
        <v>116</v>
      </c>
      <c r="F1306">
        <f t="shared" si="311"/>
        <v>22139326</v>
      </c>
      <c r="G1306">
        <f t="shared" si="312"/>
        <v>2213.9326</v>
      </c>
      <c r="H1306">
        <f t="shared" si="315"/>
        <v>116000000</v>
      </c>
      <c r="I1306">
        <f t="shared" si="314"/>
        <v>55680000</v>
      </c>
      <c r="K1306">
        <f t="shared" si="316"/>
        <v>239018538</v>
      </c>
      <c r="M1306">
        <f t="shared" si="313"/>
        <v>47488846</v>
      </c>
      <c r="N1306">
        <f t="shared" si="309"/>
        <v>306474916</v>
      </c>
      <c r="O1306">
        <f t="shared" si="310"/>
        <v>0.48014199033305</v>
      </c>
    </row>
    <row r="1307" ht="13.9" spans="1:15">
      <c r="A1307" s="42" t="s">
        <v>899</v>
      </c>
      <c r="B1307" s="11">
        <v>40583804</v>
      </c>
      <c r="C1307" s="11">
        <v>3153258</v>
      </c>
      <c r="D1307" s="11">
        <v>95</v>
      </c>
      <c r="E1307">
        <f t="shared" si="317"/>
        <v>95</v>
      </c>
      <c r="F1307">
        <f t="shared" si="311"/>
        <v>20291902</v>
      </c>
      <c r="G1307">
        <f t="shared" si="312"/>
        <v>2029.1902</v>
      </c>
      <c r="H1307">
        <f t="shared" si="315"/>
        <v>95000000</v>
      </c>
      <c r="I1307">
        <f t="shared" si="314"/>
        <v>45600000</v>
      </c>
      <c r="K1307">
        <f t="shared" si="316"/>
        <v>198434734</v>
      </c>
      <c r="M1307">
        <f t="shared" si="313"/>
        <v>43737062</v>
      </c>
      <c r="N1307">
        <f t="shared" si="309"/>
        <v>258986070</v>
      </c>
      <c r="O1307">
        <f t="shared" si="310"/>
        <v>0.393846272767531</v>
      </c>
    </row>
    <row r="1308" ht="13.9" spans="1:15">
      <c r="A1308" s="42" t="s">
        <v>900</v>
      </c>
      <c r="B1308" s="11">
        <v>35341564</v>
      </c>
      <c r="C1308" s="11">
        <v>2744362</v>
      </c>
      <c r="D1308" s="11">
        <v>80</v>
      </c>
      <c r="E1308">
        <f t="shared" si="317"/>
        <v>80</v>
      </c>
      <c r="F1308">
        <f t="shared" si="311"/>
        <v>17670782</v>
      </c>
      <c r="G1308">
        <f t="shared" si="312"/>
        <v>1767.0782</v>
      </c>
      <c r="H1308">
        <f t="shared" si="315"/>
        <v>80000000</v>
      </c>
      <c r="I1308">
        <f t="shared" si="314"/>
        <v>38400000</v>
      </c>
      <c r="K1308">
        <f t="shared" si="316"/>
        <v>163093170</v>
      </c>
      <c r="M1308">
        <f t="shared" si="313"/>
        <v>38085926</v>
      </c>
      <c r="N1308">
        <f t="shared" si="309"/>
        <v>215249008</v>
      </c>
      <c r="O1308">
        <f t="shared" si="310"/>
        <v>0.241587418745696</v>
      </c>
    </row>
    <row r="1309" ht="13.9" spans="1:15">
      <c r="A1309" s="42" t="s">
        <v>901</v>
      </c>
      <c r="B1309" s="11">
        <v>38358690</v>
      </c>
      <c r="C1309" s="11">
        <v>3034194</v>
      </c>
      <c r="D1309" s="11">
        <v>70</v>
      </c>
      <c r="E1309">
        <f t="shared" si="317"/>
        <v>70</v>
      </c>
      <c r="F1309">
        <f t="shared" si="311"/>
        <v>19179345</v>
      </c>
      <c r="G1309">
        <f t="shared" si="312"/>
        <v>1917.9345</v>
      </c>
      <c r="H1309">
        <f t="shared" si="315"/>
        <v>70000000</v>
      </c>
      <c r="I1309">
        <f t="shared" si="314"/>
        <v>33600000</v>
      </c>
      <c r="K1309">
        <f t="shared" si="316"/>
        <v>124734480</v>
      </c>
      <c r="M1309">
        <f t="shared" si="313"/>
        <v>41392884</v>
      </c>
      <c r="N1309">
        <f t="shared" si="309"/>
        <v>177163082</v>
      </c>
      <c r="O1309">
        <f t="shared" si="310"/>
        <v>0.257564687757677</v>
      </c>
    </row>
    <row r="1310" ht="13.85" spans="1:15">
      <c r="A1310" s="43">
        <v>38273</v>
      </c>
      <c r="B1310" s="11">
        <v>36179774</v>
      </c>
      <c r="C1310" s="11">
        <v>2645424</v>
      </c>
      <c r="D1310" s="11">
        <v>60</v>
      </c>
      <c r="E1310">
        <f t="shared" si="317"/>
        <v>60</v>
      </c>
      <c r="F1310">
        <f t="shared" si="311"/>
        <v>18089887</v>
      </c>
      <c r="G1310">
        <f t="shared" si="312"/>
        <v>1808.9887</v>
      </c>
      <c r="H1310">
        <f t="shared" si="315"/>
        <v>60000000</v>
      </c>
      <c r="I1310">
        <f t="shared" si="314"/>
        <v>28800000</v>
      </c>
      <c r="K1310">
        <f t="shared" si="316"/>
        <v>88554706</v>
      </c>
      <c r="M1310">
        <f t="shared" si="313"/>
        <v>38825198</v>
      </c>
      <c r="N1310">
        <f t="shared" si="309"/>
        <v>135770198</v>
      </c>
      <c r="O1310">
        <f t="shared" si="310"/>
        <v>0.293677812708796</v>
      </c>
    </row>
    <row r="1311" ht="13.85" spans="1:15">
      <c r="A1311" s="43">
        <v>38151</v>
      </c>
      <c r="B1311" s="11">
        <v>31112426</v>
      </c>
      <c r="C1311" s="11">
        <v>2938495</v>
      </c>
      <c r="D1311" s="11">
        <v>50</v>
      </c>
      <c r="E1311">
        <f t="shared" si="317"/>
        <v>50</v>
      </c>
      <c r="F1311">
        <f t="shared" si="311"/>
        <v>15556213</v>
      </c>
      <c r="G1311">
        <f t="shared" si="312"/>
        <v>1555.6213</v>
      </c>
      <c r="H1311">
        <f t="shared" si="315"/>
        <v>50000000</v>
      </c>
      <c r="I1311">
        <f t="shared" si="314"/>
        <v>24000000</v>
      </c>
      <c r="K1311">
        <f t="shared" si="316"/>
        <v>57442280</v>
      </c>
      <c r="M1311">
        <f t="shared" si="313"/>
        <v>34050921</v>
      </c>
      <c r="N1311">
        <f t="shared" ref="N1311:N1374" si="318">IF(H1311&lt;H1312,M1311+M1312,M1311+N1312)</f>
        <v>96945000</v>
      </c>
      <c r="O1311">
        <f t="shared" si="310"/>
        <v>0.346036662169113</v>
      </c>
    </row>
    <row r="1312" ht="13.85" spans="1:15">
      <c r="A1312" s="43">
        <v>38059</v>
      </c>
      <c r="B1312" s="11">
        <v>26346048</v>
      </c>
      <c r="C1312" s="11">
        <v>2552624</v>
      </c>
      <c r="D1312" s="11">
        <v>40</v>
      </c>
      <c r="E1312">
        <f t="shared" si="317"/>
        <v>40</v>
      </c>
      <c r="F1312">
        <f t="shared" si="311"/>
        <v>13173024</v>
      </c>
      <c r="G1312">
        <f t="shared" si="312"/>
        <v>1317.3024</v>
      </c>
      <c r="H1312">
        <f t="shared" si="315"/>
        <v>40000000</v>
      </c>
      <c r="I1312">
        <f t="shared" si="314"/>
        <v>19200000</v>
      </c>
      <c r="K1312">
        <f t="shared" si="316"/>
        <v>31096232</v>
      </c>
      <c r="M1312">
        <f t="shared" si="313"/>
        <v>28898672</v>
      </c>
      <c r="N1312">
        <f t="shared" si="318"/>
        <v>62894079</v>
      </c>
      <c r="O1312">
        <f t="shared" si="310"/>
        <v>0</v>
      </c>
    </row>
    <row r="1313" ht="13.9" spans="1:15">
      <c r="A1313" s="42" t="s">
        <v>902</v>
      </c>
      <c r="B1313" s="11">
        <v>31096232</v>
      </c>
      <c r="C1313" s="11">
        <v>2899175</v>
      </c>
      <c r="D1313" s="11">
        <v>50</v>
      </c>
      <c r="E1313">
        <f t="shared" si="317"/>
        <v>50</v>
      </c>
      <c r="F1313">
        <f t="shared" si="311"/>
        <v>15548116</v>
      </c>
      <c r="G1313">
        <f t="shared" si="312"/>
        <v>1554.8116</v>
      </c>
      <c r="H1313">
        <f t="shared" si="315"/>
        <v>50000000</v>
      </c>
      <c r="I1313">
        <f t="shared" si="314"/>
        <v>24000000</v>
      </c>
      <c r="K1313">
        <f t="shared" si="316"/>
        <v>188692966</v>
      </c>
      <c r="M1313">
        <f t="shared" si="313"/>
        <v>33995407</v>
      </c>
      <c r="N1313">
        <f t="shared" si="318"/>
        <v>234864386</v>
      </c>
      <c r="O1313">
        <f t="shared" si="310"/>
        <v>0.358265019956436</v>
      </c>
    </row>
    <row r="1314" ht="13.9" spans="1:15">
      <c r="A1314" s="42" t="s">
        <v>903</v>
      </c>
      <c r="B1314" s="11">
        <v>25500852</v>
      </c>
      <c r="C1314" s="11">
        <v>2411446</v>
      </c>
      <c r="D1314" s="11">
        <v>40</v>
      </c>
      <c r="E1314">
        <f t="shared" si="317"/>
        <v>40</v>
      </c>
      <c r="F1314">
        <f t="shared" si="311"/>
        <v>12750426</v>
      </c>
      <c r="G1314">
        <f t="shared" si="312"/>
        <v>1275.0426</v>
      </c>
      <c r="H1314">
        <f t="shared" si="315"/>
        <v>40000000</v>
      </c>
      <c r="I1314">
        <f t="shared" si="314"/>
        <v>19200000</v>
      </c>
      <c r="K1314">
        <f t="shared" si="316"/>
        <v>163192114</v>
      </c>
      <c r="M1314">
        <f t="shared" si="313"/>
        <v>27912298</v>
      </c>
      <c r="N1314">
        <f t="shared" si="318"/>
        <v>200868979</v>
      </c>
      <c r="O1314">
        <f t="shared" si="310"/>
        <v>0</v>
      </c>
    </row>
    <row r="1315" ht="13.9" spans="1:15">
      <c r="A1315" s="42" t="s">
        <v>904</v>
      </c>
      <c r="B1315" s="11">
        <v>163192114</v>
      </c>
      <c r="C1315" s="11">
        <v>9764567</v>
      </c>
      <c r="D1315" s="11">
        <v>320</v>
      </c>
      <c r="E1315">
        <f t="shared" si="317"/>
        <v>320</v>
      </c>
      <c r="F1315">
        <f t="shared" si="311"/>
        <v>81596057</v>
      </c>
      <c r="G1315">
        <f t="shared" si="312"/>
        <v>8159.6057</v>
      </c>
      <c r="H1315">
        <f t="shared" si="315"/>
        <v>320000000</v>
      </c>
      <c r="I1315">
        <f t="shared" si="314"/>
        <v>153600000</v>
      </c>
      <c r="K1315">
        <f t="shared" si="316"/>
        <v>612346884</v>
      </c>
      <c r="M1315">
        <f t="shared" si="313"/>
        <v>172956681</v>
      </c>
      <c r="N1315">
        <f t="shared" si="318"/>
        <v>832556619</v>
      </c>
      <c r="O1315">
        <f t="shared" si="310"/>
        <v>0.620075457602511</v>
      </c>
    </row>
    <row r="1316" ht="13.9" spans="1:15">
      <c r="A1316" s="42" t="s">
        <v>905</v>
      </c>
      <c r="B1316" s="11">
        <v>90874110</v>
      </c>
      <c r="C1316" s="11">
        <v>5888307</v>
      </c>
      <c r="D1316" s="11">
        <v>260</v>
      </c>
      <c r="E1316">
        <f t="shared" si="317"/>
        <v>260</v>
      </c>
      <c r="F1316">
        <f t="shared" si="311"/>
        <v>45437055</v>
      </c>
      <c r="G1316">
        <f t="shared" si="312"/>
        <v>4543.7055</v>
      </c>
      <c r="H1316">
        <f t="shared" si="315"/>
        <v>260000000</v>
      </c>
      <c r="I1316">
        <f t="shared" si="314"/>
        <v>124800000</v>
      </c>
      <c r="K1316">
        <f t="shared" si="316"/>
        <v>521472774</v>
      </c>
      <c r="M1316">
        <f t="shared" si="313"/>
        <v>96762417</v>
      </c>
      <c r="N1316">
        <f t="shared" si="318"/>
        <v>659599938</v>
      </c>
      <c r="O1316">
        <f t="shared" si="310"/>
        <v>0.55293151155302</v>
      </c>
    </row>
    <row r="1317" ht="13.9" spans="1:15">
      <c r="A1317" s="42" t="s">
        <v>906</v>
      </c>
      <c r="B1317" s="11">
        <v>74391216</v>
      </c>
      <c r="C1317" s="11">
        <v>5184643</v>
      </c>
      <c r="D1317" s="11">
        <v>216</v>
      </c>
      <c r="E1317">
        <f t="shared" si="317"/>
        <v>216</v>
      </c>
      <c r="F1317">
        <f t="shared" si="311"/>
        <v>37195608</v>
      </c>
      <c r="G1317">
        <f t="shared" si="312"/>
        <v>3719.5608</v>
      </c>
      <c r="H1317">
        <f t="shared" si="315"/>
        <v>216000000</v>
      </c>
      <c r="I1317">
        <f t="shared" si="314"/>
        <v>103680000</v>
      </c>
      <c r="K1317">
        <f t="shared" si="316"/>
        <v>447081558</v>
      </c>
      <c r="M1317">
        <f t="shared" si="313"/>
        <v>79575859</v>
      </c>
      <c r="N1317">
        <f t="shared" si="318"/>
        <v>562837521</v>
      </c>
      <c r="O1317">
        <f t="shared" si="310"/>
        <v>0.543444653579147</v>
      </c>
    </row>
    <row r="1318" ht="13.9" spans="1:15">
      <c r="A1318" s="42" t="s">
        <v>907</v>
      </c>
      <c r="B1318" s="11">
        <v>56579474</v>
      </c>
      <c r="C1318" s="11">
        <v>4144281</v>
      </c>
      <c r="D1318" s="11">
        <v>183</v>
      </c>
      <c r="E1318">
        <f t="shared" si="317"/>
        <v>183</v>
      </c>
      <c r="F1318">
        <f t="shared" si="311"/>
        <v>28289737</v>
      </c>
      <c r="G1318">
        <f t="shared" si="312"/>
        <v>2828.9737</v>
      </c>
      <c r="H1318">
        <f t="shared" si="315"/>
        <v>183000000</v>
      </c>
      <c r="I1318">
        <f t="shared" si="314"/>
        <v>87840000</v>
      </c>
      <c r="K1318">
        <f t="shared" si="316"/>
        <v>390502084</v>
      </c>
      <c r="M1318">
        <f t="shared" si="313"/>
        <v>60723755</v>
      </c>
      <c r="N1318">
        <f t="shared" si="318"/>
        <v>483261662</v>
      </c>
      <c r="O1318">
        <f t="shared" si="310"/>
        <v>0.602760357496072</v>
      </c>
    </row>
    <row r="1319" ht="13.85" spans="1:15">
      <c r="A1319" s="43">
        <v>37877</v>
      </c>
      <c r="B1319" s="11">
        <v>50796970</v>
      </c>
      <c r="C1319" s="11">
        <v>3951156</v>
      </c>
      <c r="D1319" s="11">
        <v>150</v>
      </c>
      <c r="E1319">
        <f t="shared" si="317"/>
        <v>150</v>
      </c>
      <c r="F1319">
        <f t="shared" si="311"/>
        <v>25398485</v>
      </c>
      <c r="G1319">
        <f t="shared" si="312"/>
        <v>2539.8485</v>
      </c>
      <c r="H1319">
        <f t="shared" si="315"/>
        <v>150000000</v>
      </c>
      <c r="I1319">
        <f t="shared" si="314"/>
        <v>72000000</v>
      </c>
      <c r="K1319">
        <f t="shared" si="316"/>
        <v>339705114</v>
      </c>
      <c r="M1319">
        <f t="shared" si="313"/>
        <v>54748126</v>
      </c>
      <c r="N1319">
        <f t="shared" si="318"/>
        <v>422537907</v>
      </c>
      <c r="O1319">
        <f t="shared" si="310"/>
        <v>0.570152371320728</v>
      </c>
    </row>
    <row r="1320" ht="13.85" spans="1:15">
      <c r="A1320" s="43">
        <v>37785</v>
      </c>
      <c r="B1320" s="11">
        <v>43892342</v>
      </c>
      <c r="C1320" s="11">
        <v>3463420</v>
      </c>
      <c r="D1320" s="11">
        <v>123</v>
      </c>
      <c r="E1320">
        <f t="shared" si="317"/>
        <v>123</v>
      </c>
      <c r="F1320">
        <f t="shared" si="311"/>
        <v>21946171</v>
      </c>
      <c r="G1320">
        <f t="shared" si="312"/>
        <v>2194.6171</v>
      </c>
      <c r="H1320">
        <f t="shared" si="315"/>
        <v>123000000</v>
      </c>
      <c r="I1320">
        <f t="shared" si="314"/>
        <v>59040000</v>
      </c>
      <c r="K1320">
        <f t="shared" si="316"/>
        <v>295812772</v>
      </c>
      <c r="M1320">
        <f t="shared" si="313"/>
        <v>47355762</v>
      </c>
      <c r="N1320">
        <f t="shared" si="318"/>
        <v>367789781</v>
      </c>
      <c r="O1320">
        <f t="shared" si="310"/>
        <v>0.422101816740993</v>
      </c>
    </row>
    <row r="1321" ht="13.85" spans="1:15">
      <c r="A1321" s="43">
        <v>37665</v>
      </c>
      <c r="B1321" s="11">
        <v>43763596</v>
      </c>
      <c r="C1321" s="11">
        <v>3618337</v>
      </c>
      <c r="D1321" s="11">
        <v>103</v>
      </c>
      <c r="E1321">
        <f t="shared" si="317"/>
        <v>103</v>
      </c>
      <c r="F1321">
        <f t="shared" si="311"/>
        <v>21881798</v>
      </c>
      <c r="G1321">
        <f t="shared" si="312"/>
        <v>2188.1798</v>
      </c>
      <c r="H1321">
        <f t="shared" si="315"/>
        <v>103000000</v>
      </c>
      <c r="I1321">
        <f t="shared" si="314"/>
        <v>49440000</v>
      </c>
      <c r="K1321">
        <f t="shared" si="316"/>
        <v>252049176</v>
      </c>
      <c r="M1321">
        <f t="shared" si="313"/>
        <v>47381933</v>
      </c>
      <c r="N1321">
        <f t="shared" si="318"/>
        <v>320434019</v>
      </c>
      <c r="O1321">
        <f t="shared" si="310"/>
        <v>0.366479248239427</v>
      </c>
    </row>
    <row r="1322" ht="13.9" spans="1:15">
      <c r="A1322" s="42" t="s">
        <v>908</v>
      </c>
      <c r="B1322" s="11">
        <v>32647780</v>
      </c>
      <c r="C1322" s="11">
        <v>2824897</v>
      </c>
      <c r="D1322" s="11">
        <v>90</v>
      </c>
      <c r="E1322">
        <f t="shared" si="317"/>
        <v>90</v>
      </c>
      <c r="F1322">
        <f t="shared" si="311"/>
        <v>16323890</v>
      </c>
      <c r="G1322">
        <f t="shared" si="312"/>
        <v>1632.389</v>
      </c>
      <c r="H1322">
        <f t="shared" si="315"/>
        <v>90000000</v>
      </c>
      <c r="I1322">
        <f t="shared" si="314"/>
        <v>43200000</v>
      </c>
      <c r="K1322">
        <f t="shared" si="316"/>
        <v>219401396</v>
      </c>
      <c r="M1322">
        <f t="shared" si="313"/>
        <v>35472677</v>
      </c>
      <c r="N1322">
        <f t="shared" si="318"/>
        <v>273052086</v>
      </c>
      <c r="O1322">
        <f t="shared" si="310"/>
        <v>0.276817842703742</v>
      </c>
    </row>
    <row r="1323" ht="13.9" spans="1:15">
      <c r="A1323" s="42" t="s">
        <v>909</v>
      </c>
      <c r="B1323" s="11">
        <v>33176522</v>
      </c>
      <c r="C1323" s="11">
        <v>2948317</v>
      </c>
      <c r="D1323" s="11">
        <v>80</v>
      </c>
      <c r="E1323">
        <f t="shared" si="317"/>
        <v>80</v>
      </c>
      <c r="F1323">
        <f t="shared" si="311"/>
        <v>16588261</v>
      </c>
      <c r="G1323">
        <f t="shared" si="312"/>
        <v>1658.8261</v>
      </c>
      <c r="H1323">
        <f t="shared" si="315"/>
        <v>80000000</v>
      </c>
      <c r="I1323">
        <f t="shared" si="314"/>
        <v>38400000</v>
      </c>
      <c r="K1323">
        <f t="shared" si="316"/>
        <v>186224874</v>
      </c>
      <c r="M1323">
        <f t="shared" si="313"/>
        <v>36124839</v>
      </c>
      <c r="N1323">
        <f t="shared" si="318"/>
        <v>237579409</v>
      </c>
      <c r="O1323">
        <f t="shared" si="310"/>
        <v>0.31769456425236</v>
      </c>
    </row>
    <row r="1324" ht="13.9" spans="1:15">
      <c r="A1324" s="42" t="s">
        <v>910</v>
      </c>
      <c r="B1324" s="11">
        <v>28879862</v>
      </c>
      <c r="C1324" s="11">
        <v>2596912</v>
      </c>
      <c r="D1324" s="11">
        <v>70</v>
      </c>
      <c r="E1324">
        <f t="shared" si="317"/>
        <v>70</v>
      </c>
      <c r="F1324">
        <f t="shared" si="311"/>
        <v>14439931</v>
      </c>
      <c r="G1324">
        <f t="shared" si="312"/>
        <v>1443.9931</v>
      </c>
      <c r="H1324">
        <f t="shared" si="315"/>
        <v>70000000</v>
      </c>
      <c r="I1324">
        <f t="shared" si="314"/>
        <v>33600000</v>
      </c>
      <c r="K1324">
        <f t="shared" si="316"/>
        <v>157345012</v>
      </c>
      <c r="M1324">
        <f t="shared" si="313"/>
        <v>31476774</v>
      </c>
      <c r="N1324">
        <f t="shared" si="318"/>
        <v>201454570</v>
      </c>
      <c r="O1324">
        <f t="shared" si="310"/>
        <v>0.298594358101407</v>
      </c>
    </row>
    <row r="1325" ht="13.9" spans="1:15">
      <c r="A1325" s="42" t="s">
        <v>911</v>
      </c>
      <c r="B1325" s="11">
        <v>30692128</v>
      </c>
      <c r="C1325" s="11">
        <v>2798123</v>
      </c>
      <c r="D1325" s="11">
        <v>60</v>
      </c>
      <c r="E1325">
        <f t="shared" si="317"/>
        <v>60</v>
      </c>
      <c r="F1325">
        <f t="shared" si="311"/>
        <v>15346064</v>
      </c>
      <c r="G1325">
        <f t="shared" si="312"/>
        <v>1534.6064</v>
      </c>
      <c r="H1325">
        <f t="shared" si="315"/>
        <v>60000000</v>
      </c>
      <c r="I1325">
        <f t="shared" si="314"/>
        <v>28800000</v>
      </c>
      <c r="K1325">
        <f t="shared" si="316"/>
        <v>126652884</v>
      </c>
      <c r="M1325">
        <f t="shared" si="313"/>
        <v>33490251</v>
      </c>
      <c r="N1325">
        <f t="shared" si="318"/>
        <v>169977796</v>
      </c>
      <c r="O1325">
        <f t="shared" si="310"/>
        <v>0.342951676016844</v>
      </c>
    </row>
    <row r="1326" ht="13.9" spans="1:15">
      <c r="A1326" s="42" t="s">
        <v>912</v>
      </c>
      <c r="B1326" s="11">
        <v>26710426</v>
      </c>
      <c r="C1326" s="11">
        <v>2448201</v>
      </c>
      <c r="D1326" s="11">
        <v>50</v>
      </c>
      <c r="E1326">
        <f t="shared" si="317"/>
        <v>50</v>
      </c>
      <c r="F1326">
        <f t="shared" si="311"/>
        <v>13355213</v>
      </c>
      <c r="G1326">
        <f t="shared" si="312"/>
        <v>1335.5213</v>
      </c>
      <c r="H1326">
        <f t="shared" si="315"/>
        <v>50000000</v>
      </c>
      <c r="I1326">
        <f t="shared" si="314"/>
        <v>24000000</v>
      </c>
      <c r="K1326">
        <f t="shared" si="316"/>
        <v>99942458</v>
      </c>
      <c r="M1326">
        <f t="shared" si="313"/>
        <v>29158627</v>
      </c>
      <c r="N1326">
        <f t="shared" si="318"/>
        <v>136487545</v>
      </c>
      <c r="O1326">
        <f t="shared" si="310"/>
        <v>0.322573371652039</v>
      </c>
    </row>
    <row r="1327" ht="13.85" spans="1:15">
      <c r="A1327" s="43">
        <v>37512</v>
      </c>
      <c r="B1327" s="11">
        <v>28398870</v>
      </c>
      <c r="C1327" s="11">
        <v>2601829</v>
      </c>
      <c r="D1327" s="11">
        <v>40</v>
      </c>
      <c r="E1327">
        <f t="shared" si="317"/>
        <v>40</v>
      </c>
      <c r="F1327">
        <f t="shared" si="311"/>
        <v>14199435</v>
      </c>
      <c r="G1327">
        <f t="shared" si="312"/>
        <v>1419.9435</v>
      </c>
      <c r="H1327">
        <f t="shared" si="315"/>
        <v>40000000</v>
      </c>
      <c r="I1327">
        <f t="shared" si="314"/>
        <v>19200000</v>
      </c>
      <c r="K1327">
        <f t="shared" si="316"/>
        <v>71543588</v>
      </c>
      <c r="M1327">
        <f t="shared" si="313"/>
        <v>31000699</v>
      </c>
      <c r="N1327">
        <f t="shared" si="318"/>
        <v>107328918</v>
      </c>
      <c r="O1327">
        <f t="shared" si="310"/>
        <v>0</v>
      </c>
    </row>
    <row r="1328" ht="13.85" spans="1:15">
      <c r="A1328" s="43">
        <v>37420</v>
      </c>
      <c r="B1328" s="11">
        <v>71543588</v>
      </c>
      <c r="C1328" s="11">
        <v>4784631</v>
      </c>
      <c r="D1328" s="11">
        <v>208</v>
      </c>
      <c r="E1328">
        <f t="shared" si="317"/>
        <v>208</v>
      </c>
      <c r="F1328">
        <f t="shared" si="311"/>
        <v>35771794</v>
      </c>
      <c r="G1328">
        <f t="shared" si="312"/>
        <v>3577.1794</v>
      </c>
      <c r="H1328">
        <f t="shared" si="315"/>
        <v>208000000</v>
      </c>
      <c r="I1328">
        <f t="shared" si="314"/>
        <v>99840000</v>
      </c>
      <c r="K1328">
        <f t="shared" si="316"/>
        <v>408342246</v>
      </c>
      <c r="M1328">
        <f t="shared" si="313"/>
        <v>76328219</v>
      </c>
      <c r="N1328">
        <f t="shared" si="318"/>
        <v>519352407</v>
      </c>
      <c r="O1328">
        <f t="shared" si="310"/>
        <v>0.516931092536126</v>
      </c>
    </row>
    <row r="1329" ht="13.85" spans="1:15">
      <c r="A1329" s="43">
        <v>37300</v>
      </c>
      <c r="B1329" s="11">
        <v>57644328</v>
      </c>
      <c r="C1329" s="11">
        <v>4259474</v>
      </c>
      <c r="D1329" s="11">
        <v>176</v>
      </c>
      <c r="E1329">
        <f t="shared" si="317"/>
        <v>176</v>
      </c>
      <c r="F1329">
        <f t="shared" si="311"/>
        <v>28822164</v>
      </c>
      <c r="G1329">
        <f t="shared" si="312"/>
        <v>2882.2164</v>
      </c>
      <c r="H1329">
        <f t="shared" si="315"/>
        <v>176000000</v>
      </c>
      <c r="I1329">
        <f t="shared" si="314"/>
        <v>84480000</v>
      </c>
      <c r="K1329">
        <f t="shared" si="316"/>
        <v>350697918</v>
      </c>
      <c r="M1329">
        <f t="shared" si="313"/>
        <v>61903802</v>
      </c>
      <c r="N1329">
        <f t="shared" si="318"/>
        <v>443024188</v>
      </c>
      <c r="O1329">
        <f t="shared" si="310"/>
        <v>0.508752103130319</v>
      </c>
    </row>
    <row r="1330" ht="13.9" spans="1:15">
      <c r="A1330" s="42" t="s">
        <v>913</v>
      </c>
      <c r="B1330" s="11">
        <v>45706066</v>
      </c>
      <c r="C1330" s="11">
        <v>3433780</v>
      </c>
      <c r="D1330" s="11">
        <v>151</v>
      </c>
      <c r="E1330">
        <f t="shared" si="317"/>
        <v>151</v>
      </c>
      <c r="F1330">
        <f t="shared" si="311"/>
        <v>22853033</v>
      </c>
      <c r="G1330">
        <f t="shared" si="312"/>
        <v>2285.3033</v>
      </c>
      <c r="H1330">
        <f t="shared" si="315"/>
        <v>151000000</v>
      </c>
      <c r="I1330">
        <f t="shared" si="314"/>
        <v>72480000</v>
      </c>
      <c r="K1330">
        <f t="shared" si="316"/>
        <v>304991852</v>
      </c>
      <c r="M1330">
        <f t="shared" si="313"/>
        <v>49139846</v>
      </c>
      <c r="N1330">
        <f t="shared" si="318"/>
        <v>381120386</v>
      </c>
      <c r="O1330">
        <f t="shared" si="310"/>
        <v>0.466659967503578</v>
      </c>
    </row>
    <row r="1331" ht="13.9" spans="1:15">
      <c r="A1331" s="42" t="s">
        <v>914</v>
      </c>
      <c r="B1331" s="11">
        <v>41623138</v>
      </c>
      <c r="C1331" s="11">
        <v>3377508</v>
      </c>
      <c r="D1331" s="11">
        <v>130</v>
      </c>
      <c r="E1331">
        <f t="shared" si="317"/>
        <v>130</v>
      </c>
      <c r="F1331">
        <f t="shared" si="311"/>
        <v>20811569</v>
      </c>
      <c r="G1331">
        <f t="shared" si="312"/>
        <v>2081.1569</v>
      </c>
      <c r="H1331">
        <f t="shared" si="315"/>
        <v>130000000</v>
      </c>
      <c r="I1331">
        <f t="shared" si="314"/>
        <v>62400000</v>
      </c>
      <c r="K1331">
        <f t="shared" si="316"/>
        <v>263368714</v>
      </c>
      <c r="M1331">
        <f t="shared" si="313"/>
        <v>45000646</v>
      </c>
      <c r="N1331">
        <f t="shared" si="318"/>
        <v>331980540</v>
      </c>
      <c r="O1331">
        <f t="shared" si="310"/>
        <v>0.517378658601147</v>
      </c>
    </row>
    <row r="1332" ht="13.9" spans="1:15">
      <c r="A1332" s="42" t="s">
        <v>915</v>
      </c>
      <c r="B1332" s="11">
        <v>35693444</v>
      </c>
      <c r="C1332" s="11">
        <v>2962963</v>
      </c>
      <c r="D1332" s="11">
        <v>110</v>
      </c>
      <c r="E1332">
        <f t="shared" si="317"/>
        <v>110</v>
      </c>
      <c r="F1332">
        <f t="shared" si="311"/>
        <v>17846722</v>
      </c>
      <c r="G1332">
        <f t="shared" si="312"/>
        <v>1784.6722</v>
      </c>
      <c r="H1332">
        <f t="shared" si="315"/>
        <v>110000000</v>
      </c>
      <c r="I1332">
        <f t="shared" si="314"/>
        <v>52800000</v>
      </c>
      <c r="K1332">
        <f t="shared" si="316"/>
        <v>227675270</v>
      </c>
      <c r="M1332">
        <f t="shared" si="313"/>
        <v>38656407</v>
      </c>
      <c r="N1332">
        <f t="shared" si="318"/>
        <v>286979894</v>
      </c>
      <c r="O1332">
        <f t="shared" si="310"/>
        <v>0.237148051837054</v>
      </c>
    </row>
    <row r="1333" ht="13.9" spans="1:15">
      <c r="A1333" s="42" t="s">
        <v>916</v>
      </c>
      <c r="B1333" s="11">
        <v>38918284</v>
      </c>
      <c r="C1333" s="11">
        <v>3249467</v>
      </c>
      <c r="D1333" s="11">
        <v>100</v>
      </c>
      <c r="E1333">
        <f t="shared" si="317"/>
        <v>100</v>
      </c>
      <c r="F1333">
        <f t="shared" si="311"/>
        <v>19459142</v>
      </c>
      <c r="G1333">
        <f t="shared" si="312"/>
        <v>1945.9142</v>
      </c>
      <c r="H1333">
        <f t="shared" si="315"/>
        <v>100000000</v>
      </c>
      <c r="I1333">
        <f t="shared" si="314"/>
        <v>48000000</v>
      </c>
      <c r="K1333">
        <f t="shared" si="316"/>
        <v>188756986</v>
      </c>
      <c r="M1333">
        <f t="shared" si="313"/>
        <v>42167751</v>
      </c>
      <c r="N1333">
        <f t="shared" si="318"/>
        <v>248323487</v>
      </c>
      <c r="O1333">
        <f t="shared" si="310"/>
        <v>0.318644532045491</v>
      </c>
    </row>
    <row r="1334" ht="13.9" spans="1:15">
      <c r="A1334" s="42" t="s">
        <v>917</v>
      </c>
      <c r="B1334" s="11">
        <v>28807756</v>
      </c>
      <c r="C1334" s="11">
        <v>2575177</v>
      </c>
      <c r="D1334" s="11">
        <v>90</v>
      </c>
      <c r="E1334">
        <f t="shared" si="317"/>
        <v>90</v>
      </c>
      <c r="F1334">
        <f t="shared" si="311"/>
        <v>14403878</v>
      </c>
      <c r="G1334">
        <f t="shared" si="312"/>
        <v>1440.3878</v>
      </c>
      <c r="H1334">
        <f t="shared" si="315"/>
        <v>90000000</v>
      </c>
      <c r="I1334">
        <f t="shared" si="314"/>
        <v>43200000</v>
      </c>
      <c r="K1334">
        <f t="shared" si="316"/>
        <v>159949230</v>
      </c>
      <c r="M1334">
        <f t="shared" si="313"/>
        <v>31382933</v>
      </c>
      <c r="N1334">
        <f t="shared" si="318"/>
        <v>206155736</v>
      </c>
      <c r="O1334">
        <f t="shared" si="310"/>
        <v>0.306388703889687</v>
      </c>
    </row>
    <row r="1335" ht="13.85" spans="1:15">
      <c r="A1335" s="43">
        <v>37238</v>
      </c>
      <c r="B1335" s="11">
        <v>29917538</v>
      </c>
      <c r="C1335" s="11">
        <v>2720741</v>
      </c>
      <c r="D1335" s="11">
        <v>80</v>
      </c>
      <c r="E1335">
        <f t="shared" si="317"/>
        <v>80</v>
      </c>
      <c r="F1335">
        <f t="shared" si="311"/>
        <v>14958769</v>
      </c>
      <c r="G1335">
        <f t="shared" si="312"/>
        <v>1495.8769</v>
      </c>
      <c r="H1335">
        <f t="shared" si="315"/>
        <v>80000000</v>
      </c>
      <c r="I1335">
        <f t="shared" si="314"/>
        <v>38400000</v>
      </c>
      <c r="K1335">
        <f t="shared" si="316"/>
        <v>130031692</v>
      </c>
      <c r="M1335">
        <f t="shared" si="313"/>
        <v>32638279</v>
      </c>
      <c r="N1335">
        <f t="shared" si="318"/>
        <v>174772803</v>
      </c>
      <c r="O1335">
        <f t="shared" si="310"/>
        <v>0.344045097156099</v>
      </c>
    </row>
    <row r="1336" ht="13.85" spans="1:15">
      <c r="A1336" s="43">
        <v>37147</v>
      </c>
      <c r="B1336" s="11">
        <v>26614256</v>
      </c>
      <c r="C1336" s="11">
        <v>2451701</v>
      </c>
      <c r="D1336" s="11">
        <v>70</v>
      </c>
      <c r="E1336">
        <f t="shared" si="317"/>
        <v>70</v>
      </c>
      <c r="F1336">
        <f t="shared" si="311"/>
        <v>13307128</v>
      </c>
      <c r="G1336">
        <f t="shared" si="312"/>
        <v>1330.7128</v>
      </c>
      <c r="H1336">
        <f t="shared" si="315"/>
        <v>70000000</v>
      </c>
      <c r="I1336">
        <f t="shared" si="314"/>
        <v>33600000</v>
      </c>
      <c r="K1336">
        <f t="shared" si="316"/>
        <v>103417436</v>
      </c>
      <c r="M1336">
        <f t="shared" si="313"/>
        <v>29065957</v>
      </c>
      <c r="N1336">
        <f t="shared" si="318"/>
        <v>142134524</v>
      </c>
      <c r="O1336">
        <f t="shared" si="310"/>
        <v>0.32543280121816</v>
      </c>
    </row>
    <row r="1337" ht="13.85" spans="1:15">
      <c r="A1337" s="43">
        <v>37024</v>
      </c>
      <c r="B1337" s="11">
        <v>28097510</v>
      </c>
      <c r="C1337" s="11">
        <v>2630800</v>
      </c>
      <c r="D1337" s="11">
        <v>60</v>
      </c>
      <c r="E1337">
        <f t="shared" si="317"/>
        <v>60</v>
      </c>
      <c r="F1337">
        <f t="shared" si="311"/>
        <v>14048755</v>
      </c>
      <c r="G1337">
        <f t="shared" si="312"/>
        <v>1404.8755</v>
      </c>
      <c r="H1337">
        <f t="shared" si="315"/>
        <v>60000000</v>
      </c>
      <c r="I1337">
        <f t="shared" si="314"/>
        <v>28800000</v>
      </c>
      <c r="K1337">
        <f t="shared" si="316"/>
        <v>75319926</v>
      </c>
      <c r="M1337">
        <f t="shared" si="313"/>
        <v>30728310</v>
      </c>
      <c r="N1337">
        <f t="shared" si="318"/>
        <v>113068567</v>
      </c>
      <c r="O1337">
        <f t="shared" si="310"/>
        <v>0.3785923014467</v>
      </c>
    </row>
    <row r="1338" ht="13.85" spans="1:15">
      <c r="A1338" s="44">
        <v>36935</v>
      </c>
      <c r="B1338" s="15">
        <v>24144842</v>
      </c>
      <c r="C1338" s="15">
        <v>2268796</v>
      </c>
      <c r="D1338" s="15">
        <v>50</v>
      </c>
      <c r="E1338">
        <f t="shared" si="317"/>
        <v>50</v>
      </c>
      <c r="F1338">
        <f t="shared" si="311"/>
        <v>12072421</v>
      </c>
      <c r="G1338">
        <f t="shared" si="312"/>
        <v>1207.2421</v>
      </c>
      <c r="H1338">
        <f t="shared" si="315"/>
        <v>50000000</v>
      </c>
      <c r="I1338">
        <f t="shared" si="314"/>
        <v>24000000</v>
      </c>
      <c r="K1338">
        <f t="shared" si="316"/>
        <v>51175084</v>
      </c>
      <c r="M1338">
        <f t="shared" si="313"/>
        <v>26413638</v>
      </c>
      <c r="N1338">
        <f t="shared" si="318"/>
        <v>82340257</v>
      </c>
      <c r="O1338">
        <f t="shared" si="310"/>
        <v>0.344799597991253</v>
      </c>
    </row>
    <row r="1339" ht="13.9" spans="1:15">
      <c r="A1339" s="41" t="s">
        <v>918</v>
      </c>
      <c r="B1339" s="13">
        <v>26496494</v>
      </c>
      <c r="C1339" s="13">
        <v>2505860</v>
      </c>
      <c r="D1339" s="13">
        <v>40</v>
      </c>
      <c r="E1339">
        <f t="shared" si="317"/>
        <v>40</v>
      </c>
      <c r="F1339">
        <f t="shared" si="311"/>
        <v>13248247</v>
      </c>
      <c r="G1339">
        <f t="shared" si="312"/>
        <v>1324.8247</v>
      </c>
      <c r="H1339">
        <f t="shared" si="315"/>
        <v>40000000</v>
      </c>
      <c r="I1339">
        <f t="shared" si="314"/>
        <v>19200000</v>
      </c>
      <c r="K1339">
        <f t="shared" si="316"/>
        <v>24678590</v>
      </c>
      <c r="M1339">
        <f t="shared" si="313"/>
        <v>29002354</v>
      </c>
      <c r="N1339">
        <f t="shared" si="318"/>
        <v>55926619</v>
      </c>
      <c r="O1339">
        <f t="shared" si="310"/>
        <v>0</v>
      </c>
    </row>
    <row r="1340" ht="13.9" spans="1:15">
      <c r="A1340" s="42" t="s">
        <v>919</v>
      </c>
      <c r="B1340" s="11">
        <v>24678590</v>
      </c>
      <c r="C1340" s="11">
        <v>2245675</v>
      </c>
      <c r="D1340" s="11">
        <v>50</v>
      </c>
      <c r="E1340">
        <f t="shared" si="317"/>
        <v>50</v>
      </c>
      <c r="F1340">
        <f t="shared" si="311"/>
        <v>12339295</v>
      </c>
      <c r="G1340">
        <f t="shared" si="312"/>
        <v>1233.9295</v>
      </c>
      <c r="H1340">
        <f t="shared" si="315"/>
        <v>50000000</v>
      </c>
      <c r="I1340">
        <f t="shared" si="314"/>
        <v>24000000</v>
      </c>
      <c r="K1340">
        <f t="shared" si="316"/>
        <v>55258976</v>
      </c>
      <c r="M1340">
        <f t="shared" si="313"/>
        <v>26924265</v>
      </c>
      <c r="N1340">
        <f t="shared" si="318"/>
        <v>87287317</v>
      </c>
      <c r="O1340">
        <f t="shared" si="310"/>
        <v>0.324160004989471</v>
      </c>
    </row>
    <row r="1341" ht="13.9" spans="1:15">
      <c r="A1341" s="42" t="s">
        <v>920</v>
      </c>
      <c r="B1341" s="11">
        <v>28226500</v>
      </c>
      <c r="C1341" s="11">
        <v>2622463</v>
      </c>
      <c r="D1341" s="11">
        <v>40</v>
      </c>
      <c r="E1341">
        <f t="shared" si="317"/>
        <v>40</v>
      </c>
      <c r="F1341">
        <f t="shared" si="311"/>
        <v>14113250</v>
      </c>
      <c r="G1341">
        <f t="shared" si="312"/>
        <v>1411.325</v>
      </c>
      <c r="H1341">
        <f t="shared" si="315"/>
        <v>40000000</v>
      </c>
      <c r="I1341">
        <f t="shared" si="314"/>
        <v>19200000</v>
      </c>
      <c r="K1341">
        <f t="shared" si="316"/>
        <v>27032476</v>
      </c>
      <c r="M1341">
        <f t="shared" si="313"/>
        <v>30848963</v>
      </c>
      <c r="N1341">
        <f t="shared" si="318"/>
        <v>60363052</v>
      </c>
      <c r="O1341">
        <f t="shared" si="310"/>
        <v>0</v>
      </c>
    </row>
    <row r="1342" ht="13.9" spans="1:15">
      <c r="A1342" s="42" t="s">
        <v>921</v>
      </c>
      <c r="B1342" s="11">
        <v>27032476</v>
      </c>
      <c r="C1342" s="11">
        <v>2481613</v>
      </c>
      <c r="D1342" s="11">
        <v>50</v>
      </c>
      <c r="E1342">
        <f t="shared" si="317"/>
        <v>50</v>
      </c>
      <c r="F1342">
        <f t="shared" si="311"/>
        <v>13516238</v>
      </c>
      <c r="G1342">
        <f t="shared" si="312"/>
        <v>1351.6238</v>
      </c>
      <c r="H1342">
        <f t="shared" si="315"/>
        <v>50000000</v>
      </c>
      <c r="I1342">
        <f t="shared" si="314"/>
        <v>24000000</v>
      </c>
      <c r="K1342">
        <f t="shared" si="316"/>
        <v>57862672</v>
      </c>
      <c r="M1342">
        <f t="shared" si="313"/>
        <v>29514089</v>
      </c>
      <c r="N1342">
        <f t="shared" si="318"/>
        <v>92724814</v>
      </c>
      <c r="O1342">
        <f t="shared" si="310"/>
        <v>0.327713935097828</v>
      </c>
    </row>
    <row r="1343" ht="13.9" spans="1:15">
      <c r="A1343" s="42" t="s">
        <v>922</v>
      </c>
      <c r="B1343" s="11">
        <v>27894190</v>
      </c>
      <c r="C1343" s="11">
        <v>2620228</v>
      </c>
      <c r="D1343" s="11">
        <v>40</v>
      </c>
      <c r="E1343">
        <f t="shared" si="317"/>
        <v>40</v>
      </c>
      <c r="F1343">
        <f t="shared" si="311"/>
        <v>13947095</v>
      </c>
      <c r="G1343">
        <f t="shared" si="312"/>
        <v>1394.7095</v>
      </c>
      <c r="H1343">
        <f t="shared" si="315"/>
        <v>40000000</v>
      </c>
      <c r="I1343">
        <f t="shared" si="314"/>
        <v>19200000</v>
      </c>
      <c r="K1343">
        <f t="shared" si="316"/>
        <v>29968482</v>
      </c>
      <c r="M1343">
        <f t="shared" si="313"/>
        <v>30514418</v>
      </c>
      <c r="N1343">
        <f t="shared" si="318"/>
        <v>63210725</v>
      </c>
      <c r="O1343">
        <f t="shared" si="310"/>
        <v>0</v>
      </c>
    </row>
    <row r="1344" ht="13.85" spans="1:15">
      <c r="A1344" s="43">
        <v>41255</v>
      </c>
      <c r="B1344" s="11">
        <v>29968482</v>
      </c>
      <c r="C1344" s="11">
        <v>2727825</v>
      </c>
      <c r="D1344" s="11">
        <v>50</v>
      </c>
      <c r="E1344">
        <f t="shared" si="317"/>
        <v>50</v>
      </c>
      <c r="F1344">
        <f t="shared" si="311"/>
        <v>14984241</v>
      </c>
      <c r="G1344">
        <f t="shared" si="312"/>
        <v>1498.4241</v>
      </c>
      <c r="H1344">
        <f t="shared" si="315"/>
        <v>50000000</v>
      </c>
      <c r="I1344">
        <f t="shared" si="314"/>
        <v>24000000</v>
      </c>
      <c r="K1344">
        <f t="shared" si="316"/>
        <v>57690312</v>
      </c>
      <c r="M1344">
        <f t="shared" si="313"/>
        <v>32696307</v>
      </c>
      <c r="N1344">
        <f t="shared" si="318"/>
        <v>95748402</v>
      </c>
      <c r="O1344">
        <f t="shared" si="310"/>
        <v>0.313888416748395</v>
      </c>
    </row>
    <row r="1345" ht="13.85" spans="1:15">
      <c r="A1345" s="43">
        <v>41133</v>
      </c>
      <c r="B1345" s="11">
        <v>29127962</v>
      </c>
      <c r="C1345" s="11">
        <v>2730493</v>
      </c>
      <c r="D1345" s="11">
        <v>40</v>
      </c>
      <c r="E1345">
        <f t="shared" si="317"/>
        <v>40</v>
      </c>
      <c r="F1345">
        <f t="shared" si="311"/>
        <v>14563981</v>
      </c>
      <c r="G1345">
        <f t="shared" si="312"/>
        <v>1456.3981</v>
      </c>
      <c r="H1345">
        <f t="shared" si="315"/>
        <v>40000000</v>
      </c>
      <c r="I1345">
        <f t="shared" si="314"/>
        <v>19200000</v>
      </c>
      <c r="K1345">
        <f t="shared" si="316"/>
        <v>28562350</v>
      </c>
      <c r="M1345">
        <f t="shared" si="313"/>
        <v>31858455</v>
      </c>
      <c r="N1345">
        <f t="shared" si="318"/>
        <v>63052095</v>
      </c>
      <c r="O1345">
        <f t="shared" si="310"/>
        <v>0</v>
      </c>
    </row>
    <row r="1346" ht="13.85" spans="1:15">
      <c r="A1346" s="43">
        <v>41041</v>
      </c>
      <c r="B1346" s="11">
        <v>28562350</v>
      </c>
      <c r="C1346" s="11">
        <v>2631290</v>
      </c>
      <c r="D1346" s="11">
        <v>50</v>
      </c>
      <c r="E1346">
        <f t="shared" si="317"/>
        <v>50</v>
      </c>
      <c r="F1346">
        <f t="shared" si="311"/>
        <v>14281175</v>
      </c>
      <c r="G1346">
        <f t="shared" si="312"/>
        <v>1428.1175</v>
      </c>
      <c r="H1346">
        <f t="shared" si="315"/>
        <v>50000000</v>
      </c>
      <c r="I1346">
        <f t="shared" si="314"/>
        <v>24000000</v>
      </c>
      <c r="K1346">
        <f t="shared" si="316"/>
        <v>592988026</v>
      </c>
      <c r="M1346">
        <f t="shared" si="313"/>
        <v>31193640</v>
      </c>
      <c r="N1346">
        <f t="shared" si="318"/>
        <v>653179458</v>
      </c>
      <c r="O1346">
        <f t="shared" si="310"/>
        <v>0.306420708892053</v>
      </c>
    </row>
    <row r="1347" ht="13.85" spans="1:15">
      <c r="A1347" s="43">
        <v>40920</v>
      </c>
      <c r="B1347" s="11">
        <v>29856052</v>
      </c>
      <c r="C1347" s="11">
        <v>2778818</v>
      </c>
      <c r="D1347" s="11">
        <v>40</v>
      </c>
      <c r="E1347">
        <f t="shared" si="317"/>
        <v>40</v>
      </c>
      <c r="F1347">
        <f t="shared" si="311"/>
        <v>14928026</v>
      </c>
      <c r="G1347">
        <f t="shared" si="312"/>
        <v>1492.8026</v>
      </c>
      <c r="H1347">
        <f t="shared" si="315"/>
        <v>40000000</v>
      </c>
      <c r="I1347">
        <f t="shared" si="314"/>
        <v>19200000</v>
      </c>
      <c r="K1347">
        <f t="shared" si="316"/>
        <v>563131974</v>
      </c>
      <c r="M1347">
        <f t="shared" si="313"/>
        <v>32634870</v>
      </c>
      <c r="N1347">
        <f t="shared" si="318"/>
        <v>621985818</v>
      </c>
      <c r="O1347">
        <f t="shared" ref="O1347:O1410" si="319">IF(H1347&gt;H1348,(H1347-H1348)/M1348,0)</f>
        <v>0</v>
      </c>
    </row>
    <row r="1348" ht="13.9" spans="1:15">
      <c r="A1348" s="42" t="s">
        <v>923</v>
      </c>
      <c r="B1348" s="11">
        <v>563131974</v>
      </c>
      <c r="C1348" s="11">
        <v>26218974</v>
      </c>
      <c r="D1348" s="11">
        <v>587</v>
      </c>
      <c r="E1348">
        <f t="shared" si="317"/>
        <v>587</v>
      </c>
      <c r="F1348">
        <f t="shared" ref="F1348:F1411" si="320">B1348/2</f>
        <v>281565987</v>
      </c>
      <c r="G1348">
        <f t="shared" ref="G1348:G1411" si="321">F1348/10000</f>
        <v>28156.5987</v>
      </c>
      <c r="H1348">
        <f t="shared" si="315"/>
        <v>587000000</v>
      </c>
      <c r="I1348">
        <f t="shared" si="314"/>
        <v>281760000</v>
      </c>
      <c r="K1348">
        <f t="shared" si="316"/>
        <v>739977312</v>
      </c>
      <c r="M1348">
        <f t="shared" si="313"/>
        <v>589350948</v>
      </c>
      <c r="N1348">
        <f t="shared" si="318"/>
        <v>1385435135</v>
      </c>
      <c r="O1348">
        <f t="shared" si="319"/>
        <v>1.76343807964824</v>
      </c>
    </row>
    <row r="1349" ht="13.9" spans="1:15">
      <c r="A1349" s="42" t="s">
        <v>924</v>
      </c>
      <c r="B1349" s="11">
        <v>140096440</v>
      </c>
      <c r="C1349" s="11">
        <v>8476965</v>
      </c>
      <c r="D1349" s="11">
        <v>325</v>
      </c>
      <c r="E1349">
        <f t="shared" si="317"/>
        <v>325</v>
      </c>
      <c r="F1349">
        <f t="shared" si="320"/>
        <v>70048220</v>
      </c>
      <c r="G1349">
        <f t="shared" si="321"/>
        <v>7004.822</v>
      </c>
      <c r="H1349">
        <f t="shared" si="315"/>
        <v>325000000</v>
      </c>
      <c r="I1349">
        <f t="shared" si="314"/>
        <v>156000000</v>
      </c>
      <c r="K1349">
        <f t="shared" si="316"/>
        <v>599880872</v>
      </c>
      <c r="M1349">
        <f t="shared" si="313"/>
        <v>148573405</v>
      </c>
      <c r="N1349">
        <f t="shared" si="318"/>
        <v>796084187</v>
      </c>
      <c r="O1349">
        <f t="shared" si="319"/>
        <v>0.814536314993835</v>
      </c>
    </row>
    <row r="1350" ht="13.9" spans="1:15">
      <c r="A1350" s="42" t="s">
        <v>925</v>
      </c>
      <c r="B1350" s="11">
        <v>86533120</v>
      </c>
      <c r="C1350" s="11">
        <v>5543806</v>
      </c>
      <c r="D1350" s="11">
        <v>250</v>
      </c>
      <c r="E1350">
        <f t="shared" si="317"/>
        <v>250</v>
      </c>
      <c r="F1350">
        <f t="shared" si="320"/>
        <v>43266560</v>
      </c>
      <c r="G1350">
        <f t="shared" si="321"/>
        <v>4326.656</v>
      </c>
      <c r="H1350">
        <f t="shared" si="315"/>
        <v>250000000</v>
      </c>
      <c r="I1350">
        <f t="shared" si="314"/>
        <v>120000000</v>
      </c>
      <c r="K1350">
        <f t="shared" si="316"/>
        <v>513347752</v>
      </c>
      <c r="M1350">
        <f t="shared" si="313"/>
        <v>92076926</v>
      </c>
      <c r="N1350">
        <f t="shared" si="318"/>
        <v>647510782</v>
      </c>
      <c r="O1350">
        <f t="shared" si="319"/>
        <v>0.482733565707863</v>
      </c>
    </row>
    <row r="1351" ht="13.9" spans="1:15">
      <c r="A1351" s="42" t="s">
        <v>926</v>
      </c>
      <c r="B1351" s="11">
        <v>69802810</v>
      </c>
      <c r="C1351" s="11">
        <v>4772489</v>
      </c>
      <c r="D1351" s="11">
        <v>214</v>
      </c>
      <c r="E1351">
        <f t="shared" si="317"/>
        <v>214</v>
      </c>
      <c r="F1351">
        <f t="shared" si="320"/>
        <v>34901405</v>
      </c>
      <c r="G1351">
        <f t="shared" si="321"/>
        <v>3490.1405</v>
      </c>
      <c r="H1351">
        <f t="shared" si="315"/>
        <v>214000000</v>
      </c>
      <c r="I1351">
        <f t="shared" si="314"/>
        <v>102720000</v>
      </c>
      <c r="K1351">
        <f t="shared" si="316"/>
        <v>443544942</v>
      </c>
      <c r="M1351">
        <f t="shared" ref="M1351:M1414" si="322">B1351+C1351</f>
        <v>74575299</v>
      </c>
      <c r="N1351">
        <f t="shared" si="318"/>
        <v>555433856</v>
      </c>
      <c r="O1351">
        <f t="shared" si="319"/>
        <v>0.50798595079021</v>
      </c>
    </row>
    <row r="1352" ht="13.9" spans="1:15">
      <c r="A1352" s="42" t="s">
        <v>927</v>
      </c>
      <c r="B1352" s="11">
        <v>53293298</v>
      </c>
      <c r="C1352" s="11">
        <v>3794895</v>
      </c>
      <c r="D1352" s="11">
        <v>185</v>
      </c>
      <c r="E1352">
        <f t="shared" si="317"/>
        <v>185</v>
      </c>
      <c r="F1352">
        <f t="shared" si="320"/>
        <v>26646649</v>
      </c>
      <c r="G1352">
        <f t="shared" si="321"/>
        <v>2664.6649</v>
      </c>
      <c r="H1352">
        <f t="shared" si="315"/>
        <v>185000000</v>
      </c>
      <c r="I1352">
        <f t="shared" si="314"/>
        <v>88800000</v>
      </c>
      <c r="K1352">
        <f t="shared" si="316"/>
        <v>390251644</v>
      </c>
      <c r="M1352">
        <f t="shared" si="322"/>
        <v>57088193</v>
      </c>
      <c r="N1352">
        <f t="shared" si="318"/>
        <v>480858557</v>
      </c>
      <c r="O1352">
        <f t="shared" si="319"/>
        <v>0.315646947849053</v>
      </c>
    </row>
    <row r="1353" ht="13.85" spans="1:15">
      <c r="A1353" s="43">
        <v>40828</v>
      </c>
      <c r="B1353" s="11">
        <v>50084854</v>
      </c>
      <c r="C1353" s="11">
        <v>3772787</v>
      </c>
      <c r="D1353" s="11">
        <v>168</v>
      </c>
      <c r="E1353">
        <f t="shared" si="317"/>
        <v>168</v>
      </c>
      <c r="F1353">
        <f t="shared" si="320"/>
        <v>25042427</v>
      </c>
      <c r="G1353">
        <f t="shared" si="321"/>
        <v>2504.2427</v>
      </c>
      <c r="H1353">
        <f t="shared" si="315"/>
        <v>168000000</v>
      </c>
      <c r="I1353">
        <f t="shared" si="314"/>
        <v>80640000</v>
      </c>
      <c r="K1353">
        <f t="shared" si="316"/>
        <v>340166790</v>
      </c>
      <c r="M1353">
        <f t="shared" si="322"/>
        <v>53857641</v>
      </c>
      <c r="N1353">
        <f t="shared" si="318"/>
        <v>423770364</v>
      </c>
      <c r="O1353">
        <f t="shared" si="319"/>
        <v>0.557032409393331</v>
      </c>
    </row>
    <row r="1354" ht="13.85" spans="1:15">
      <c r="A1354" s="43">
        <v>40736</v>
      </c>
      <c r="B1354" s="11">
        <v>41636834</v>
      </c>
      <c r="C1354" s="11">
        <v>3243858</v>
      </c>
      <c r="D1354" s="11">
        <v>143</v>
      </c>
      <c r="E1354">
        <f t="shared" si="317"/>
        <v>143</v>
      </c>
      <c r="F1354">
        <f t="shared" si="320"/>
        <v>20818417</v>
      </c>
      <c r="G1354">
        <f t="shared" si="321"/>
        <v>2081.8417</v>
      </c>
      <c r="H1354">
        <f t="shared" si="315"/>
        <v>143000000</v>
      </c>
      <c r="I1354">
        <f t="shared" si="314"/>
        <v>68640000</v>
      </c>
      <c r="K1354">
        <f t="shared" si="316"/>
        <v>298529956</v>
      </c>
      <c r="M1354">
        <f t="shared" si="322"/>
        <v>44880692</v>
      </c>
      <c r="N1354">
        <f t="shared" si="318"/>
        <v>369912723</v>
      </c>
      <c r="O1354">
        <f t="shared" si="319"/>
        <v>0.431188176693108</v>
      </c>
    </row>
    <row r="1355" ht="13.85" spans="1:15">
      <c r="A1355" s="43">
        <v>40614</v>
      </c>
      <c r="B1355" s="11">
        <v>40695206</v>
      </c>
      <c r="C1355" s="11">
        <v>3369082</v>
      </c>
      <c r="D1355" s="11">
        <v>124</v>
      </c>
      <c r="E1355">
        <f t="shared" si="317"/>
        <v>124</v>
      </c>
      <c r="F1355">
        <f t="shared" si="320"/>
        <v>20347603</v>
      </c>
      <c r="G1355">
        <f t="shared" si="321"/>
        <v>2034.7603</v>
      </c>
      <c r="H1355">
        <f t="shared" si="315"/>
        <v>124000000</v>
      </c>
      <c r="I1355">
        <f t="shared" ref="I1355:I1418" si="323">H1355*0.48</f>
        <v>59520000</v>
      </c>
      <c r="K1355">
        <f t="shared" si="316"/>
        <v>257834750</v>
      </c>
      <c r="M1355">
        <f t="shared" si="322"/>
        <v>44064288</v>
      </c>
      <c r="N1355">
        <f t="shared" si="318"/>
        <v>325032031</v>
      </c>
      <c r="O1355">
        <f t="shared" si="319"/>
        <v>0.405230682921087</v>
      </c>
    </row>
    <row r="1356" ht="13.9" spans="1:15">
      <c r="A1356" s="42" t="s">
        <v>928</v>
      </c>
      <c r="B1356" s="11">
        <v>31815474</v>
      </c>
      <c r="C1356" s="11">
        <v>2732749</v>
      </c>
      <c r="D1356" s="11">
        <v>110</v>
      </c>
      <c r="E1356">
        <f t="shared" si="317"/>
        <v>110</v>
      </c>
      <c r="F1356">
        <f t="shared" si="320"/>
        <v>15907737</v>
      </c>
      <c r="G1356">
        <f t="shared" si="321"/>
        <v>1590.7737</v>
      </c>
      <c r="H1356">
        <f t="shared" si="315"/>
        <v>110000000</v>
      </c>
      <c r="I1356">
        <f t="shared" si="323"/>
        <v>52800000</v>
      </c>
      <c r="K1356">
        <f t="shared" si="316"/>
        <v>226019276</v>
      </c>
      <c r="M1356">
        <f t="shared" si="322"/>
        <v>34548223</v>
      </c>
      <c r="N1356">
        <f t="shared" si="318"/>
        <v>280967743</v>
      </c>
      <c r="O1356">
        <f t="shared" si="319"/>
        <v>0.244948272558646</v>
      </c>
    </row>
    <row r="1357" ht="13.9" spans="1:15">
      <c r="A1357" s="42" t="s">
        <v>929</v>
      </c>
      <c r="B1357" s="11">
        <v>37742994</v>
      </c>
      <c r="C1357" s="11">
        <v>3081952</v>
      </c>
      <c r="D1357" s="11">
        <v>100</v>
      </c>
      <c r="E1357">
        <f t="shared" si="317"/>
        <v>100</v>
      </c>
      <c r="F1357">
        <f t="shared" si="320"/>
        <v>18871497</v>
      </c>
      <c r="G1357">
        <f t="shared" si="321"/>
        <v>1887.1497</v>
      </c>
      <c r="H1357">
        <f t="shared" si="315"/>
        <v>100000000</v>
      </c>
      <c r="I1357">
        <f t="shared" si="323"/>
        <v>48000000</v>
      </c>
      <c r="K1357">
        <f t="shared" si="316"/>
        <v>188276282</v>
      </c>
      <c r="M1357">
        <f t="shared" si="322"/>
        <v>40824946</v>
      </c>
      <c r="N1357">
        <f t="shared" si="318"/>
        <v>246419520</v>
      </c>
      <c r="O1357">
        <f t="shared" si="319"/>
        <v>0.314038691451019</v>
      </c>
    </row>
    <row r="1358" ht="13.9" spans="1:15">
      <c r="A1358" s="42" t="s">
        <v>930</v>
      </c>
      <c r="B1358" s="11">
        <v>29295472</v>
      </c>
      <c r="C1358" s="11">
        <v>2547738</v>
      </c>
      <c r="D1358" s="11">
        <v>90</v>
      </c>
      <c r="E1358">
        <f t="shared" si="317"/>
        <v>90</v>
      </c>
      <c r="F1358">
        <f t="shared" si="320"/>
        <v>14647736</v>
      </c>
      <c r="G1358">
        <f t="shared" si="321"/>
        <v>1464.7736</v>
      </c>
      <c r="H1358">
        <f t="shared" si="315"/>
        <v>90000000</v>
      </c>
      <c r="I1358">
        <f t="shared" si="323"/>
        <v>43200000</v>
      </c>
      <c r="K1358">
        <f t="shared" si="316"/>
        <v>158980810</v>
      </c>
      <c r="M1358">
        <f t="shared" si="322"/>
        <v>31843210</v>
      </c>
      <c r="N1358">
        <f t="shared" si="318"/>
        <v>205594574</v>
      </c>
      <c r="O1358">
        <f t="shared" si="319"/>
        <v>0.302901790061738</v>
      </c>
    </row>
    <row r="1359" ht="13.9" spans="1:15">
      <c r="A1359" s="42" t="s">
        <v>931</v>
      </c>
      <c r="B1359" s="11">
        <v>30308588</v>
      </c>
      <c r="C1359" s="11">
        <v>2705413</v>
      </c>
      <c r="D1359" s="11">
        <v>80</v>
      </c>
      <c r="E1359">
        <f t="shared" si="317"/>
        <v>80</v>
      </c>
      <c r="F1359">
        <f t="shared" si="320"/>
        <v>15154294</v>
      </c>
      <c r="G1359">
        <f t="shared" si="321"/>
        <v>1515.4294</v>
      </c>
      <c r="H1359">
        <f t="shared" si="315"/>
        <v>80000000</v>
      </c>
      <c r="I1359">
        <f t="shared" si="323"/>
        <v>38400000</v>
      </c>
      <c r="K1359">
        <f t="shared" si="316"/>
        <v>128672222</v>
      </c>
      <c r="M1359">
        <f t="shared" si="322"/>
        <v>33014001</v>
      </c>
      <c r="N1359">
        <f t="shared" si="318"/>
        <v>173751364</v>
      </c>
      <c r="O1359">
        <f t="shared" si="319"/>
        <v>0.358869879989965</v>
      </c>
    </row>
    <row r="1360" ht="13.9" spans="1:15">
      <c r="A1360" s="42" t="s">
        <v>932</v>
      </c>
      <c r="B1360" s="11">
        <v>25502284</v>
      </c>
      <c r="C1360" s="11">
        <v>2362969</v>
      </c>
      <c r="D1360" s="11">
        <v>70</v>
      </c>
      <c r="E1360">
        <f t="shared" si="317"/>
        <v>70</v>
      </c>
      <c r="F1360">
        <f t="shared" si="320"/>
        <v>12751142</v>
      </c>
      <c r="G1360">
        <f t="shared" si="321"/>
        <v>1275.1142</v>
      </c>
      <c r="H1360">
        <f t="shared" ref="H1360:H1423" si="324">E1360*1000000</f>
        <v>70000000</v>
      </c>
      <c r="I1360">
        <f t="shared" si="323"/>
        <v>33600000</v>
      </c>
      <c r="K1360">
        <f t="shared" si="316"/>
        <v>103169938</v>
      </c>
      <c r="M1360">
        <f t="shared" si="322"/>
        <v>27865253</v>
      </c>
      <c r="N1360">
        <f t="shared" si="318"/>
        <v>140737363</v>
      </c>
      <c r="O1360">
        <f t="shared" si="319"/>
        <v>0.334658077332454</v>
      </c>
    </row>
    <row r="1361" ht="13.9" spans="1:15">
      <c r="A1361" s="42" t="s">
        <v>933</v>
      </c>
      <c r="B1361" s="11">
        <v>27323808</v>
      </c>
      <c r="C1361" s="11">
        <v>2557437</v>
      </c>
      <c r="D1361" s="11">
        <v>60</v>
      </c>
      <c r="E1361">
        <f t="shared" si="317"/>
        <v>60</v>
      </c>
      <c r="F1361">
        <f t="shared" si="320"/>
        <v>13661904</v>
      </c>
      <c r="G1361">
        <f t="shared" si="321"/>
        <v>1366.1904</v>
      </c>
      <c r="H1361">
        <f t="shared" si="324"/>
        <v>60000000</v>
      </c>
      <c r="I1361">
        <f t="shared" si="323"/>
        <v>28800000</v>
      </c>
      <c r="K1361">
        <f t="shared" ref="K1361:K1424" si="325">IF(E1361&gt;E1362,B1362+K1362,B1362)</f>
        <v>75846130</v>
      </c>
      <c r="M1361">
        <f t="shared" si="322"/>
        <v>29881245</v>
      </c>
      <c r="N1361">
        <f t="shared" si="318"/>
        <v>112872110</v>
      </c>
      <c r="O1361">
        <f t="shared" si="319"/>
        <v>0.381644254735022</v>
      </c>
    </row>
    <row r="1362" ht="13.85" spans="1:15">
      <c r="A1362" s="43">
        <v>40463</v>
      </c>
      <c r="B1362" s="11">
        <v>23936618</v>
      </c>
      <c r="C1362" s="11">
        <v>2265794</v>
      </c>
      <c r="D1362" s="11">
        <v>50</v>
      </c>
      <c r="E1362">
        <f t="shared" ref="E1362:E1425" si="326">IF(RIGHT(D1362,1)="B",VALUE(LEFT(D1362,LEN(D1362)-1))*1000,D1362)</f>
        <v>50</v>
      </c>
      <c r="F1362">
        <f t="shared" si="320"/>
        <v>11968309</v>
      </c>
      <c r="G1362">
        <f t="shared" si="321"/>
        <v>1196.8309</v>
      </c>
      <c r="H1362">
        <f t="shared" si="324"/>
        <v>50000000</v>
      </c>
      <c r="I1362">
        <f t="shared" si="323"/>
        <v>24000000</v>
      </c>
      <c r="K1362">
        <f t="shared" si="325"/>
        <v>51909512</v>
      </c>
      <c r="M1362">
        <f t="shared" si="322"/>
        <v>26202412</v>
      </c>
      <c r="N1362">
        <f t="shared" si="318"/>
        <v>82990865</v>
      </c>
      <c r="O1362">
        <f t="shared" si="319"/>
        <v>0.34722861219321</v>
      </c>
    </row>
    <row r="1363" ht="13.85" spans="1:15">
      <c r="A1363" s="43">
        <v>40341</v>
      </c>
      <c r="B1363" s="11">
        <v>26312158</v>
      </c>
      <c r="C1363" s="11">
        <v>2487312</v>
      </c>
      <c r="D1363" s="11">
        <v>40</v>
      </c>
      <c r="E1363">
        <f t="shared" si="326"/>
        <v>40</v>
      </c>
      <c r="F1363">
        <f t="shared" si="320"/>
        <v>13156079</v>
      </c>
      <c r="G1363">
        <f t="shared" si="321"/>
        <v>1315.6079</v>
      </c>
      <c r="H1363">
        <f t="shared" si="324"/>
        <v>40000000</v>
      </c>
      <c r="I1363">
        <f t="shared" si="323"/>
        <v>19200000</v>
      </c>
      <c r="K1363">
        <f t="shared" si="325"/>
        <v>25597354</v>
      </c>
      <c r="M1363">
        <f t="shared" si="322"/>
        <v>28799470</v>
      </c>
      <c r="N1363">
        <f t="shared" si="318"/>
        <v>56788453</v>
      </c>
      <c r="O1363">
        <f t="shared" si="319"/>
        <v>0</v>
      </c>
    </row>
    <row r="1364" ht="13.85" spans="1:15">
      <c r="A1364" s="43">
        <v>40249</v>
      </c>
      <c r="B1364" s="11">
        <v>25597354</v>
      </c>
      <c r="C1364" s="11">
        <v>2391629</v>
      </c>
      <c r="D1364" s="11">
        <v>50</v>
      </c>
      <c r="E1364">
        <f t="shared" si="326"/>
        <v>50</v>
      </c>
      <c r="F1364">
        <f t="shared" si="320"/>
        <v>12798677</v>
      </c>
      <c r="G1364">
        <f t="shared" si="321"/>
        <v>1279.8677</v>
      </c>
      <c r="H1364">
        <f t="shared" si="324"/>
        <v>50000000</v>
      </c>
      <c r="I1364">
        <f t="shared" si="323"/>
        <v>24000000</v>
      </c>
      <c r="K1364">
        <f t="shared" si="325"/>
        <v>89166314</v>
      </c>
      <c r="M1364">
        <f t="shared" si="322"/>
        <v>27988983</v>
      </c>
      <c r="N1364">
        <f t="shared" si="318"/>
        <v>123960453</v>
      </c>
      <c r="O1364">
        <f t="shared" si="319"/>
        <v>0.330818155975269</v>
      </c>
    </row>
    <row r="1365" ht="13.9" spans="1:15">
      <c r="A1365" s="42" t="s">
        <v>934</v>
      </c>
      <c r="B1365" s="11">
        <v>27665924</v>
      </c>
      <c r="C1365" s="11">
        <v>2562163</v>
      </c>
      <c r="D1365" s="11">
        <v>40</v>
      </c>
      <c r="E1365">
        <f t="shared" si="326"/>
        <v>40</v>
      </c>
      <c r="F1365">
        <f t="shared" si="320"/>
        <v>13832962</v>
      </c>
      <c r="G1365">
        <f t="shared" si="321"/>
        <v>1383.2962</v>
      </c>
      <c r="H1365">
        <f t="shared" si="324"/>
        <v>40000000</v>
      </c>
      <c r="I1365">
        <f t="shared" si="323"/>
        <v>19200000</v>
      </c>
      <c r="K1365">
        <f t="shared" si="325"/>
        <v>61500390</v>
      </c>
      <c r="M1365">
        <f t="shared" si="322"/>
        <v>30228087</v>
      </c>
      <c r="N1365">
        <f t="shared" si="318"/>
        <v>95971470</v>
      </c>
      <c r="O1365">
        <f t="shared" si="319"/>
        <v>0</v>
      </c>
    </row>
    <row r="1366" ht="13.9" spans="1:15">
      <c r="A1366" s="42" t="s">
        <v>935</v>
      </c>
      <c r="B1366" s="11">
        <v>61500390</v>
      </c>
      <c r="C1366" s="11">
        <v>4242993</v>
      </c>
      <c r="D1366" s="11">
        <v>200</v>
      </c>
      <c r="E1366">
        <f t="shared" si="326"/>
        <v>200</v>
      </c>
      <c r="F1366">
        <f t="shared" si="320"/>
        <v>30750195</v>
      </c>
      <c r="G1366">
        <f t="shared" si="321"/>
        <v>3075.0195</v>
      </c>
      <c r="H1366">
        <f t="shared" si="324"/>
        <v>200000000</v>
      </c>
      <c r="I1366">
        <f t="shared" si="323"/>
        <v>96000000</v>
      </c>
      <c r="K1366">
        <f t="shared" si="325"/>
        <v>543710492</v>
      </c>
      <c r="M1366">
        <f t="shared" si="322"/>
        <v>65743383</v>
      </c>
      <c r="N1366">
        <f t="shared" si="318"/>
        <v>650797700</v>
      </c>
      <c r="O1366">
        <f t="shared" si="319"/>
        <v>0.477167078143744</v>
      </c>
    </row>
    <row r="1367" ht="13.9" spans="1:15">
      <c r="A1367" s="42" t="s">
        <v>936</v>
      </c>
      <c r="B1367" s="11">
        <v>50685726</v>
      </c>
      <c r="C1367" s="11">
        <v>3802526</v>
      </c>
      <c r="D1367" s="11">
        <v>174</v>
      </c>
      <c r="E1367">
        <f t="shared" si="326"/>
        <v>174</v>
      </c>
      <c r="F1367">
        <f t="shared" si="320"/>
        <v>25342863</v>
      </c>
      <c r="G1367">
        <f t="shared" si="321"/>
        <v>2534.2863</v>
      </c>
      <c r="H1367">
        <f t="shared" si="324"/>
        <v>174000000</v>
      </c>
      <c r="I1367">
        <f t="shared" si="323"/>
        <v>83520000</v>
      </c>
      <c r="K1367">
        <f t="shared" si="325"/>
        <v>493024766</v>
      </c>
      <c r="M1367">
        <f t="shared" si="322"/>
        <v>54488252</v>
      </c>
      <c r="N1367">
        <f t="shared" si="318"/>
        <v>585054317</v>
      </c>
      <c r="O1367">
        <f t="shared" si="319"/>
        <v>0.545742677743206</v>
      </c>
    </row>
    <row r="1368" ht="13.9" spans="1:15">
      <c r="A1368" s="42" t="s">
        <v>937</v>
      </c>
      <c r="B1368" s="11">
        <v>42540904</v>
      </c>
      <c r="C1368" s="11">
        <v>3268231</v>
      </c>
      <c r="D1368" s="11">
        <v>149</v>
      </c>
      <c r="E1368">
        <f t="shared" si="326"/>
        <v>149</v>
      </c>
      <c r="F1368">
        <f t="shared" si="320"/>
        <v>21270452</v>
      </c>
      <c r="G1368">
        <f t="shared" si="321"/>
        <v>2127.0452</v>
      </c>
      <c r="H1368">
        <f t="shared" si="324"/>
        <v>149000000</v>
      </c>
      <c r="I1368">
        <f t="shared" si="323"/>
        <v>71520000</v>
      </c>
      <c r="K1368">
        <f t="shared" si="325"/>
        <v>450483862</v>
      </c>
      <c r="M1368">
        <f t="shared" si="322"/>
        <v>45809135</v>
      </c>
      <c r="N1368">
        <f t="shared" si="318"/>
        <v>530566065</v>
      </c>
      <c r="O1368">
        <f t="shared" si="319"/>
        <v>0.539676802404152</v>
      </c>
    </row>
    <row r="1369" ht="13.9" spans="1:15">
      <c r="A1369" s="42" t="s">
        <v>938</v>
      </c>
      <c r="B1369" s="11">
        <v>41144178</v>
      </c>
      <c r="C1369" s="11">
        <v>3326883</v>
      </c>
      <c r="D1369" s="11">
        <v>125</v>
      </c>
      <c r="E1369">
        <f t="shared" si="326"/>
        <v>125</v>
      </c>
      <c r="F1369">
        <f t="shared" si="320"/>
        <v>20572089</v>
      </c>
      <c r="G1369">
        <f t="shared" si="321"/>
        <v>2057.2089</v>
      </c>
      <c r="H1369">
        <f t="shared" si="324"/>
        <v>125000000</v>
      </c>
      <c r="I1369">
        <f t="shared" si="323"/>
        <v>60000000</v>
      </c>
      <c r="K1369">
        <f t="shared" si="325"/>
        <v>409339684</v>
      </c>
      <c r="M1369">
        <f t="shared" si="322"/>
        <v>44471061</v>
      </c>
      <c r="N1369">
        <f t="shared" si="318"/>
        <v>484756930</v>
      </c>
      <c r="O1369">
        <f t="shared" si="319"/>
        <v>0.40382147569451</v>
      </c>
    </row>
    <row r="1370" ht="13.85" spans="1:15">
      <c r="A1370" s="43">
        <v>40159</v>
      </c>
      <c r="B1370" s="11">
        <v>34252206</v>
      </c>
      <c r="C1370" s="11">
        <v>2892921</v>
      </c>
      <c r="D1370" s="11">
        <v>110</v>
      </c>
      <c r="E1370">
        <f t="shared" si="326"/>
        <v>110</v>
      </c>
      <c r="F1370">
        <f t="shared" si="320"/>
        <v>17126103</v>
      </c>
      <c r="G1370">
        <f t="shared" si="321"/>
        <v>1712.6103</v>
      </c>
      <c r="H1370">
        <f t="shared" si="324"/>
        <v>110000000</v>
      </c>
      <c r="I1370">
        <f t="shared" si="323"/>
        <v>52800000</v>
      </c>
      <c r="K1370">
        <f t="shared" si="325"/>
        <v>375087478</v>
      </c>
      <c r="M1370">
        <f t="shared" si="322"/>
        <v>37145127</v>
      </c>
      <c r="N1370">
        <f t="shared" si="318"/>
        <v>440285869</v>
      </c>
      <c r="O1370">
        <f t="shared" si="319"/>
        <v>0.255016590741852</v>
      </c>
    </row>
    <row r="1371" ht="13.85" spans="1:15">
      <c r="A1371" s="43">
        <v>40037</v>
      </c>
      <c r="B1371" s="11">
        <v>36084614</v>
      </c>
      <c r="C1371" s="11">
        <v>3128521</v>
      </c>
      <c r="D1371" s="11">
        <v>100</v>
      </c>
      <c r="E1371">
        <f t="shared" si="326"/>
        <v>100</v>
      </c>
      <c r="F1371">
        <f t="shared" si="320"/>
        <v>18042307</v>
      </c>
      <c r="G1371">
        <f t="shared" si="321"/>
        <v>1804.2307</v>
      </c>
      <c r="H1371">
        <f t="shared" si="324"/>
        <v>100000000</v>
      </c>
      <c r="I1371">
        <f t="shared" si="323"/>
        <v>48000000</v>
      </c>
      <c r="K1371">
        <f t="shared" si="325"/>
        <v>339002864</v>
      </c>
      <c r="M1371">
        <f t="shared" si="322"/>
        <v>39213135</v>
      </c>
      <c r="N1371">
        <f t="shared" si="318"/>
        <v>403140742</v>
      </c>
      <c r="O1371">
        <f t="shared" si="319"/>
        <v>0.322763079183014</v>
      </c>
    </row>
    <row r="1372" ht="13.85" spans="1:15">
      <c r="A1372" s="43">
        <v>39945</v>
      </c>
      <c r="B1372" s="11">
        <v>28404890</v>
      </c>
      <c r="C1372" s="11">
        <v>2577588</v>
      </c>
      <c r="D1372" s="11">
        <v>90</v>
      </c>
      <c r="E1372">
        <f t="shared" si="326"/>
        <v>90</v>
      </c>
      <c r="F1372">
        <f t="shared" si="320"/>
        <v>14202445</v>
      </c>
      <c r="G1372">
        <f t="shared" si="321"/>
        <v>1420.2445</v>
      </c>
      <c r="H1372">
        <f t="shared" si="324"/>
        <v>90000000</v>
      </c>
      <c r="I1372">
        <f t="shared" si="323"/>
        <v>43200000</v>
      </c>
      <c r="K1372">
        <f t="shared" si="325"/>
        <v>310597974</v>
      </c>
      <c r="M1372">
        <f t="shared" si="322"/>
        <v>30982478</v>
      </c>
      <c r="N1372">
        <f t="shared" si="318"/>
        <v>363927607</v>
      </c>
      <c r="O1372">
        <f t="shared" si="319"/>
        <v>0.291308337990383</v>
      </c>
    </row>
    <row r="1373" ht="13.85" spans="1:15">
      <c r="A1373" s="43">
        <v>39825</v>
      </c>
      <c r="B1373" s="11">
        <v>31451190</v>
      </c>
      <c r="C1373" s="11">
        <v>2876698</v>
      </c>
      <c r="D1373" s="11">
        <v>80</v>
      </c>
      <c r="E1373">
        <f t="shared" si="326"/>
        <v>80</v>
      </c>
      <c r="F1373">
        <f t="shared" si="320"/>
        <v>15725595</v>
      </c>
      <c r="G1373">
        <f t="shared" si="321"/>
        <v>1572.5595</v>
      </c>
      <c r="H1373">
        <f t="shared" si="324"/>
        <v>80000000</v>
      </c>
      <c r="I1373">
        <f t="shared" si="323"/>
        <v>38400000</v>
      </c>
      <c r="K1373">
        <f t="shared" si="325"/>
        <v>279146784</v>
      </c>
      <c r="M1373">
        <f t="shared" si="322"/>
        <v>34327888</v>
      </c>
      <c r="N1373">
        <f t="shared" si="318"/>
        <v>332945129</v>
      </c>
      <c r="O1373">
        <f t="shared" si="319"/>
        <v>0.348932658613882</v>
      </c>
    </row>
    <row r="1374" ht="13.9" spans="1:15">
      <c r="A1374" s="42" t="s">
        <v>939</v>
      </c>
      <c r="B1374" s="11">
        <v>26252430</v>
      </c>
      <c r="C1374" s="11">
        <v>2406395</v>
      </c>
      <c r="D1374" s="11">
        <v>70</v>
      </c>
      <c r="E1374">
        <f t="shared" si="326"/>
        <v>70</v>
      </c>
      <c r="F1374">
        <f t="shared" si="320"/>
        <v>13126215</v>
      </c>
      <c r="G1374">
        <f t="shared" si="321"/>
        <v>1312.6215</v>
      </c>
      <c r="H1374">
        <f t="shared" si="324"/>
        <v>70000000</v>
      </c>
      <c r="I1374">
        <f t="shared" si="323"/>
        <v>33600000</v>
      </c>
      <c r="K1374">
        <f t="shared" si="325"/>
        <v>252894354</v>
      </c>
      <c r="M1374">
        <f t="shared" si="322"/>
        <v>28658825</v>
      </c>
      <c r="N1374">
        <f t="shared" si="318"/>
        <v>298617241</v>
      </c>
      <c r="O1374">
        <f t="shared" si="319"/>
        <v>0.319052012241898</v>
      </c>
    </row>
    <row r="1375" ht="13.9" spans="1:15">
      <c r="A1375" s="42" t="s">
        <v>940</v>
      </c>
      <c r="B1375" s="11">
        <v>28682420</v>
      </c>
      <c r="C1375" s="11">
        <v>2660432</v>
      </c>
      <c r="D1375" s="11">
        <v>60</v>
      </c>
      <c r="E1375">
        <f t="shared" si="326"/>
        <v>60</v>
      </c>
      <c r="F1375">
        <f t="shared" si="320"/>
        <v>14341210</v>
      </c>
      <c r="G1375">
        <f t="shared" si="321"/>
        <v>1434.121</v>
      </c>
      <c r="H1375">
        <f t="shared" si="324"/>
        <v>60000000</v>
      </c>
      <c r="I1375">
        <f t="shared" si="323"/>
        <v>28800000</v>
      </c>
      <c r="K1375">
        <f t="shared" si="325"/>
        <v>224211934</v>
      </c>
      <c r="M1375">
        <f t="shared" si="322"/>
        <v>31342852</v>
      </c>
      <c r="N1375">
        <f t="shared" ref="N1375:N1438" si="327">IF(H1375&lt;H1376,M1375+M1376,M1375+N1376)</f>
        <v>269958416</v>
      </c>
      <c r="O1375">
        <f t="shared" si="319"/>
        <v>0.362569841375332</v>
      </c>
    </row>
    <row r="1376" ht="13.9" spans="1:15">
      <c r="A1376" s="42" t="s">
        <v>941</v>
      </c>
      <c r="B1376" s="11">
        <v>25218072</v>
      </c>
      <c r="C1376" s="11">
        <v>2362821</v>
      </c>
      <c r="D1376" s="11">
        <v>50</v>
      </c>
      <c r="E1376">
        <f t="shared" si="326"/>
        <v>50</v>
      </c>
      <c r="F1376">
        <f t="shared" si="320"/>
        <v>12609036</v>
      </c>
      <c r="G1376">
        <f t="shared" si="321"/>
        <v>1260.9036</v>
      </c>
      <c r="H1376">
        <f t="shared" si="324"/>
        <v>50000000</v>
      </c>
      <c r="I1376">
        <f t="shared" si="323"/>
        <v>24000000</v>
      </c>
      <c r="K1376">
        <f t="shared" si="325"/>
        <v>198993862</v>
      </c>
      <c r="M1376">
        <f t="shared" si="322"/>
        <v>27580893</v>
      </c>
      <c r="N1376">
        <f t="shared" si="327"/>
        <v>238615564</v>
      </c>
      <c r="O1376">
        <f t="shared" si="319"/>
        <v>0.341634435165881</v>
      </c>
    </row>
    <row r="1377" ht="13.9" spans="1:15">
      <c r="A1377" s="42" t="s">
        <v>942</v>
      </c>
      <c r="B1377" s="11">
        <v>26755994</v>
      </c>
      <c r="C1377" s="11">
        <v>2515060</v>
      </c>
      <c r="D1377" s="11">
        <v>40</v>
      </c>
      <c r="E1377">
        <f t="shared" si="326"/>
        <v>40</v>
      </c>
      <c r="F1377">
        <f t="shared" si="320"/>
        <v>13377997</v>
      </c>
      <c r="G1377">
        <f t="shared" si="321"/>
        <v>1337.7997</v>
      </c>
      <c r="H1377">
        <f t="shared" si="324"/>
        <v>40000000</v>
      </c>
      <c r="I1377">
        <f t="shared" si="323"/>
        <v>19200000</v>
      </c>
      <c r="K1377">
        <f t="shared" si="325"/>
        <v>172237868</v>
      </c>
      <c r="M1377">
        <f t="shared" si="322"/>
        <v>29271054</v>
      </c>
      <c r="N1377">
        <f t="shared" si="327"/>
        <v>211034671</v>
      </c>
      <c r="O1377">
        <f t="shared" si="319"/>
        <v>0</v>
      </c>
    </row>
    <row r="1378" ht="13.9" spans="1:15">
      <c r="A1378" s="42" t="s">
        <v>943</v>
      </c>
      <c r="B1378" s="11">
        <v>172237868</v>
      </c>
      <c r="C1378" s="11">
        <v>9525749</v>
      </c>
      <c r="D1378" s="11">
        <v>320</v>
      </c>
      <c r="E1378">
        <f t="shared" si="326"/>
        <v>320</v>
      </c>
      <c r="F1378">
        <f t="shared" si="320"/>
        <v>86118934</v>
      </c>
      <c r="G1378">
        <f t="shared" si="321"/>
        <v>8611.8934</v>
      </c>
      <c r="H1378">
        <f t="shared" si="324"/>
        <v>320000000</v>
      </c>
      <c r="I1378">
        <f t="shared" si="323"/>
        <v>153600000</v>
      </c>
      <c r="K1378">
        <f t="shared" si="325"/>
        <v>605083688</v>
      </c>
      <c r="M1378">
        <f t="shared" si="322"/>
        <v>181763617</v>
      </c>
      <c r="N1378">
        <f t="shared" si="327"/>
        <v>835306908</v>
      </c>
      <c r="O1378">
        <f t="shared" si="319"/>
        <v>0.699514167573651</v>
      </c>
    </row>
    <row r="1379" ht="13.85" spans="1:15">
      <c r="A1379" s="43">
        <v>39764</v>
      </c>
      <c r="B1379" s="11">
        <v>89898892</v>
      </c>
      <c r="C1379" s="11">
        <v>5881870</v>
      </c>
      <c r="D1379" s="11">
        <v>253</v>
      </c>
      <c r="E1379">
        <f t="shared" si="326"/>
        <v>253</v>
      </c>
      <c r="F1379">
        <f t="shared" si="320"/>
        <v>44949446</v>
      </c>
      <c r="G1379">
        <f t="shared" si="321"/>
        <v>4494.9446</v>
      </c>
      <c r="H1379">
        <f t="shared" si="324"/>
        <v>253000000</v>
      </c>
      <c r="I1379">
        <f t="shared" si="323"/>
        <v>121440000</v>
      </c>
      <c r="K1379">
        <f t="shared" si="325"/>
        <v>515184796</v>
      </c>
      <c r="M1379">
        <f t="shared" si="322"/>
        <v>95780762</v>
      </c>
      <c r="N1379">
        <f t="shared" si="327"/>
        <v>653543291</v>
      </c>
      <c r="O1379">
        <f t="shared" si="319"/>
        <v>0.557215105226267</v>
      </c>
    </row>
    <row r="1380" ht="13.85" spans="1:15">
      <c r="A1380" s="43">
        <v>39672</v>
      </c>
      <c r="B1380" s="11">
        <v>68901034</v>
      </c>
      <c r="C1380" s="11">
        <v>4679168</v>
      </c>
      <c r="D1380" s="11">
        <v>212</v>
      </c>
      <c r="E1380">
        <f t="shared" si="326"/>
        <v>212</v>
      </c>
      <c r="F1380">
        <f t="shared" si="320"/>
        <v>34450517</v>
      </c>
      <c r="G1380">
        <f t="shared" si="321"/>
        <v>3445.0517</v>
      </c>
      <c r="H1380">
        <f t="shared" si="324"/>
        <v>212000000</v>
      </c>
      <c r="I1380">
        <f t="shared" si="323"/>
        <v>101760000</v>
      </c>
      <c r="K1380">
        <f t="shared" si="325"/>
        <v>446283762</v>
      </c>
      <c r="M1380">
        <f t="shared" si="322"/>
        <v>73580202</v>
      </c>
      <c r="N1380">
        <f t="shared" si="327"/>
        <v>557762529</v>
      </c>
      <c r="O1380">
        <f t="shared" si="319"/>
        <v>0.507320877558417</v>
      </c>
    </row>
    <row r="1381" ht="13.85" spans="1:15">
      <c r="A1381" s="43">
        <v>39550</v>
      </c>
      <c r="B1381" s="11">
        <v>56931072</v>
      </c>
      <c r="C1381" s="11">
        <v>4174239</v>
      </c>
      <c r="D1381" s="11">
        <v>181</v>
      </c>
      <c r="E1381">
        <f t="shared" si="326"/>
        <v>181</v>
      </c>
      <c r="F1381">
        <f t="shared" si="320"/>
        <v>28465536</v>
      </c>
      <c r="G1381">
        <f t="shared" si="321"/>
        <v>2846.5536</v>
      </c>
      <c r="H1381">
        <f t="shared" si="324"/>
        <v>181000000</v>
      </c>
      <c r="I1381">
        <f t="shared" si="323"/>
        <v>86880000</v>
      </c>
      <c r="K1381">
        <f t="shared" si="325"/>
        <v>389352690</v>
      </c>
      <c r="M1381">
        <f t="shared" si="322"/>
        <v>61105311</v>
      </c>
      <c r="N1381">
        <f t="shared" si="327"/>
        <v>484182327</v>
      </c>
      <c r="O1381">
        <f t="shared" si="319"/>
        <v>0.457845917371034</v>
      </c>
    </row>
    <row r="1382" ht="13.85" spans="1:15">
      <c r="A1382" s="43">
        <v>39459</v>
      </c>
      <c r="B1382" s="11">
        <v>46693638</v>
      </c>
      <c r="C1382" s="11">
        <v>3541603</v>
      </c>
      <c r="D1382" s="11">
        <v>158</v>
      </c>
      <c r="E1382">
        <f t="shared" si="326"/>
        <v>158</v>
      </c>
      <c r="F1382">
        <f t="shared" si="320"/>
        <v>23346819</v>
      </c>
      <c r="G1382">
        <f t="shared" si="321"/>
        <v>2334.6819</v>
      </c>
      <c r="H1382">
        <f t="shared" si="324"/>
        <v>158000000</v>
      </c>
      <c r="I1382">
        <f t="shared" si="323"/>
        <v>75840000</v>
      </c>
      <c r="K1382">
        <f t="shared" si="325"/>
        <v>342659052</v>
      </c>
      <c r="M1382">
        <f t="shared" si="322"/>
        <v>50235241</v>
      </c>
      <c r="N1382">
        <f t="shared" si="327"/>
        <v>423077016</v>
      </c>
      <c r="O1382">
        <f t="shared" si="319"/>
        <v>0.407610395000431</v>
      </c>
    </row>
    <row r="1383" ht="13.9" spans="1:15">
      <c r="A1383" s="42" t="s">
        <v>944</v>
      </c>
      <c r="B1383" s="11">
        <v>43157436</v>
      </c>
      <c r="C1383" s="11">
        <v>3455703</v>
      </c>
      <c r="D1383" s="11">
        <v>139</v>
      </c>
      <c r="E1383">
        <f t="shared" si="326"/>
        <v>139</v>
      </c>
      <c r="F1383">
        <f t="shared" si="320"/>
        <v>21578718</v>
      </c>
      <c r="G1383">
        <f t="shared" si="321"/>
        <v>2157.8718</v>
      </c>
      <c r="H1383">
        <f t="shared" si="324"/>
        <v>139000000</v>
      </c>
      <c r="I1383">
        <f t="shared" si="323"/>
        <v>66720000</v>
      </c>
      <c r="K1383">
        <f t="shared" si="325"/>
        <v>299501616</v>
      </c>
      <c r="M1383">
        <f t="shared" si="322"/>
        <v>46613139</v>
      </c>
      <c r="N1383">
        <f t="shared" si="327"/>
        <v>372841775</v>
      </c>
      <c r="O1383">
        <f t="shared" si="319"/>
        <v>0.434352421441151</v>
      </c>
    </row>
    <row r="1384" ht="13.9" spans="1:15">
      <c r="A1384" s="42" t="s">
        <v>945</v>
      </c>
      <c r="B1384" s="11">
        <v>38355236</v>
      </c>
      <c r="C1384" s="11">
        <v>3085767</v>
      </c>
      <c r="D1384" s="11">
        <v>121</v>
      </c>
      <c r="E1384">
        <f t="shared" si="326"/>
        <v>121</v>
      </c>
      <c r="F1384">
        <f t="shared" si="320"/>
        <v>19177618</v>
      </c>
      <c r="G1384">
        <f t="shared" si="321"/>
        <v>1917.7618</v>
      </c>
      <c r="H1384">
        <f t="shared" si="324"/>
        <v>121000000</v>
      </c>
      <c r="I1384">
        <f t="shared" si="323"/>
        <v>58080000</v>
      </c>
      <c r="K1384">
        <f t="shared" si="325"/>
        <v>261146380</v>
      </c>
      <c r="M1384">
        <f t="shared" si="322"/>
        <v>41441003</v>
      </c>
      <c r="N1384">
        <f t="shared" si="327"/>
        <v>326228636</v>
      </c>
      <c r="O1384">
        <f t="shared" si="319"/>
        <v>0.26101665893741</v>
      </c>
    </row>
    <row r="1385" ht="13.9" spans="1:15">
      <c r="A1385" s="42" t="s">
        <v>946</v>
      </c>
      <c r="B1385" s="11">
        <v>38916664</v>
      </c>
      <c r="C1385" s="11">
        <v>3226240</v>
      </c>
      <c r="D1385" s="11">
        <v>110</v>
      </c>
      <c r="E1385">
        <f t="shared" si="326"/>
        <v>110</v>
      </c>
      <c r="F1385">
        <f t="shared" si="320"/>
        <v>19458332</v>
      </c>
      <c r="G1385">
        <f t="shared" si="321"/>
        <v>1945.8332</v>
      </c>
      <c r="H1385">
        <f t="shared" si="324"/>
        <v>110000000</v>
      </c>
      <c r="I1385">
        <f t="shared" si="323"/>
        <v>52800000</v>
      </c>
      <c r="K1385">
        <f t="shared" si="325"/>
        <v>222229716</v>
      </c>
      <c r="M1385">
        <f t="shared" si="322"/>
        <v>42142904</v>
      </c>
      <c r="N1385">
        <f t="shared" si="327"/>
        <v>284787633</v>
      </c>
      <c r="O1385">
        <f t="shared" si="319"/>
        <v>0.263225661490694</v>
      </c>
    </row>
    <row r="1386" ht="13.9" spans="1:15">
      <c r="A1386" s="42" t="s">
        <v>947</v>
      </c>
      <c r="B1386" s="11">
        <v>35073106</v>
      </c>
      <c r="C1386" s="11">
        <v>2917111</v>
      </c>
      <c r="D1386" s="11">
        <v>100</v>
      </c>
      <c r="E1386">
        <f t="shared" si="326"/>
        <v>100</v>
      </c>
      <c r="F1386">
        <f t="shared" si="320"/>
        <v>17536553</v>
      </c>
      <c r="G1386">
        <f t="shared" si="321"/>
        <v>1753.6553</v>
      </c>
      <c r="H1386">
        <f t="shared" si="324"/>
        <v>100000000</v>
      </c>
      <c r="I1386">
        <f t="shared" si="323"/>
        <v>48000000</v>
      </c>
      <c r="K1386">
        <f t="shared" si="325"/>
        <v>187156610</v>
      </c>
      <c r="M1386">
        <f t="shared" si="322"/>
        <v>37990217</v>
      </c>
      <c r="N1386">
        <f t="shared" si="327"/>
        <v>242644729</v>
      </c>
      <c r="O1386">
        <f t="shared" si="319"/>
        <v>0.283851844551603</v>
      </c>
    </row>
    <row r="1387" ht="13.9" spans="1:15">
      <c r="A1387" s="42" t="s">
        <v>948</v>
      </c>
      <c r="B1387" s="11">
        <v>32351772</v>
      </c>
      <c r="C1387" s="11">
        <v>2877874</v>
      </c>
      <c r="D1387" s="11">
        <v>90</v>
      </c>
      <c r="E1387">
        <f t="shared" si="326"/>
        <v>90</v>
      </c>
      <c r="F1387">
        <f t="shared" si="320"/>
        <v>16175886</v>
      </c>
      <c r="G1387">
        <f t="shared" si="321"/>
        <v>1617.5886</v>
      </c>
      <c r="H1387">
        <f t="shared" si="324"/>
        <v>90000000</v>
      </c>
      <c r="I1387">
        <f t="shared" si="323"/>
        <v>43200000</v>
      </c>
      <c r="K1387">
        <f t="shared" si="325"/>
        <v>154804838</v>
      </c>
      <c r="M1387">
        <f t="shared" si="322"/>
        <v>35229646</v>
      </c>
      <c r="N1387">
        <f t="shared" si="327"/>
        <v>204654512</v>
      </c>
      <c r="O1387">
        <f t="shared" si="319"/>
        <v>0.332969863430413</v>
      </c>
    </row>
    <row r="1388" ht="13.85" spans="1:15">
      <c r="A1388" s="43">
        <v>39398</v>
      </c>
      <c r="B1388" s="11">
        <v>27543450</v>
      </c>
      <c r="C1388" s="11">
        <v>2489298</v>
      </c>
      <c r="D1388" s="11">
        <v>80</v>
      </c>
      <c r="E1388">
        <f t="shared" si="326"/>
        <v>80</v>
      </c>
      <c r="F1388">
        <f t="shared" si="320"/>
        <v>13771725</v>
      </c>
      <c r="G1388">
        <f t="shared" si="321"/>
        <v>1377.1725</v>
      </c>
      <c r="H1388">
        <f t="shared" si="324"/>
        <v>80000000</v>
      </c>
      <c r="I1388">
        <f t="shared" si="323"/>
        <v>38400000</v>
      </c>
      <c r="K1388">
        <f t="shared" si="325"/>
        <v>127261388</v>
      </c>
      <c r="M1388">
        <f t="shared" si="322"/>
        <v>30032748</v>
      </c>
      <c r="N1388">
        <f t="shared" si="327"/>
        <v>169424866</v>
      </c>
      <c r="O1388">
        <f t="shared" si="319"/>
        <v>0.321618456113698</v>
      </c>
    </row>
    <row r="1389" ht="13.85" spans="1:15">
      <c r="A1389" s="43">
        <v>39275</v>
      </c>
      <c r="B1389" s="11">
        <v>28446968</v>
      </c>
      <c r="C1389" s="11">
        <v>2645775</v>
      </c>
      <c r="D1389" s="11">
        <v>70</v>
      </c>
      <c r="E1389">
        <f t="shared" si="326"/>
        <v>70</v>
      </c>
      <c r="F1389">
        <f t="shared" si="320"/>
        <v>14223484</v>
      </c>
      <c r="G1389">
        <f t="shared" si="321"/>
        <v>1422.3484</v>
      </c>
      <c r="H1389">
        <f t="shared" si="324"/>
        <v>70000000</v>
      </c>
      <c r="I1389">
        <f t="shared" si="323"/>
        <v>33600000</v>
      </c>
      <c r="K1389">
        <f t="shared" si="325"/>
        <v>98814420</v>
      </c>
      <c r="M1389">
        <f t="shared" si="322"/>
        <v>31092743</v>
      </c>
      <c r="N1389">
        <f t="shared" si="327"/>
        <v>139392118</v>
      </c>
      <c r="O1389">
        <f t="shared" si="319"/>
        <v>0.397215629656484</v>
      </c>
    </row>
    <row r="1390" ht="13.85" spans="1:15">
      <c r="A1390" s="43">
        <v>39184</v>
      </c>
      <c r="B1390" s="11">
        <v>22949432</v>
      </c>
      <c r="C1390" s="11">
        <v>2225811</v>
      </c>
      <c r="D1390" s="11">
        <v>60</v>
      </c>
      <c r="E1390">
        <f t="shared" si="326"/>
        <v>60</v>
      </c>
      <c r="F1390">
        <f t="shared" si="320"/>
        <v>11474716</v>
      </c>
      <c r="G1390">
        <f t="shared" si="321"/>
        <v>1147.4716</v>
      </c>
      <c r="H1390">
        <f t="shared" si="324"/>
        <v>60000000</v>
      </c>
      <c r="I1390">
        <f t="shared" si="323"/>
        <v>28800000</v>
      </c>
      <c r="K1390">
        <f t="shared" si="325"/>
        <v>75864988</v>
      </c>
      <c r="M1390">
        <f t="shared" si="322"/>
        <v>25175243</v>
      </c>
      <c r="N1390">
        <f t="shared" si="327"/>
        <v>108299375</v>
      </c>
      <c r="O1390">
        <f t="shared" si="319"/>
        <v>0.355933598166914</v>
      </c>
    </row>
    <row r="1391" ht="13.9" spans="1:15">
      <c r="A1391" s="42" t="s">
        <v>949</v>
      </c>
      <c r="B1391" s="11">
        <v>25615186</v>
      </c>
      <c r="C1391" s="11">
        <v>2479942</v>
      </c>
      <c r="D1391" s="11">
        <v>50</v>
      </c>
      <c r="E1391">
        <f t="shared" si="326"/>
        <v>50</v>
      </c>
      <c r="F1391">
        <f t="shared" si="320"/>
        <v>12807593</v>
      </c>
      <c r="G1391">
        <f t="shared" si="321"/>
        <v>1280.7593</v>
      </c>
      <c r="H1391">
        <f t="shared" si="324"/>
        <v>50000000</v>
      </c>
      <c r="I1391">
        <f t="shared" si="323"/>
        <v>24000000</v>
      </c>
      <c r="K1391">
        <f t="shared" si="325"/>
        <v>50249802</v>
      </c>
      <c r="M1391">
        <f t="shared" si="322"/>
        <v>28095128</v>
      </c>
      <c r="N1391">
        <f t="shared" si="327"/>
        <v>83124132</v>
      </c>
      <c r="O1391">
        <f t="shared" si="319"/>
        <v>0.407157254514203</v>
      </c>
    </row>
    <row r="1392" ht="13.9" spans="1:15">
      <c r="A1392" s="42" t="s">
        <v>950</v>
      </c>
      <c r="B1392" s="11">
        <v>22391160</v>
      </c>
      <c r="C1392" s="11">
        <v>2169375</v>
      </c>
      <c r="D1392" s="11">
        <v>40</v>
      </c>
      <c r="E1392">
        <f t="shared" si="326"/>
        <v>40</v>
      </c>
      <c r="F1392">
        <f t="shared" si="320"/>
        <v>11195580</v>
      </c>
      <c r="G1392">
        <f t="shared" si="321"/>
        <v>1119.558</v>
      </c>
      <c r="H1392">
        <f t="shared" si="324"/>
        <v>40000000</v>
      </c>
      <c r="I1392">
        <f t="shared" si="323"/>
        <v>19200000</v>
      </c>
      <c r="K1392">
        <f t="shared" si="325"/>
        <v>27858642</v>
      </c>
      <c r="M1392">
        <f t="shared" si="322"/>
        <v>24560535</v>
      </c>
      <c r="N1392">
        <f t="shared" si="327"/>
        <v>55029004</v>
      </c>
      <c r="O1392">
        <f t="shared" si="319"/>
        <v>0</v>
      </c>
    </row>
    <row r="1393" ht="13.9" spans="1:15">
      <c r="A1393" s="42" t="s">
        <v>951</v>
      </c>
      <c r="B1393" s="11">
        <v>27858642</v>
      </c>
      <c r="C1393" s="11">
        <v>2609827</v>
      </c>
      <c r="D1393" s="11">
        <v>60</v>
      </c>
      <c r="E1393">
        <f t="shared" si="326"/>
        <v>60</v>
      </c>
      <c r="F1393">
        <f t="shared" si="320"/>
        <v>13929321</v>
      </c>
      <c r="G1393">
        <f t="shared" si="321"/>
        <v>1392.9321</v>
      </c>
      <c r="H1393">
        <f t="shared" si="324"/>
        <v>60000000</v>
      </c>
      <c r="I1393">
        <f t="shared" si="323"/>
        <v>28800000</v>
      </c>
      <c r="K1393">
        <f t="shared" si="325"/>
        <v>118268434</v>
      </c>
      <c r="M1393">
        <f t="shared" si="322"/>
        <v>30468469</v>
      </c>
      <c r="N1393">
        <f t="shared" si="327"/>
        <v>158171128</v>
      </c>
      <c r="O1393">
        <f t="shared" si="319"/>
        <v>0.373925711431059</v>
      </c>
    </row>
    <row r="1394" ht="13.9" spans="1:15">
      <c r="A1394" s="42" t="s">
        <v>952</v>
      </c>
      <c r="B1394" s="11">
        <v>24433512</v>
      </c>
      <c r="C1394" s="11">
        <v>2309768</v>
      </c>
      <c r="D1394" s="11">
        <v>50</v>
      </c>
      <c r="E1394">
        <f t="shared" si="326"/>
        <v>50</v>
      </c>
      <c r="F1394">
        <f t="shared" si="320"/>
        <v>12216756</v>
      </c>
      <c r="G1394">
        <f t="shared" si="321"/>
        <v>1221.6756</v>
      </c>
      <c r="H1394">
        <f t="shared" si="324"/>
        <v>50000000</v>
      </c>
      <c r="I1394">
        <f t="shared" si="323"/>
        <v>24000000</v>
      </c>
      <c r="K1394">
        <f t="shared" si="325"/>
        <v>93834922</v>
      </c>
      <c r="M1394">
        <f t="shared" si="322"/>
        <v>26743280</v>
      </c>
      <c r="N1394">
        <f t="shared" si="327"/>
        <v>127702659</v>
      </c>
      <c r="O1394">
        <f t="shared" si="319"/>
        <v>0.329983385996482</v>
      </c>
    </row>
    <row r="1395" ht="13.9" spans="1:15">
      <c r="A1395" s="42" t="s">
        <v>953</v>
      </c>
      <c r="B1395" s="11">
        <v>27734996</v>
      </c>
      <c r="C1395" s="11">
        <v>2569560</v>
      </c>
      <c r="D1395" s="11">
        <v>40</v>
      </c>
      <c r="E1395">
        <f t="shared" si="326"/>
        <v>40</v>
      </c>
      <c r="F1395">
        <f t="shared" si="320"/>
        <v>13867498</v>
      </c>
      <c r="G1395">
        <f t="shared" si="321"/>
        <v>1386.7498</v>
      </c>
      <c r="H1395">
        <f t="shared" si="324"/>
        <v>40000000</v>
      </c>
      <c r="I1395">
        <f t="shared" si="323"/>
        <v>19200000</v>
      </c>
      <c r="K1395">
        <f t="shared" si="325"/>
        <v>66099926</v>
      </c>
      <c r="M1395">
        <f t="shared" si="322"/>
        <v>30304556</v>
      </c>
      <c r="N1395">
        <f t="shared" si="327"/>
        <v>100959379</v>
      </c>
      <c r="O1395">
        <f t="shared" si="319"/>
        <v>0</v>
      </c>
    </row>
    <row r="1396" ht="13.9" spans="1:15">
      <c r="A1396" s="42" t="s">
        <v>954</v>
      </c>
      <c r="B1396" s="11">
        <v>66099926</v>
      </c>
      <c r="C1396" s="11">
        <v>4554897</v>
      </c>
      <c r="D1396" s="11">
        <v>241</v>
      </c>
      <c r="E1396">
        <f t="shared" si="326"/>
        <v>241</v>
      </c>
      <c r="F1396">
        <f t="shared" si="320"/>
        <v>33049963</v>
      </c>
      <c r="G1396">
        <f t="shared" si="321"/>
        <v>3304.9963</v>
      </c>
      <c r="H1396">
        <f t="shared" si="324"/>
        <v>241000000</v>
      </c>
      <c r="I1396">
        <f t="shared" si="323"/>
        <v>115680000</v>
      </c>
      <c r="K1396">
        <f t="shared" si="325"/>
        <v>513779364</v>
      </c>
      <c r="M1396">
        <f t="shared" si="322"/>
        <v>70654823</v>
      </c>
      <c r="N1396">
        <f t="shared" si="327"/>
        <v>627262879</v>
      </c>
      <c r="O1396">
        <f t="shared" si="319"/>
        <v>0.553636504478135</v>
      </c>
    </row>
    <row r="1397" ht="13.85" spans="1:15">
      <c r="A1397" s="43">
        <v>38972</v>
      </c>
      <c r="B1397" s="11">
        <v>60632780</v>
      </c>
      <c r="C1397" s="11">
        <v>4391834</v>
      </c>
      <c r="D1397" s="11">
        <v>205</v>
      </c>
      <c r="E1397">
        <f t="shared" si="326"/>
        <v>205</v>
      </c>
      <c r="F1397">
        <f t="shared" si="320"/>
        <v>30316390</v>
      </c>
      <c r="G1397">
        <f t="shared" si="321"/>
        <v>3031.639</v>
      </c>
      <c r="H1397">
        <f t="shared" si="324"/>
        <v>205000000</v>
      </c>
      <c r="I1397">
        <f t="shared" si="323"/>
        <v>98400000</v>
      </c>
      <c r="K1397">
        <f t="shared" si="325"/>
        <v>453146584</v>
      </c>
      <c r="M1397">
        <f t="shared" si="322"/>
        <v>65024614</v>
      </c>
      <c r="N1397">
        <f t="shared" si="327"/>
        <v>556608056</v>
      </c>
      <c r="O1397">
        <f t="shared" si="319"/>
        <v>0.547543409339268</v>
      </c>
    </row>
    <row r="1398" ht="13.85" spans="1:15">
      <c r="A1398" s="43">
        <v>38880</v>
      </c>
      <c r="B1398" s="11">
        <v>47520538</v>
      </c>
      <c r="C1398" s="11">
        <v>3616960</v>
      </c>
      <c r="D1398" s="11">
        <v>177</v>
      </c>
      <c r="E1398">
        <f t="shared" si="326"/>
        <v>177</v>
      </c>
      <c r="F1398">
        <f t="shared" si="320"/>
        <v>23760269</v>
      </c>
      <c r="G1398">
        <f t="shared" si="321"/>
        <v>2376.0269</v>
      </c>
      <c r="H1398">
        <f t="shared" si="324"/>
        <v>177000000</v>
      </c>
      <c r="I1398">
        <f t="shared" si="323"/>
        <v>84960000</v>
      </c>
      <c r="K1398">
        <f t="shared" si="325"/>
        <v>405626046</v>
      </c>
      <c r="M1398">
        <f t="shared" si="322"/>
        <v>51137498</v>
      </c>
      <c r="N1398">
        <f t="shared" si="327"/>
        <v>491583442</v>
      </c>
      <c r="O1398">
        <f t="shared" si="319"/>
        <v>0.255060448345256</v>
      </c>
    </row>
    <row r="1399" ht="13.85" spans="1:15">
      <c r="A1399" s="43">
        <v>38760</v>
      </c>
      <c r="B1399" s="11">
        <v>47226336</v>
      </c>
      <c r="C1399" s="11">
        <v>3741974</v>
      </c>
      <c r="D1399" s="11">
        <v>164</v>
      </c>
      <c r="E1399">
        <f t="shared" si="326"/>
        <v>164</v>
      </c>
      <c r="F1399">
        <f t="shared" si="320"/>
        <v>23613168</v>
      </c>
      <c r="G1399">
        <f t="shared" si="321"/>
        <v>2361.3168</v>
      </c>
      <c r="H1399">
        <f t="shared" si="324"/>
        <v>164000000</v>
      </c>
      <c r="I1399">
        <f t="shared" si="323"/>
        <v>78720000</v>
      </c>
      <c r="K1399">
        <f t="shared" si="325"/>
        <v>358399710</v>
      </c>
      <c r="M1399">
        <f t="shared" si="322"/>
        <v>50968310</v>
      </c>
      <c r="N1399">
        <f t="shared" si="327"/>
        <v>440445944</v>
      </c>
      <c r="O1399">
        <f t="shared" si="319"/>
        <v>0.443987904289527</v>
      </c>
    </row>
    <row r="1400" ht="13.9" spans="1:15">
      <c r="A1400" s="42" t="s">
        <v>955</v>
      </c>
      <c r="B1400" s="11">
        <v>37553610</v>
      </c>
      <c r="C1400" s="11">
        <v>2988035</v>
      </c>
      <c r="D1400" s="11">
        <v>146</v>
      </c>
      <c r="E1400">
        <f t="shared" si="326"/>
        <v>146</v>
      </c>
      <c r="F1400">
        <f t="shared" si="320"/>
        <v>18776805</v>
      </c>
      <c r="G1400">
        <f t="shared" si="321"/>
        <v>1877.6805</v>
      </c>
      <c r="H1400">
        <f t="shared" si="324"/>
        <v>146000000</v>
      </c>
      <c r="I1400">
        <f t="shared" si="323"/>
        <v>70080000</v>
      </c>
      <c r="K1400">
        <f t="shared" si="325"/>
        <v>320846100</v>
      </c>
      <c r="M1400">
        <f t="shared" si="322"/>
        <v>40541645</v>
      </c>
      <c r="N1400">
        <f t="shared" si="327"/>
        <v>389477634</v>
      </c>
      <c r="O1400">
        <f t="shared" si="319"/>
        <v>0.419846263494209</v>
      </c>
    </row>
    <row r="1401" ht="13.9" spans="1:15">
      <c r="A1401" s="42" t="s">
        <v>956</v>
      </c>
      <c r="B1401" s="11">
        <v>39625132</v>
      </c>
      <c r="C1401" s="11">
        <v>3247704</v>
      </c>
      <c r="D1401" s="11">
        <v>128</v>
      </c>
      <c r="E1401">
        <f t="shared" si="326"/>
        <v>128</v>
      </c>
      <c r="F1401">
        <f t="shared" si="320"/>
        <v>19812566</v>
      </c>
      <c r="G1401">
        <f t="shared" si="321"/>
        <v>1981.2566</v>
      </c>
      <c r="H1401">
        <f t="shared" si="324"/>
        <v>128000000</v>
      </c>
      <c r="I1401">
        <f t="shared" si="323"/>
        <v>61440000</v>
      </c>
      <c r="K1401">
        <f t="shared" si="325"/>
        <v>281220968</v>
      </c>
      <c r="M1401">
        <f t="shared" si="322"/>
        <v>42872836</v>
      </c>
      <c r="N1401">
        <f t="shared" si="327"/>
        <v>348935989</v>
      </c>
      <c r="O1401">
        <f t="shared" si="319"/>
        <v>0.479975015700516</v>
      </c>
    </row>
    <row r="1402" ht="13.9" spans="1:15">
      <c r="A1402" s="42" t="s">
        <v>957</v>
      </c>
      <c r="B1402" s="11">
        <v>34631256</v>
      </c>
      <c r="C1402" s="11">
        <v>2870696</v>
      </c>
      <c r="D1402" s="11">
        <v>110</v>
      </c>
      <c r="E1402">
        <f t="shared" si="326"/>
        <v>110</v>
      </c>
      <c r="F1402">
        <f t="shared" si="320"/>
        <v>17315628</v>
      </c>
      <c r="G1402">
        <f t="shared" si="321"/>
        <v>1731.5628</v>
      </c>
      <c r="H1402">
        <f t="shared" si="324"/>
        <v>110000000</v>
      </c>
      <c r="I1402">
        <f t="shared" si="323"/>
        <v>52800000</v>
      </c>
      <c r="K1402">
        <f t="shared" si="325"/>
        <v>246589712</v>
      </c>
      <c r="M1402">
        <f t="shared" si="322"/>
        <v>37501952</v>
      </c>
      <c r="N1402">
        <f t="shared" si="327"/>
        <v>306063153</v>
      </c>
      <c r="O1402">
        <f t="shared" si="319"/>
        <v>0.252666484157243</v>
      </c>
    </row>
    <row r="1403" ht="13.9" spans="1:15">
      <c r="A1403" s="42" t="s">
        <v>958</v>
      </c>
      <c r="B1403" s="11">
        <v>36478078</v>
      </c>
      <c r="C1403" s="11">
        <v>3099787</v>
      </c>
      <c r="D1403" s="11">
        <v>100</v>
      </c>
      <c r="E1403">
        <f t="shared" si="326"/>
        <v>100</v>
      </c>
      <c r="F1403">
        <f t="shared" si="320"/>
        <v>18239039</v>
      </c>
      <c r="G1403">
        <f t="shared" si="321"/>
        <v>1823.9039</v>
      </c>
      <c r="H1403">
        <f t="shared" si="324"/>
        <v>100000000</v>
      </c>
      <c r="I1403">
        <f t="shared" si="323"/>
        <v>48000000</v>
      </c>
      <c r="K1403">
        <f t="shared" si="325"/>
        <v>210111634</v>
      </c>
      <c r="M1403">
        <f t="shared" si="322"/>
        <v>39577865</v>
      </c>
      <c r="N1403">
        <f t="shared" si="327"/>
        <v>268561201</v>
      </c>
      <c r="O1403">
        <f t="shared" si="319"/>
        <v>0.321566155805234</v>
      </c>
    </row>
    <row r="1404" ht="13.9" spans="1:15">
      <c r="A1404" s="42" t="s">
        <v>959</v>
      </c>
      <c r="B1404" s="11">
        <v>28536260</v>
      </c>
      <c r="C1404" s="11">
        <v>2561540</v>
      </c>
      <c r="D1404" s="11">
        <v>90</v>
      </c>
      <c r="E1404">
        <f t="shared" si="326"/>
        <v>90</v>
      </c>
      <c r="F1404">
        <f t="shared" si="320"/>
        <v>14268130</v>
      </c>
      <c r="G1404">
        <f t="shared" si="321"/>
        <v>1426.813</v>
      </c>
      <c r="H1404">
        <f t="shared" si="324"/>
        <v>90000000</v>
      </c>
      <c r="I1404">
        <f t="shared" si="323"/>
        <v>43200000</v>
      </c>
      <c r="K1404">
        <f t="shared" si="325"/>
        <v>181575374</v>
      </c>
      <c r="M1404">
        <f t="shared" si="322"/>
        <v>31097800</v>
      </c>
      <c r="N1404">
        <f t="shared" si="327"/>
        <v>228983336</v>
      </c>
      <c r="O1404">
        <f t="shared" si="319"/>
        <v>0.300872898470501</v>
      </c>
    </row>
    <row r="1405" ht="13.85" spans="1:15">
      <c r="A1405" s="43">
        <v>38698</v>
      </c>
      <c r="B1405" s="11">
        <v>30465462</v>
      </c>
      <c r="C1405" s="11">
        <v>2771164</v>
      </c>
      <c r="D1405" s="11">
        <v>80</v>
      </c>
      <c r="E1405">
        <f t="shared" si="326"/>
        <v>80</v>
      </c>
      <c r="F1405">
        <f t="shared" si="320"/>
        <v>15232731</v>
      </c>
      <c r="G1405">
        <f t="shared" si="321"/>
        <v>1523.2731</v>
      </c>
      <c r="H1405">
        <f t="shared" si="324"/>
        <v>80000000</v>
      </c>
      <c r="I1405">
        <f t="shared" si="323"/>
        <v>38400000</v>
      </c>
      <c r="K1405">
        <f t="shared" si="325"/>
        <v>151109912</v>
      </c>
      <c r="M1405">
        <f t="shared" si="322"/>
        <v>33236626</v>
      </c>
      <c r="N1405">
        <f t="shared" si="327"/>
        <v>197885536</v>
      </c>
      <c r="O1405">
        <f t="shared" si="319"/>
        <v>0.348020227770887</v>
      </c>
    </row>
    <row r="1406" ht="13.85" spans="1:15">
      <c r="A1406" s="43">
        <v>38607</v>
      </c>
      <c r="B1406" s="11">
        <v>26297978</v>
      </c>
      <c r="C1406" s="11">
        <v>2435984</v>
      </c>
      <c r="D1406" s="11">
        <v>70</v>
      </c>
      <c r="E1406">
        <f t="shared" si="326"/>
        <v>70</v>
      </c>
      <c r="F1406">
        <f t="shared" si="320"/>
        <v>13148989</v>
      </c>
      <c r="G1406">
        <f t="shared" si="321"/>
        <v>1314.8989</v>
      </c>
      <c r="H1406">
        <f t="shared" si="324"/>
        <v>70000000</v>
      </c>
      <c r="I1406">
        <f t="shared" si="323"/>
        <v>33600000</v>
      </c>
      <c r="K1406">
        <f t="shared" si="325"/>
        <v>124811934</v>
      </c>
      <c r="M1406">
        <f t="shared" si="322"/>
        <v>28733962</v>
      </c>
      <c r="N1406">
        <f t="shared" si="327"/>
        <v>164648910</v>
      </c>
      <c r="O1406">
        <f t="shared" si="319"/>
        <v>0.328474850865027</v>
      </c>
    </row>
    <row r="1407" ht="13.85" spans="1:15">
      <c r="A1407" s="43">
        <v>38484</v>
      </c>
      <c r="B1407" s="11">
        <v>27802074</v>
      </c>
      <c r="C1407" s="11">
        <v>2641657</v>
      </c>
      <c r="D1407" s="11">
        <v>60</v>
      </c>
      <c r="E1407">
        <f t="shared" si="326"/>
        <v>60</v>
      </c>
      <c r="F1407">
        <f t="shared" si="320"/>
        <v>13901037</v>
      </c>
      <c r="G1407">
        <f t="shared" si="321"/>
        <v>1390.1037</v>
      </c>
      <c r="H1407">
        <f t="shared" si="324"/>
        <v>60000000</v>
      </c>
      <c r="I1407">
        <f t="shared" si="323"/>
        <v>28800000</v>
      </c>
      <c r="K1407">
        <f t="shared" si="325"/>
        <v>97009860</v>
      </c>
      <c r="M1407">
        <f t="shared" si="322"/>
        <v>30443731</v>
      </c>
      <c r="N1407">
        <f t="shared" si="327"/>
        <v>135914948</v>
      </c>
      <c r="O1407">
        <f t="shared" si="319"/>
        <v>0.373267799452319</v>
      </c>
    </row>
    <row r="1408" ht="13.85" spans="1:15">
      <c r="A1408" s="43">
        <v>38395</v>
      </c>
      <c r="B1408" s="11">
        <v>24434108</v>
      </c>
      <c r="C1408" s="11">
        <v>2356309</v>
      </c>
      <c r="D1408" s="11">
        <v>50</v>
      </c>
      <c r="E1408">
        <f t="shared" si="326"/>
        <v>50</v>
      </c>
      <c r="F1408">
        <f t="shared" si="320"/>
        <v>12217054</v>
      </c>
      <c r="G1408">
        <f t="shared" si="321"/>
        <v>1221.7054</v>
      </c>
      <c r="H1408">
        <f t="shared" si="324"/>
        <v>50000000</v>
      </c>
      <c r="I1408">
        <f t="shared" si="323"/>
        <v>24000000</v>
      </c>
      <c r="K1408">
        <f t="shared" si="325"/>
        <v>72575752</v>
      </c>
      <c r="M1408">
        <f t="shared" si="322"/>
        <v>26790417</v>
      </c>
      <c r="N1408">
        <f t="shared" si="327"/>
        <v>105471217</v>
      </c>
      <c r="O1408">
        <f t="shared" si="319"/>
        <v>0.328102364525467</v>
      </c>
    </row>
    <row r="1409" ht="13.9" spans="1:15">
      <c r="A1409" s="42" t="s">
        <v>960</v>
      </c>
      <c r="B1409" s="11">
        <v>27850450</v>
      </c>
      <c r="C1409" s="11">
        <v>2627843</v>
      </c>
      <c r="D1409" s="11">
        <v>40</v>
      </c>
      <c r="E1409">
        <f t="shared" si="326"/>
        <v>40</v>
      </c>
      <c r="F1409">
        <f t="shared" si="320"/>
        <v>13925225</v>
      </c>
      <c r="G1409">
        <f t="shared" si="321"/>
        <v>1392.5225</v>
      </c>
      <c r="H1409">
        <f t="shared" si="324"/>
        <v>40000000</v>
      </c>
      <c r="I1409">
        <f t="shared" si="323"/>
        <v>19200000</v>
      </c>
      <c r="K1409">
        <f t="shared" si="325"/>
        <v>44725302</v>
      </c>
      <c r="M1409">
        <f t="shared" si="322"/>
        <v>30478293</v>
      </c>
      <c r="N1409">
        <f t="shared" si="327"/>
        <v>78680800</v>
      </c>
      <c r="O1409">
        <f t="shared" si="319"/>
        <v>0</v>
      </c>
    </row>
    <row r="1410" ht="13.9" spans="1:15">
      <c r="A1410" s="42" t="s">
        <v>961</v>
      </c>
      <c r="B1410" s="11">
        <v>44725302</v>
      </c>
      <c r="C1410" s="11">
        <v>3477205</v>
      </c>
      <c r="D1410" s="11">
        <v>173</v>
      </c>
      <c r="E1410">
        <f t="shared" si="326"/>
        <v>173</v>
      </c>
      <c r="F1410">
        <f t="shared" si="320"/>
        <v>22362651</v>
      </c>
      <c r="G1410">
        <f t="shared" si="321"/>
        <v>2236.2651</v>
      </c>
      <c r="H1410">
        <f t="shared" si="324"/>
        <v>173000000</v>
      </c>
      <c r="I1410">
        <f t="shared" si="323"/>
        <v>83040000</v>
      </c>
      <c r="K1410">
        <f t="shared" si="325"/>
        <v>343043436</v>
      </c>
      <c r="M1410">
        <f t="shared" si="322"/>
        <v>48202507</v>
      </c>
      <c r="N1410">
        <f t="shared" si="327"/>
        <v>421341426</v>
      </c>
      <c r="O1410">
        <f t="shared" si="319"/>
        <v>0.435890320613313</v>
      </c>
    </row>
    <row r="1411" ht="13.9" spans="1:15">
      <c r="A1411" s="42" t="s">
        <v>962</v>
      </c>
      <c r="B1411" s="11">
        <v>44568434</v>
      </c>
      <c r="C1411" s="11">
        <v>3608823</v>
      </c>
      <c r="D1411" s="11">
        <v>152</v>
      </c>
      <c r="E1411">
        <f t="shared" si="326"/>
        <v>152</v>
      </c>
      <c r="F1411">
        <f t="shared" si="320"/>
        <v>22284217</v>
      </c>
      <c r="G1411">
        <f t="shared" si="321"/>
        <v>2228.4217</v>
      </c>
      <c r="H1411">
        <f t="shared" si="324"/>
        <v>152000000</v>
      </c>
      <c r="I1411">
        <f t="shared" si="323"/>
        <v>72960000</v>
      </c>
      <c r="K1411">
        <f t="shared" si="325"/>
        <v>298475002</v>
      </c>
      <c r="M1411">
        <f t="shared" si="322"/>
        <v>48177257</v>
      </c>
      <c r="N1411">
        <f t="shared" si="327"/>
        <v>373138919</v>
      </c>
      <c r="O1411">
        <f t="shared" ref="O1411:O1474" si="328">IF(H1411&gt;H1412,(H1411-H1412)/M1412,0)</f>
        <v>0.503010807115332</v>
      </c>
    </row>
    <row r="1412" ht="13.9" spans="1:15">
      <c r="A1412" s="42" t="s">
        <v>963</v>
      </c>
      <c r="B1412" s="11">
        <v>38569228</v>
      </c>
      <c r="C1412" s="11">
        <v>3179378</v>
      </c>
      <c r="D1412" s="11">
        <v>131</v>
      </c>
      <c r="E1412">
        <f t="shared" si="326"/>
        <v>131</v>
      </c>
      <c r="F1412">
        <f t="shared" ref="F1412:F1475" si="329">B1412/2</f>
        <v>19284614</v>
      </c>
      <c r="G1412">
        <f t="shared" ref="G1412:G1475" si="330">F1412/10000</f>
        <v>1928.4614</v>
      </c>
      <c r="H1412">
        <f t="shared" si="324"/>
        <v>131000000</v>
      </c>
      <c r="I1412">
        <f t="shared" si="323"/>
        <v>62880000</v>
      </c>
      <c r="K1412">
        <f t="shared" si="325"/>
        <v>259905774</v>
      </c>
      <c r="M1412">
        <f t="shared" si="322"/>
        <v>41748606</v>
      </c>
      <c r="N1412">
        <f t="shared" si="327"/>
        <v>324961662</v>
      </c>
      <c r="O1412">
        <f t="shared" si="328"/>
        <v>0.413861728382686</v>
      </c>
    </row>
    <row r="1413" ht="13.9" spans="1:15">
      <c r="A1413" s="42" t="s">
        <v>964</v>
      </c>
      <c r="B1413" s="11">
        <v>40154098</v>
      </c>
      <c r="C1413" s="11">
        <v>3338689</v>
      </c>
      <c r="D1413" s="11">
        <v>113</v>
      </c>
      <c r="E1413">
        <f t="shared" si="326"/>
        <v>113</v>
      </c>
      <c r="F1413">
        <f t="shared" si="329"/>
        <v>20077049</v>
      </c>
      <c r="G1413">
        <f t="shared" si="330"/>
        <v>2007.7049</v>
      </c>
      <c r="H1413">
        <f t="shared" si="324"/>
        <v>113000000</v>
      </c>
      <c r="I1413">
        <f t="shared" si="323"/>
        <v>54240000</v>
      </c>
      <c r="K1413">
        <f t="shared" si="325"/>
        <v>219751676</v>
      </c>
      <c r="M1413">
        <f t="shared" si="322"/>
        <v>43492787</v>
      </c>
      <c r="N1413">
        <f t="shared" si="327"/>
        <v>283213056</v>
      </c>
      <c r="O1413">
        <f t="shared" si="328"/>
        <v>0.553967951437886</v>
      </c>
    </row>
    <row r="1414" ht="13.85" spans="1:15">
      <c r="A1414" s="43">
        <v>38303</v>
      </c>
      <c r="B1414" s="11">
        <v>31503602</v>
      </c>
      <c r="C1414" s="11">
        <v>2794411</v>
      </c>
      <c r="D1414" s="11">
        <v>94</v>
      </c>
      <c r="E1414">
        <f t="shared" si="326"/>
        <v>94</v>
      </c>
      <c r="F1414">
        <f t="shared" si="329"/>
        <v>15751801</v>
      </c>
      <c r="G1414">
        <f t="shared" si="330"/>
        <v>1575.1801</v>
      </c>
      <c r="H1414">
        <f t="shared" si="324"/>
        <v>94000000</v>
      </c>
      <c r="I1414">
        <f t="shared" si="323"/>
        <v>45120000</v>
      </c>
      <c r="K1414">
        <f t="shared" si="325"/>
        <v>188248074</v>
      </c>
      <c r="M1414">
        <f t="shared" si="322"/>
        <v>34298013</v>
      </c>
      <c r="N1414">
        <f t="shared" si="327"/>
        <v>239720269</v>
      </c>
      <c r="O1414">
        <f t="shared" si="328"/>
        <v>0.391241806243811</v>
      </c>
    </row>
    <row r="1415" ht="13.85" spans="1:15">
      <c r="A1415" s="43">
        <v>38180</v>
      </c>
      <c r="B1415" s="11">
        <v>32817922</v>
      </c>
      <c r="C1415" s="11">
        <v>2965575</v>
      </c>
      <c r="D1415" s="11">
        <v>80</v>
      </c>
      <c r="E1415">
        <f t="shared" si="326"/>
        <v>80</v>
      </c>
      <c r="F1415">
        <f t="shared" si="329"/>
        <v>16408961</v>
      </c>
      <c r="G1415">
        <f t="shared" si="330"/>
        <v>1640.8961</v>
      </c>
      <c r="H1415">
        <f t="shared" si="324"/>
        <v>80000000</v>
      </c>
      <c r="I1415">
        <f t="shared" si="323"/>
        <v>38400000</v>
      </c>
      <c r="K1415">
        <f t="shared" si="325"/>
        <v>155430152</v>
      </c>
      <c r="M1415">
        <f t="shared" ref="M1415:M1478" si="331">B1415+C1415</f>
        <v>35783497</v>
      </c>
      <c r="N1415">
        <f t="shared" si="327"/>
        <v>205422256</v>
      </c>
      <c r="O1415">
        <f t="shared" si="328"/>
        <v>0.316440444974756</v>
      </c>
    </row>
    <row r="1416" ht="13.85" spans="1:15">
      <c r="A1416" s="43">
        <v>38089</v>
      </c>
      <c r="B1416" s="11">
        <v>28978038</v>
      </c>
      <c r="C1416" s="11">
        <v>2623485</v>
      </c>
      <c r="D1416" s="11">
        <v>70</v>
      </c>
      <c r="E1416">
        <f t="shared" si="326"/>
        <v>70</v>
      </c>
      <c r="F1416">
        <f t="shared" si="329"/>
        <v>14489019</v>
      </c>
      <c r="G1416">
        <f t="shared" si="330"/>
        <v>1448.9019</v>
      </c>
      <c r="H1416">
        <f t="shared" si="324"/>
        <v>70000000</v>
      </c>
      <c r="I1416">
        <f t="shared" si="323"/>
        <v>33600000</v>
      </c>
      <c r="K1416">
        <f t="shared" si="325"/>
        <v>126452114</v>
      </c>
      <c r="M1416">
        <f t="shared" si="331"/>
        <v>31601523</v>
      </c>
      <c r="N1416">
        <f t="shared" si="327"/>
        <v>169638759</v>
      </c>
      <c r="O1416">
        <f t="shared" si="328"/>
        <v>0.240147498593636</v>
      </c>
    </row>
    <row r="1417" ht="13.9" spans="1:15">
      <c r="A1417" s="42" t="s">
        <v>965</v>
      </c>
      <c r="B1417" s="11">
        <v>38305078</v>
      </c>
      <c r="C1417" s="11">
        <v>3335997</v>
      </c>
      <c r="D1417" s="11">
        <v>60</v>
      </c>
      <c r="E1417">
        <f t="shared" si="326"/>
        <v>60</v>
      </c>
      <c r="F1417">
        <f t="shared" si="329"/>
        <v>19152539</v>
      </c>
      <c r="G1417">
        <f t="shared" si="330"/>
        <v>1915.2539</v>
      </c>
      <c r="H1417">
        <f t="shared" si="324"/>
        <v>60000000</v>
      </c>
      <c r="I1417">
        <f t="shared" si="323"/>
        <v>28800000</v>
      </c>
      <c r="K1417">
        <f t="shared" si="325"/>
        <v>88147036</v>
      </c>
      <c r="M1417">
        <f t="shared" si="331"/>
        <v>41641075</v>
      </c>
      <c r="N1417">
        <f t="shared" si="327"/>
        <v>138037236</v>
      </c>
      <c r="O1417">
        <f t="shared" si="328"/>
        <v>0.314437841110031</v>
      </c>
    </row>
    <row r="1418" ht="13.9" spans="1:15">
      <c r="A1418" s="42" t="s">
        <v>966</v>
      </c>
      <c r="B1418" s="11">
        <v>29115092</v>
      </c>
      <c r="C1418" s="11">
        <v>2687696</v>
      </c>
      <c r="D1418" s="11">
        <v>50</v>
      </c>
      <c r="E1418">
        <f t="shared" si="326"/>
        <v>50</v>
      </c>
      <c r="F1418">
        <f t="shared" si="329"/>
        <v>14557546</v>
      </c>
      <c r="G1418">
        <f t="shared" si="330"/>
        <v>1455.7546</v>
      </c>
      <c r="H1418">
        <f t="shared" si="324"/>
        <v>50000000</v>
      </c>
      <c r="I1418">
        <f t="shared" si="323"/>
        <v>24000000</v>
      </c>
      <c r="K1418">
        <f t="shared" si="325"/>
        <v>59031944</v>
      </c>
      <c r="M1418">
        <f t="shared" si="331"/>
        <v>31802788</v>
      </c>
      <c r="N1418">
        <f t="shared" si="327"/>
        <v>96396161</v>
      </c>
      <c r="O1418">
        <f t="shared" si="328"/>
        <v>0.304615383022012</v>
      </c>
    </row>
    <row r="1419" ht="13.9" spans="1:15">
      <c r="A1419" s="42" t="s">
        <v>967</v>
      </c>
      <c r="B1419" s="11">
        <v>29999742</v>
      </c>
      <c r="C1419" s="11">
        <v>2828541</v>
      </c>
      <c r="D1419" s="11">
        <v>40</v>
      </c>
      <c r="E1419">
        <f t="shared" si="326"/>
        <v>40</v>
      </c>
      <c r="F1419">
        <f t="shared" si="329"/>
        <v>14999871</v>
      </c>
      <c r="G1419">
        <f t="shared" si="330"/>
        <v>1499.9871</v>
      </c>
      <c r="H1419">
        <f t="shared" si="324"/>
        <v>40000000</v>
      </c>
      <c r="I1419">
        <f t="shared" ref="I1419:I1482" si="332">H1419*0.48</f>
        <v>19200000</v>
      </c>
      <c r="K1419">
        <f t="shared" si="325"/>
        <v>29032202</v>
      </c>
      <c r="M1419">
        <f t="shared" si="331"/>
        <v>32828283</v>
      </c>
      <c r="N1419">
        <f t="shared" si="327"/>
        <v>64593373</v>
      </c>
      <c r="O1419">
        <f t="shared" si="328"/>
        <v>0</v>
      </c>
    </row>
    <row r="1420" ht="13.9" spans="1:15">
      <c r="A1420" s="42" t="s">
        <v>968</v>
      </c>
      <c r="B1420" s="11">
        <v>29032202</v>
      </c>
      <c r="C1420" s="11">
        <v>2732888</v>
      </c>
      <c r="D1420" s="11">
        <v>70</v>
      </c>
      <c r="E1420">
        <f t="shared" si="326"/>
        <v>70</v>
      </c>
      <c r="F1420">
        <f t="shared" si="329"/>
        <v>14516101</v>
      </c>
      <c r="G1420">
        <f t="shared" si="330"/>
        <v>1451.6101</v>
      </c>
      <c r="H1420">
        <f t="shared" si="324"/>
        <v>70000000</v>
      </c>
      <c r="I1420">
        <f t="shared" si="332"/>
        <v>33600000</v>
      </c>
      <c r="K1420">
        <f t="shared" si="325"/>
        <v>123565530</v>
      </c>
      <c r="M1420">
        <f t="shared" si="331"/>
        <v>31765090</v>
      </c>
      <c r="N1420">
        <f t="shared" si="327"/>
        <v>167013505</v>
      </c>
      <c r="O1420">
        <f t="shared" si="328"/>
        <v>0.282123872523682</v>
      </c>
    </row>
    <row r="1421" ht="13.9" spans="1:15">
      <c r="A1421" s="42" t="s">
        <v>969</v>
      </c>
      <c r="B1421" s="11">
        <v>32414134</v>
      </c>
      <c r="C1421" s="11">
        <v>3031289</v>
      </c>
      <c r="D1421" s="11">
        <v>60</v>
      </c>
      <c r="E1421">
        <f t="shared" si="326"/>
        <v>60</v>
      </c>
      <c r="F1421">
        <f t="shared" si="329"/>
        <v>16207067</v>
      </c>
      <c r="G1421">
        <f t="shared" si="330"/>
        <v>1620.7067</v>
      </c>
      <c r="H1421">
        <f t="shared" si="324"/>
        <v>60000000</v>
      </c>
      <c r="I1421">
        <f t="shared" si="332"/>
        <v>28800000</v>
      </c>
      <c r="K1421">
        <f t="shared" si="325"/>
        <v>91151396</v>
      </c>
      <c r="M1421">
        <f t="shared" si="331"/>
        <v>35445423</v>
      </c>
      <c r="N1421">
        <f t="shared" si="327"/>
        <v>135248415</v>
      </c>
      <c r="O1421">
        <f t="shared" si="328"/>
        <v>0.327150462222709</v>
      </c>
    </row>
    <row r="1422" ht="13.9" spans="1:15">
      <c r="A1422" s="42" t="s">
        <v>970</v>
      </c>
      <c r="B1422" s="11">
        <v>27901808</v>
      </c>
      <c r="C1422" s="11">
        <v>2665167</v>
      </c>
      <c r="D1422" s="11">
        <v>50</v>
      </c>
      <c r="E1422">
        <f t="shared" si="326"/>
        <v>50</v>
      </c>
      <c r="F1422">
        <f t="shared" si="329"/>
        <v>13950904</v>
      </c>
      <c r="G1422">
        <f t="shared" si="330"/>
        <v>1395.0904</v>
      </c>
      <c r="H1422">
        <f t="shared" si="324"/>
        <v>50000000</v>
      </c>
      <c r="I1422">
        <f t="shared" si="332"/>
        <v>24000000</v>
      </c>
      <c r="K1422">
        <f t="shared" si="325"/>
        <v>63249588</v>
      </c>
      <c r="M1422">
        <f t="shared" si="331"/>
        <v>30566975</v>
      </c>
      <c r="N1422">
        <f t="shared" si="327"/>
        <v>99802992</v>
      </c>
      <c r="O1422">
        <f t="shared" si="328"/>
        <v>0.281920958666582</v>
      </c>
    </row>
    <row r="1423" ht="13.85" spans="1:15">
      <c r="A1423" s="43">
        <v>37906</v>
      </c>
      <c r="B1423" s="11">
        <v>32413242</v>
      </c>
      <c r="C1423" s="11">
        <v>3057693</v>
      </c>
      <c r="D1423" s="11">
        <v>40</v>
      </c>
      <c r="E1423">
        <f t="shared" si="326"/>
        <v>40</v>
      </c>
      <c r="F1423">
        <f t="shared" si="329"/>
        <v>16206621</v>
      </c>
      <c r="G1423">
        <f t="shared" si="330"/>
        <v>1620.6621</v>
      </c>
      <c r="H1423">
        <f t="shared" si="324"/>
        <v>40000000</v>
      </c>
      <c r="I1423">
        <f t="shared" si="332"/>
        <v>19200000</v>
      </c>
      <c r="K1423">
        <f t="shared" si="325"/>
        <v>30836346</v>
      </c>
      <c r="M1423">
        <f t="shared" si="331"/>
        <v>35470935</v>
      </c>
      <c r="N1423">
        <f t="shared" si="327"/>
        <v>69236017</v>
      </c>
      <c r="O1423">
        <f t="shared" si="328"/>
        <v>0</v>
      </c>
    </row>
    <row r="1424" ht="13.85" spans="1:15">
      <c r="A1424" s="43">
        <v>37814</v>
      </c>
      <c r="B1424" s="11">
        <v>30836346</v>
      </c>
      <c r="C1424" s="11">
        <v>2928736</v>
      </c>
      <c r="D1424" s="11">
        <v>60</v>
      </c>
      <c r="E1424">
        <f t="shared" si="326"/>
        <v>60</v>
      </c>
      <c r="F1424">
        <f t="shared" si="329"/>
        <v>15418173</v>
      </c>
      <c r="G1424">
        <f t="shared" si="330"/>
        <v>1541.8173</v>
      </c>
      <c r="H1424">
        <f t="shared" ref="H1424:H1487" si="333">E1424*1000000</f>
        <v>60000000</v>
      </c>
      <c r="I1424">
        <f t="shared" si="332"/>
        <v>28800000</v>
      </c>
      <c r="K1424">
        <f t="shared" si="325"/>
        <v>101324656</v>
      </c>
      <c r="M1424">
        <f t="shared" si="331"/>
        <v>33765082</v>
      </c>
      <c r="N1424">
        <f t="shared" si="327"/>
        <v>144518891</v>
      </c>
      <c r="O1424">
        <f t="shared" si="328"/>
        <v>0.265816740675807</v>
      </c>
    </row>
    <row r="1425" ht="13.85" spans="1:15">
      <c r="A1425" s="43">
        <v>37692</v>
      </c>
      <c r="B1425" s="11">
        <v>34352940</v>
      </c>
      <c r="C1425" s="11">
        <v>3266963</v>
      </c>
      <c r="D1425" s="11">
        <v>50</v>
      </c>
      <c r="E1425">
        <f t="shared" si="326"/>
        <v>50</v>
      </c>
      <c r="F1425">
        <f t="shared" si="329"/>
        <v>17176470</v>
      </c>
      <c r="G1425">
        <f t="shared" si="330"/>
        <v>1717.647</v>
      </c>
      <c r="H1425">
        <f t="shared" si="333"/>
        <v>50000000</v>
      </c>
      <c r="I1425">
        <f t="shared" si="332"/>
        <v>24000000</v>
      </c>
      <c r="K1425">
        <f t="shared" ref="K1425:K1488" si="334">IF(E1425&gt;E1426,B1426+K1426,B1426)</f>
        <v>66971716</v>
      </c>
      <c r="M1425">
        <f t="shared" si="331"/>
        <v>37619903</v>
      </c>
      <c r="N1425">
        <f t="shared" si="327"/>
        <v>110753809</v>
      </c>
      <c r="O1425">
        <f t="shared" si="328"/>
        <v>0.314486967974534</v>
      </c>
    </row>
    <row r="1426" ht="13.9" spans="1:15">
      <c r="A1426" s="42" t="s">
        <v>971</v>
      </c>
      <c r="B1426" s="11">
        <v>29055550</v>
      </c>
      <c r="C1426" s="11">
        <v>2742270</v>
      </c>
      <c r="D1426" s="11">
        <v>40</v>
      </c>
      <c r="E1426">
        <f t="shared" ref="E1426:E1489" si="335">IF(RIGHT(D1426,1)="B",VALUE(LEFT(D1426,LEN(D1426)-1))*1000,D1426)</f>
        <v>40</v>
      </c>
      <c r="F1426">
        <f t="shared" si="329"/>
        <v>14527775</v>
      </c>
      <c r="G1426">
        <f t="shared" si="330"/>
        <v>1452.7775</v>
      </c>
      <c r="H1426">
        <f t="shared" si="333"/>
        <v>40000000</v>
      </c>
      <c r="I1426">
        <f t="shared" si="332"/>
        <v>19200000</v>
      </c>
      <c r="K1426">
        <f t="shared" si="334"/>
        <v>37916166</v>
      </c>
      <c r="M1426">
        <f t="shared" si="331"/>
        <v>31797820</v>
      </c>
      <c r="N1426">
        <f t="shared" si="327"/>
        <v>73133906</v>
      </c>
      <c r="O1426">
        <f t="shared" si="328"/>
        <v>0</v>
      </c>
    </row>
    <row r="1427" ht="13.9" spans="1:15">
      <c r="A1427" s="42" t="s">
        <v>972</v>
      </c>
      <c r="B1427" s="11">
        <v>37916166</v>
      </c>
      <c r="C1427" s="11">
        <v>3419920</v>
      </c>
      <c r="D1427" s="11">
        <v>70</v>
      </c>
      <c r="E1427">
        <f t="shared" si="335"/>
        <v>70</v>
      </c>
      <c r="F1427">
        <f t="shared" si="329"/>
        <v>18958083</v>
      </c>
      <c r="G1427">
        <f t="shared" si="330"/>
        <v>1895.8083</v>
      </c>
      <c r="H1427">
        <f t="shared" si="333"/>
        <v>70000000</v>
      </c>
      <c r="I1427">
        <f t="shared" si="332"/>
        <v>33600000</v>
      </c>
      <c r="K1427">
        <f t="shared" si="334"/>
        <v>271997478</v>
      </c>
      <c r="M1427">
        <f t="shared" si="331"/>
        <v>41336086</v>
      </c>
      <c r="N1427">
        <f t="shared" si="327"/>
        <v>333201748</v>
      </c>
      <c r="O1427">
        <f t="shared" si="328"/>
        <v>0.279574439616101</v>
      </c>
    </row>
    <row r="1428" ht="13.9" spans="1:15">
      <c r="A1428" s="42" t="s">
        <v>973</v>
      </c>
      <c r="B1428" s="11">
        <v>32766344</v>
      </c>
      <c r="C1428" s="11">
        <v>3002305</v>
      </c>
      <c r="D1428" s="11">
        <v>60</v>
      </c>
      <c r="E1428">
        <f t="shared" si="335"/>
        <v>60</v>
      </c>
      <c r="F1428">
        <f t="shared" si="329"/>
        <v>16383172</v>
      </c>
      <c r="G1428">
        <f t="shared" si="330"/>
        <v>1638.3172</v>
      </c>
      <c r="H1428">
        <f t="shared" si="333"/>
        <v>60000000</v>
      </c>
      <c r="I1428">
        <f t="shared" si="332"/>
        <v>28800000</v>
      </c>
      <c r="K1428">
        <f t="shared" si="334"/>
        <v>239231134</v>
      </c>
      <c r="M1428">
        <f t="shared" si="331"/>
        <v>35768649</v>
      </c>
      <c r="N1428">
        <f t="shared" si="327"/>
        <v>291865662</v>
      </c>
      <c r="O1428">
        <f t="shared" si="328"/>
        <v>0.246183388160425</v>
      </c>
    </row>
    <row r="1429" ht="13.9" spans="1:15">
      <c r="A1429" s="42" t="s">
        <v>974</v>
      </c>
      <c r="B1429" s="11">
        <v>37177904</v>
      </c>
      <c r="C1429" s="11">
        <v>3442221</v>
      </c>
      <c r="D1429" s="11">
        <v>50</v>
      </c>
      <c r="E1429">
        <f t="shared" si="335"/>
        <v>50</v>
      </c>
      <c r="F1429">
        <f t="shared" si="329"/>
        <v>18588952</v>
      </c>
      <c r="G1429">
        <f t="shared" si="330"/>
        <v>1858.8952</v>
      </c>
      <c r="H1429">
        <f t="shared" si="333"/>
        <v>50000000</v>
      </c>
      <c r="I1429">
        <f t="shared" si="332"/>
        <v>24000000</v>
      </c>
      <c r="K1429">
        <f t="shared" si="334"/>
        <v>202053230</v>
      </c>
      <c r="M1429">
        <f t="shared" si="331"/>
        <v>40620125</v>
      </c>
      <c r="N1429">
        <f t="shared" si="327"/>
        <v>256097013</v>
      </c>
      <c r="O1429">
        <f t="shared" si="328"/>
        <v>0.279977428219737</v>
      </c>
    </row>
    <row r="1430" s="9" customFormat="1" ht="13.9" spans="1:15">
      <c r="A1430" s="47" t="s">
        <v>975</v>
      </c>
      <c r="B1430" s="20">
        <v>32691612</v>
      </c>
      <c r="C1430" s="20">
        <v>3025553</v>
      </c>
      <c r="D1430" s="20">
        <v>40</v>
      </c>
      <c r="E1430" s="9">
        <f t="shared" si="335"/>
        <v>40</v>
      </c>
      <c r="F1430" s="9">
        <f t="shared" si="329"/>
        <v>16345806</v>
      </c>
      <c r="G1430" s="9">
        <f t="shared" si="330"/>
        <v>1634.5806</v>
      </c>
      <c r="H1430" s="9">
        <f t="shared" si="333"/>
        <v>40000000</v>
      </c>
      <c r="I1430">
        <f t="shared" si="332"/>
        <v>19200000</v>
      </c>
      <c r="K1430" s="9">
        <f t="shared" si="334"/>
        <v>169361618</v>
      </c>
      <c r="M1430" s="9">
        <f t="shared" si="331"/>
        <v>35717165</v>
      </c>
      <c r="N1430" s="9">
        <f t="shared" si="327"/>
        <v>215476888</v>
      </c>
      <c r="O1430" s="9">
        <f t="shared" si="328"/>
        <v>0</v>
      </c>
    </row>
    <row r="1431" ht="13.85" spans="1:15">
      <c r="A1431" s="43">
        <v>37572</v>
      </c>
      <c r="B1431" s="11">
        <v>169361618</v>
      </c>
      <c r="C1431" s="11">
        <v>10398105</v>
      </c>
      <c r="D1431" s="11">
        <v>325</v>
      </c>
      <c r="E1431">
        <f t="shared" si="335"/>
        <v>325</v>
      </c>
      <c r="F1431">
        <f t="shared" si="329"/>
        <v>84680809</v>
      </c>
      <c r="G1431">
        <f t="shared" si="330"/>
        <v>8468.0809</v>
      </c>
      <c r="H1431">
        <f t="shared" si="333"/>
        <v>325000000</v>
      </c>
      <c r="I1431">
        <f t="shared" si="332"/>
        <v>156000000</v>
      </c>
      <c r="K1431">
        <f t="shared" si="334"/>
        <v>563896679</v>
      </c>
      <c r="M1431">
        <f t="shared" si="331"/>
        <v>179759723</v>
      </c>
      <c r="N1431">
        <f t="shared" si="327"/>
        <v>800866058</v>
      </c>
      <c r="O1431">
        <f t="shared" si="328"/>
        <v>0.751122740716686</v>
      </c>
    </row>
    <row r="1432" ht="13.85" spans="1:15">
      <c r="A1432" s="43">
        <v>37480</v>
      </c>
      <c r="B1432" s="11">
        <v>93526504</v>
      </c>
      <c r="C1432" s="11">
        <v>6324021</v>
      </c>
      <c r="D1432" s="11">
        <v>250</v>
      </c>
      <c r="E1432">
        <f t="shared" si="335"/>
        <v>250</v>
      </c>
      <c r="F1432">
        <f t="shared" si="329"/>
        <v>46763252</v>
      </c>
      <c r="G1432">
        <f t="shared" si="330"/>
        <v>4676.3252</v>
      </c>
      <c r="H1432">
        <f t="shared" si="333"/>
        <v>250000000</v>
      </c>
      <c r="I1432">
        <f t="shared" si="332"/>
        <v>120000000</v>
      </c>
      <c r="K1432">
        <f t="shared" si="334"/>
        <v>470370175</v>
      </c>
      <c r="M1432">
        <f t="shared" si="331"/>
        <v>99850525</v>
      </c>
      <c r="N1432">
        <f t="shared" si="327"/>
        <v>621106335</v>
      </c>
      <c r="O1432">
        <f t="shared" si="328"/>
        <v>0.61756797851733</v>
      </c>
    </row>
    <row r="1433" ht="13.85" spans="1:15">
      <c r="A1433" s="43">
        <v>37358</v>
      </c>
      <c r="B1433" s="11">
        <v>75632272</v>
      </c>
      <c r="C1433" s="11">
        <v>5330475</v>
      </c>
      <c r="D1433" s="11">
        <v>200</v>
      </c>
      <c r="E1433">
        <f t="shared" si="335"/>
        <v>200</v>
      </c>
      <c r="F1433">
        <f t="shared" si="329"/>
        <v>37816136</v>
      </c>
      <c r="G1433">
        <f t="shared" si="330"/>
        <v>3781.6136</v>
      </c>
      <c r="H1433">
        <f t="shared" si="333"/>
        <v>200000000</v>
      </c>
      <c r="I1433">
        <f t="shared" si="332"/>
        <v>96000000</v>
      </c>
      <c r="K1433">
        <f t="shared" si="334"/>
        <v>394737903</v>
      </c>
      <c r="M1433">
        <f t="shared" si="331"/>
        <v>80962747</v>
      </c>
      <c r="N1433">
        <f t="shared" si="327"/>
        <v>521255810</v>
      </c>
      <c r="O1433">
        <f t="shared" si="328"/>
        <v>0.505155626745828</v>
      </c>
    </row>
    <row r="1434" ht="13.85" spans="1:15">
      <c r="A1434" s="43">
        <v>37268</v>
      </c>
      <c r="B1434" s="11">
        <v>55285052</v>
      </c>
      <c r="C1434" s="11">
        <v>4102587</v>
      </c>
      <c r="D1434" s="11">
        <v>170</v>
      </c>
      <c r="E1434">
        <f t="shared" si="335"/>
        <v>170</v>
      </c>
      <c r="F1434">
        <f t="shared" si="329"/>
        <v>27642526</v>
      </c>
      <c r="G1434">
        <f t="shared" si="330"/>
        <v>2764.2526</v>
      </c>
      <c r="H1434">
        <f t="shared" si="333"/>
        <v>170000000</v>
      </c>
      <c r="I1434">
        <f t="shared" si="332"/>
        <v>81600000</v>
      </c>
      <c r="K1434">
        <f t="shared" si="334"/>
        <v>339452851</v>
      </c>
      <c r="M1434">
        <f t="shared" si="331"/>
        <v>59387639</v>
      </c>
      <c r="N1434">
        <f t="shared" si="327"/>
        <v>440293063</v>
      </c>
      <c r="O1434">
        <f t="shared" si="328"/>
        <v>0.445449179816698</v>
      </c>
    </row>
    <row r="1435" ht="13.9" spans="1:15">
      <c r="A1435" s="42" t="s">
        <v>976</v>
      </c>
      <c r="B1435" s="11">
        <v>49995462</v>
      </c>
      <c r="C1435" s="11">
        <v>3882738</v>
      </c>
      <c r="D1435" s="11">
        <v>146</v>
      </c>
      <c r="E1435">
        <f t="shared" si="335"/>
        <v>146</v>
      </c>
      <c r="F1435">
        <f t="shared" si="329"/>
        <v>24997731</v>
      </c>
      <c r="G1435">
        <f t="shared" si="330"/>
        <v>2499.7731</v>
      </c>
      <c r="H1435">
        <f t="shared" si="333"/>
        <v>146000000</v>
      </c>
      <c r="I1435">
        <f t="shared" si="332"/>
        <v>70080000</v>
      </c>
      <c r="K1435">
        <f t="shared" si="334"/>
        <v>289457389</v>
      </c>
      <c r="M1435">
        <f t="shared" si="331"/>
        <v>53878200</v>
      </c>
      <c r="N1435">
        <f t="shared" si="327"/>
        <v>380905424</v>
      </c>
      <c r="O1435">
        <f t="shared" si="328"/>
        <v>0.583067194928535</v>
      </c>
    </row>
    <row r="1436" ht="13.9" spans="1:15">
      <c r="A1436" s="42" t="s">
        <v>977</v>
      </c>
      <c r="B1436" s="11">
        <v>41302320</v>
      </c>
      <c r="C1436" s="11">
        <v>3289453</v>
      </c>
      <c r="D1436" s="11">
        <v>120</v>
      </c>
      <c r="E1436">
        <f t="shared" si="335"/>
        <v>120</v>
      </c>
      <c r="F1436">
        <f t="shared" si="329"/>
        <v>20651160</v>
      </c>
      <c r="G1436">
        <f t="shared" si="330"/>
        <v>2065.116</v>
      </c>
      <c r="H1436">
        <f t="shared" si="333"/>
        <v>120000000</v>
      </c>
      <c r="I1436">
        <f t="shared" si="332"/>
        <v>57600000</v>
      </c>
      <c r="K1436">
        <f t="shared" si="334"/>
        <v>248155069</v>
      </c>
      <c r="M1436">
        <f t="shared" si="331"/>
        <v>44591773</v>
      </c>
      <c r="N1436">
        <f t="shared" si="327"/>
        <v>327027224</v>
      </c>
      <c r="O1436">
        <f t="shared" si="328"/>
        <v>0.451527536847074</v>
      </c>
    </row>
    <row r="1437" ht="13.9" spans="1:15">
      <c r="A1437" s="42" t="s">
        <v>978</v>
      </c>
      <c r="B1437" s="11">
        <v>40901890</v>
      </c>
      <c r="C1437" s="11">
        <v>3392197</v>
      </c>
      <c r="D1437" s="11">
        <v>100</v>
      </c>
      <c r="E1437">
        <f t="shared" si="335"/>
        <v>100</v>
      </c>
      <c r="F1437">
        <f t="shared" si="329"/>
        <v>20450945</v>
      </c>
      <c r="G1437">
        <f t="shared" si="330"/>
        <v>2045.0945</v>
      </c>
      <c r="H1437">
        <f t="shared" si="333"/>
        <v>100000000</v>
      </c>
      <c r="I1437">
        <f t="shared" si="332"/>
        <v>48000000</v>
      </c>
      <c r="K1437">
        <f t="shared" si="334"/>
        <v>207253179</v>
      </c>
      <c r="M1437">
        <f t="shared" si="331"/>
        <v>44294087</v>
      </c>
      <c r="N1437">
        <f t="shared" si="327"/>
        <v>282435451</v>
      </c>
      <c r="O1437">
        <f t="shared" si="328"/>
        <v>0.552100830616376</v>
      </c>
    </row>
    <row r="1438" ht="13.9" spans="1:15">
      <c r="A1438" s="42" t="s">
        <v>979</v>
      </c>
      <c r="B1438" s="11">
        <v>33352386</v>
      </c>
      <c r="C1438" s="11">
        <v>2872881</v>
      </c>
      <c r="D1438" s="11">
        <v>80</v>
      </c>
      <c r="E1438">
        <f t="shared" si="335"/>
        <v>80</v>
      </c>
      <c r="F1438">
        <f t="shared" si="329"/>
        <v>16676193</v>
      </c>
      <c r="G1438">
        <f t="shared" si="330"/>
        <v>1667.6193</v>
      </c>
      <c r="H1438">
        <f t="shared" si="333"/>
        <v>80000000</v>
      </c>
      <c r="I1438">
        <f t="shared" si="332"/>
        <v>38400000</v>
      </c>
      <c r="K1438">
        <f t="shared" si="334"/>
        <v>173900793</v>
      </c>
      <c r="M1438">
        <f t="shared" si="331"/>
        <v>36225267</v>
      </c>
      <c r="N1438">
        <f t="shared" si="327"/>
        <v>238141364</v>
      </c>
      <c r="O1438">
        <f t="shared" si="328"/>
        <v>0.482944487704389</v>
      </c>
    </row>
    <row r="1439" ht="13.9" spans="1:15">
      <c r="A1439" s="42" t="s">
        <v>980</v>
      </c>
      <c r="B1439" s="11">
        <v>24885431</v>
      </c>
      <c r="C1439" s="11">
        <v>4103408</v>
      </c>
      <c r="D1439" s="11">
        <v>66</v>
      </c>
      <c r="E1439">
        <f t="shared" si="335"/>
        <v>66</v>
      </c>
      <c r="F1439">
        <f t="shared" si="329"/>
        <v>12442715.5</v>
      </c>
      <c r="G1439">
        <f t="shared" si="330"/>
        <v>1244.27155</v>
      </c>
      <c r="H1439">
        <f t="shared" si="333"/>
        <v>66000000</v>
      </c>
      <c r="I1439">
        <f t="shared" si="332"/>
        <v>31680000</v>
      </c>
      <c r="K1439">
        <f t="shared" si="334"/>
        <v>149015362</v>
      </c>
      <c r="M1439">
        <f t="shared" si="331"/>
        <v>28988839</v>
      </c>
      <c r="N1439">
        <f t="shared" ref="N1439:N1502" si="336">IF(H1439&lt;H1440,M1439+M1440,M1439+N1440)</f>
        <v>201916097</v>
      </c>
      <c r="O1439">
        <f t="shared" si="328"/>
        <v>0.479082786423736</v>
      </c>
    </row>
    <row r="1440" ht="13.85" spans="1:15">
      <c r="A1440" s="43">
        <v>37207</v>
      </c>
      <c r="B1440" s="11">
        <v>21467730</v>
      </c>
      <c r="C1440" s="11">
        <v>3580133</v>
      </c>
      <c r="D1440" s="11">
        <v>54</v>
      </c>
      <c r="E1440">
        <f t="shared" si="335"/>
        <v>54</v>
      </c>
      <c r="F1440">
        <f t="shared" si="329"/>
        <v>10733865</v>
      </c>
      <c r="G1440">
        <f t="shared" si="330"/>
        <v>1073.3865</v>
      </c>
      <c r="H1440">
        <f t="shared" si="333"/>
        <v>54000000</v>
      </c>
      <c r="I1440">
        <f t="shared" si="332"/>
        <v>25920000</v>
      </c>
      <c r="K1440">
        <f t="shared" si="334"/>
        <v>127547632</v>
      </c>
      <c r="M1440">
        <f t="shared" si="331"/>
        <v>25047863</v>
      </c>
      <c r="N1440">
        <f t="shared" si="336"/>
        <v>172927258</v>
      </c>
      <c r="O1440">
        <f t="shared" si="328"/>
        <v>0.37601202697029</v>
      </c>
    </row>
    <row r="1441" ht="13.85" spans="1:15">
      <c r="A1441" s="43">
        <v>37084</v>
      </c>
      <c r="B1441" s="11">
        <v>22747865</v>
      </c>
      <c r="C1441" s="11">
        <v>3847029</v>
      </c>
      <c r="D1441" s="11">
        <v>44</v>
      </c>
      <c r="E1441">
        <f t="shared" si="335"/>
        <v>44</v>
      </c>
      <c r="F1441">
        <f t="shared" si="329"/>
        <v>11373932.5</v>
      </c>
      <c r="G1441">
        <f t="shared" si="330"/>
        <v>1137.39325</v>
      </c>
      <c r="H1441">
        <f t="shared" si="333"/>
        <v>44000000</v>
      </c>
      <c r="I1441">
        <f t="shared" si="332"/>
        <v>21120000</v>
      </c>
      <c r="K1441">
        <f t="shared" si="334"/>
        <v>104799767</v>
      </c>
      <c r="M1441">
        <f t="shared" si="331"/>
        <v>26594894</v>
      </c>
      <c r="N1441">
        <f t="shared" si="336"/>
        <v>147879395</v>
      </c>
      <c r="O1441">
        <f t="shared" si="328"/>
        <v>0.627163490053725</v>
      </c>
    </row>
    <row r="1442" ht="13.85" spans="1:15">
      <c r="A1442" s="43">
        <v>36993</v>
      </c>
      <c r="B1442" s="11">
        <v>19026140</v>
      </c>
      <c r="C1442" s="11">
        <v>3296588</v>
      </c>
      <c r="D1442" s="11">
        <v>30</v>
      </c>
      <c r="E1442">
        <f t="shared" si="335"/>
        <v>30</v>
      </c>
      <c r="F1442">
        <f t="shared" si="329"/>
        <v>9513070</v>
      </c>
      <c r="G1442">
        <f t="shared" si="330"/>
        <v>951.307</v>
      </c>
      <c r="H1442">
        <f t="shared" si="333"/>
        <v>30000000</v>
      </c>
      <c r="I1442">
        <f t="shared" si="332"/>
        <v>14400000</v>
      </c>
      <c r="K1442">
        <f t="shared" si="334"/>
        <v>85773627</v>
      </c>
      <c r="M1442">
        <f t="shared" si="331"/>
        <v>22322728</v>
      </c>
      <c r="N1442">
        <f t="shared" si="336"/>
        <v>121284501</v>
      </c>
      <c r="O1442">
        <f t="shared" si="328"/>
        <v>0.173082362523016</v>
      </c>
    </row>
    <row r="1443" ht="13.9" spans="1:15">
      <c r="A1443" s="41" t="s">
        <v>981</v>
      </c>
      <c r="B1443" s="13">
        <v>24771936</v>
      </c>
      <c r="C1443" s="13">
        <v>4116045</v>
      </c>
      <c r="D1443" s="13">
        <v>25</v>
      </c>
      <c r="E1443">
        <f t="shared" si="335"/>
        <v>25</v>
      </c>
      <c r="F1443">
        <f t="shared" si="329"/>
        <v>12385968</v>
      </c>
      <c r="G1443">
        <f t="shared" si="330"/>
        <v>1238.5968</v>
      </c>
      <c r="H1443">
        <f t="shared" si="333"/>
        <v>25000000</v>
      </c>
      <c r="I1443">
        <f t="shared" si="332"/>
        <v>12000000</v>
      </c>
      <c r="K1443">
        <f t="shared" si="334"/>
        <v>61001691</v>
      </c>
      <c r="M1443">
        <f t="shared" si="331"/>
        <v>28887981</v>
      </c>
      <c r="N1443">
        <f t="shared" si="336"/>
        <v>98961773</v>
      </c>
      <c r="O1443">
        <f t="shared" si="328"/>
        <v>0.226877547834862</v>
      </c>
    </row>
    <row r="1444" s="18" customFormat="1" ht="13.9" spans="1:15">
      <c r="A1444" s="48" t="s">
        <v>982</v>
      </c>
      <c r="B1444" s="17">
        <v>18839498</v>
      </c>
      <c r="C1444" s="17">
        <v>3198822</v>
      </c>
      <c r="D1444" s="17">
        <v>20</v>
      </c>
      <c r="E1444" s="18">
        <f t="shared" si="335"/>
        <v>20</v>
      </c>
      <c r="F1444" s="18">
        <f t="shared" si="329"/>
        <v>9419749</v>
      </c>
      <c r="G1444" s="18">
        <f t="shared" si="330"/>
        <v>941.9749</v>
      </c>
      <c r="H1444" s="18">
        <f t="shared" si="333"/>
        <v>20000000</v>
      </c>
      <c r="I1444">
        <f t="shared" si="332"/>
        <v>9600000</v>
      </c>
      <c r="K1444" s="18">
        <f t="shared" si="334"/>
        <v>42162193</v>
      </c>
      <c r="M1444" s="18">
        <f t="shared" si="331"/>
        <v>22038320</v>
      </c>
      <c r="N1444" s="18">
        <f t="shared" si="336"/>
        <v>70073792</v>
      </c>
      <c r="O1444" s="18">
        <f t="shared" si="328"/>
        <v>0</v>
      </c>
    </row>
    <row r="1445" ht="13.9" spans="1:15">
      <c r="A1445" s="42" t="s">
        <v>983</v>
      </c>
      <c r="B1445" s="11">
        <v>42162193</v>
      </c>
      <c r="C1445" s="11">
        <v>5873279</v>
      </c>
      <c r="D1445" s="11">
        <v>125</v>
      </c>
      <c r="E1445">
        <f t="shared" si="335"/>
        <v>125</v>
      </c>
      <c r="F1445">
        <f t="shared" si="329"/>
        <v>21081096.5</v>
      </c>
      <c r="G1445">
        <f t="shared" si="330"/>
        <v>2108.10965</v>
      </c>
      <c r="H1445">
        <f t="shared" si="333"/>
        <v>125000000</v>
      </c>
      <c r="I1445">
        <f t="shared" si="332"/>
        <v>60000000</v>
      </c>
      <c r="K1445">
        <f t="shared" si="334"/>
        <v>236976204</v>
      </c>
      <c r="M1445">
        <f t="shared" si="331"/>
        <v>48035472</v>
      </c>
      <c r="N1445">
        <f t="shared" si="336"/>
        <v>324529333</v>
      </c>
      <c r="O1445">
        <f t="shared" si="328"/>
        <v>0.575506745336429</v>
      </c>
    </row>
    <row r="1446" ht="13.9" spans="1:15">
      <c r="A1446" s="42" t="s">
        <v>984</v>
      </c>
      <c r="B1446" s="11">
        <v>31784265</v>
      </c>
      <c r="C1446" s="11">
        <v>4705316</v>
      </c>
      <c r="D1446" s="11">
        <v>104</v>
      </c>
      <c r="E1446">
        <f t="shared" si="335"/>
        <v>104</v>
      </c>
      <c r="F1446">
        <f t="shared" si="329"/>
        <v>15892132.5</v>
      </c>
      <c r="G1446">
        <f t="shared" si="330"/>
        <v>1589.21325</v>
      </c>
      <c r="H1446">
        <f t="shared" si="333"/>
        <v>104000000</v>
      </c>
      <c r="I1446">
        <f t="shared" si="332"/>
        <v>49920000</v>
      </c>
      <c r="K1446">
        <f t="shared" si="334"/>
        <v>205191939</v>
      </c>
      <c r="M1446">
        <f t="shared" si="331"/>
        <v>36489581</v>
      </c>
      <c r="N1446">
        <f t="shared" si="336"/>
        <v>276493861</v>
      </c>
      <c r="O1446">
        <f t="shared" si="328"/>
        <v>0.394863158350028</v>
      </c>
    </row>
    <row r="1447" ht="13.9" spans="1:15">
      <c r="A1447" s="42" t="s">
        <v>985</v>
      </c>
      <c r="B1447" s="11">
        <v>28354501</v>
      </c>
      <c r="C1447" s="11">
        <v>4568297</v>
      </c>
      <c r="D1447" s="11">
        <v>91</v>
      </c>
      <c r="E1447">
        <f t="shared" si="335"/>
        <v>91</v>
      </c>
      <c r="F1447">
        <f t="shared" si="329"/>
        <v>14177250.5</v>
      </c>
      <c r="G1447">
        <f t="shared" si="330"/>
        <v>1417.72505</v>
      </c>
      <c r="H1447">
        <f t="shared" si="333"/>
        <v>91000000</v>
      </c>
      <c r="I1447">
        <f t="shared" si="332"/>
        <v>43680000</v>
      </c>
      <c r="K1447">
        <f t="shared" si="334"/>
        <v>176837438</v>
      </c>
      <c r="M1447">
        <f t="shared" si="331"/>
        <v>32922798</v>
      </c>
      <c r="N1447">
        <f t="shared" si="336"/>
        <v>240004280</v>
      </c>
      <c r="O1447">
        <f t="shared" si="328"/>
        <v>0.469474768602206</v>
      </c>
    </row>
    <row r="1448" ht="13.9" spans="1:15">
      <c r="A1448" s="42" t="s">
        <v>986</v>
      </c>
      <c r="B1448" s="11">
        <v>23782276</v>
      </c>
      <c r="C1448" s="11">
        <v>3908243</v>
      </c>
      <c r="D1448" s="11">
        <v>78</v>
      </c>
      <c r="E1448">
        <f t="shared" si="335"/>
        <v>78</v>
      </c>
      <c r="F1448">
        <f t="shared" si="329"/>
        <v>11891138</v>
      </c>
      <c r="G1448">
        <f t="shared" si="330"/>
        <v>1189.1138</v>
      </c>
      <c r="H1448">
        <f t="shared" si="333"/>
        <v>78000000</v>
      </c>
      <c r="I1448">
        <f t="shared" si="332"/>
        <v>37440000</v>
      </c>
      <c r="K1448">
        <f t="shared" si="334"/>
        <v>153055162</v>
      </c>
      <c r="M1448">
        <f t="shared" si="331"/>
        <v>27690519</v>
      </c>
      <c r="N1448">
        <f t="shared" si="336"/>
        <v>207081482</v>
      </c>
      <c r="O1448">
        <f t="shared" si="328"/>
        <v>0.384170431973457</v>
      </c>
    </row>
    <row r="1449" ht="13.85" spans="1:15">
      <c r="A1449" s="43">
        <v>41193</v>
      </c>
      <c r="B1449" s="11">
        <v>24532617</v>
      </c>
      <c r="C1449" s="11">
        <v>4100508</v>
      </c>
      <c r="D1449" s="11">
        <v>67</v>
      </c>
      <c r="E1449">
        <f t="shared" si="335"/>
        <v>67</v>
      </c>
      <c r="F1449">
        <f t="shared" si="329"/>
        <v>12266308.5</v>
      </c>
      <c r="G1449">
        <f t="shared" si="330"/>
        <v>1226.63085</v>
      </c>
      <c r="H1449">
        <f t="shared" si="333"/>
        <v>67000000</v>
      </c>
      <c r="I1449">
        <f t="shared" si="332"/>
        <v>32160000</v>
      </c>
      <c r="K1449">
        <f t="shared" si="334"/>
        <v>128522545</v>
      </c>
      <c r="M1449">
        <f t="shared" si="331"/>
        <v>28633125</v>
      </c>
      <c r="N1449">
        <f t="shared" si="336"/>
        <v>179390963</v>
      </c>
      <c r="O1449">
        <f t="shared" si="328"/>
        <v>0.605307237004901</v>
      </c>
    </row>
    <row r="1450" ht="13.85" spans="1:15">
      <c r="A1450" s="43">
        <v>41101</v>
      </c>
      <c r="B1450" s="11">
        <v>21170696</v>
      </c>
      <c r="C1450" s="11">
        <v>3610108</v>
      </c>
      <c r="D1450" s="11">
        <v>52</v>
      </c>
      <c r="E1450">
        <f t="shared" si="335"/>
        <v>52</v>
      </c>
      <c r="F1450">
        <f t="shared" si="329"/>
        <v>10585348</v>
      </c>
      <c r="G1450">
        <f t="shared" si="330"/>
        <v>1058.5348</v>
      </c>
      <c r="H1450">
        <f t="shared" si="333"/>
        <v>52000000</v>
      </c>
      <c r="I1450">
        <f t="shared" si="332"/>
        <v>24960000</v>
      </c>
      <c r="K1450">
        <f t="shared" si="334"/>
        <v>107351849</v>
      </c>
      <c r="M1450">
        <f t="shared" si="331"/>
        <v>24780804</v>
      </c>
      <c r="N1450">
        <f t="shared" si="336"/>
        <v>150757838</v>
      </c>
      <c r="O1450">
        <f t="shared" si="328"/>
        <v>0.451020117301312</v>
      </c>
    </row>
    <row r="1451" ht="13.85" spans="1:15">
      <c r="A1451" s="43">
        <v>40979</v>
      </c>
      <c r="B1451" s="11">
        <v>22662144</v>
      </c>
      <c r="C1451" s="11">
        <v>3944208</v>
      </c>
      <c r="D1451" s="11">
        <v>40</v>
      </c>
      <c r="E1451">
        <f t="shared" si="335"/>
        <v>40</v>
      </c>
      <c r="F1451">
        <f t="shared" si="329"/>
        <v>11331072</v>
      </c>
      <c r="G1451">
        <f t="shared" si="330"/>
        <v>1133.1072</v>
      </c>
      <c r="H1451">
        <f t="shared" si="333"/>
        <v>40000000</v>
      </c>
      <c r="I1451">
        <f t="shared" si="332"/>
        <v>19200000</v>
      </c>
      <c r="K1451">
        <f t="shared" si="334"/>
        <v>84689705</v>
      </c>
      <c r="M1451">
        <f t="shared" si="331"/>
        <v>26606352</v>
      </c>
      <c r="N1451">
        <f t="shared" si="336"/>
        <v>125977034</v>
      </c>
      <c r="O1451">
        <f t="shared" si="328"/>
        <v>0.392656160554835</v>
      </c>
    </row>
    <row r="1452" ht="13.9" spans="1:15">
      <c r="A1452" s="42" t="s">
        <v>987</v>
      </c>
      <c r="B1452" s="11">
        <v>19524656</v>
      </c>
      <c r="C1452" s="11">
        <v>3396161</v>
      </c>
      <c r="D1452" s="11">
        <v>31</v>
      </c>
      <c r="E1452">
        <f t="shared" si="335"/>
        <v>31</v>
      </c>
      <c r="F1452">
        <f t="shared" si="329"/>
        <v>9762328</v>
      </c>
      <c r="G1452">
        <f t="shared" si="330"/>
        <v>976.2328</v>
      </c>
      <c r="H1452">
        <f t="shared" si="333"/>
        <v>31000000</v>
      </c>
      <c r="I1452">
        <f t="shared" si="332"/>
        <v>14880000</v>
      </c>
      <c r="K1452">
        <f t="shared" si="334"/>
        <v>65165049</v>
      </c>
      <c r="M1452">
        <f t="shared" si="331"/>
        <v>22920817</v>
      </c>
      <c r="N1452">
        <f t="shared" si="336"/>
        <v>99370682</v>
      </c>
      <c r="O1452">
        <f t="shared" si="328"/>
        <v>0.263328053166987</v>
      </c>
    </row>
    <row r="1453" ht="13.9" spans="1:15">
      <c r="A1453" s="42" t="s">
        <v>988</v>
      </c>
      <c r="B1453" s="11">
        <v>19301014</v>
      </c>
      <c r="C1453" s="11">
        <v>3484253</v>
      </c>
      <c r="D1453" s="11">
        <v>25</v>
      </c>
      <c r="E1453">
        <f t="shared" si="335"/>
        <v>25</v>
      </c>
      <c r="F1453">
        <f t="shared" si="329"/>
        <v>9650507</v>
      </c>
      <c r="G1453">
        <f t="shared" si="330"/>
        <v>965.0507</v>
      </c>
      <c r="H1453">
        <f t="shared" si="333"/>
        <v>25000000</v>
      </c>
      <c r="I1453">
        <f t="shared" si="332"/>
        <v>12000000</v>
      </c>
      <c r="K1453">
        <f t="shared" si="334"/>
        <v>45864035</v>
      </c>
      <c r="M1453">
        <f t="shared" si="331"/>
        <v>22785267</v>
      </c>
      <c r="N1453">
        <f t="shared" si="336"/>
        <v>76449865</v>
      </c>
      <c r="O1453">
        <f t="shared" si="328"/>
        <v>0.213234956391106</v>
      </c>
    </row>
    <row r="1454" ht="13.9" spans="1:15">
      <c r="A1454" s="42" t="s">
        <v>989</v>
      </c>
      <c r="B1454" s="11">
        <v>19958434</v>
      </c>
      <c r="C1454" s="11">
        <v>3489879</v>
      </c>
      <c r="D1454" s="11">
        <v>20</v>
      </c>
      <c r="E1454">
        <f t="shared" si="335"/>
        <v>20</v>
      </c>
      <c r="F1454">
        <f t="shared" si="329"/>
        <v>9979217</v>
      </c>
      <c r="G1454">
        <f t="shared" si="330"/>
        <v>997.9217</v>
      </c>
      <c r="H1454">
        <f t="shared" si="333"/>
        <v>20000000</v>
      </c>
      <c r="I1454">
        <f t="shared" si="332"/>
        <v>9600000</v>
      </c>
      <c r="K1454">
        <f t="shared" si="334"/>
        <v>25905601</v>
      </c>
      <c r="M1454">
        <f t="shared" si="331"/>
        <v>23448313</v>
      </c>
      <c r="N1454">
        <f t="shared" si="336"/>
        <v>53664598</v>
      </c>
      <c r="O1454">
        <f t="shared" si="328"/>
        <v>0</v>
      </c>
    </row>
    <row r="1455" ht="13.9" spans="1:15">
      <c r="A1455" s="42" t="s">
        <v>990</v>
      </c>
      <c r="B1455" s="11">
        <v>25905601</v>
      </c>
      <c r="C1455" s="11">
        <v>4310684</v>
      </c>
      <c r="D1455" s="11">
        <v>60</v>
      </c>
      <c r="E1455">
        <f t="shared" si="335"/>
        <v>60</v>
      </c>
      <c r="F1455">
        <f t="shared" si="329"/>
        <v>12952800.5</v>
      </c>
      <c r="G1455">
        <f t="shared" si="330"/>
        <v>1295.28005</v>
      </c>
      <c r="H1455">
        <f t="shared" si="333"/>
        <v>60000000</v>
      </c>
      <c r="I1455">
        <f t="shared" si="332"/>
        <v>28800000</v>
      </c>
      <c r="K1455">
        <f t="shared" si="334"/>
        <v>174904972</v>
      </c>
      <c r="M1455">
        <f t="shared" si="331"/>
        <v>30216285</v>
      </c>
      <c r="N1455">
        <f t="shared" si="336"/>
        <v>230295821</v>
      </c>
      <c r="O1455">
        <f t="shared" si="328"/>
        <v>0.529014059493299</v>
      </c>
    </row>
    <row r="1456" ht="13.9" spans="1:15">
      <c r="A1456" s="42" t="s">
        <v>991</v>
      </c>
      <c r="B1456" s="11">
        <v>22607166</v>
      </c>
      <c r="C1456" s="11">
        <v>3857159</v>
      </c>
      <c r="D1456" s="11">
        <v>46</v>
      </c>
      <c r="E1456">
        <f t="shared" si="335"/>
        <v>46</v>
      </c>
      <c r="F1456">
        <f t="shared" si="329"/>
        <v>11303583</v>
      </c>
      <c r="G1456">
        <f t="shared" si="330"/>
        <v>1130.3583</v>
      </c>
      <c r="H1456">
        <f t="shared" si="333"/>
        <v>46000000</v>
      </c>
      <c r="I1456">
        <f t="shared" si="332"/>
        <v>22080000</v>
      </c>
      <c r="K1456">
        <f t="shared" si="334"/>
        <v>152297806</v>
      </c>
      <c r="M1456">
        <f t="shared" si="331"/>
        <v>26464325</v>
      </c>
      <c r="N1456">
        <f t="shared" si="336"/>
        <v>200079536</v>
      </c>
      <c r="O1456">
        <f t="shared" si="328"/>
        <v>0.381853197440806</v>
      </c>
    </row>
    <row r="1457" ht="13.85" spans="1:15">
      <c r="A1457" s="43">
        <v>40888</v>
      </c>
      <c r="B1457" s="11">
        <v>24638266</v>
      </c>
      <c r="C1457" s="11">
        <v>4168616</v>
      </c>
      <c r="D1457" s="11">
        <v>35</v>
      </c>
      <c r="E1457">
        <f t="shared" si="335"/>
        <v>35</v>
      </c>
      <c r="F1457">
        <f t="shared" si="329"/>
        <v>12319133</v>
      </c>
      <c r="G1457">
        <f t="shared" si="330"/>
        <v>1231.9133</v>
      </c>
      <c r="H1457">
        <f t="shared" si="333"/>
        <v>35000000</v>
      </c>
      <c r="I1457">
        <f t="shared" si="332"/>
        <v>16800000</v>
      </c>
      <c r="K1457">
        <f t="shared" si="334"/>
        <v>127659540</v>
      </c>
      <c r="M1457">
        <f t="shared" si="331"/>
        <v>28806882</v>
      </c>
      <c r="N1457">
        <f t="shared" si="336"/>
        <v>173615211</v>
      </c>
      <c r="O1457">
        <f t="shared" si="328"/>
        <v>0.410471573140103</v>
      </c>
    </row>
    <row r="1458" ht="13.85" spans="1:15">
      <c r="A1458" s="43">
        <v>40797</v>
      </c>
      <c r="B1458" s="11">
        <v>20767046</v>
      </c>
      <c r="C1458" s="11">
        <v>3595177</v>
      </c>
      <c r="D1458" s="11">
        <v>25</v>
      </c>
      <c r="E1458">
        <f t="shared" si="335"/>
        <v>25</v>
      </c>
      <c r="F1458">
        <f t="shared" si="329"/>
        <v>10383523</v>
      </c>
      <c r="G1458">
        <f t="shared" si="330"/>
        <v>1038.3523</v>
      </c>
      <c r="H1458">
        <f t="shared" si="333"/>
        <v>25000000</v>
      </c>
      <c r="I1458">
        <f t="shared" si="332"/>
        <v>12000000</v>
      </c>
      <c r="K1458">
        <f t="shared" si="334"/>
        <v>106892494</v>
      </c>
      <c r="M1458">
        <f t="shared" si="331"/>
        <v>24362223</v>
      </c>
      <c r="N1458">
        <f t="shared" si="336"/>
        <v>144808329</v>
      </c>
      <c r="O1458">
        <f t="shared" si="328"/>
        <v>0.18387799650801</v>
      </c>
    </row>
    <row r="1459" ht="13.85" spans="1:15">
      <c r="A1459" s="43">
        <v>40674</v>
      </c>
      <c r="B1459" s="11">
        <v>23222895</v>
      </c>
      <c r="C1459" s="11">
        <v>3969048</v>
      </c>
      <c r="D1459" s="11">
        <v>20</v>
      </c>
      <c r="E1459">
        <f t="shared" si="335"/>
        <v>20</v>
      </c>
      <c r="F1459">
        <f t="shared" si="329"/>
        <v>11611447.5</v>
      </c>
      <c r="G1459">
        <f t="shared" si="330"/>
        <v>1161.14475</v>
      </c>
      <c r="H1459">
        <f t="shared" si="333"/>
        <v>20000000</v>
      </c>
      <c r="I1459">
        <f t="shared" si="332"/>
        <v>9600000</v>
      </c>
      <c r="K1459">
        <f t="shared" si="334"/>
        <v>83669599</v>
      </c>
      <c r="M1459">
        <f t="shared" si="331"/>
        <v>27191943</v>
      </c>
      <c r="N1459">
        <f t="shared" si="336"/>
        <v>120446106</v>
      </c>
      <c r="O1459">
        <f t="shared" si="328"/>
        <v>0</v>
      </c>
    </row>
    <row r="1460" ht="13.85" spans="1:15">
      <c r="A1460" s="43">
        <v>40585</v>
      </c>
      <c r="B1460" s="11">
        <v>83669599</v>
      </c>
      <c r="C1460" s="11">
        <v>9584564</v>
      </c>
      <c r="D1460" s="11">
        <v>245</v>
      </c>
      <c r="E1460">
        <f t="shared" si="335"/>
        <v>245</v>
      </c>
      <c r="F1460">
        <f t="shared" si="329"/>
        <v>41834799.5</v>
      </c>
      <c r="G1460">
        <f t="shared" si="330"/>
        <v>4183.47995</v>
      </c>
      <c r="H1460">
        <f t="shared" si="333"/>
        <v>245000000</v>
      </c>
      <c r="I1460">
        <f t="shared" si="332"/>
        <v>117600000</v>
      </c>
      <c r="K1460">
        <f t="shared" si="334"/>
        <v>412843860</v>
      </c>
      <c r="M1460">
        <f t="shared" si="331"/>
        <v>93254163</v>
      </c>
      <c r="N1460">
        <f t="shared" si="336"/>
        <v>569230488</v>
      </c>
      <c r="O1460">
        <f t="shared" si="328"/>
        <v>0.619571612255445</v>
      </c>
    </row>
    <row r="1461" ht="13.9" spans="1:15">
      <c r="A1461" s="42" t="s">
        <v>992</v>
      </c>
      <c r="B1461" s="11">
        <v>60224206</v>
      </c>
      <c r="C1461" s="11">
        <v>7564568</v>
      </c>
      <c r="D1461" s="11">
        <v>203</v>
      </c>
      <c r="E1461">
        <f t="shared" si="335"/>
        <v>203</v>
      </c>
      <c r="F1461">
        <f t="shared" si="329"/>
        <v>30112103</v>
      </c>
      <c r="G1461">
        <f t="shared" si="330"/>
        <v>3011.2103</v>
      </c>
      <c r="H1461">
        <f t="shared" si="333"/>
        <v>203000000</v>
      </c>
      <c r="I1461">
        <f t="shared" si="332"/>
        <v>97440000</v>
      </c>
      <c r="K1461">
        <f t="shared" si="334"/>
        <v>352619654</v>
      </c>
      <c r="M1461">
        <f t="shared" si="331"/>
        <v>67788774</v>
      </c>
      <c r="N1461">
        <f t="shared" si="336"/>
        <v>475976325</v>
      </c>
      <c r="O1461">
        <f t="shared" si="328"/>
        <v>0.556567136940543</v>
      </c>
    </row>
    <row r="1462" ht="13.9" spans="1:15">
      <c r="A1462" s="42" t="s">
        <v>993</v>
      </c>
      <c r="B1462" s="11">
        <v>47733264</v>
      </c>
      <c r="C1462" s="11">
        <v>6168589</v>
      </c>
      <c r="D1462" s="11">
        <v>173</v>
      </c>
      <c r="E1462">
        <f t="shared" si="335"/>
        <v>173</v>
      </c>
      <c r="F1462">
        <f t="shared" si="329"/>
        <v>23866632</v>
      </c>
      <c r="G1462">
        <f t="shared" si="330"/>
        <v>2386.6632</v>
      </c>
      <c r="H1462">
        <f t="shared" si="333"/>
        <v>173000000</v>
      </c>
      <c r="I1462">
        <f t="shared" si="332"/>
        <v>83040000</v>
      </c>
      <c r="K1462">
        <f t="shared" si="334"/>
        <v>304886390</v>
      </c>
      <c r="M1462">
        <f t="shared" si="331"/>
        <v>53901853</v>
      </c>
      <c r="N1462">
        <f t="shared" si="336"/>
        <v>408187551</v>
      </c>
      <c r="O1462">
        <f t="shared" si="328"/>
        <v>0.528865433025285</v>
      </c>
    </row>
    <row r="1463" ht="13.9" spans="1:15">
      <c r="A1463" s="42" t="s">
        <v>994</v>
      </c>
      <c r="B1463" s="11">
        <v>41452063</v>
      </c>
      <c r="C1463" s="11">
        <v>5818941</v>
      </c>
      <c r="D1463" s="11">
        <v>148</v>
      </c>
      <c r="E1463">
        <f t="shared" si="335"/>
        <v>148</v>
      </c>
      <c r="F1463">
        <f t="shared" si="329"/>
        <v>20726031.5</v>
      </c>
      <c r="G1463">
        <f t="shared" si="330"/>
        <v>2072.60315</v>
      </c>
      <c r="H1463">
        <f t="shared" si="333"/>
        <v>148000000</v>
      </c>
      <c r="I1463">
        <f t="shared" si="332"/>
        <v>71040000</v>
      </c>
      <c r="K1463">
        <f t="shared" si="334"/>
        <v>263434327</v>
      </c>
      <c r="M1463">
        <f t="shared" si="331"/>
        <v>47271004</v>
      </c>
      <c r="N1463">
        <f t="shared" si="336"/>
        <v>354285698</v>
      </c>
      <c r="O1463">
        <f t="shared" si="328"/>
        <v>0.591394995822534</v>
      </c>
    </row>
    <row r="1464" ht="13.9" spans="1:15">
      <c r="A1464" s="42" t="s">
        <v>995</v>
      </c>
      <c r="B1464" s="11">
        <v>35546862</v>
      </c>
      <c r="C1464" s="11">
        <v>5035152</v>
      </c>
      <c r="D1464" s="11">
        <v>124</v>
      </c>
      <c r="E1464">
        <f t="shared" si="335"/>
        <v>124</v>
      </c>
      <c r="F1464">
        <f t="shared" si="329"/>
        <v>17773431</v>
      </c>
      <c r="G1464">
        <f t="shared" si="330"/>
        <v>1777.3431</v>
      </c>
      <c r="H1464">
        <f t="shared" si="333"/>
        <v>124000000</v>
      </c>
      <c r="I1464">
        <f t="shared" si="332"/>
        <v>59520000</v>
      </c>
      <c r="K1464">
        <f t="shared" si="334"/>
        <v>227887465</v>
      </c>
      <c r="M1464">
        <f t="shared" si="331"/>
        <v>40582014</v>
      </c>
      <c r="N1464">
        <f t="shared" si="336"/>
        <v>307014694</v>
      </c>
      <c r="O1464">
        <f t="shared" si="328"/>
        <v>0.489675968267863</v>
      </c>
    </row>
    <row r="1465" ht="13.9" spans="1:15">
      <c r="A1465" s="42" t="s">
        <v>996</v>
      </c>
      <c r="B1465" s="11">
        <v>33736971</v>
      </c>
      <c r="C1465" s="11">
        <v>5064198</v>
      </c>
      <c r="D1465" s="11">
        <v>105</v>
      </c>
      <c r="E1465">
        <f t="shared" si="335"/>
        <v>105</v>
      </c>
      <c r="F1465">
        <f t="shared" si="329"/>
        <v>16868485.5</v>
      </c>
      <c r="G1465">
        <f t="shared" si="330"/>
        <v>1686.84855</v>
      </c>
      <c r="H1465">
        <f t="shared" si="333"/>
        <v>105000000</v>
      </c>
      <c r="I1465">
        <f t="shared" si="332"/>
        <v>50400000</v>
      </c>
      <c r="K1465">
        <f t="shared" si="334"/>
        <v>194150494</v>
      </c>
      <c r="M1465">
        <f t="shared" si="331"/>
        <v>38801169</v>
      </c>
      <c r="N1465">
        <f t="shared" si="336"/>
        <v>266432680</v>
      </c>
      <c r="O1465">
        <f t="shared" si="328"/>
        <v>0.639742163705643</v>
      </c>
    </row>
    <row r="1466" ht="13.85" spans="1:15">
      <c r="A1466" s="43">
        <v>40523</v>
      </c>
      <c r="B1466" s="11">
        <v>25587195</v>
      </c>
      <c r="C1466" s="11">
        <v>4112270</v>
      </c>
      <c r="D1466" s="11">
        <v>86</v>
      </c>
      <c r="E1466">
        <f t="shared" si="335"/>
        <v>86</v>
      </c>
      <c r="F1466">
        <f t="shared" si="329"/>
        <v>12793597.5</v>
      </c>
      <c r="G1466">
        <f t="shared" si="330"/>
        <v>1279.35975</v>
      </c>
      <c r="H1466">
        <f t="shared" si="333"/>
        <v>86000000</v>
      </c>
      <c r="I1466">
        <f t="shared" si="332"/>
        <v>41280000</v>
      </c>
      <c r="K1466">
        <f t="shared" si="334"/>
        <v>168563299</v>
      </c>
      <c r="M1466">
        <f t="shared" si="331"/>
        <v>29699465</v>
      </c>
      <c r="N1466">
        <f t="shared" si="336"/>
        <v>227631511</v>
      </c>
      <c r="O1466">
        <f t="shared" si="328"/>
        <v>0.494766524624695</v>
      </c>
    </row>
    <row r="1467" ht="13.85" spans="1:15">
      <c r="A1467" s="43">
        <v>40401</v>
      </c>
      <c r="B1467" s="11">
        <v>26022291</v>
      </c>
      <c r="C1467" s="11">
        <v>4295039</v>
      </c>
      <c r="D1467" s="11">
        <v>71</v>
      </c>
      <c r="E1467">
        <f t="shared" si="335"/>
        <v>71</v>
      </c>
      <c r="F1467">
        <f t="shared" si="329"/>
        <v>13011145.5</v>
      </c>
      <c r="G1467">
        <f t="shared" si="330"/>
        <v>1301.11455</v>
      </c>
      <c r="H1467">
        <f t="shared" si="333"/>
        <v>71000000</v>
      </c>
      <c r="I1467">
        <f t="shared" si="332"/>
        <v>34080000</v>
      </c>
      <c r="K1467">
        <f t="shared" si="334"/>
        <v>142541008</v>
      </c>
      <c r="M1467">
        <f t="shared" si="331"/>
        <v>30317330</v>
      </c>
      <c r="N1467">
        <f t="shared" si="336"/>
        <v>197932046</v>
      </c>
      <c r="O1467">
        <f t="shared" si="328"/>
        <v>0.499509731198828</v>
      </c>
    </row>
    <row r="1468" ht="13.85" spans="1:15">
      <c r="A1468" s="43">
        <v>40309</v>
      </c>
      <c r="B1468" s="11">
        <v>22271967</v>
      </c>
      <c r="C1468" s="11">
        <v>3753552</v>
      </c>
      <c r="D1468" s="11">
        <v>58</v>
      </c>
      <c r="E1468">
        <f t="shared" si="335"/>
        <v>58</v>
      </c>
      <c r="F1468">
        <f t="shared" si="329"/>
        <v>11135983.5</v>
      </c>
      <c r="G1468">
        <f t="shared" si="330"/>
        <v>1113.59835</v>
      </c>
      <c r="H1468">
        <f t="shared" si="333"/>
        <v>58000000</v>
      </c>
      <c r="I1468">
        <f t="shared" si="332"/>
        <v>27840000</v>
      </c>
      <c r="K1468">
        <f t="shared" si="334"/>
        <v>120269041</v>
      </c>
      <c r="M1468">
        <f t="shared" si="331"/>
        <v>26025519</v>
      </c>
      <c r="N1468">
        <f t="shared" si="336"/>
        <v>167614716</v>
      </c>
      <c r="O1468">
        <f t="shared" si="328"/>
        <v>0.412591667553739</v>
      </c>
    </row>
    <row r="1469" ht="13.85" spans="1:15">
      <c r="A1469" s="43">
        <v>40189</v>
      </c>
      <c r="B1469" s="11">
        <v>22686123</v>
      </c>
      <c r="C1469" s="11">
        <v>3974619</v>
      </c>
      <c r="D1469" s="11">
        <v>47</v>
      </c>
      <c r="E1469">
        <f t="shared" si="335"/>
        <v>47</v>
      </c>
      <c r="F1469">
        <f t="shared" si="329"/>
        <v>11343061.5</v>
      </c>
      <c r="G1469">
        <f t="shared" si="330"/>
        <v>1134.30615</v>
      </c>
      <c r="H1469">
        <f t="shared" si="333"/>
        <v>47000000</v>
      </c>
      <c r="I1469">
        <f t="shared" si="332"/>
        <v>22560000</v>
      </c>
      <c r="K1469">
        <f t="shared" si="334"/>
        <v>97582918</v>
      </c>
      <c r="M1469">
        <f t="shared" si="331"/>
        <v>26660742</v>
      </c>
      <c r="N1469">
        <f t="shared" si="336"/>
        <v>141589197</v>
      </c>
      <c r="O1469">
        <f t="shared" si="328"/>
        <v>0.444241633330774</v>
      </c>
    </row>
    <row r="1470" ht="13.9" spans="1:15">
      <c r="A1470" s="42" t="s">
        <v>997</v>
      </c>
      <c r="B1470" s="11">
        <v>19116699</v>
      </c>
      <c r="C1470" s="11">
        <v>3393573</v>
      </c>
      <c r="D1470" s="11">
        <v>37</v>
      </c>
      <c r="E1470">
        <f t="shared" si="335"/>
        <v>37</v>
      </c>
      <c r="F1470">
        <f t="shared" si="329"/>
        <v>9558349.5</v>
      </c>
      <c r="G1470">
        <f t="shared" si="330"/>
        <v>955.83495</v>
      </c>
      <c r="H1470">
        <f t="shared" si="333"/>
        <v>37000000</v>
      </c>
      <c r="I1470">
        <f t="shared" si="332"/>
        <v>17760000</v>
      </c>
      <c r="K1470">
        <f t="shared" si="334"/>
        <v>78466219</v>
      </c>
      <c r="M1470">
        <f t="shared" si="331"/>
        <v>22510272</v>
      </c>
      <c r="N1470">
        <f t="shared" si="336"/>
        <v>114928455</v>
      </c>
      <c r="O1470">
        <f t="shared" si="328"/>
        <v>0.285129084453768</v>
      </c>
    </row>
    <row r="1471" ht="13.9" spans="1:15">
      <c r="A1471" s="42" t="s">
        <v>998</v>
      </c>
      <c r="B1471" s="11">
        <v>20863035</v>
      </c>
      <c r="C1471" s="11">
        <v>3687249</v>
      </c>
      <c r="D1471" s="11">
        <v>30</v>
      </c>
      <c r="E1471">
        <f t="shared" si="335"/>
        <v>30</v>
      </c>
      <c r="F1471">
        <f t="shared" si="329"/>
        <v>10431517.5</v>
      </c>
      <c r="G1471">
        <f t="shared" si="330"/>
        <v>1043.15175</v>
      </c>
      <c r="H1471">
        <f t="shared" si="333"/>
        <v>30000000</v>
      </c>
      <c r="I1471">
        <f t="shared" si="332"/>
        <v>14400000</v>
      </c>
      <c r="K1471">
        <f t="shared" si="334"/>
        <v>57603184</v>
      </c>
      <c r="M1471">
        <f t="shared" si="331"/>
        <v>24550284</v>
      </c>
      <c r="N1471">
        <f t="shared" si="336"/>
        <v>92418183</v>
      </c>
      <c r="O1471">
        <f t="shared" si="328"/>
        <v>0.231312323635919</v>
      </c>
    </row>
    <row r="1472" ht="13.9" spans="1:15">
      <c r="A1472" s="42" t="s">
        <v>999</v>
      </c>
      <c r="B1472" s="11">
        <v>18344632</v>
      </c>
      <c r="C1472" s="11">
        <v>3271164</v>
      </c>
      <c r="D1472" s="11">
        <v>25</v>
      </c>
      <c r="E1472">
        <f t="shared" si="335"/>
        <v>25</v>
      </c>
      <c r="F1472">
        <f t="shared" si="329"/>
        <v>9172316</v>
      </c>
      <c r="G1472">
        <f t="shared" si="330"/>
        <v>917.2316</v>
      </c>
      <c r="H1472">
        <f t="shared" si="333"/>
        <v>25000000</v>
      </c>
      <c r="I1472">
        <f t="shared" si="332"/>
        <v>12000000</v>
      </c>
      <c r="K1472">
        <f t="shared" si="334"/>
        <v>39258552</v>
      </c>
      <c r="M1472">
        <f t="shared" si="331"/>
        <v>21615796</v>
      </c>
      <c r="N1472">
        <f t="shared" si="336"/>
        <v>67867899</v>
      </c>
      <c r="O1472">
        <f t="shared" si="328"/>
        <v>0.209204504474236</v>
      </c>
    </row>
    <row r="1473" ht="13.9" spans="1:15">
      <c r="A1473" s="42" t="s">
        <v>1000</v>
      </c>
      <c r="B1473" s="11">
        <v>20285788</v>
      </c>
      <c r="C1473" s="11">
        <v>3614271</v>
      </c>
      <c r="D1473" s="11">
        <v>20</v>
      </c>
      <c r="E1473">
        <f t="shared" si="335"/>
        <v>20</v>
      </c>
      <c r="F1473">
        <f t="shared" si="329"/>
        <v>10142894</v>
      </c>
      <c r="G1473">
        <f t="shared" si="330"/>
        <v>1014.2894</v>
      </c>
      <c r="H1473">
        <f t="shared" si="333"/>
        <v>20000000</v>
      </c>
      <c r="I1473">
        <f t="shared" si="332"/>
        <v>9600000</v>
      </c>
      <c r="K1473">
        <f t="shared" si="334"/>
        <v>18972764</v>
      </c>
      <c r="M1473">
        <f t="shared" si="331"/>
        <v>23900059</v>
      </c>
      <c r="N1473">
        <f t="shared" si="336"/>
        <v>46252103</v>
      </c>
      <c r="O1473">
        <f t="shared" si="328"/>
        <v>0</v>
      </c>
    </row>
    <row r="1474" ht="13.9" spans="1:15">
      <c r="A1474" s="42" t="s">
        <v>1001</v>
      </c>
      <c r="B1474" s="11">
        <v>18972764</v>
      </c>
      <c r="C1474" s="11">
        <v>3379280</v>
      </c>
      <c r="D1474" s="11">
        <v>25</v>
      </c>
      <c r="E1474">
        <f t="shared" si="335"/>
        <v>25</v>
      </c>
      <c r="F1474">
        <f t="shared" si="329"/>
        <v>9486382</v>
      </c>
      <c r="G1474">
        <f t="shared" si="330"/>
        <v>948.6382</v>
      </c>
      <c r="H1474">
        <f t="shared" si="333"/>
        <v>25000000</v>
      </c>
      <c r="I1474">
        <f t="shared" si="332"/>
        <v>12000000</v>
      </c>
      <c r="K1474">
        <f t="shared" si="334"/>
        <v>54039365</v>
      </c>
      <c r="M1474">
        <f t="shared" si="331"/>
        <v>22352044</v>
      </c>
      <c r="N1474">
        <f t="shared" si="336"/>
        <v>84962353</v>
      </c>
      <c r="O1474">
        <f t="shared" si="328"/>
        <v>0.197284084702265</v>
      </c>
    </row>
    <row r="1475" ht="13.85" spans="1:15">
      <c r="A1475" s="43">
        <v>40097</v>
      </c>
      <c r="B1475" s="11">
        <v>21578237</v>
      </c>
      <c r="C1475" s="11">
        <v>3765926</v>
      </c>
      <c r="D1475" s="11">
        <v>20</v>
      </c>
      <c r="E1475">
        <f t="shared" si="335"/>
        <v>20</v>
      </c>
      <c r="F1475">
        <f t="shared" si="329"/>
        <v>10789118.5</v>
      </c>
      <c r="G1475">
        <f t="shared" si="330"/>
        <v>1078.91185</v>
      </c>
      <c r="H1475">
        <f t="shared" si="333"/>
        <v>20000000</v>
      </c>
      <c r="I1475">
        <f t="shared" si="332"/>
        <v>9600000</v>
      </c>
      <c r="K1475">
        <f t="shared" si="334"/>
        <v>32461128</v>
      </c>
      <c r="M1475">
        <f t="shared" si="331"/>
        <v>25344163</v>
      </c>
      <c r="N1475">
        <f t="shared" si="336"/>
        <v>62610309</v>
      </c>
      <c r="O1475">
        <f t="shared" ref="O1475:O1538" si="337">IF(H1475&gt;H1476,(H1475-H1476)/M1476,0)</f>
        <v>0</v>
      </c>
    </row>
    <row r="1476" ht="13.85" spans="1:15">
      <c r="A1476" s="43">
        <v>40005</v>
      </c>
      <c r="B1476" s="11">
        <v>32461128</v>
      </c>
      <c r="C1476" s="11">
        <v>4805018</v>
      </c>
      <c r="D1476" s="11">
        <v>107</v>
      </c>
      <c r="E1476">
        <f t="shared" si="335"/>
        <v>107</v>
      </c>
      <c r="F1476">
        <f t="shared" ref="F1476:F1539" si="338">B1476/2</f>
        <v>16230564</v>
      </c>
      <c r="G1476">
        <f t="shared" ref="G1476:G1539" si="339">F1476/10000</f>
        <v>1623.0564</v>
      </c>
      <c r="H1476">
        <f t="shared" si="333"/>
        <v>107000000</v>
      </c>
      <c r="I1476">
        <f t="shared" si="332"/>
        <v>51360000</v>
      </c>
      <c r="K1476">
        <f t="shared" si="334"/>
        <v>239581947</v>
      </c>
      <c r="M1476">
        <f t="shared" si="331"/>
        <v>37266146</v>
      </c>
      <c r="N1476">
        <f t="shared" si="336"/>
        <v>313208956</v>
      </c>
      <c r="O1476">
        <f t="shared" si="337"/>
        <v>0.448350498899215</v>
      </c>
    </row>
    <row r="1477" ht="13.85" spans="1:15">
      <c r="A1477" s="43">
        <v>39883</v>
      </c>
      <c r="B1477" s="11">
        <v>30796180</v>
      </c>
      <c r="C1477" s="11">
        <v>4890186</v>
      </c>
      <c r="D1477" s="11">
        <v>91</v>
      </c>
      <c r="E1477">
        <f t="shared" si="335"/>
        <v>91</v>
      </c>
      <c r="F1477">
        <f t="shared" si="338"/>
        <v>15398090</v>
      </c>
      <c r="G1477">
        <f t="shared" si="339"/>
        <v>1539.809</v>
      </c>
      <c r="H1477">
        <f t="shared" si="333"/>
        <v>91000000</v>
      </c>
      <c r="I1477">
        <f t="shared" si="332"/>
        <v>43680000</v>
      </c>
      <c r="K1477">
        <f t="shared" si="334"/>
        <v>208785767</v>
      </c>
      <c r="M1477">
        <f t="shared" si="331"/>
        <v>35686366</v>
      </c>
      <c r="N1477">
        <f t="shared" si="336"/>
        <v>275942810</v>
      </c>
      <c r="O1477">
        <f t="shared" si="337"/>
        <v>0.553065799275138</v>
      </c>
    </row>
    <row r="1478" ht="13.9" spans="1:15">
      <c r="A1478" s="42" t="s">
        <v>1002</v>
      </c>
      <c r="B1478" s="11">
        <v>24927632</v>
      </c>
      <c r="C1478" s="11">
        <v>4002018</v>
      </c>
      <c r="D1478" s="11">
        <v>75</v>
      </c>
      <c r="E1478">
        <f t="shared" si="335"/>
        <v>75</v>
      </c>
      <c r="F1478">
        <f t="shared" si="338"/>
        <v>12463816</v>
      </c>
      <c r="G1478">
        <f t="shared" si="339"/>
        <v>1246.3816</v>
      </c>
      <c r="H1478">
        <f t="shared" si="333"/>
        <v>75000000</v>
      </c>
      <c r="I1478">
        <f t="shared" si="332"/>
        <v>36000000</v>
      </c>
      <c r="K1478">
        <f t="shared" si="334"/>
        <v>183858135</v>
      </c>
      <c r="M1478">
        <f t="shared" si="331"/>
        <v>28929650</v>
      </c>
      <c r="N1478">
        <f t="shared" si="336"/>
        <v>240256444</v>
      </c>
      <c r="O1478">
        <f t="shared" si="337"/>
        <v>0.463152083397017</v>
      </c>
    </row>
    <row r="1479" ht="13.9" spans="1:15">
      <c r="A1479" s="42" t="s">
        <v>1003</v>
      </c>
      <c r="B1479" s="11">
        <v>25985886</v>
      </c>
      <c r="C1479" s="11">
        <v>4241766</v>
      </c>
      <c r="D1479" s="11">
        <v>61</v>
      </c>
      <c r="E1479">
        <f t="shared" si="335"/>
        <v>61</v>
      </c>
      <c r="F1479">
        <f t="shared" si="338"/>
        <v>12992943</v>
      </c>
      <c r="G1479">
        <f t="shared" si="339"/>
        <v>1299.2943</v>
      </c>
      <c r="H1479">
        <f t="shared" si="333"/>
        <v>61000000</v>
      </c>
      <c r="I1479">
        <f t="shared" si="332"/>
        <v>29280000</v>
      </c>
      <c r="K1479">
        <f t="shared" si="334"/>
        <v>157872249</v>
      </c>
      <c r="M1479">
        <f t="shared" ref="M1479:M1542" si="340">B1479+C1479</f>
        <v>30227652</v>
      </c>
      <c r="N1479">
        <f t="shared" si="336"/>
        <v>211326794</v>
      </c>
      <c r="O1479">
        <f t="shared" si="337"/>
        <v>0.533277608362677</v>
      </c>
    </row>
    <row r="1480" ht="13.9" spans="1:15">
      <c r="A1480" s="42" t="s">
        <v>1004</v>
      </c>
      <c r="B1480" s="11">
        <v>22534415</v>
      </c>
      <c r="C1480" s="11">
        <v>3718328</v>
      </c>
      <c r="D1480" s="11">
        <v>47</v>
      </c>
      <c r="E1480">
        <f t="shared" si="335"/>
        <v>47</v>
      </c>
      <c r="F1480">
        <f t="shared" si="338"/>
        <v>11267207.5</v>
      </c>
      <c r="G1480">
        <f t="shared" si="339"/>
        <v>1126.72075</v>
      </c>
      <c r="H1480">
        <f t="shared" si="333"/>
        <v>47000000</v>
      </c>
      <c r="I1480">
        <f t="shared" si="332"/>
        <v>22560000</v>
      </c>
      <c r="K1480">
        <f t="shared" si="334"/>
        <v>135337834</v>
      </c>
      <c r="M1480">
        <f t="shared" si="340"/>
        <v>26252743</v>
      </c>
      <c r="N1480">
        <f t="shared" si="336"/>
        <v>181099142</v>
      </c>
      <c r="O1480">
        <f t="shared" si="337"/>
        <v>0.365556144872678</v>
      </c>
    </row>
    <row r="1481" ht="13.9" spans="1:15">
      <c r="A1481" s="42" t="s">
        <v>1005</v>
      </c>
      <c r="B1481" s="11">
        <v>23371271</v>
      </c>
      <c r="C1481" s="11">
        <v>3984308</v>
      </c>
      <c r="D1481" s="11">
        <v>37</v>
      </c>
      <c r="E1481">
        <f t="shared" si="335"/>
        <v>37</v>
      </c>
      <c r="F1481">
        <f t="shared" si="338"/>
        <v>11685635.5</v>
      </c>
      <c r="G1481">
        <f t="shared" si="339"/>
        <v>1168.56355</v>
      </c>
      <c r="H1481">
        <f t="shared" si="333"/>
        <v>37000000</v>
      </c>
      <c r="I1481">
        <f t="shared" si="332"/>
        <v>17760000</v>
      </c>
      <c r="K1481">
        <f t="shared" si="334"/>
        <v>111966563</v>
      </c>
      <c r="M1481">
        <f t="shared" si="340"/>
        <v>27355579</v>
      </c>
      <c r="N1481">
        <f t="shared" si="336"/>
        <v>154846399</v>
      </c>
      <c r="O1481">
        <f t="shared" si="337"/>
        <v>0.507256022640189</v>
      </c>
    </row>
    <row r="1482" ht="13.9" spans="1:15">
      <c r="A1482" s="42" t="s">
        <v>1006</v>
      </c>
      <c r="B1482" s="11">
        <v>20176539</v>
      </c>
      <c r="C1482" s="11">
        <v>3480154</v>
      </c>
      <c r="D1482" s="11">
        <v>25</v>
      </c>
      <c r="E1482">
        <f t="shared" si="335"/>
        <v>25</v>
      </c>
      <c r="F1482">
        <f t="shared" si="338"/>
        <v>10088269.5</v>
      </c>
      <c r="G1482">
        <f t="shared" si="339"/>
        <v>1008.82695</v>
      </c>
      <c r="H1482">
        <f t="shared" si="333"/>
        <v>25000000</v>
      </c>
      <c r="I1482">
        <f t="shared" si="332"/>
        <v>12000000</v>
      </c>
      <c r="K1482">
        <f t="shared" si="334"/>
        <v>91790024</v>
      </c>
      <c r="M1482">
        <f t="shared" si="340"/>
        <v>23656693</v>
      </c>
      <c r="N1482">
        <f t="shared" si="336"/>
        <v>127490820</v>
      </c>
      <c r="O1482">
        <f t="shared" si="337"/>
        <v>0.186060004872539</v>
      </c>
    </row>
    <row r="1483" ht="13.9" spans="1:15">
      <c r="A1483" s="42" t="s">
        <v>1007</v>
      </c>
      <c r="B1483" s="11">
        <v>22968117</v>
      </c>
      <c r="C1483" s="11">
        <v>3904934</v>
      </c>
      <c r="D1483" s="11">
        <v>20</v>
      </c>
      <c r="E1483">
        <f t="shared" si="335"/>
        <v>20</v>
      </c>
      <c r="F1483">
        <f t="shared" si="338"/>
        <v>11484058.5</v>
      </c>
      <c r="G1483">
        <f t="shared" si="339"/>
        <v>1148.40585</v>
      </c>
      <c r="H1483">
        <f t="shared" si="333"/>
        <v>20000000</v>
      </c>
      <c r="I1483">
        <f t="shared" ref="I1483:I1546" si="341">H1483*0.48</f>
        <v>9600000</v>
      </c>
      <c r="K1483">
        <f t="shared" si="334"/>
        <v>68821907</v>
      </c>
      <c r="M1483">
        <f t="shared" si="340"/>
        <v>26873051</v>
      </c>
      <c r="N1483">
        <f t="shared" si="336"/>
        <v>103834127</v>
      </c>
      <c r="O1483">
        <f t="shared" si="337"/>
        <v>0</v>
      </c>
    </row>
    <row r="1484" ht="13.85" spans="1:15">
      <c r="A1484" s="43">
        <v>39732</v>
      </c>
      <c r="B1484" s="11">
        <v>68821907</v>
      </c>
      <c r="C1484" s="11">
        <v>8139169</v>
      </c>
      <c r="D1484" s="11">
        <v>220</v>
      </c>
      <c r="E1484">
        <f t="shared" si="335"/>
        <v>220</v>
      </c>
      <c r="F1484">
        <f t="shared" si="338"/>
        <v>34410953.5</v>
      </c>
      <c r="G1484">
        <f t="shared" si="339"/>
        <v>3441.09535</v>
      </c>
      <c r="H1484">
        <f t="shared" si="333"/>
        <v>220000000</v>
      </c>
      <c r="I1484">
        <f t="shared" si="341"/>
        <v>105600000</v>
      </c>
      <c r="K1484">
        <f t="shared" si="334"/>
        <v>339764174</v>
      </c>
      <c r="M1484">
        <f t="shared" si="340"/>
        <v>76961076</v>
      </c>
      <c r="N1484">
        <f t="shared" si="336"/>
        <v>470115754</v>
      </c>
      <c r="O1484">
        <f t="shared" si="337"/>
        <v>0.703969605408317</v>
      </c>
    </row>
    <row r="1485" ht="13.85" spans="1:15">
      <c r="A1485" s="43">
        <v>39610</v>
      </c>
      <c r="B1485" s="11">
        <v>50135080</v>
      </c>
      <c r="C1485" s="11">
        <v>6685555</v>
      </c>
      <c r="D1485" s="11">
        <v>180</v>
      </c>
      <c r="E1485">
        <f t="shared" si="335"/>
        <v>180</v>
      </c>
      <c r="F1485">
        <f t="shared" si="338"/>
        <v>25067540</v>
      </c>
      <c r="G1485">
        <f t="shared" si="339"/>
        <v>2506.754</v>
      </c>
      <c r="H1485">
        <f t="shared" si="333"/>
        <v>180000000</v>
      </c>
      <c r="I1485">
        <f t="shared" si="341"/>
        <v>86400000</v>
      </c>
      <c r="K1485">
        <f t="shared" si="334"/>
        <v>289629094</v>
      </c>
      <c r="M1485">
        <f t="shared" si="340"/>
        <v>56820635</v>
      </c>
      <c r="N1485">
        <f t="shared" si="336"/>
        <v>393154678</v>
      </c>
      <c r="O1485">
        <f t="shared" si="337"/>
        <v>0.412977171633746</v>
      </c>
    </row>
    <row r="1486" ht="13.85" spans="1:15">
      <c r="A1486" s="43">
        <v>39518</v>
      </c>
      <c r="B1486" s="11">
        <v>42621658</v>
      </c>
      <c r="C1486" s="11">
        <v>5807169</v>
      </c>
      <c r="D1486" s="11">
        <v>160</v>
      </c>
      <c r="E1486">
        <f t="shared" si="335"/>
        <v>160</v>
      </c>
      <c r="F1486">
        <f t="shared" si="338"/>
        <v>21310829</v>
      </c>
      <c r="G1486">
        <f t="shared" si="339"/>
        <v>2131.0829</v>
      </c>
      <c r="H1486">
        <f t="shared" si="333"/>
        <v>160000000</v>
      </c>
      <c r="I1486">
        <f t="shared" si="341"/>
        <v>76800000</v>
      </c>
      <c r="K1486">
        <f t="shared" si="334"/>
        <v>247007436</v>
      </c>
      <c r="M1486">
        <f t="shared" si="340"/>
        <v>48428827</v>
      </c>
      <c r="N1486">
        <f t="shared" si="336"/>
        <v>336334043</v>
      </c>
      <c r="O1486">
        <f t="shared" si="337"/>
        <v>0.617110612231781</v>
      </c>
    </row>
    <row r="1487" ht="13.9" spans="1:15">
      <c r="A1487" s="42" t="s">
        <v>1008</v>
      </c>
      <c r="B1487" s="11">
        <v>38186560</v>
      </c>
      <c r="C1487" s="11">
        <v>5565726</v>
      </c>
      <c r="D1487" s="11">
        <v>133</v>
      </c>
      <c r="E1487">
        <f t="shared" si="335"/>
        <v>133</v>
      </c>
      <c r="F1487">
        <f t="shared" si="338"/>
        <v>19093280</v>
      </c>
      <c r="G1487">
        <f t="shared" si="339"/>
        <v>1909.328</v>
      </c>
      <c r="H1487">
        <f t="shared" si="333"/>
        <v>133000000</v>
      </c>
      <c r="I1487">
        <f t="shared" si="341"/>
        <v>63840000</v>
      </c>
      <c r="K1487">
        <f t="shared" si="334"/>
        <v>208820876</v>
      </c>
      <c r="M1487">
        <f t="shared" si="340"/>
        <v>43752286</v>
      </c>
      <c r="N1487">
        <f t="shared" si="336"/>
        <v>287905216</v>
      </c>
      <c r="O1487">
        <f t="shared" si="337"/>
        <v>0.586286143508084</v>
      </c>
    </row>
    <row r="1488" ht="13.9" spans="1:15">
      <c r="A1488" s="42" t="s">
        <v>1009</v>
      </c>
      <c r="B1488" s="11">
        <v>32713879</v>
      </c>
      <c r="C1488" s="11">
        <v>4810460</v>
      </c>
      <c r="D1488" s="11">
        <v>111</v>
      </c>
      <c r="E1488">
        <f t="shared" si="335"/>
        <v>111</v>
      </c>
      <c r="F1488">
        <f t="shared" si="338"/>
        <v>16356939.5</v>
      </c>
      <c r="G1488">
        <f t="shared" si="339"/>
        <v>1635.69395</v>
      </c>
      <c r="H1488">
        <f t="shared" ref="H1488:H1551" si="342">E1488*1000000</f>
        <v>111000000</v>
      </c>
      <c r="I1488">
        <f t="shared" si="341"/>
        <v>53280000</v>
      </c>
      <c r="K1488">
        <f t="shared" si="334"/>
        <v>176106997</v>
      </c>
      <c r="M1488">
        <f t="shared" si="340"/>
        <v>37524339</v>
      </c>
      <c r="N1488">
        <f t="shared" si="336"/>
        <v>244152930</v>
      </c>
      <c r="O1488">
        <f t="shared" si="337"/>
        <v>0.585737928827601</v>
      </c>
    </row>
    <row r="1489" ht="13.9" spans="1:15">
      <c r="A1489" s="42" t="s">
        <v>1010</v>
      </c>
      <c r="B1489" s="11">
        <v>27911360</v>
      </c>
      <c r="C1489" s="11">
        <v>4526355</v>
      </c>
      <c r="D1489" s="11">
        <v>92</v>
      </c>
      <c r="E1489">
        <f t="shared" si="335"/>
        <v>92</v>
      </c>
      <c r="F1489">
        <f t="shared" si="338"/>
        <v>13955680</v>
      </c>
      <c r="G1489">
        <f t="shared" si="339"/>
        <v>1395.568</v>
      </c>
      <c r="H1489">
        <f t="shared" si="342"/>
        <v>92000000</v>
      </c>
      <c r="I1489">
        <f t="shared" si="341"/>
        <v>44160000</v>
      </c>
      <c r="K1489">
        <f t="shared" ref="K1489:K1552" si="343">IF(E1489&gt;E1490,B1490+K1490,B1490)</f>
        <v>148195637</v>
      </c>
      <c r="M1489">
        <f t="shared" si="340"/>
        <v>32437715</v>
      </c>
      <c r="N1489">
        <f t="shared" si="336"/>
        <v>206628591</v>
      </c>
      <c r="O1489">
        <f t="shared" si="337"/>
        <v>0.597171571498046</v>
      </c>
    </row>
    <row r="1490" ht="13.9" spans="1:15">
      <c r="A1490" s="42" t="s">
        <v>1011</v>
      </c>
      <c r="B1490" s="11">
        <v>22948855</v>
      </c>
      <c r="C1490" s="11">
        <v>3844115</v>
      </c>
      <c r="D1490" s="11">
        <v>76</v>
      </c>
      <c r="E1490">
        <f t="shared" ref="E1490:E1553" si="344">IF(RIGHT(D1490,1)="B",VALUE(LEFT(D1490,LEN(D1490)-1))*1000,D1490)</f>
        <v>76</v>
      </c>
      <c r="F1490">
        <f t="shared" si="338"/>
        <v>11474427.5</v>
      </c>
      <c r="G1490">
        <f t="shared" si="339"/>
        <v>1147.44275</v>
      </c>
      <c r="H1490">
        <f t="shared" si="342"/>
        <v>76000000</v>
      </c>
      <c r="I1490">
        <f t="shared" si="341"/>
        <v>36480000</v>
      </c>
      <c r="K1490">
        <f t="shared" si="343"/>
        <v>125246782</v>
      </c>
      <c r="M1490">
        <f t="shared" si="340"/>
        <v>26792970</v>
      </c>
      <c r="N1490">
        <f t="shared" si="336"/>
        <v>174190876</v>
      </c>
      <c r="O1490">
        <f t="shared" si="337"/>
        <v>0.540802678804779</v>
      </c>
    </row>
    <row r="1491" ht="13.9" spans="1:15">
      <c r="A1491" s="42" t="s">
        <v>1012</v>
      </c>
      <c r="B1491" s="11">
        <v>23639371</v>
      </c>
      <c r="C1491" s="11">
        <v>4097178</v>
      </c>
      <c r="D1491" s="11">
        <v>61</v>
      </c>
      <c r="E1491">
        <f t="shared" si="344"/>
        <v>61</v>
      </c>
      <c r="F1491">
        <f t="shared" si="338"/>
        <v>11819685.5</v>
      </c>
      <c r="G1491">
        <f t="shared" si="339"/>
        <v>1181.96855</v>
      </c>
      <c r="H1491">
        <f t="shared" si="342"/>
        <v>61000000</v>
      </c>
      <c r="I1491">
        <f t="shared" si="341"/>
        <v>29280000</v>
      </c>
      <c r="K1491">
        <f t="shared" si="343"/>
        <v>101607411</v>
      </c>
      <c r="M1491">
        <f t="shared" si="340"/>
        <v>27736549</v>
      </c>
      <c r="N1491">
        <f t="shared" si="336"/>
        <v>147397906</v>
      </c>
      <c r="O1491">
        <f t="shared" si="337"/>
        <v>0.547590016321973</v>
      </c>
    </row>
    <row r="1492" ht="13.9" spans="1:15">
      <c r="A1492" s="42" t="s">
        <v>1013</v>
      </c>
      <c r="B1492" s="11">
        <v>20203392</v>
      </c>
      <c r="C1492" s="11">
        <v>3536997</v>
      </c>
      <c r="D1492" s="11">
        <v>48</v>
      </c>
      <c r="E1492">
        <f t="shared" si="344"/>
        <v>48</v>
      </c>
      <c r="F1492">
        <f t="shared" si="338"/>
        <v>10101696</v>
      </c>
      <c r="G1492">
        <f t="shared" si="339"/>
        <v>1010.1696</v>
      </c>
      <c r="H1492">
        <f t="shared" si="342"/>
        <v>48000000</v>
      </c>
      <c r="I1492">
        <f t="shared" si="341"/>
        <v>23040000</v>
      </c>
      <c r="K1492">
        <f t="shared" si="343"/>
        <v>81404019</v>
      </c>
      <c r="M1492">
        <f t="shared" si="340"/>
        <v>23740389</v>
      </c>
      <c r="N1492">
        <f t="shared" si="336"/>
        <v>119661357</v>
      </c>
      <c r="O1492">
        <f t="shared" si="337"/>
        <v>0.484711962541783</v>
      </c>
    </row>
    <row r="1493" ht="13.85" spans="1:15">
      <c r="A1493" s="43">
        <v>39336</v>
      </c>
      <c r="B1493" s="11">
        <v>21005870</v>
      </c>
      <c r="C1493" s="11">
        <v>3751101</v>
      </c>
      <c r="D1493" s="11">
        <v>36</v>
      </c>
      <c r="E1493">
        <f t="shared" si="344"/>
        <v>36</v>
      </c>
      <c r="F1493">
        <f t="shared" si="338"/>
        <v>10502935</v>
      </c>
      <c r="G1493">
        <f t="shared" si="339"/>
        <v>1050.2935</v>
      </c>
      <c r="H1493">
        <f t="shared" si="342"/>
        <v>36000000</v>
      </c>
      <c r="I1493">
        <f t="shared" si="341"/>
        <v>17280000</v>
      </c>
      <c r="K1493">
        <f t="shared" si="343"/>
        <v>60398149</v>
      </c>
      <c r="M1493">
        <f t="shared" si="340"/>
        <v>24756971</v>
      </c>
      <c r="N1493">
        <f t="shared" si="336"/>
        <v>95920968</v>
      </c>
      <c r="O1493">
        <f t="shared" si="337"/>
        <v>0.535844958814469</v>
      </c>
    </row>
    <row r="1494" ht="13.85" spans="1:15">
      <c r="A1494" s="43">
        <v>39244</v>
      </c>
      <c r="B1494" s="11">
        <v>17347900</v>
      </c>
      <c r="C1494" s="11">
        <v>3180426</v>
      </c>
      <c r="D1494" s="11">
        <v>25</v>
      </c>
      <c r="E1494">
        <f t="shared" si="344"/>
        <v>25</v>
      </c>
      <c r="F1494">
        <f t="shared" si="338"/>
        <v>8673950</v>
      </c>
      <c r="G1494">
        <f t="shared" si="339"/>
        <v>867.395</v>
      </c>
      <c r="H1494">
        <f t="shared" si="342"/>
        <v>25000000</v>
      </c>
      <c r="I1494">
        <f t="shared" si="341"/>
        <v>12000000</v>
      </c>
      <c r="K1494">
        <f t="shared" si="343"/>
        <v>43050249</v>
      </c>
      <c r="M1494">
        <f t="shared" si="340"/>
        <v>20528326</v>
      </c>
      <c r="N1494">
        <f t="shared" si="336"/>
        <v>71163997</v>
      </c>
      <c r="O1494">
        <f t="shared" si="337"/>
        <v>0.208433624645725</v>
      </c>
    </row>
    <row r="1495" ht="13.85" spans="1:15">
      <c r="A1495" s="43">
        <v>39124</v>
      </c>
      <c r="B1495" s="11">
        <v>20281059</v>
      </c>
      <c r="C1495" s="11">
        <v>3707393</v>
      </c>
      <c r="D1495" s="11">
        <v>20</v>
      </c>
      <c r="E1495">
        <f t="shared" si="344"/>
        <v>20</v>
      </c>
      <c r="F1495">
        <f t="shared" si="338"/>
        <v>10140529.5</v>
      </c>
      <c r="G1495">
        <f t="shared" si="339"/>
        <v>1014.05295</v>
      </c>
      <c r="H1495">
        <f t="shared" si="342"/>
        <v>20000000</v>
      </c>
      <c r="I1495">
        <f t="shared" si="341"/>
        <v>9600000</v>
      </c>
      <c r="K1495">
        <f t="shared" si="343"/>
        <v>22769190</v>
      </c>
      <c r="M1495">
        <f t="shared" si="340"/>
        <v>23988452</v>
      </c>
      <c r="N1495">
        <f t="shared" si="336"/>
        <v>50635671</v>
      </c>
      <c r="O1495">
        <f t="shared" si="337"/>
        <v>0</v>
      </c>
    </row>
    <row r="1496" ht="13.9" spans="1:15">
      <c r="A1496" s="42" t="s">
        <v>1014</v>
      </c>
      <c r="B1496" s="11">
        <v>22769190</v>
      </c>
      <c r="C1496" s="11">
        <v>3878029</v>
      </c>
      <c r="D1496" s="11">
        <v>76</v>
      </c>
      <c r="E1496">
        <f t="shared" si="344"/>
        <v>76</v>
      </c>
      <c r="F1496">
        <f t="shared" si="338"/>
        <v>11384595</v>
      </c>
      <c r="G1496">
        <f t="shared" si="339"/>
        <v>1138.4595</v>
      </c>
      <c r="H1496">
        <f t="shared" si="342"/>
        <v>76000000</v>
      </c>
      <c r="I1496">
        <f t="shared" si="341"/>
        <v>36480000</v>
      </c>
      <c r="K1496">
        <f t="shared" si="343"/>
        <v>124831039</v>
      </c>
      <c r="M1496">
        <f t="shared" si="340"/>
        <v>26647219</v>
      </c>
      <c r="N1496">
        <f t="shared" si="336"/>
        <v>174017927</v>
      </c>
      <c r="O1496">
        <f t="shared" si="337"/>
        <v>0.463417848509917</v>
      </c>
    </row>
    <row r="1497" ht="13.9" spans="1:15">
      <c r="A1497" s="42" t="s">
        <v>1015</v>
      </c>
      <c r="B1497" s="11">
        <v>23862804</v>
      </c>
      <c r="C1497" s="11">
        <v>4189633</v>
      </c>
      <c r="D1497" s="11">
        <v>63</v>
      </c>
      <c r="E1497">
        <f t="shared" si="344"/>
        <v>63</v>
      </c>
      <c r="F1497">
        <f t="shared" si="338"/>
        <v>11931402</v>
      </c>
      <c r="G1497">
        <f t="shared" si="339"/>
        <v>1193.1402</v>
      </c>
      <c r="H1497">
        <f t="shared" si="342"/>
        <v>63000000</v>
      </c>
      <c r="I1497">
        <f t="shared" si="341"/>
        <v>30240000</v>
      </c>
      <c r="K1497">
        <f t="shared" si="343"/>
        <v>100968235</v>
      </c>
      <c r="M1497">
        <f t="shared" si="340"/>
        <v>28052437</v>
      </c>
      <c r="N1497">
        <f t="shared" si="336"/>
        <v>147370708</v>
      </c>
      <c r="O1497">
        <f t="shared" si="337"/>
        <v>0.62393221800042</v>
      </c>
    </row>
    <row r="1498" ht="13.9" spans="1:15">
      <c r="A1498" s="42" t="s">
        <v>1016</v>
      </c>
      <c r="B1498" s="11">
        <v>20407665</v>
      </c>
      <c r="C1498" s="11">
        <v>3633408</v>
      </c>
      <c r="D1498" s="11">
        <v>48</v>
      </c>
      <c r="E1498">
        <f t="shared" si="344"/>
        <v>48</v>
      </c>
      <c r="F1498">
        <f t="shared" si="338"/>
        <v>10203832.5</v>
      </c>
      <c r="G1498">
        <f t="shared" si="339"/>
        <v>1020.38325</v>
      </c>
      <c r="H1498">
        <f t="shared" si="342"/>
        <v>48000000</v>
      </c>
      <c r="I1498">
        <f t="shared" si="341"/>
        <v>23040000</v>
      </c>
      <c r="K1498">
        <f t="shared" si="343"/>
        <v>80560570</v>
      </c>
      <c r="M1498">
        <f t="shared" si="340"/>
        <v>24041073</v>
      </c>
      <c r="N1498">
        <f t="shared" si="336"/>
        <v>119318271</v>
      </c>
      <c r="O1498">
        <f t="shared" si="337"/>
        <v>0.46992253013809</v>
      </c>
    </row>
    <row r="1499" ht="13.9" spans="1:15">
      <c r="A1499" s="42" t="s">
        <v>1017</v>
      </c>
      <c r="B1499" s="11">
        <v>21609327</v>
      </c>
      <c r="C1499" s="11">
        <v>3926797</v>
      </c>
      <c r="D1499" s="11">
        <v>36</v>
      </c>
      <c r="E1499">
        <f t="shared" si="344"/>
        <v>36</v>
      </c>
      <c r="F1499">
        <f t="shared" si="338"/>
        <v>10804663.5</v>
      </c>
      <c r="G1499">
        <f t="shared" si="339"/>
        <v>1080.46635</v>
      </c>
      <c r="H1499">
        <f t="shared" si="342"/>
        <v>36000000</v>
      </c>
      <c r="I1499">
        <f t="shared" si="341"/>
        <v>17280000</v>
      </c>
      <c r="K1499">
        <f t="shared" si="343"/>
        <v>58951243</v>
      </c>
      <c r="M1499">
        <f t="shared" si="340"/>
        <v>25536124</v>
      </c>
      <c r="N1499">
        <f t="shared" si="336"/>
        <v>95277198</v>
      </c>
      <c r="O1499">
        <f t="shared" si="337"/>
        <v>0.496487979439259</v>
      </c>
    </row>
    <row r="1500" ht="13.9" spans="1:15">
      <c r="A1500" s="42" t="s">
        <v>1018</v>
      </c>
      <c r="B1500" s="11">
        <v>18700841</v>
      </c>
      <c r="C1500" s="11">
        <v>3454781</v>
      </c>
      <c r="D1500" s="11">
        <v>25</v>
      </c>
      <c r="E1500">
        <f t="shared" si="344"/>
        <v>25</v>
      </c>
      <c r="F1500">
        <f t="shared" si="338"/>
        <v>9350420.5</v>
      </c>
      <c r="G1500">
        <f t="shared" si="339"/>
        <v>935.04205</v>
      </c>
      <c r="H1500">
        <f t="shared" si="342"/>
        <v>25000000</v>
      </c>
      <c r="I1500">
        <f t="shared" si="341"/>
        <v>12000000</v>
      </c>
      <c r="K1500">
        <f t="shared" si="343"/>
        <v>40250402</v>
      </c>
      <c r="M1500">
        <f t="shared" si="340"/>
        <v>22155622</v>
      </c>
      <c r="N1500">
        <f t="shared" si="336"/>
        <v>69741074</v>
      </c>
      <c r="O1500">
        <f t="shared" si="337"/>
        <v>0.205864494801736</v>
      </c>
    </row>
    <row r="1501" ht="13.85" spans="1:15">
      <c r="A1501" s="43">
        <v>39032</v>
      </c>
      <c r="B1501" s="11">
        <v>20514850</v>
      </c>
      <c r="C1501" s="11">
        <v>3772971</v>
      </c>
      <c r="D1501" s="11">
        <v>20</v>
      </c>
      <c r="E1501">
        <f t="shared" si="344"/>
        <v>20</v>
      </c>
      <c r="F1501">
        <f t="shared" si="338"/>
        <v>10257425</v>
      </c>
      <c r="G1501">
        <f t="shared" si="339"/>
        <v>1025.7425</v>
      </c>
      <c r="H1501">
        <f t="shared" si="342"/>
        <v>20000000</v>
      </c>
      <c r="I1501">
        <f t="shared" si="341"/>
        <v>9600000</v>
      </c>
      <c r="K1501">
        <f t="shared" si="343"/>
        <v>19735552</v>
      </c>
      <c r="M1501">
        <f t="shared" si="340"/>
        <v>24287821</v>
      </c>
      <c r="N1501">
        <f t="shared" si="336"/>
        <v>47585452</v>
      </c>
      <c r="O1501">
        <f t="shared" si="337"/>
        <v>0</v>
      </c>
    </row>
    <row r="1502" ht="13.85" spans="1:15">
      <c r="A1502" s="43">
        <v>38940</v>
      </c>
      <c r="B1502" s="11">
        <v>19735552</v>
      </c>
      <c r="C1502" s="11">
        <v>3562079</v>
      </c>
      <c r="D1502" s="11">
        <v>25</v>
      </c>
      <c r="E1502">
        <f t="shared" si="344"/>
        <v>25</v>
      </c>
      <c r="F1502">
        <f t="shared" si="338"/>
        <v>9867776</v>
      </c>
      <c r="G1502">
        <f t="shared" si="339"/>
        <v>986.7776</v>
      </c>
      <c r="H1502">
        <f t="shared" si="342"/>
        <v>25000000</v>
      </c>
      <c r="I1502">
        <f t="shared" si="341"/>
        <v>12000000</v>
      </c>
      <c r="K1502">
        <f t="shared" si="343"/>
        <v>76500048</v>
      </c>
      <c r="M1502">
        <f t="shared" si="340"/>
        <v>23297631</v>
      </c>
      <c r="N1502">
        <f t="shared" si="336"/>
        <v>110909916</v>
      </c>
      <c r="O1502">
        <f t="shared" si="337"/>
        <v>0.187665906044238</v>
      </c>
    </row>
    <row r="1503" ht="13.85" spans="1:15">
      <c r="A1503" s="43">
        <v>38818</v>
      </c>
      <c r="B1503" s="11">
        <v>22648465</v>
      </c>
      <c r="C1503" s="11">
        <v>3994627</v>
      </c>
      <c r="D1503" s="11">
        <v>20</v>
      </c>
      <c r="E1503">
        <f t="shared" si="344"/>
        <v>20</v>
      </c>
      <c r="F1503">
        <f t="shared" si="338"/>
        <v>11324232.5</v>
      </c>
      <c r="G1503">
        <f t="shared" si="339"/>
        <v>1132.42325</v>
      </c>
      <c r="H1503">
        <f t="shared" si="342"/>
        <v>20000000</v>
      </c>
      <c r="I1503">
        <f t="shared" si="341"/>
        <v>9600000</v>
      </c>
      <c r="K1503">
        <f t="shared" si="343"/>
        <v>53851583</v>
      </c>
      <c r="M1503">
        <f t="shared" si="340"/>
        <v>26643092</v>
      </c>
      <c r="N1503">
        <f t="shared" ref="N1503:N1566" si="345">IF(H1503&lt;H1504,M1503+M1504,M1503+N1504)</f>
        <v>87612285</v>
      </c>
      <c r="O1503">
        <f t="shared" si="337"/>
        <v>0</v>
      </c>
    </row>
    <row r="1504" ht="13.85" spans="1:15">
      <c r="A1504" s="43">
        <v>38728</v>
      </c>
      <c r="B1504" s="11">
        <v>53851583</v>
      </c>
      <c r="C1504" s="11">
        <v>7117610</v>
      </c>
      <c r="D1504" s="11">
        <v>200</v>
      </c>
      <c r="E1504">
        <f t="shared" si="344"/>
        <v>200</v>
      </c>
      <c r="F1504">
        <f t="shared" si="338"/>
        <v>26925791.5</v>
      </c>
      <c r="G1504">
        <f t="shared" si="339"/>
        <v>2692.57915</v>
      </c>
      <c r="H1504">
        <f t="shared" si="342"/>
        <v>200000000</v>
      </c>
      <c r="I1504">
        <f t="shared" si="341"/>
        <v>96000000</v>
      </c>
      <c r="K1504">
        <f t="shared" si="343"/>
        <v>308174550</v>
      </c>
      <c r="M1504">
        <f t="shared" si="340"/>
        <v>60969193</v>
      </c>
      <c r="N1504">
        <f t="shared" si="345"/>
        <v>418719216</v>
      </c>
      <c r="O1504">
        <f t="shared" si="337"/>
        <v>0.571365828142655</v>
      </c>
    </row>
    <row r="1505" ht="13.9" spans="1:15">
      <c r="A1505" s="42" t="s">
        <v>1019</v>
      </c>
      <c r="B1505" s="11">
        <v>44548124</v>
      </c>
      <c r="C1505" s="11">
        <v>6207449</v>
      </c>
      <c r="D1505" s="11">
        <v>171</v>
      </c>
      <c r="E1505">
        <f t="shared" si="344"/>
        <v>171</v>
      </c>
      <c r="F1505">
        <f t="shared" si="338"/>
        <v>22274062</v>
      </c>
      <c r="G1505">
        <f t="shared" si="339"/>
        <v>2227.4062</v>
      </c>
      <c r="H1505">
        <f t="shared" si="342"/>
        <v>171000000</v>
      </c>
      <c r="I1505">
        <f t="shared" si="341"/>
        <v>82080000</v>
      </c>
      <c r="K1505">
        <f t="shared" si="343"/>
        <v>263626426</v>
      </c>
      <c r="M1505">
        <f t="shared" si="340"/>
        <v>50755573</v>
      </c>
      <c r="N1505">
        <f t="shared" si="345"/>
        <v>357750023</v>
      </c>
      <c r="O1505">
        <f t="shared" si="337"/>
        <v>0.631489682055002</v>
      </c>
    </row>
    <row r="1506" ht="13.9" spans="1:15">
      <c r="A1506" s="42" t="s">
        <v>1020</v>
      </c>
      <c r="B1506" s="11">
        <v>37437533</v>
      </c>
      <c r="C1506" s="11">
        <v>5318510</v>
      </c>
      <c r="D1506" s="11">
        <v>144</v>
      </c>
      <c r="E1506">
        <f t="shared" si="344"/>
        <v>144</v>
      </c>
      <c r="F1506">
        <f t="shared" si="338"/>
        <v>18718766.5</v>
      </c>
      <c r="G1506">
        <f t="shared" si="339"/>
        <v>1871.87665</v>
      </c>
      <c r="H1506">
        <f t="shared" si="342"/>
        <v>144000000</v>
      </c>
      <c r="I1506">
        <f t="shared" si="341"/>
        <v>69120000</v>
      </c>
      <c r="K1506">
        <f t="shared" si="343"/>
        <v>226188893</v>
      </c>
      <c r="M1506">
        <f t="shared" si="340"/>
        <v>42756043</v>
      </c>
      <c r="N1506">
        <f t="shared" si="345"/>
        <v>306994450</v>
      </c>
      <c r="O1506">
        <f t="shared" si="337"/>
        <v>0.585514460084674</v>
      </c>
    </row>
    <row r="1507" ht="13.9" spans="1:15">
      <c r="A1507" s="42" t="s">
        <v>1021</v>
      </c>
      <c r="B1507" s="11">
        <v>35606388</v>
      </c>
      <c r="C1507" s="11">
        <v>5383206</v>
      </c>
      <c r="D1507" s="11">
        <v>120</v>
      </c>
      <c r="E1507">
        <f t="shared" si="344"/>
        <v>120</v>
      </c>
      <c r="F1507">
        <f t="shared" si="338"/>
        <v>17803194</v>
      </c>
      <c r="G1507">
        <f t="shared" si="339"/>
        <v>1780.3194</v>
      </c>
      <c r="H1507">
        <f t="shared" si="342"/>
        <v>120000000</v>
      </c>
      <c r="I1507">
        <f t="shared" si="341"/>
        <v>57600000</v>
      </c>
      <c r="K1507">
        <f t="shared" si="343"/>
        <v>190582505</v>
      </c>
      <c r="M1507">
        <f t="shared" si="340"/>
        <v>40989594</v>
      </c>
      <c r="N1507">
        <f t="shared" si="345"/>
        <v>264238407</v>
      </c>
      <c r="O1507">
        <f t="shared" si="337"/>
        <v>0.700803538290031</v>
      </c>
    </row>
    <row r="1508" ht="13.9" spans="1:15">
      <c r="A1508" s="42" t="s">
        <v>1022</v>
      </c>
      <c r="B1508" s="11">
        <v>28352794</v>
      </c>
      <c r="C1508" s="11">
        <v>4466675</v>
      </c>
      <c r="D1508" s="11">
        <v>97</v>
      </c>
      <c r="E1508">
        <f t="shared" si="344"/>
        <v>97</v>
      </c>
      <c r="F1508">
        <f t="shared" si="338"/>
        <v>14176397</v>
      </c>
      <c r="G1508">
        <f t="shared" si="339"/>
        <v>1417.6397</v>
      </c>
      <c r="H1508">
        <f t="shared" si="342"/>
        <v>97000000</v>
      </c>
      <c r="I1508">
        <f t="shared" si="341"/>
        <v>46560000</v>
      </c>
      <c r="K1508">
        <f t="shared" si="343"/>
        <v>162229711</v>
      </c>
      <c r="M1508">
        <f t="shared" si="340"/>
        <v>32819469</v>
      </c>
      <c r="N1508">
        <f t="shared" si="345"/>
        <v>223248813</v>
      </c>
      <c r="O1508">
        <f t="shared" si="337"/>
        <v>0.497578611434114</v>
      </c>
    </row>
    <row r="1509" ht="13.9" spans="1:15">
      <c r="A1509" s="42" t="s">
        <v>1023</v>
      </c>
      <c r="B1509" s="11">
        <v>27575934</v>
      </c>
      <c r="C1509" s="11">
        <v>4579789</v>
      </c>
      <c r="D1509" s="11">
        <v>81</v>
      </c>
      <c r="E1509">
        <f t="shared" si="344"/>
        <v>81</v>
      </c>
      <c r="F1509">
        <f t="shared" si="338"/>
        <v>13787967</v>
      </c>
      <c r="G1509">
        <f t="shared" si="339"/>
        <v>1378.7967</v>
      </c>
      <c r="H1509">
        <f t="shared" si="342"/>
        <v>81000000</v>
      </c>
      <c r="I1509">
        <f t="shared" si="341"/>
        <v>38880000</v>
      </c>
      <c r="K1509">
        <f t="shared" si="343"/>
        <v>134653777</v>
      </c>
      <c r="M1509">
        <f t="shared" si="340"/>
        <v>32155723</v>
      </c>
      <c r="N1509">
        <f t="shared" si="345"/>
        <v>190429344</v>
      </c>
      <c r="O1509">
        <f t="shared" si="337"/>
        <v>0.593914845009198</v>
      </c>
    </row>
    <row r="1510" ht="13.85" spans="1:15">
      <c r="A1510" s="43">
        <v>38667</v>
      </c>
      <c r="B1510" s="11">
        <v>23027130</v>
      </c>
      <c r="C1510" s="11">
        <v>3912759</v>
      </c>
      <c r="D1510" s="11">
        <v>65</v>
      </c>
      <c r="E1510">
        <f t="shared" si="344"/>
        <v>65</v>
      </c>
      <c r="F1510">
        <f t="shared" si="338"/>
        <v>11513565</v>
      </c>
      <c r="G1510">
        <f t="shared" si="339"/>
        <v>1151.3565</v>
      </c>
      <c r="H1510">
        <f t="shared" si="342"/>
        <v>65000000</v>
      </c>
      <c r="I1510">
        <f t="shared" si="341"/>
        <v>31200000</v>
      </c>
      <c r="K1510">
        <f t="shared" si="343"/>
        <v>111626647</v>
      </c>
      <c r="M1510">
        <f t="shared" si="340"/>
        <v>26939889</v>
      </c>
      <c r="N1510">
        <f t="shared" si="345"/>
        <v>158273621</v>
      </c>
      <c r="O1510">
        <f t="shared" si="337"/>
        <v>0.531087865513257</v>
      </c>
    </row>
    <row r="1511" ht="13.85" spans="1:15">
      <c r="A1511" s="43">
        <v>38544</v>
      </c>
      <c r="B1511" s="11">
        <v>24092735</v>
      </c>
      <c r="C1511" s="11">
        <v>4151179</v>
      </c>
      <c r="D1511" s="11">
        <v>50</v>
      </c>
      <c r="E1511">
        <f t="shared" si="344"/>
        <v>50</v>
      </c>
      <c r="F1511">
        <f t="shared" si="338"/>
        <v>12046367.5</v>
      </c>
      <c r="G1511">
        <f t="shared" si="339"/>
        <v>1204.63675</v>
      </c>
      <c r="H1511">
        <f t="shared" si="342"/>
        <v>50000000</v>
      </c>
      <c r="I1511">
        <f t="shared" si="341"/>
        <v>24000000</v>
      </c>
      <c r="K1511">
        <f t="shared" si="343"/>
        <v>87533912</v>
      </c>
      <c r="M1511">
        <f t="shared" si="340"/>
        <v>28243914</v>
      </c>
      <c r="N1511">
        <f t="shared" si="345"/>
        <v>131333732</v>
      </c>
      <c r="O1511">
        <f t="shared" si="337"/>
        <v>0.593246180384468</v>
      </c>
    </row>
    <row r="1512" ht="13.85" spans="1:15">
      <c r="A1512" s="43">
        <v>38453</v>
      </c>
      <c r="B1512" s="11">
        <v>19995319</v>
      </c>
      <c r="C1512" s="11">
        <v>3603653</v>
      </c>
      <c r="D1512" s="11">
        <v>36</v>
      </c>
      <c r="E1512">
        <f t="shared" si="344"/>
        <v>36</v>
      </c>
      <c r="F1512">
        <f t="shared" si="338"/>
        <v>9997659.5</v>
      </c>
      <c r="G1512">
        <f t="shared" si="339"/>
        <v>999.76595</v>
      </c>
      <c r="H1512">
        <f t="shared" si="342"/>
        <v>36000000</v>
      </c>
      <c r="I1512">
        <f t="shared" si="341"/>
        <v>17280000</v>
      </c>
      <c r="K1512">
        <f t="shared" si="343"/>
        <v>67538593</v>
      </c>
      <c r="M1512">
        <f t="shared" si="340"/>
        <v>23598972</v>
      </c>
      <c r="N1512">
        <f t="shared" si="345"/>
        <v>103089818</v>
      </c>
      <c r="O1512">
        <f t="shared" si="337"/>
        <v>0.439211334559212</v>
      </c>
    </row>
    <row r="1513" ht="13.9" spans="1:15">
      <c r="A1513" s="42" t="s">
        <v>1024</v>
      </c>
      <c r="B1513" s="11">
        <v>21155718</v>
      </c>
      <c r="C1513" s="11">
        <v>3889173</v>
      </c>
      <c r="D1513" s="11">
        <v>25</v>
      </c>
      <c r="E1513">
        <f t="shared" si="344"/>
        <v>25</v>
      </c>
      <c r="F1513">
        <f t="shared" si="338"/>
        <v>10577859</v>
      </c>
      <c r="G1513">
        <f t="shared" si="339"/>
        <v>1057.7859</v>
      </c>
      <c r="H1513">
        <f t="shared" si="342"/>
        <v>25000000</v>
      </c>
      <c r="I1513">
        <f t="shared" si="341"/>
        <v>12000000</v>
      </c>
      <c r="K1513">
        <f t="shared" si="343"/>
        <v>46382875</v>
      </c>
      <c r="M1513">
        <f t="shared" si="340"/>
        <v>25044891</v>
      </c>
      <c r="N1513">
        <f t="shared" si="345"/>
        <v>79490846</v>
      </c>
      <c r="O1513">
        <f t="shared" si="337"/>
        <v>0.227814677680504</v>
      </c>
    </row>
    <row r="1514" ht="13.9" spans="1:15">
      <c r="A1514" s="42" t="s">
        <v>1025</v>
      </c>
      <c r="B1514" s="11">
        <v>18553782</v>
      </c>
      <c r="C1514" s="11">
        <v>3393882</v>
      </c>
      <c r="D1514" s="11">
        <v>20</v>
      </c>
      <c r="E1514">
        <f t="shared" si="344"/>
        <v>20</v>
      </c>
      <c r="F1514">
        <f t="shared" si="338"/>
        <v>9276891</v>
      </c>
      <c r="G1514">
        <f t="shared" si="339"/>
        <v>927.6891</v>
      </c>
      <c r="H1514">
        <f t="shared" si="342"/>
        <v>20000000</v>
      </c>
      <c r="I1514">
        <f t="shared" si="341"/>
        <v>9600000</v>
      </c>
      <c r="K1514">
        <f t="shared" si="343"/>
        <v>27829093</v>
      </c>
      <c r="M1514">
        <f t="shared" si="340"/>
        <v>21947664</v>
      </c>
      <c r="N1514">
        <f t="shared" si="345"/>
        <v>54445955</v>
      </c>
      <c r="O1514">
        <f t="shared" si="337"/>
        <v>0</v>
      </c>
    </row>
    <row r="1515" ht="13.9" spans="1:15">
      <c r="A1515" s="42" t="s">
        <v>1026</v>
      </c>
      <c r="B1515" s="11">
        <v>27829093</v>
      </c>
      <c r="C1515" s="11">
        <v>4669198</v>
      </c>
      <c r="D1515" s="11">
        <v>72</v>
      </c>
      <c r="E1515">
        <f t="shared" si="344"/>
        <v>72</v>
      </c>
      <c r="F1515">
        <f t="shared" si="338"/>
        <v>13914546.5</v>
      </c>
      <c r="G1515">
        <f t="shared" si="339"/>
        <v>1391.45465</v>
      </c>
      <c r="H1515">
        <f t="shared" si="342"/>
        <v>72000000</v>
      </c>
      <c r="I1515">
        <f t="shared" si="341"/>
        <v>34560000</v>
      </c>
      <c r="K1515">
        <f t="shared" si="343"/>
        <v>149571003</v>
      </c>
      <c r="M1515">
        <f t="shared" si="340"/>
        <v>32498291</v>
      </c>
      <c r="N1515">
        <f t="shared" si="345"/>
        <v>205744049</v>
      </c>
      <c r="O1515">
        <f t="shared" si="337"/>
        <v>0.572282191633342</v>
      </c>
    </row>
    <row r="1516" ht="13.9" spans="1:15">
      <c r="A1516" s="42" t="s">
        <v>1027</v>
      </c>
      <c r="B1516" s="11">
        <v>23885902</v>
      </c>
      <c r="C1516" s="11">
        <v>4072333</v>
      </c>
      <c r="D1516" s="11">
        <v>56</v>
      </c>
      <c r="E1516">
        <f t="shared" si="344"/>
        <v>56</v>
      </c>
      <c r="F1516">
        <f t="shared" si="338"/>
        <v>11942951</v>
      </c>
      <c r="G1516">
        <f t="shared" si="339"/>
        <v>1194.2951</v>
      </c>
      <c r="H1516">
        <f t="shared" si="342"/>
        <v>56000000</v>
      </c>
      <c r="I1516">
        <f t="shared" si="341"/>
        <v>26880000</v>
      </c>
      <c r="K1516">
        <f t="shared" si="343"/>
        <v>125685101</v>
      </c>
      <c r="M1516">
        <f t="shared" si="340"/>
        <v>27958235</v>
      </c>
      <c r="N1516">
        <f t="shared" si="345"/>
        <v>173245758</v>
      </c>
      <c r="O1516">
        <f t="shared" si="337"/>
        <v>0.466685913272382</v>
      </c>
    </row>
    <row r="1517" ht="13.9" spans="1:15">
      <c r="A1517" s="42" t="s">
        <v>1028</v>
      </c>
      <c r="B1517" s="11">
        <v>23652296</v>
      </c>
      <c r="C1517" s="11">
        <v>4203698</v>
      </c>
      <c r="D1517" s="11">
        <v>43</v>
      </c>
      <c r="E1517">
        <f t="shared" si="344"/>
        <v>43</v>
      </c>
      <c r="F1517">
        <f t="shared" si="338"/>
        <v>11826148</v>
      </c>
      <c r="G1517">
        <f t="shared" si="339"/>
        <v>1182.6148</v>
      </c>
      <c r="H1517">
        <f t="shared" si="342"/>
        <v>43000000</v>
      </c>
      <c r="I1517">
        <f t="shared" si="341"/>
        <v>20640000</v>
      </c>
      <c r="K1517">
        <f t="shared" si="343"/>
        <v>102032805</v>
      </c>
      <c r="M1517">
        <f t="shared" si="340"/>
        <v>27855994</v>
      </c>
      <c r="N1517">
        <f t="shared" si="345"/>
        <v>145287523</v>
      </c>
      <c r="O1517">
        <f t="shared" si="337"/>
        <v>0.663007583066355</v>
      </c>
    </row>
    <row r="1518" ht="13.9" spans="1:15">
      <c r="A1518" s="42" t="s">
        <v>1029</v>
      </c>
      <c r="B1518" s="11">
        <v>20444440</v>
      </c>
      <c r="C1518" s="11">
        <v>3688014</v>
      </c>
      <c r="D1518" s="11">
        <v>27</v>
      </c>
      <c r="E1518">
        <f t="shared" si="344"/>
        <v>27</v>
      </c>
      <c r="F1518">
        <f t="shared" si="338"/>
        <v>10222220</v>
      </c>
      <c r="G1518">
        <f t="shared" si="339"/>
        <v>1022.222</v>
      </c>
      <c r="H1518">
        <f t="shared" si="342"/>
        <v>27000000</v>
      </c>
      <c r="I1518">
        <f t="shared" si="341"/>
        <v>12960000</v>
      </c>
      <c r="K1518">
        <f t="shared" si="343"/>
        <v>81588365</v>
      </c>
      <c r="M1518">
        <f t="shared" si="340"/>
        <v>24132454</v>
      </c>
      <c r="N1518">
        <f t="shared" si="345"/>
        <v>117431529</v>
      </c>
      <c r="O1518">
        <f t="shared" si="337"/>
        <v>0.254819223052549</v>
      </c>
    </row>
    <row r="1519" ht="13.85" spans="1:15">
      <c r="A1519" s="43">
        <v>38241</v>
      </c>
      <c r="B1519" s="11">
        <v>23370901</v>
      </c>
      <c r="C1519" s="11">
        <v>4099554</v>
      </c>
      <c r="D1519" s="11">
        <v>20</v>
      </c>
      <c r="E1519">
        <f t="shared" si="344"/>
        <v>20</v>
      </c>
      <c r="F1519">
        <f t="shared" si="338"/>
        <v>11685450.5</v>
      </c>
      <c r="G1519">
        <f t="shared" si="339"/>
        <v>1168.54505</v>
      </c>
      <c r="H1519">
        <f t="shared" si="342"/>
        <v>20000000</v>
      </c>
      <c r="I1519">
        <f t="shared" si="341"/>
        <v>9600000</v>
      </c>
      <c r="K1519">
        <f t="shared" si="343"/>
        <v>58217464</v>
      </c>
      <c r="M1519">
        <f t="shared" si="340"/>
        <v>27470455</v>
      </c>
      <c r="N1519">
        <f t="shared" si="345"/>
        <v>93299075</v>
      </c>
      <c r="O1519">
        <f t="shared" si="337"/>
        <v>0</v>
      </c>
    </row>
    <row r="1520" ht="13.85" spans="1:15">
      <c r="A1520" s="43">
        <v>38149</v>
      </c>
      <c r="B1520" s="11">
        <v>58217464</v>
      </c>
      <c r="C1520" s="11">
        <v>7611156</v>
      </c>
      <c r="D1520" s="11">
        <v>218</v>
      </c>
      <c r="E1520">
        <f t="shared" si="344"/>
        <v>218</v>
      </c>
      <c r="F1520">
        <f t="shared" si="338"/>
        <v>29108732</v>
      </c>
      <c r="G1520">
        <f t="shared" si="339"/>
        <v>2910.8732</v>
      </c>
      <c r="H1520">
        <f t="shared" si="342"/>
        <v>218000000</v>
      </c>
      <c r="I1520">
        <f t="shared" si="341"/>
        <v>104640000</v>
      </c>
      <c r="K1520">
        <f t="shared" si="343"/>
        <v>340985095</v>
      </c>
      <c r="M1520">
        <f t="shared" si="340"/>
        <v>65828620</v>
      </c>
      <c r="N1520">
        <f t="shared" si="345"/>
        <v>462523193</v>
      </c>
      <c r="O1520">
        <f t="shared" si="337"/>
        <v>0.551060080498501</v>
      </c>
    </row>
    <row r="1521" ht="13.85" spans="1:15">
      <c r="A1521" s="43">
        <v>38028</v>
      </c>
      <c r="B1521" s="11">
        <v>49148514</v>
      </c>
      <c r="C1521" s="11">
        <v>7106695</v>
      </c>
      <c r="D1521" s="11">
        <v>187</v>
      </c>
      <c r="E1521">
        <f t="shared" si="344"/>
        <v>187</v>
      </c>
      <c r="F1521">
        <f t="shared" si="338"/>
        <v>24574257</v>
      </c>
      <c r="G1521">
        <f t="shared" si="339"/>
        <v>2457.4257</v>
      </c>
      <c r="H1521">
        <f t="shared" si="342"/>
        <v>187000000</v>
      </c>
      <c r="I1521">
        <f t="shared" si="341"/>
        <v>89760000</v>
      </c>
      <c r="K1521">
        <f t="shared" si="343"/>
        <v>291836581</v>
      </c>
      <c r="M1521">
        <f t="shared" si="340"/>
        <v>56255209</v>
      </c>
      <c r="N1521">
        <f t="shared" si="345"/>
        <v>396694573</v>
      </c>
      <c r="O1521">
        <f t="shared" si="337"/>
        <v>0.757992771825516</v>
      </c>
    </row>
    <row r="1522" ht="13.9" spans="1:15">
      <c r="A1522" s="42" t="s">
        <v>1030</v>
      </c>
      <c r="B1522" s="11">
        <v>39090757</v>
      </c>
      <c r="C1522" s="11">
        <v>5764552</v>
      </c>
      <c r="D1522" s="11">
        <v>153</v>
      </c>
      <c r="E1522">
        <f t="shared" si="344"/>
        <v>153</v>
      </c>
      <c r="F1522">
        <f t="shared" si="338"/>
        <v>19545378.5</v>
      </c>
      <c r="G1522">
        <f t="shared" si="339"/>
        <v>1954.53785</v>
      </c>
      <c r="H1522">
        <f t="shared" si="342"/>
        <v>153000000</v>
      </c>
      <c r="I1522">
        <f t="shared" si="341"/>
        <v>73440000</v>
      </c>
      <c r="K1522">
        <f t="shared" si="343"/>
        <v>252745824</v>
      </c>
      <c r="M1522">
        <f t="shared" si="340"/>
        <v>44855309</v>
      </c>
      <c r="N1522">
        <f t="shared" si="345"/>
        <v>340439364</v>
      </c>
      <c r="O1522">
        <f t="shared" si="337"/>
        <v>0.6099450981882</v>
      </c>
    </row>
    <row r="1523" ht="13.9" spans="1:15">
      <c r="A1523" s="42" t="s">
        <v>1031</v>
      </c>
      <c r="B1523" s="11">
        <v>39898318</v>
      </c>
      <c r="C1523" s="11">
        <v>6007453</v>
      </c>
      <c r="D1523" s="11">
        <v>125</v>
      </c>
      <c r="E1523">
        <f t="shared" si="344"/>
        <v>125</v>
      </c>
      <c r="F1523">
        <f t="shared" si="338"/>
        <v>19949159</v>
      </c>
      <c r="G1523">
        <f t="shared" si="339"/>
        <v>1994.9159</v>
      </c>
      <c r="H1523">
        <f t="shared" si="342"/>
        <v>125000000</v>
      </c>
      <c r="I1523">
        <f t="shared" si="341"/>
        <v>60000000</v>
      </c>
      <c r="K1523">
        <f t="shared" si="343"/>
        <v>212847506</v>
      </c>
      <c r="M1523">
        <f t="shared" si="340"/>
        <v>45905771</v>
      </c>
      <c r="N1523">
        <f t="shared" si="345"/>
        <v>295584055</v>
      </c>
      <c r="O1523">
        <f t="shared" si="337"/>
        <v>0.66457480670011</v>
      </c>
    </row>
    <row r="1524" ht="13.9" spans="1:15">
      <c r="A1524" s="42" t="s">
        <v>1032</v>
      </c>
      <c r="B1524" s="11">
        <v>31151216</v>
      </c>
      <c r="C1524" s="11">
        <v>4962100</v>
      </c>
      <c r="D1524" s="11">
        <v>101</v>
      </c>
      <c r="E1524">
        <f t="shared" si="344"/>
        <v>101</v>
      </c>
      <c r="F1524">
        <f t="shared" si="338"/>
        <v>15575608</v>
      </c>
      <c r="G1524">
        <f t="shared" si="339"/>
        <v>1557.5608</v>
      </c>
      <c r="H1524">
        <f t="shared" si="342"/>
        <v>101000000</v>
      </c>
      <c r="I1524">
        <f t="shared" si="341"/>
        <v>48480000</v>
      </c>
      <c r="K1524">
        <f t="shared" si="343"/>
        <v>181696290</v>
      </c>
      <c r="M1524">
        <f t="shared" si="340"/>
        <v>36113316</v>
      </c>
      <c r="N1524">
        <f t="shared" si="345"/>
        <v>249678284</v>
      </c>
      <c r="O1524">
        <f t="shared" si="337"/>
        <v>0.512312748489694</v>
      </c>
    </row>
    <row r="1525" ht="13.9" spans="1:15">
      <c r="A1525" s="42" t="s">
        <v>1033</v>
      </c>
      <c r="B1525" s="11">
        <v>26531084</v>
      </c>
      <c r="C1525" s="11">
        <v>4699839</v>
      </c>
      <c r="D1525" s="11">
        <v>85</v>
      </c>
      <c r="E1525">
        <f t="shared" si="344"/>
        <v>85</v>
      </c>
      <c r="F1525">
        <f t="shared" si="338"/>
        <v>13265542</v>
      </c>
      <c r="G1525">
        <f t="shared" si="339"/>
        <v>1326.5542</v>
      </c>
      <c r="H1525">
        <f t="shared" si="342"/>
        <v>85000000</v>
      </c>
      <c r="I1525">
        <f t="shared" si="341"/>
        <v>40800000</v>
      </c>
      <c r="K1525">
        <f t="shared" si="343"/>
        <v>155165206</v>
      </c>
      <c r="M1525">
        <f t="shared" si="340"/>
        <v>31230923</v>
      </c>
      <c r="N1525">
        <f t="shared" si="345"/>
        <v>213564968</v>
      </c>
      <c r="O1525">
        <f t="shared" si="337"/>
        <v>0.691898487575252</v>
      </c>
    </row>
    <row r="1526" ht="13.9" spans="1:15">
      <c r="A1526" s="42" t="s">
        <v>1034</v>
      </c>
      <c r="B1526" s="11">
        <v>21989176</v>
      </c>
      <c r="C1526" s="11">
        <v>4026201</v>
      </c>
      <c r="D1526" s="11">
        <v>67</v>
      </c>
      <c r="E1526">
        <f t="shared" si="344"/>
        <v>67</v>
      </c>
      <c r="F1526">
        <f t="shared" si="338"/>
        <v>10994588</v>
      </c>
      <c r="G1526">
        <f t="shared" si="339"/>
        <v>1099.4588</v>
      </c>
      <c r="H1526">
        <f t="shared" si="342"/>
        <v>67000000</v>
      </c>
      <c r="I1526">
        <f t="shared" si="341"/>
        <v>32160000</v>
      </c>
      <c r="K1526">
        <f t="shared" si="343"/>
        <v>133176030</v>
      </c>
      <c r="M1526">
        <f t="shared" si="340"/>
        <v>26015377</v>
      </c>
      <c r="N1526">
        <f t="shared" si="345"/>
        <v>182334045</v>
      </c>
      <c r="O1526">
        <f t="shared" si="337"/>
        <v>0.468491800204248</v>
      </c>
    </row>
    <row r="1527" ht="13.85" spans="1:15">
      <c r="A1527" s="43">
        <v>37966</v>
      </c>
      <c r="B1527" s="11">
        <v>23422605</v>
      </c>
      <c r="C1527" s="11">
        <v>4326013</v>
      </c>
      <c r="D1527" s="11">
        <v>54</v>
      </c>
      <c r="E1527">
        <f t="shared" si="344"/>
        <v>54</v>
      </c>
      <c r="F1527">
        <f t="shared" si="338"/>
        <v>11711302.5</v>
      </c>
      <c r="G1527">
        <f t="shared" si="339"/>
        <v>1171.13025</v>
      </c>
      <c r="H1527">
        <f t="shared" si="342"/>
        <v>54000000</v>
      </c>
      <c r="I1527">
        <f t="shared" si="341"/>
        <v>25920000</v>
      </c>
      <c r="K1527">
        <f t="shared" si="343"/>
        <v>109753425</v>
      </c>
      <c r="M1527">
        <f t="shared" si="340"/>
        <v>27748618</v>
      </c>
      <c r="N1527">
        <f t="shared" si="345"/>
        <v>156318668</v>
      </c>
      <c r="O1527">
        <f t="shared" si="337"/>
        <v>0.590958196081533</v>
      </c>
    </row>
    <row r="1528" ht="13.85" spans="1:15">
      <c r="A1528" s="43">
        <v>37875</v>
      </c>
      <c r="B1528" s="11">
        <v>19918099</v>
      </c>
      <c r="C1528" s="11">
        <v>3772240</v>
      </c>
      <c r="D1528" s="11">
        <v>40</v>
      </c>
      <c r="E1528">
        <f t="shared" si="344"/>
        <v>40</v>
      </c>
      <c r="F1528">
        <f t="shared" si="338"/>
        <v>9959049.5</v>
      </c>
      <c r="G1528">
        <f t="shared" si="339"/>
        <v>995.90495</v>
      </c>
      <c r="H1528">
        <f t="shared" si="342"/>
        <v>40000000</v>
      </c>
      <c r="I1528">
        <f t="shared" si="341"/>
        <v>19200000</v>
      </c>
      <c r="K1528">
        <f t="shared" si="343"/>
        <v>89835326</v>
      </c>
      <c r="M1528">
        <f t="shared" si="340"/>
        <v>23690339</v>
      </c>
      <c r="N1528">
        <f t="shared" si="345"/>
        <v>128570050</v>
      </c>
      <c r="O1528">
        <f t="shared" si="337"/>
        <v>0.577289789159914</v>
      </c>
    </row>
    <row r="1529" ht="13.85" spans="1:15">
      <c r="A1529" s="43">
        <v>37752</v>
      </c>
      <c r="B1529" s="11">
        <v>21813405</v>
      </c>
      <c r="C1529" s="11">
        <v>4170079</v>
      </c>
      <c r="D1529" s="11">
        <v>25</v>
      </c>
      <c r="E1529">
        <f t="shared" si="344"/>
        <v>25</v>
      </c>
      <c r="F1529">
        <f t="shared" si="338"/>
        <v>10906702.5</v>
      </c>
      <c r="G1529">
        <f t="shared" si="339"/>
        <v>1090.67025</v>
      </c>
      <c r="H1529">
        <f t="shared" si="342"/>
        <v>25000000</v>
      </c>
      <c r="I1529">
        <f t="shared" si="341"/>
        <v>12000000</v>
      </c>
      <c r="K1529">
        <f t="shared" si="343"/>
        <v>68021921</v>
      </c>
      <c r="M1529">
        <f t="shared" si="340"/>
        <v>25983484</v>
      </c>
      <c r="N1529">
        <f t="shared" si="345"/>
        <v>104879711</v>
      </c>
      <c r="O1529">
        <f t="shared" si="337"/>
        <v>0.213557501510492</v>
      </c>
    </row>
    <row r="1530" ht="13.85" spans="1:15">
      <c r="A1530" s="43">
        <v>37663</v>
      </c>
      <c r="B1530" s="11">
        <v>19656666</v>
      </c>
      <c r="C1530" s="11">
        <v>3756232</v>
      </c>
      <c r="D1530" s="11">
        <v>20</v>
      </c>
      <c r="E1530">
        <f t="shared" si="344"/>
        <v>20</v>
      </c>
      <c r="F1530">
        <f t="shared" si="338"/>
        <v>9828333</v>
      </c>
      <c r="G1530">
        <f t="shared" si="339"/>
        <v>982.8333</v>
      </c>
      <c r="H1530">
        <f t="shared" si="342"/>
        <v>20000000</v>
      </c>
      <c r="I1530">
        <f t="shared" si="341"/>
        <v>9600000</v>
      </c>
      <c r="K1530">
        <f t="shared" si="343"/>
        <v>48365255</v>
      </c>
      <c r="M1530">
        <f t="shared" si="340"/>
        <v>23412898</v>
      </c>
      <c r="N1530">
        <f t="shared" si="345"/>
        <v>78896227</v>
      </c>
      <c r="O1530">
        <f t="shared" si="337"/>
        <v>0</v>
      </c>
    </row>
    <row r="1531" ht="13.9" spans="1:15">
      <c r="A1531" s="42" t="s">
        <v>1035</v>
      </c>
      <c r="B1531" s="11">
        <v>48365255</v>
      </c>
      <c r="C1531" s="11">
        <v>7118074</v>
      </c>
      <c r="D1531" s="11">
        <v>184</v>
      </c>
      <c r="E1531">
        <f t="shared" si="344"/>
        <v>184</v>
      </c>
      <c r="F1531">
        <f t="shared" si="338"/>
        <v>24182627.5</v>
      </c>
      <c r="G1531">
        <f t="shared" si="339"/>
        <v>2418.26275</v>
      </c>
      <c r="H1531">
        <f t="shared" si="342"/>
        <v>184000000</v>
      </c>
      <c r="I1531">
        <f t="shared" si="341"/>
        <v>88320000</v>
      </c>
      <c r="K1531">
        <f t="shared" si="343"/>
        <v>272249112</v>
      </c>
      <c r="M1531">
        <f t="shared" si="340"/>
        <v>55483329</v>
      </c>
      <c r="N1531">
        <f t="shared" si="345"/>
        <v>374076759</v>
      </c>
      <c r="O1531">
        <f t="shared" si="337"/>
        <v>0.635712146996991</v>
      </c>
    </row>
    <row r="1532" ht="13.9" spans="1:15">
      <c r="A1532" s="42" t="s">
        <v>1036</v>
      </c>
      <c r="B1532" s="11">
        <v>39625083</v>
      </c>
      <c r="C1532" s="11">
        <v>5993048</v>
      </c>
      <c r="D1532" s="11">
        <v>155</v>
      </c>
      <c r="E1532">
        <f t="shared" si="344"/>
        <v>155</v>
      </c>
      <c r="F1532">
        <f t="shared" si="338"/>
        <v>19812541.5</v>
      </c>
      <c r="G1532">
        <f t="shared" si="339"/>
        <v>1981.25415</v>
      </c>
      <c r="H1532">
        <f t="shared" si="342"/>
        <v>155000000</v>
      </c>
      <c r="I1532">
        <f t="shared" si="341"/>
        <v>74400000</v>
      </c>
      <c r="K1532">
        <f t="shared" si="343"/>
        <v>232624029</v>
      </c>
      <c r="M1532">
        <f t="shared" si="340"/>
        <v>45618131</v>
      </c>
      <c r="N1532">
        <f t="shared" si="345"/>
        <v>318593430</v>
      </c>
      <c r="O1532">
        <f t="shared" si="337"/>
        <v>0.666424333330928</v>
      </c>
    </row>
    <row r="1533" ht="13.9" spans="1:15">
      <c r="A1533" s="42" t="s">
        <v>1037</v>
      </c>
      <c r="B1533" s="11">
        <v>37622199</v>
      </c>
      <c r="C1533" s="11">
        <v>5893619</v>
      </c>
      <c r="D1533" s="11">
        <v>126</v>
      </c>
      <c r="E1533">
        <f t="shared" si="344"/>
        <v>126</v>
      </c>
      <c r="F1533">
        <f t="shared" si="338"/>
        <v>18811099.5</v>
      </c>
      <c r="G1533">
        <f t="shared" si="339"/>
        <v>1881.10995</v>
      </c>
      <c r="H1533">
        <f t="shared" si="342"/>
        <v>126000000</v>
      </c>
      <c r="I1533">
        <f t="shared" si="341"/>
        <v>60480000</v>
      </c>
      <c r="K1533">
        <f t="shared" si="343"/>
        <v>195001830</v>
      </c>
      <c r="M1533">
        <f t="shared" si="340"/>
        <v>43515818</v>
      </c>
      <c r="N1533">
        <f t="shared" si="345"/>
        <v>272975299</v>
      </c>
      <c r="O1533">
        <f t="shared" si="337"/>
        <v>0.673647523256738</v>
      </c>
    </row>
    <row r="1534" ht="13.9" spans="1:15">
      <c r="A1534" s="42" t="s">
        <v>1038</v>
      </c>
      <c r="B1534" s="11">
        <v>31976380</v>
      </c>
      <c r="C1534" s="11">
        <v>5135016</v>
      </c>
      <c r="D1534" s="11">
        <v>101</v>
      </c>
      <c r="E1534">
        <f t="shared" si="344"/>
        <v>101</v>
      </c>
      <c r="F1534">
        <f t="shared" si="338"/>
        <v>15988190</v>
      </c>
      <c r="G1534">
        <f t="shared" si="339"/>
        <v>1598.819</v>
      </c>
      <c r="H1534">
        <f t="shared" si="342"/>
        <v>101000000</v>
      </c>
      <c r="I1534">
        <f t="shared" si="341"/>
        <v>48480000</v>
      </c>
      <c r="K1534">
        <f t="shared" si="343"/>
        <v>163025450</v>
      </c>
      <c r="M1534">
        <f t="shared" si="340"/>
        <v>37111396</v>
      </c>
      <c r="N1534">
        <f t="shared" si="345"/>
        <v>229459481</v>
      </c>
      <c r="O1534">
        <f t="shared" si="337"/>
        <v>0.599673613433093</v>
      </c>
    </row>
    <row r="1535" ht="13.85" spans="1:15">
      <c r="A1535" s="43">
        <v>37601</v>
      </c>
      <c r="B1535" s="11">
        <v>26927569</v>
      </c>
      <c r="C1535" s="11">
        <v>4756333</v>
      </c>
      <c r="D1535" s="11">
        <v>82</v>
      </c>
      <c r="E1535">
        <f t="shared" si="344"/>
        <v>82</v>
      </c>
      <c r="F1535">
        <f t="shared" si="338"/>
        <v>13463784.5</v>
      </c>
      <c r="G1535">
        <f t="shared" si="339"/>
        <v>1346.37845</v>
      </c>
      <c r="H1535">
        <f t="shared" si="342"/>
        <v>82000000</v>
      </c>
      <c r="I1535">
        <f t="shared" si="341"/>
        <v>39360000</v>
      </c>
      <c r="K1535">
        <f t="shared" si="343"/>
        <v>136097881</v>
      </c>
      <c r="M1535">
        <f t="shared" si="340"/>
        <v>31683902</v>
      </c>
      <c r="N1535">
        <f t="shared" si="345"/>
        <v>192348085</v>
      </c>
      <c r="O1535">
        <f t="shared" si="337"/>
        <v>0.725832952525711</v>
      </c>
    </row>
    <row r="1536" ht="13.85" spans="1:15">
      <c r="A1536" s="43">
        <v>37510</v>
      </c>
      <c r="B1536" s="11">
        <v>22157797</v>
      </c>
      <c r="C1536" s="11">
        <v>4019025</v>
      </c>
      <c r="D1536" s="11">
        <v>63</v>
      </c>
      <c r="E1536">
        <f t="shared" si="344"/>
        <v>63</v>
      </c>
      <c r="F1536">
        <f t="shared" si="338"/>
        <v>11078898.5</v>
      </c>
      <c r="G1536">
        <f t="shared" si="339"/>
        <v>1107.88985</v>
      </c>
      <c r="H1536">
        <f t="shared" si="342"/>
        <v>63000000</v>
      </c>
      <c r="I1536">
        <f t="shared" si="341"/>
        <v>30240000</v>
      </c>
      <c r="K1536">
        <f t="shared" si="343"/>
        <v>113940084</v>
      </c>
      <c r="M1536">
        <f t="shared" si="340"/>
        <v>26176822</v>
      </c>
      <c r="N1536">
        <f t="shared" si="345"/>
        <v>160664183</v>
      </c>
      <c r="O1536">
        <f t="shared" si="337"/>
        <v>0.465041123765437</v>
      </c>
    </row>
    <row r="1537" ht="13.85" spans="1:15">
      <c r="A1537" s="43">
        <v>37387</v>
      </c>
      <c r="B1537" s="11">
        <v>23625565</v>
      </c>
      <c r="C1537" s="11">
        <v>4328952</v>
      </c>
      <c r="D1537" s="11">
        <v>50</v>
      </c>
      <c r="E1537">
        <f t="shared" si="344"/>
        <v>50</v>
      </c>
      <c r="F1537">
        <f t="shared" si="338"/>
        <v>11812782.5</v>
      </c>
      <c r="G1537">
        <f t="shared" si="339"/>
        <v>1181.27825</v>
      </c>
      <c r="H1537">
        <f t="shared" si="342"/>
        <v>50000000</v>
      </c>
      <c r="I1537">
        <f t="shared" si="341"/>
        <v>24000000</v>
      </c>
      <c r="K1537">
        <f t="shared" si="343"/>
        <v>90314519</v>
      </c>
      <c r="M1537">
        <f t="shared" si="340"/>
        <v>27954517</v>
      </c>
      <c r="N1537">
        <f t="shared" si="345"/>
        <v>134487361</v>
      </c>
      <c r="O1537">
        <f t="shared" si="337"/>
        <v>0.693566825533542</v>
      </c>
    </row>
    <row r="1538" ht="13.85" spans="1:15">
      <c r="A1538" s="43">
        <v>37298</v>
      </c>
      <c r="B1538" s="11">
        <v>18167841</v>
      </c>
      <c r="C1538" s="11">
        <v>3459491</v>
      </c>
      <c r="D1538" s="11">
        <v>35</v>
      </c>
      <c r="E1538">
        <f t="shared" si="344"/>
        <v>35</v>
      </c>
      <c r="F1538">
        <f t="shared" si="338"/>
        <v>9083920.5</v>
      </c>
      <c r="G1538">
        <f t="shared" si="339"/>
        <v>908.39205</v>
      </c>
      <c r="H1538">
        <f t="shared" si="342"/>
        <v>35000000</v>
      </c>
      <c r="I1538">
        <f t="shared" si="341"/>
        <v>16800000</v>
      </c>
      <c r="K1538">
        <f t="shared" si="343"/>
        <v>72146678</v>
      </c>
      <c r="M1538">
        <f t="shared" si="340"/>
        <v>21627332</v>
      </c>
      <c r="N1538">
        <f t="shared" si="345"/>
        <v>106532844</v>
      </c>
      <c r="O1538">
        <f t="shared" si="337"/>
        <v>0.414197686034923</v>
      </c>
    </row>
    <row r="1539" ht="13.9" spans="1:15">
      <c r="A1539" s="42" t="s">
        <v>1039</v>
      </c>
      <c r="B1539" s="11">
        <v>20267441</v>
      </c>
      <c r="C1539" s="11">
        <v>3875620</v>
      </c>
      <c r="D1539" s="11">
        <v>25</v>
      </c>
      <c r="E1539">
        <f t="shared" si="344"/>
        <v>25</v>
      </c>
      <c r="F1539">
        <f t="shared" si="338"/>
        <v>10133720.5</v>
      </c>
      <c r="G1539">
        <f t="shared" si="339"/>
        <v>1013.37205</v>
      </c>
      <c r="H1539">
        <f t="shared" si="342"/>
        <v>25000000</v>
      </c>
      <c r="I1539">
        <f t="shared" si="341"/>
        <v>12000000</v>
      </c>
      <c r="K1539">
        <f t="shared" si="343"/>
        <v>51879237</v>
      </c>
      <c r="M1539">
        <f t="shared" si="340"/>
        <v>24143061</v>
      </c>
      <c r="N1539">
        <f t="shared" si="345"/>
        <v>84905512</v>
      </c>
      <c r="O1539">
        <f t="shared" ref="O1539:O1602" si="346">IF(H1539&gt;H1540,(H1539-H1540)/M1540,0)</f>
        <v>0.235294128719724</v>
      </c>
    </row>
    <row r="1540" ht="13.9" spans="1:15">
      <c r="A1540" s="42" t="s">
        <v>1040</v>
      </c>
      <c r="B1540" s="11">
        <v>17849664</v>
      </c>
      <c r="C1540" s="11">
        <v>3400335</v>
      </c>
      <c r="D1540" s="11">
        <v>20</v>
      </c>
      <c r="E1540">
        <f t="shared" si="344"/>
        <v>20</v>
      </c>
      <c r="F1540">
        <f t="shared" ref="F1540:F1603" si="347">B1540/2</f>
        <v>8924832</v>
      </c>
      <c r="G1540">
        <f t="shared" ref="G1540:G1603" si="348">F1540/10000</f>
        <v>892.4832</v>
      </c>
      <c r="H1540">
        <f t="shared" si="342"/>
        <v>20000000</v>
      </c>
      <c r="I1540">
        <f t="shared" si="341"/>
        <v>9600000</v>
      </c>
      <c r="K1540">
        <f t="shared" si="343"/>
        <v>34029573</v>
      </c>
      <c r="M1540">
        <f t="shared" si="340"/>
        <v>21249999</v>
      </c>
      <c r="N1540">
        <f t="shared" si="345"/>
        <v>60762451</v>
      </c>
      <c r="O1540">
        <f t="shared" si="346"/>
        <v>0</v>
      </c>
    </row>
    <row r="1541" ht="13.9" spans="1:15">
      <c r="A1541" s="42" t="s">
        <v>1041</v>
      </c>
      <c r="B1541" s="11">
        <v>34029573</v>
      </c>
      <c r="C1541" s="11">
        <v>5482879</v>
      </c>
      <c r="D1541" s="11">
        <v>122</v>
      </c>
      <c r="E1541">
        <f t="shared" si="344"/>
        <v>122</v>
      </c>
      <c r="F1541">
        <f t="shared" si="347"/>
        <v>17014786.5</v>
      </c>
      <c r="G1541">
        <f t="shared" si="348"/>
        <v>1701.47865</v>
      </c>
      <c r="H1541">
        <f t="shared" si="342"/>
        <v>122000000</v>
      </c>
      <c r="I1541">
        <f t="shared" si="341"/>
        <v>58560000</v>
      </c>
      <c r="K1541">
        <f t="shared" si="343"/>
        <v>179841788</v>
      </c>
      <c r="M1541">
        <f t="shared" si="340"/>
        <v>39512452</v>
      </c>
      <c r="N1541">
        <f t="shared" si="345"/>
        <v>251891954</v>
      </c>
      <c r="O1541">
        <f t="shared" si="346"/>
        <v>0.8188442517291</v>
      </c>
    </row>
    <row r="1542" ht="13.9" spans="1:15">
      <c r="A1542" s="42" t="s">
        <v>1042</v>
      </c>
      <c r="B1542" s="11">
        <v>27158928</v>
      </c>
      <c r="C1542" s="11">
        <v>4593142</v>
      </c>
      <c r="D1542" s="11">
        <v>96</v>
      </c>
      <c r="E1542">
        <f t="shared" si="344"/>
        <v>96</v>
      </c>
      <c r="F1542">
        <f t="shared" si="347"/>
        <v>13579464</v>
      </c>
      <c r="G1542">
        <f t="shared" si="348"/>
        <v>1357.9464</v>
      </c>
      <c r="H1542">
        <f t="shared" si="342"/>
        <v>96000000</v>
      </c>
      <c r="I1542">
        <f t="shared" si="341"/>
        <v>46080000</v>
      </c>
      <c r="K1542">
        <f t="shared" si="343"/>
        <v>152682860</v>
      </c>
      <c r="M1542">
        <f t="shared" si="340"/>
        <v>31752070</v>
      </c>
      <c r="N1542">
        <f t="shared" si="345"/>
        <v>212379502</v>
      </c>
      <c r="O1542">
        <f t="shared" si="346"/>
        <v>0.444405971584619</v>
      </c>
    </row>
    <row r="1543" ht="13.9" spans="1:15">
      <c r="A1543" s="42" t="s">
        <v>1043</v>
      </c>
      <c r="B1543" s="11">
        <v>26778161</v>
      </c>
      <c r="C1543" s="11">
        <v>4724566</v>
      </c>
      <c r="D1543" s="11">
        <v>82</v>
      </c>
      <c r="E1543">
        <f t="shared" si="344"/>
        <v>82</v>
      </c>
      <c r="F1543">
        <f t="shared" si="347"/>
        <v>13389080.5</v>
      </c>
      <c r="G1543">
        <f t="shared" si="348"/>
        <v>1338.90805</v>
      </c>
      <c r="H1543">
        <f t="shared" si="342"/>
        <v>82000000</v>
      </c>
      <c r="I1543">
        <f t="shared" si="341"/>
        <v>39360000</v>
      </c>
      <c r="K1543">
        <f t="shared" si="343"/>
        <v>125904699</v>
      </c>
      <c r="M1543">
        <f t="shared" ref="M1543:M1606" si="349">B1543+C1543</f>
        <v>31502727</v>
      </c>
      <c r="N1543">
        <f t="shared" si="345"/>
        <v>180627432</v>
      </c>
      <c r="O1543">
        <f t="shared" si="346"/>
        <v>0.598848390590958</v>
      </c>
    </row>
    <row r="1544" ht="13.85" spans="1:15">
      <c r="A1544" s="43">
        <v>37236</v>
      </c>
      <c r="B1544" s="11">
        <v>21227821</v>
      </c>
      <c r="C1544" s="11">
        <v>3820255</v>
      </c>
      <c r="D1544" s="11">
        <v>67</v>
      </c>
      <c r="E1544">
        <f t="shared" si="344"/>
        <v>67</v>
      </c>
      <c r="F1544">
        <f t="shared" si="347"/>
        <v>10613910.5</v>
      </c>
      <c r="G1544">
        <f t="shared" si="348"/>
        <v>1061.39105</v>
      </c>
      <c r="H1544">
        <f t="shared" si="342"/>
        <v>67000000</v>
      </c>
      <c r="I1544">
        <f t="shared" si="341"/>
        <v>32160000</v>
      </c>
      <c r="K1544">
        <f t="shared" si="343"/>
        <v>104676878</v>
      </c>
      <c r="M1544">
        <f t="shared" si="349"/>
        <v>25048076</v>
      </c>
      <c r="N1544">
        <f t="shared" si="345"/>
        <v>149124705</v>
      </c>
      <c r="O1544">
        <f t="shared" si="346"/>
        <v>0.591373334096698</v>
      </c>
    </row>
    <row r="1545" ht="13.85" spans="1:15">
      <c r="A1545" s="43">
        <v>37114</v>
      </c>
      <c r="B1545" s="11">
        <v>22798187</v>
      </c>
      <c r="C1545" s="11">
        <v>4257480</v>
      </c>
      <c r="D1545" s="11">
        <v>51</v>
      </c>
      <c r="E1545">
        <f t="shared" si="344"/>
        <v>51</v>
      </c>
      <c r="F1545">
        <f t="shared" si="347"/>
        <v>11399093.5</v>
      </c>
      <c r="G1545">
        <f t="shared" si="348"/>
        <v>1139.90935</v>
      </c>
      <c r="H1545">
        <f t="shared" si="342"/>
        <v>51000000</v>
      </c>
      <c r="I1545">
        <f t="shared" si="341"/>
        <v>24480000</v>
      </c>
      <c r="K1545">
        <f t="shared" si="343"/>
        <v>81878691</v>
      </c>
      <c r="M1545">
        <f t="shared" si="349"/>
        <v>27055667</v>
      </c>
      <c r="N1545">
        <f t="shared" si="345"/>
        <v>124076629</v>
      </c>
      <c r="O1545">
        <f t="shared" si="346"/>
        <v>0.655849294165345</v>
      </c>
    </row>
    <row r="1546" ht="13.85" spans="1:15">
      <c r="A1546" s="43">
        <v>37022</v>
      </c>
      <c r="B1546" s="11">
        <v>21987195</v>
      </c>
      <c r="C1546" s="11">
        <v>3933394</v>
      </c>
      <c r="D1546" s="11">
        <v>34</v>
      </c>
      <c r="E1546">
        <f t="shared" si="344"/>
        <v>34</v>
      </c>
      <c r="F1546">
        <f t="shared" si="347"/>
        <v>10993597.5</v>
      </c>
      <c r="G1546">
        <f t="shared" si="348"/>
        <v>1099.35975</v>
      </c>
      <c r="H1546">
        <f t="shared" si="342"/>
        <v>34000000</v>
      </c>
      <c r="I1546">
        <f t="shared" si="341"/>
        <v>16320000</v>
      </c>
      <c r="K1546">
        <f t="shared" si="343"/>
        <v>59891496</v>
      </c>
      <c r="M1546">
        <f t="shared" si="349"/>
        <v>25920589</v>
      </c>
      <c r="N1546">
        <f t="shared" si="345"/>
        <v>97020962</v>
      </c>
      <c r="O1546">
        <f t="shared" si="346"/>
        <v>0.361127034138302</v>
      </c>
    </row>
    <row r="1547" ht="13.85" spans="1:15">
      <c r="A1547" s="44">
        <v>36902</v>
      </c>
      <c r="B1547" s="15">
        <v>20986302</v>
      </c>
      <c r="C1547" s="15">
        <v>3935676</v>
      </c>
      <c r="D1547" s="15">
        <v>25</v>
      </c>
      <c r="E1547">
        <f t="shared" si="344"/>
        <v>25</v>
      </c>
      <c r="F1547">
        <f t="shared" si="347"/>
        <v>10493151</v>
      </c>
      <c r="G1547">
        <f t="shared" si="348"/>
        <v>1049.3151</v>
      </c>
      <c r="H1547">
        <f t="shared" si="342"/>
        <v>25000000</v>
      </c>
      <c r="I1547">
        <f t="shared" ref="I1547:I1582" si="350">H1547*0.48</f>
        <v>12000000</v>
      </c>
      <c r="K1547">
        <f t="shared" si="343"/>
        <v>38905194</v>
      </c>
      <c r="M1547">
        <f t="shared" si="349"/>
        <v>24921978</v>
      </c>
      <c r="N1547">
        <f t="shared" si="345"/>
        <v>71100373</v>
      </c>
      <c r="O1547">
        <f t="shared" si="346"/>
        <v>0.235576654428931</v>
      </c>
    </row>
    <row r="1548" ht="13.9" spans="1:15">
      <c r="A1548" s="41" t="s">
        <v>1044</v>
      </c>
      <c r="B1548" s="13">
        <v>17780026</v>
      </c>
      <c r="C1548" s="13">
        <v>3444488</v>
      </c>
      <c r="D1548" s="13">
        <v>20</v>
      </c>
      <c r="E1548">
        <f t="shared" si="344"/>
        <v>20</v>
      </c>
      <c r="F1548">
        <f t="shared" si="347"/>
        <v>8890013</v>
      </c>
      <c r="G1548">
        <f t="shared" si="348"/>
        <v>889.0013</v>
      </c>
      <c r="H1548">
        <f t="shared" si="342"/>
        <v>20000000</v>
      </c>
      <c r="I1548">
        <f t="shared" si="350"/>
        <v>9600000</v>
      </c>
      <c r="K1548">
        <f t="shared" si="343"/>
        <v>21125168</v>
      </c>
      <c r="M1548">
        <f t="shared" si="349"/>
        <v>21224514</v>
      </c>
      <c r="N1548">
        <f t="shared" si="345"/>
        <v>46178395</v>
      </c>
      <c r="O1548">
        <f t="shared" si="346"/>
        <v>0</v>
      </c>
    </row>
    <row r="1549" ht="13.9" spans="1:15">
      <c r="A1549" s="42" t="s">
        <v>1045</v>
      </c>
      <c r="B1549" s="11">
        <v>21125168</v>
      </c>
      <c r="C1549" s="11">
        <v>3828713</v>
      </c>
      <c r="D1549" s="11">
        <v>46</v>
      </c>
      <c r="E1549">
        <f t="shared" si="344"/>
        <v>46</v>
      </c>
      <c r="F1549">
        <f t="shared" si="347"/>
        <v>10562584</v>
      </c>
      <c r="G1549">
        <f t="shared" si="348"/>
        <v>1056.2584</v>
      </c>
      <c r="H1549">
        <f t="shared" si="342"/>
        <v>46000000</v>
      </c>
      <c r="I1549">
        <f t="shared" si="350"/>
        <v>22080000</v>
      </c>
      <c r="K1549">
        <f t="shared" si="343"/>
        <v>78742114</v>
      </c>
      <c r="M1549">
        <f t="shared" si="349"/>
        <v>24953881</v>
      </c>
      <c r="N1549">
        <f t="shared" si="345"/>
        <v>119130778</v>
      </c>
      <c r="O1549">
        <f t="shared" si="346"/>
        <v>0.468080306070053</v>
      </c>
    </row>
    <row r="1550" ht="13.9" spans="1:15">
      <c r="A1550" s="42" t="s">
        <v>1046</v>
      </c>
      <c r="B1550" s="11">
        <v>19690822</v>
      </c>
      <c r="C1550" s="11">
        <v>3809419</v>
      </c>
      <c r="D1550" s="11">
        <v>35</v>
      </c>
      <c r="E1550">
        <f t="shared" si="344"/>
        <v>35</v>
      </c>
      <c r="F1550">
        <f t="shared" si="347"/>
        <v>9845411</v>
      </c>
      <c r="G1550">
        <f t="shared" si="348"/>
        <v>984.5411</v>
      </c>
      <c r="H1550">
        <f t="shared" si="342"/>
        <v>35000000</v>
      </c>
      <c r="I1550">
        <f t="shared" si="350"/>
        <v>16800000</v>
      </c>
      <c r="K1550">
        <f t="shared" si="343"/>
        <v>59051292</v>
      </c>
      <c r="M1550">
        <f t="shared" si="349"/>
        <v>23500241</v>
      </c>
      <c r="N1550">
        <f t="shared" si="345"/>
        <v>94176897</v>
      </c>
      <c r="O1550">
        <f t="shared" si="346"/>
        <v>0.414292477314483</v>
      </c>
    </row>
    <row r="1551" ht="13.9" spans="1:15">
      <c r="A1551" s="42" t="s">
        <v>1047</v>
      </c>
      <c r="B1551" s="11">
        <v>20170142</v>
      </c>
      <c r="C1551" s="11">
        <v>3967395</v>
      </c>
      <c r="D1551" s="11">
        <v>25</v>
      </c>
      <c r="E1551">
        <f t="shared" si="344"/>
        <v>25</v>
      </c>
      <c r="F1551">
        <f t="shared" si="347"/>
        <v>10085071</v>
      </c>
      <c r="G1551">
        <f t="shared" si="348"/>
        <v>1008.5071</v>
      </c>
      <c r="H1551">
        <f t="shared" si="342"/>
        <v>25000000</v>
      </c>
      <c r="I1551">
        <f t="shared" si="350"/>
        <v>12000000</v>
      </c>
      <c r="K1551">
        <f t="shared" si="343"/>
        <v>38881150</v>
      </c>
      <c r="M1551">
        <f t="shared" si="349"/>
        <v>24137537</v>
      </c>
      <c r="N1551">
        <f t="shared" si="345"/>
        <v>70676656</v>
      </c>
      <c r="O1551">
        <f t="shared" si="346"/>
        <v>0.236671467626278</v>
      </c>
    </row>
    <row r="1552" ht="13.9" spans="1:15">
      <c r="A1552" s="42" t="s">
        <v>1048</v>
      </c>
      <c r="B1552" s="11">
        <v>17624726</v>
      </c>
      <c r="C1552" s="11">
        <v>3501606</v>
      </c>
      <c r="D1552" s="11">
        <v>20</v>
      </c>
      <c r="E1552">
        <f t="shared" si="344"/>
        <v>20</v>
      </c>
      <c r="F1552">
        <f t="shared" si="347"/>
        <v>8812363</v>
      </c>
      <c r="G1552">
        <f t="shared" si="348"/>
        <v>881.2363</v>
      </c>
      <c r="H1552">
        <f t="shared" ref="H1552:H1615" si="351">E1552*1000000</f>
        <v>20000000</v>
      </c>
      <c r="I1552">
        <f t="shared" si="350"/>
        <v>9600000</v>
      </c>
      <c r="K1552">
        <f t="shared" si="343"/>
        <v>21256424</v>
      </c>
      <c r="M1552">
        <f t="shared" si="349"/>
        <v>21126332</v>
      </c>
      <c r="N1552">
        <f t="shared" si="345"/>
        <v>46539119</v>
      </c>
      <c r="O1552">
        <f t="shared" si="346"/>
        <v>0</v>
      </c>
    </row>
    <row r="1553" ht="13.85" spans="1:15">
      <c r="A1553" s="43">
        <v>41223</v>
      </c>
      <c r="B1553" s="11">
        <v>21256424</v>
      </c>
      <c r="C1553" s="11">
        <v>4156363</v>
      </c>
      <c r="D1553" s="11">
        <v>37</v>
      </c>
      <c r="E1553">
        <f t="shared" si="344"/>
        <v>37</v>
      </c>
      <c r="F1553">
        <f t="shared" si="347"/>
        <v>10628212</v>
      </c>
      <c r="G1553">
        <f t="shared" si="348"/>
        <v>1062.8212</v>
      </c>
      <c r="H1553">
        <f t="shared" si="351"/>
        <v>37000000</v>
      </c>
      <c r="I1553">
        <f t="shared" si="350"/>
        <v>17760000</v>
      </c>
      <c r="K1553">
        <f t="shared" ref="K1553:K1616" si="352">IF(E1553&gt;E1554,B1554+K1554,B1554)</f>
        <v>65653323</v>
      </c>
      <c r="M1553">
        <f t="shared" si="349"/>
        <v>25412787</v>
      </c>
      <c r="N1553">
        <f t="shared" si="345"/>
        <v>103404037</v>
      </c>
      <c r="O1553">
        <f t="shared" si="346"/>
        <v>0.546722270143948</v>
      </c>
    </row>
    <row r="1554" ht="13.85" spans="1:15">
      <c r="A1554" s="43">
        <v>41131</v>
      </c>
      <c r="B1554" s="11">
        <v>18306999</v>
      </c>
      <c r="C1554" s="11">
        <v>3641988</v>
      </c>
      <c r="D1554" s="11">
        <v>25</v>
      </c>
      <c r="E1554">
        <f t="shared" ref="E1554:E1617" si="353">IF(RIGHT(D1554,1)="B",VALUE(LEFT(D1554,LEN(D1554)-1))*1000,D1554)</f>
        <v>25</v>
      </c>
      <c r="F1554">
        <f t="shared" si="347"/>
        <v>9153499.5</v>
      </c>
      <c r="G1554">
        <f t="shared" si="348"/>
        <v>915.34995</v>
      </c>
      <c r="H1554">
        <f t="shared" si="351"/>
        <v>25000000</v>
      </c>
      <c r="I1554">
        <f t="shared" si="350"/>
        <v>12000000</v>
      </c>
      <c r="K1554">
        <f t="shared" si="352"/>
        <v>47346324</v>
      </c>
      <c r="M1554">
        <f t="shared" si="349"/>
        <v>21948987</v>
      </c>
      <c r="N1554">
        <f t="shared" si="345"/>
        <v>77991250</v>
      </c>
      <c r="O1554">
        <f t="shared" si="346"/>
        <v>0.200230144528121</v>
      </c>
    </row>
    <row r="1555" ht="13.85" spans="1:15">
      <c r="A1555" s="43">
        <v>41009</v>
      </c>
      <c r="B1555" s="11">
        <v>20891222</v>
      </c>
      <c r="C1555" s="11">
        <v>4080043</v>
      </c>
      <c r="D1555" s="11">
        <v>20</v>
      </c>
      <c r="E1555">
        <f t="shared" si="353"/>
        <v>20</v>
      </c>
      <c r="F1555">
        <f t="shared" si="347"/>
        <v>10445611</v>
      </c>
      <c r="G1555">
        <f t="shared" si="348"/>
        <v>1044.5611</v>
      </c>
      <c r="H1555">
        <f t="shared" si="351"/>
        <v>20000000</v>
      </c>
      <c r="I1555">
        <f t="shared" si="350"/>
        <v>9600000</v>
      </c>
      <c r="K1555">
        <f t="shared" si="352"/>
        <v>26455102</v>
      </c>
      <c r="M1555">
        <f t="shared" si="349"/>
        <v>24971265</v>
      </c>
      <c r="N1555">
        <f t="shared" si="345"/>
        <v>56042263</v>
      </c>
      <c r="O1555">
        <f t="shared" si="346"/>
        <v>0</v>
      </c>
    </row>
    <row r="1556" ht="13.85" spans="1:15">
      <c r="A1556" s="43">
        <v>40918</v>
      </c>
      <c r="B1556" s="11">
        <v>26455102</v>
      </c>
      <c r="C1556" s="11">
        <v>4615896</v>
      </c>
      <c r="D1556" s="11">
        <v>95</v>
      </c>
      <c r="E1556">
        <f t="shared" si="353"/>
        <v>95</v>
      </c>
      <c r="F1556">
        <f t="shared" si="347"/>
        <v>13227551</v>
      </c>
      <c r="G1556">
        <f t="shared" si="348"/>
        <v>1322.7551</v>
      </c>
      <c r="H1556">
        <f t="shared" si="351"/>
        <v>95000000</v>
      </c>
      <c r="I1556">
        <f t="shared" si="350"/>
        <v>45600000</v>
      </c>
      <c r="K1556">
        <f t="shared" si="352"/>
        <v>168815976</v>
      </c>
      <c r="M1556">
        <f t="shared" si="349"/>
        <v>31070998</v>
      </c>
      <c r="N1556">
        <f t="shared" si="345"/>
        <v>230719414</v>
      </c>
      <c r="O1556">
        <f t="shared" si="346"/>
        <v>0.575876145165707</v>
      </c>
    </row>
    <row r="1557" ht="13.9" spans="1:15">
      <c r="A1557" s="42" t="s">
        <v>1049</v>
      </c>
      <c r="B1557" s="11">
        <v>23408982</v>
      </c>
      <c r="C1557" s="11">
        <v>4374770</v>
      </c>
      <c r="D1557" s="11">
        <v>79</v>
      </c>
      <c r="E1557">
        <f t="shared" si="353"/>
        <v>79</v>
      </c>
      <c r="F1557">
        <f t="shared" si="347"/>
        <v>11704491</v>
      </c>
      <c r="G1557">
        <f t="shared" si="348"/>
        <v>1170.4491</v>
      </c>
      <c r="H1557">
        <f t="shared" si="351"/>
        <v>79000000</v>
      </c>
      <c r="I1557">
        <f t="shared" si="350"/>
        <v>37920000</v>
      </c>
      <c r="K1557">
        <f t="shared" si="352"/>
        <v>145406994</v>
      </c>
      <c r="M1557">
        <f t="shared" si="349"/>
        <v>27783752</v>
      </c>
      <c r="N1557">
        <f t="shared" si="345"/>
        <v>199648416</v>
      </c>
      <c r="O1557">
        <f t="shared" si="346"/>
        <v>0.536562303271667</v>
      </c>
    </row>
    <row r="1558" ht="13.9" spans="1:15">
      <c r="A1558" s="42" t="s">
        <v>1050</v>
      </c>
      <c r="B1558" s="11">
        <v>23633540</v>
      </c>
      <c r="C1558" s="11">
        <v>4322207</v>
      </c>
      <c r="D1558" s="11">
        <v>64</v>
      </c>
      <c r="E1558">
        <f t="shared" si="353"/>
        <v>64</v>
      </c>
      <c r="F1558">
        <f t="shared" si="347"/>
        <v>11816770</v>
      </c>
      <c r="G1558">
        <f t="shared" si="348"/>
        <v>1181.677</v>
      </c>
      <c r="H1558">
        <f t="shared" si="351"/>
        <v>64000000</v>
      </c>
      <c r="I1558">
        <f t="shared" si="350"/>
        <v>30720000</v>
      </c>
      <c r="K1558">
        <f t="shared" si="352"/>
        <v>121773454</v>
      </c>
      <c r="M1558">
        <f t="shared" si="349"/>
        <v>27955747</v>
      </c>
      <c r="N1558">
        <f t="shared" si="345"/>
        <v>171864664</v>
      </c>
      <c r="O1558">
        <f t="shared" si="346"/>
        <v>0.496555624178755</v>
      </c>
    </row>
    <row r="1559" ht="13.9" spans="1:15">
      <c r="A1559" s="42" t="s">
        <v>1051</v>
      </c>
      <c r="B1559" s="11">
        <v>23769024</v>
      </c>
      <c r="C1559" s="11">
        <v>4425199</v>
      </c>
      <c r="D1559" s="11">
        <v>50</v>
      </c>
      <c r="E1559">
        <f t="shared" si="353"/>
        <v>50</v>
      </c>
      <c r="F1559">
        <f t="shared" si="347"/>
        <v>11884512</v>
      </c>
      <c r="G1559">
        <f t="shared" si="348"/>
        <v>1188.4512</v>
      </c>
      <c r="H1559">
        <f t="shared" si="351"/>
        <v>50000000</v>
      </c>
      <c r="I1559">
        <f t="shared" si="350"/>
        <v>24000000</v>
      </c>
      <c r="K1559">
        <f t="shared" si="352"/>
        <v>98004430</v>
      </c>
      <c r="M1559">
        <f t="shared" si="349"/>
        <v>28194223</v>
      </c>
      <c r="N1559">
        <f t="shared" si="345"/>
        <v>143908917</v>
      </c>
      <c r="O1559">
        <f t="shared" si="346"/>
        <v>0.625213979484479</v>
      </c>
    </row>
    <row r="1560" ht="13.9" spans="1:15">
      <c r="A1560" s="42" t="s">
        <v>1052</v>
      </c>
      <c r="B1560" s="11">
        <v>20128151</v>
      </c>
      <c r="C1560" s="11">
        <v>3863635</v>
      </c>
      <c r="D1560" s="11">
        <v>35</v>
      </c>
      <c r="E1560">
        <f t="shared" si="353"/>
        <v>35</v>
      </c>
      <c r="F1560">
        <f t="shared" si="347"/>
        <v>10064075.5</v>
      </c>
      <c r="G1560">
        <f t="shared" si="348"/>
        <v>1006.40755</v>
      </c>
      <c r="H1560">
        <f t="shared" si="351"/>
        <v>35000000</v>
      </c>
      <c r="I1560">
        <f t="shared" si="350"/>
        <v>16800000</v>
      </c>
      <c r="K1560">
        <f t="shared" si="352"/>
        <v>77876279</v>
      </c>
      <c r="M1560">
        <f t="shared" si="349"/>
        <v>23991786</v>
      </c>
      <c r="N1560">
        <f t="shared" si="345"/>
        <v>115714694</v>
      </c>
      <c r="O1560">
        <f t="shared" si="346"/>
        <v>0.387286304615163</v>
      </c>
    </row>
    <row r="1561" ht="13.9" spans="1:15">
      <c r="A1561" s="42" t="s">
        <v>1053</v>
      </c>
      <c r="B1561" s="11">
        <v>21644503</v>
      </c>
      <c r="C1561" s="11">
        <v>4176188</v>
      </c>
      <c r="D1561" s="11">
        <v>25</v>
      </c>
      <c r="E1561">
        <f t="shared" si="353"/>
        <v>25</v>
      </c>
      <c r="F1561">
        <f t="shared" si="347"/>
        <v>10822251.5</v>
      </c>
      <c r="G1561">
        <f t="shared" si="348"/>
        <v>1082.22515</v>
      </c>
      <c r="H1561">
        <f t="shared" si="351"/>
        <v>25000000</v>
      </c>
      <c r="I1561">
        <f t="shared" si="350"/>
        <v>12000000</v>
      </c>
      <c r="K1561">
        <f t="shared" si="352"/>
        <v>56231776</v>
      </c>
      <c r="M1561">
        <f t="shared" si="349"/>
        <v>25820691</v>
      </c>
      <c r="N1561">
        <f t="shared" si="345"/>
        <v>91722908</v>
      </c>
      <c r="O1561">
        <f t="shared" si="346"/>
        <v>0.217196337583229</v>
      </c>
    </row>
    <row r="1562" ht="13.85" spans="1:15">
      <c r="A1562" s="43">
        <v>40826</v>
      </c>
      <c r="B1562" s="11">
        <v>19271815</v>
      </c>
      <c r="C1562" s="11">
        <v>3748831</v>
      </c>
      <c r="D1562" s="11">
        <v>20</v>
      </c>
      <c r="E1562">
        <f t="shared" si="353"/>
        <v>20</v>
      </c>
      <c r="F1562">
        <f t="shared" si="347"/>
        <v>9635907.5</v>
      </c>
      <c r="G1562">
        <f t="shared" si="348"/>
        <v>963.59075</v>
      </c>
      <c r="H1562">
        <f t="shared" si="351"/>
        <v>20000000</v>
      </c>
      <c r="I1562">
        <f t="shared" si="350"/>
        <v>9600000</v>
      </c>
      <c r="K1562">
        <f t="shared" si="352"/>
        <v>36959961</v>
      </c>
      <c r="M1562">
        <f t="shared" si="349"/>
        <v>23020646</v>
      </c>
      <c r="N1562">
        <f t="shared" si="345"/>
        <v>65902217</v>
      </c>
      <c r="O1562">
        <f t="shared" si="346"/>
        <v>0</v>
      </c>
    </row>
    <row r="1563" ht="13.85" spans="1:15">
      <c r="A1563" s="43">
        <v>40704</v>
      </c>
      <c r="B1563" s="11">
        <v>36959961</v>
      </c>
      <c r="C1563" s="11">
        <v>5921610</v>
      </c>
      <c r="D1563" s="11">
        <v>123</v>
      </c>
      <c r="E1563">
        <f t="shared" si="353"/>
        <v>123</v>
      </c>
      <c r="F1563">
        <f t="shared" si="347"/>
        <v>18479980.5</v>
      </c>
      <c r="G1563">
        <f t="shared" si="348"/>
        <v>1847.99805</v>
      </c>
      <c r="H1563">
        <f t="shared" si="351"/>
        <v>123000000</v>
      </c>
      <c r="I1563">
        <f t="shared" si="350"/>
        <v>59040000</v>
      </c>
      <c r="K1563">
        <f t="shared" si="352"/>
        <v>208423842</v>
      </c>
      <c r="M1563">
        <f t="shared" si="349"/>
        <v>42881571</v>
      </c>
      <c r="N1563">
        <f t="shared" si="345"/>
        <v>290104631</v>
      </c>
      <c r="O1563">
        <f t="shared" si="346"/>
        <v>0.527863232970049</v>
      </c>
    </row>
    <row r="1564" ht="13.85" spans="1:15">
      <c r="A1564" s="43">
        <v>40612</v>
      </c>
      <c r="B1564" s="11">
        <v>30837546</v>
      </c>
      <c r="C1564" s="11">
        <v>5156626</v>
      </c>
      <c r="D1564" s="11">
        <v>104</v>
      </c>
      <c r="E1564">
        <f t="shared" si="353"/>
        <v>104</v>
      </c>
      <c r="F1564">
        <f t="shared" si="347"/>
        <v>15418773</v>
      </c>
      <c r="G1564">
        <f t="shared" si="348"/>
        <v>1541.8773</v>
      </c>
      <c r="H1564">
        <f t="shared" si="351"/>
        <v>104000000</v>
      </c>
      <c r="I1564">
        <f t="shared" si="350"/>
        <v>49920000</v>
      </c>
      <c r="K1564">
        <f t="shared" si="352"/>
        <v>177586296</v>
      </c>
      <c r="M1564">
        <f t="shared" si="349"/>
        <v>35994172</v>
      </c>
      <c r="N1564">
        <f t="shared" si="345"/>
        <v>247223060</v>
      </c>
      <c r="O1564">
        <f t="shared" si="346"/>
        <v>0.541710980749249</v>
      </c>
    </row>
    <row r="1565" ht="13.9" spans="1:15">
      <c r="A1565" s="42" t="s">
        <v>1054</v>
      </c>
      <c r="B1565" s="11">
        <v>26539388</v>
      </c>
      <c r="C1565" s="11">
        <v>4842660</v>
      </c>
      <c r="D1565" s="11">
        <v>87</v>
      </c>
      <c r="E1565">
        <f t="shared" si="353"/>
        <v>87</v>
      </c>
      <c r="F1565">
        <f t="shared" si="347"/>
        <v>13269694</v>
      </c>
      <c r="G1565">
        <f t="shared" si="348"/>
        <v>1326.9694</v>
      </c>
      <c r="H1565">
        <f t="shared" si="351"/>
        <v>87000000</v>
      </c>
      <c r="I1565">
        <f t="shared" si="350"/>
        <v>41760000</v>
      </c>
      <c r="K1565">
        <f t="shared" si="352"/>
        <v>151046908</v>
      </c>
      <c r="M1565">
        <f t="shared" si="349"/>
        <v>31382048</v>
      </c>
      <c r="N1565">
        <f t="shared" si="345"/>
        <v>211228888</v>
      </c>
      <c r="O1565">
        <f t="shared" si="346"/>
        <v>0.55973376077091</v>
      </c>
    </row>
    <row r="1566" ht="13.9" spans="1:15">
      <c r="A1566" s="42" t="s">
        <v>1055</v>
      </c>
      <c r="B1566" s="11">
        <v>22629280</v>
      </c>
      <c r="C1566" s="11">
        <v>4169175</v>
      </c>
      <c r="D1566" s="11">
        <v>72</v>
      </c>
      <c r="E1566">
        <f t="shared" si="353"/>
        <v>72</v>
      </c>
      <c r="F1566">
        <f t="shared" si="347"/>
        <v>11314640</v>
      </c>
      <c r="G1566">
        <f t="shared" si="348"/>
        <v>1131.464</v>
      </c>
      <c r="H1566">
        <f t="shared" si="351"/>
        <v>72000000</v>
      </c>
      <c r="I1566">
        <f t="shared" si="350"/>
        <v>34560000</v>
      </c>
      <c r="K1566">
        <f t="shared" si="352"/>
        <v>128417628</v>
      </c>
      <c r="M1566">
        <f t="shared" si="349"/>
        <v>26798455</v>
      </c>
      <c r="N1566">
        <f t="shared" si="345"/>
        <v>179846840</v>
      </c>
      <c r="O1566">
        <f t="shared" si="346"/>
        <v>0.460816686271463</v>
      </c>
    </row>
    <row r="1567" ht="13.9" spans="1:15">
      <c r="A1567" s="42" t="s">
        <v>1056</v>
      </c>
      <c r="B1567" s="11">
        <v>23766218</v>
      </c>
      <c r="C1567" s="11">
        <v>4444566</v>
      </c>
      <c r="D1567" s="11">
        <v>59</v>
      </c>
      <c r="E1567">
        <f t="shared" si="353"/>
        <v>59</v>
      </c>
      <c r="F1567">
        <f t="shared" si="347"/>
        <v>11883109</v>
      </c>
      <c r="G1567">
        <f t="shared" si="348"/>
        <v>1188.3109</v>
      </c>
      <c r="H1567">
        <f t="shared" si="351"/>
        <v>59000000</v>
      </c>
      <c r="I1567">
        <f t="shared" si="350"/>
        <v>28320000</v>
      </c>
      <c r="K1567">
        <f t="shared" si="352"/>
        <v>104651410</v>
      </c>
      <c r="M1567">
        <f t="shared" si="349"/>
        <v>28210784</v>
      </c>
      <c r="N1567">
        <f t="shared" ref="N1567:N1630" si="354">IF(H1567&lt;H1568,M1567+M1568,M1567+N1568)</f>
        <v>153048385</v>
      </c>
      <c r="O1567">
        <f t="shared" si="346"/>
        <v>0.536814556461721</v>
      </c>
    </row>
    <row r="1568" ht="13.9" spans="1:15">
      <c r="A1568" s="42" t="s">
        <v>1057</v>
      </c>
      <c r="B1568" s="11">
        <v>20324810</v>
      </c>
      <c r="C1568" s="11">
        <v>3892119</v>
      </c>
      <c r="D1568" s="11">
        <v>46</v>
      </c>
      <c r="E1568">
        <f t="shared" si="353"/>
        <v>46</v>
      </c>
      <c r="F1568">
        <f t="shared" si="347"/>
        <v>10162405</v>
      </c>
      <c r="G1568">
        <f t="shared" si="348"/>
        <v>1016.2405</v>
      </c>
      <c r="H1568">
        <f t="shared" si="351"/>
        <v>46000000</v>
      </c>
      <c r="I1568">
        <f t="shared" si="350"/>
        <v>22080000</v>
      </c>
      <c r="K1568">
        <f t="shared" si="352"/>
        <v>84326600</v>
      </c>
      <c r="M1568">
        <f t="shared" si="349"/>
        <v>24216929</v>
      </c>
      <c r="N1568">
        <f t="shared" si="354"/>
        <v>124837601</v>
      </c>
      <c r="O1568">
        <f t="shared" si="346"/>
        <v>0.462360253539869</v>
      </c>
    </row>
    <row r="1569" ht="13.9" spans="1:15">
      <c r="A1569" s="42" t="s">
        <v>1058</v>
      </c>
      <c r="B1569" s="11">
        <v>21728971</v>
      </c>
      <c r="C1569" s="11">
        <v>4224817</v>
      </c>
      <c r="D1569" s="11">
        <v>34</v>
      </c>
      <c r="E1569">
        <f t="shared" si="353"/>
        <v>34</v>
      </c>
      <c r="F1569">
        <f t="shared" si="347"/>
        <v>10864485.5</v>
      </c>
      <c r="G1569">
        <f t="shared" si="348"/>
        <v>1086.44855</v>
      </c>
      <c r="H1569">
        <f t="shared" si="351"/>
        <v>34000000</v>
      </c>
      <c r="I1569">
        <f t="shared" si="350"/>
        <v>16320000</v>
      </c>
      <c r="K1569">
        <f t="shared" si="352"/>
        <v>62597629</v>
      </c>
      <c r="M1569">
        <f t="shared" si="349"/>
        <v>25953788</v>
      </c>
      <c r="N1569">
        <f t="shared" si="354"/>
        <v>100620672</v>
      </c>
      <c r="O1569">
        <f t="shared" si="346"/>
        <v>0.40195275795642</v>
      </c>
    </row>
    <row r="1570" ht="13.9" spans="1:15">
      <c r="A1570" s="42" t="s">
        <v>1059</v>
      </c>
      <c r="B1570" s="11">
        <v>18709731</v>
      </c>
      <c r="C1570" s="11">
        <v>3680960</v>
      </c>
      <c r="D1570" s="11">
        <v>25</v>
      </c>
      <c r="E1570">
        <f t="shared" si="353"/>
        <v>25</v>
      </c>
      <c r="F1570">
        <f t="shared" si="347"/>
        <v>9354865.5</v>
      </c>
      <c r="G1570">
        <f t="shared" si="348"/>
        <v>935.48655</v>
      </c>
      <c r="H1570">
        <f t="shared" si="351"/>
        <v>25000000</v>
      </c>
      <c r="I1570">
        <f t="shared" si="350"/>
        <v>12000000</v>
      </c>
      <c r="K1570">
        <f t="shared" si="352"/>
        <v>43887898</v>
      </c>
      <c r="M1570">
        <f t="shared" si="349"/>
        <v>22390691</v>
      </c>
      <c r="N1570">
        <f t="shared" si="354"/>
        <v>74666884</v>
      </c>
      <c r="O1570">
        <f t="shared" si="346"/>
        <v>0.198451829648473</v>
      </c>
    </row>
    <row r="1571" ht="13.85" spans="1:15">
      <c r="A1571" s="43">
        <v>40431</v>
      </c>
      <c r="B1571" s="11">
        <v>21069092</v>
      </c>
      <c r="C1571" s="11">
        <v>4125939</v>
      </c>
      <c r="D1571" s="11">
        <v>20</v>
      </c>
      <c r="E1571">
        <f t="shared" si="353"/>
        <v>20</v>
      </c>
      <c r="F1571">
        <f t="shared" si="347"/>
        <v>10534546</v>
      </c>
      <c r="G1571">
        <f t="shared" si="348"/>
        <v>1053.4546</v>
      </c>
      <c r="H1571">
        <f t="shared" si="351"/>
        <v>20000000</v>
      </c>
      <c r="I1571">
        <f t="shared" si="350"/>
        <v>9600000</v>
      </c>
      <c r="K1571">
        <f t="shared" si="352"/>
        <v>22818806</v>
      </c>
      <c r="M1571">
        <f t="shared" si="349"/>
        <v>25195031</v>
      </c>
      <c r="N1571">
        <f t="shared" si="354"/>
        <v>52276193</v>
      </c>
      <c r="O1571">
        <f t="shared" si="346"/>
        <v>0</v>
      </c>
    </row>
    <row r="1572" ht="13.85" spans="1:15">
      <c r="A1572" s="43">
        <v>40339</v>
      </c>
      <c r="B1572" s="11">
        <v>22818806</v>
      </c>
      <c r="C1572" s="11">
        <v>4262356</v>
      </c>
      <c r="D1572" s="11">
        <v>60</v>
      </c>
      <c r="E1572">
        <f t="shared" si="353"/>
        <v>60</v>
      </c>
      <c r="F1572">
        <f t="shared" si="347"/>
        <v>11409403</v>
      </c>
      <c r="G1572">
        <f t="shared" si="348"/>
        <v>1140.9403</v>
      </c>
      <c r="H1572">
        <f t="shared" si="351"/>
        <v>60000000</v>
      </c>
      <c r="I1572">
        <f t="shared" si="350"/>
        <v>28800000</v>
      </c>
      <c r="K1572">
        <f t="shared" si="352"/>
        <v>120177261</v>
      </c>
      <c r="M1572">
        <f t="shared" si="349"/>
        <v>27081162</v>
      </c>
      <c r="N1572">
        <f t="shared" si="354"/>
        <v>169676857</v>
      </c>
      <c r="O1572">
        <f t="shared" si="346"/>
        <v>0.41423331919532</v>
      </c>
    </row>
    <row r="1573" ht="13.85" spans="1:15">
      <c r="A1573" s="43">
        <v>40219</v>
      </c>
      <c r="B1573" s="11">
        <v>24309114</v>
      </c>
      <c r="C1573" s="11">
        <v>4660067</v>
      </c>
      <c r="D1573" s="11">
        <v>48</v>
      </c>
      <c r="E1573">
        <f t="shared" si="353"/>
        <v>48</v>
      </c>
      <c r="F1573">
        <f t="shared" si="347"/>
        <v>12154557</v>
      </c>
      <c r="G1573">
        <f t="shared" si="348"/>
        <v>1215.4557</v>
      </c>
      <c r="H1573">
        <f t="shared" si="351"/>
        <v>48000000</v>
      </c>
      <c r="I1573">
        <f t="shared" si="350"/>
        <v>23040000</v>
      </c>
      <c r="K1573">
        <f t="shared" si="352"/>
        <v>95868147</v>
      </c>
      <c r="M1573">
        <f t="shared" si="349"/>
        <v>28969181</v>
      </c>
      <c r="N1573">
        <f t="shared" si="354"/>
        <v>142595695</v>
      </c>
      <c r="O1573">
        <f t="shared" si="346"/>
        <v>0.539104460405162</v>
      </c>
    </row>
    <row r="1574" ht="13.9" spans="1:15">
      <c r="A1574" s="42" t="s">
        <v>1060</v>
      </c>
      <c r="B1574" s="11">
        <v>20214836</v>
      </c>
      <c r="C1574" s="11">
        <v>3899229</v>
      </c>
      <c r="D1574" s="11">
        <v>35</v>
      </c>
      <c r="E1574">
        <f t="shared" si="353"/>
        <v>35</v>
      </c>
      <c r="F1574">
        <f t="shared" si="347"/>
        <v>10107418</v>
      </c>
      <c r="G1574">
        <f t="shared" si="348"/>
        <v>1010.7418</v>
      </c>
      <c r="H1574">
        <f t="shared" si="351"/>
        <v>35000000</v>
      </c>
      <c r="I1574">
        <f t="shared" si="350"/>
        <v>16800000</v>
      </c>
      <c r="K1574">
        <f t="shared" si="352"/>
        <v>75653311</v>
      </c>
      <c r="M1574">
        <f t="shared" si="349"/>
        <v>24114065</v>
      </c>
      <c r="N1574">
        <f t="shared" si="354"/>
        <v>113626514</v>
      </c>
      <c r="O1574">
        <f t="shared" si="346"/>
        <v>0.381909570000759</v>
      </c>
    </row>
    <row r="1575" ht="13.9" spans="1:15">
      <c r="A1575" s="42" t="s">
        <v>1061</v>
      </c>
      <c r="B1575" s="11">
        <v>21909458</v>
      </c>
      <c r="C1575" s="11">
        <v>4274751</v>
      </c>
      <c r="D1575" s="11">
        <v>25</v>
      </c>
      <c r="E1575">
        <f t="shared" si="353"/>
        <v>25</v>
      </c>
      <c r="F1575">
        <f t="shared" si="347"/>
        <v>10954729</v>
      </c>
      <c r="G1575">
        <f t="shared" si="348"/>
        <v>1095.4729</v>
      </c>
      <c r="H1575">
        <f t="shared" si="351"/>
        <v>25000000</v>
      </c>
      <c r="I1575">
        <f t="shared" si="350"/>
        <v>12000000</v>
      </c>
      <c r="K1575">
        <f t="shared" si="352"/>
        <v>53743853</v>
      </c>
      <c r="M1575">
        <f t="shared" si="349"/>
        <v>26184209</v>
      </c>
      <c r="N1575">
        <f t="shared" si="354"/>
        <v>89512449</v>
      </c>
      <c r="O1575">
        <f t="shared" si="346"/>
        <v>0.213922001043512</v>
      </c>
    </row>
    <row r="1576" ht="13.9" spans="1:15">
      <c r="A1576" s="42" t="s">
        <v>1062</v>
      </c>
      <c r="B1576" s="11">
        <v>19554667</v>
      </c>
      <c r="C1576" s="11">
        <v>3818338</v>
      </c>
      <c r="D1576" s="11">
        <v>20</v>
      </c>
      <c r="E1576">
        <f t="shared" si="353"/>
        <v>20</v>
      </c>
      <c r="F1576">
        <f t="shared" si="347"/>
        <v>9777333.5</v>
      </c>
      <c r="G1576">
        <f t="shared" si="348"/>
        <v>977.73335</v>
      </c>
      <c r="H1576">
        <f t="shared" si="351"/>
        <v>20000000</v>
      </c>
      <c r="I1576">
        <f t="shared" si="350"/>
        <v>9600000</v>
      </c>
      <c r="K1576">
        <f t="shared" si="352"/>
        <v>34189186</v>
      </c>
      <c r="M1576">
        <f t="shared" si="349"/>
        <v>23373005</v>
      </c>
      <c r="N1576">
        <f t="shared" si="354"/>
        <v>63328240</v>
      </c>
      <c r="O1576">
        <f t="shared" si="346"/>
        <v>0</v>
      </c>
    </row>
    <row r="1577" ht="13.9" spans="1:15">
      <c r="A1577" s="42" t="s">
        <v>1063</v>
      </c>
      <c r="B1577" s="11">
        <v>34189186</v>
      </c>
      <c r="C1577" s="11">
        <v>5766049</v>
      </c>
      <c r="D1577" s="11">
        <v>112</v>
      </c>
      <c r="E1577">
        <f t="shared" si="353"/>
        <v>112</v>
      </c>
      <c r="F1577">
        <f t="shared" si="347"/>
        <v>17094593</v>
      </c>
      <c r="G1577">
        <f t="shared" si="348"/>
        <v>1709.4593</v>
      </c>
      <c r="H1577">
        <f t="shared" si="351"/>
        <v>112000000</v>
      </c>
      <c r="I1577">
        <f t="shared" si="350"/>
        <v>53760000</v>
      </c>
      <c r="K1577">
        <f t="shared" si="352"/>
        <v>189318428</v>
      </c>
      <c r="M1577">
        <f t="shared" si="349"/>
        <v>39955235</v>
      </c>
      <c r="N1577">
        <f t="shared" si="354"/>
        <v>264834616</v>
      </c>
      <c r="O1577">
        <f t="shared" si="346"/>
        <v>0.562011822480698</v>
      </c>
    </row>
    <row r="1578" ht="13.9" spans="1:15">
      <c r="A1578" s="42" t="s">
        <v>1064</v>
      </c>
      <c r="B1578" s="11">
        <v>27215216</v>
      </c>
      <c r="C1578" s="11">
        <v>4812580</v>
      </c>
      <c r="D1578" s="11">
        <v>94</v>
      </c>
      <c r="E1578">
        <f t="shared" si="353"/>
        <v>94</v>
      </c>
      <c r="F1578">
        <f t="shared" si="347"/>
        <v>13607608</v>
      </c>
      <c r="G1578">
        <f t="shared" si="348"/>
        <v>1360.7608</v>
      </c>
      <c r="H1578">
        <f t="shared" si="351"/>
        <v>94000000</v>
      </c>
      <c r="I1578">
        <f t="shared" si="350"/>
        <v>45120000</v>
      </c>
      <c r="K1578">
        <f t="shared" si="352"/>
        <v>162103212</v>
      </c>
      <c r="M1578">
        <f t="shared" si="349"/>
        <v>32027796</v>
      </c>
      <c r="N1578">
        <f t="shared" si="354"/>
        <v>224879381</v>
      </c>
      <c r="O1578">
        <f t="shared" si="346"/>
        <v>0.474087499295585</v>
      </c>
    </row>
    <row r="1579" ht="13.85" spans="1:15">
      <c r="A1579" s="43">
        <v>40127</v>
      </c>
      <c r="B1579" s="11">
        <v>26721007</v>
      </c>
      <c r="C1579" s="11">
        <v>4918722</v>
      </c>
      <c r="D1579" s="11">
        <v>79</v>
      </c>
      <c r="E1579">
        <f t="shared" si="353"/>
        <v>79</v>
      </c>
      <c r="F1579">
        <f t="shared" si="347"/>
        <v>13360503.5</v>
      </c>
      <c r="G1579">
        <f t="shared" si="348"/>
        <v>1336.05035</v>
      </c>
      <c r="H1579">
        <f t="shared" si="351"/>
        <v>79000000</v>
      </c>
      <c r="I1579">
        <f t="shared" si="350"/>
        <v>37920000</v>
      </c>
      <c r="K1579">
        <f t="shared" si="352"/>
        <v>135382205</v>
      </c>
      <c r="M1579">
        <f t="shared" si="349"/>
        <v>31639729</v>
      </c>
      <c r="N1579">
        <f t="shared" si="354"/>
        <v>192851585</v>
      </c>
      <c r="O1579">
        <f t="shared" si="346"/>
        <v>0.635770703685974</v>
      </c>
    </row>
    <row r="1580" ht="13.85" spans="1:15">
      <c r="A1580" s="43">
        <v>40035</v>
      </c>
      <c r="B1580" s="11">
        <v>22522686</v>
      </c>
      <c r="C1580" s="11">
        <v>4216514</v>
      </c>
      <c r="D1580" s="11">
        <v>62</v>
      </c>
      <c r="E1580">
        <f t="shared" si="353"/>
        <v>62</v>
      </c>
      <c r="F1580">
        <f t="shared" si="347"/>
        <v>11261343</v>
      </c>
      <c r="G1580">
        <f t="shared" si="348"/>
        <v>1126.1343</v>
      </c>
      <c r="H1580">
        <f t="shared" si="351"/>
        <v>62000000</v>
      </c>
      <c r="I1580">
        <f t="shared" si="350"/>
        <v>29760000</v>
      </c>
      <c r="K1580">
        <f t="shared" si="352"/>
        <v>112859519</v>
      </c>
      <c r="M1580">
        <f t="shared" si="349"/>
        <v>26739200</v>
      </c>
      <c r="N1580">
        <f t="shared" si="354"/>
        <v>161211856</v>
      </c>
      <c r="O1580">
        <f t="shared" si="346"/>
        <v>0.515524646683465</v>
      </c>
    </row>
    <row r="1581" ht="13.85" spans="1:15">
      <c r="A1581" s="43">
        <v>39913</v>
      </c>
      <c r="B1581" s="11">
        <v>24420481</v>
      </c>
      <c r="C1581" s="11">
        <v>4676091</v>
      </c>
      <c r="D1581" s="11">
        <v>47</v>
      </c>
      <c r="E1581">
        <f t="shared" si="353"/>
        <v>47</v>
      </c>
      <c r="F1581">
        <f t="shared" si="347"/>
        <v>12210240.5</v>
      </c>
      <c r="G1581">
        <f t="shared" si="348"/>
        <v>1221.02405</v>
      </c>
      <c r="H1581">
        <f t="shared" si="351"/>
        <v>47000000</v>
      </c>
      <c r="I1581">
        <f t="shared" si="350"/>
        <v>22560000</v>
      </c>
      <c r="K1581">
        <f t="shared" si="352"/>
        <v>88439038</v>
      </c>
      <c r="M1581">
        <f t="shared" si="349"/>
        <v>29096572</v>
      </c>
      <c r="N1581">
        <f t="shared" si="354"/>
        <v>134472656</v>
      </c>
      <c r="O1581">
        <f t="shared" si="346"/>
        <v>0.526801961567365</v>
      </c>
    </row>
    <row r="1582" ht="13.85" spans="1:15">
      <c r="A1582" s="43">
        <v>39823</v>
      </c>
      <c r="B1582" s="11">
        <v>20654196</v>
      </c>
      <c r="C1582" s="11">
        <v>4023009</v>
      </c>
      <c r="D1582" s="11">
        <v>34</v>
      </c>
      <c r="E1582">
        <f t="shared" si="353"/>
        <v>34</v>
      </c>
      <c r="F1582">
        <f t="shared" si="347"/>
        <v>10327098</v>
      </c>
      <c r="G1582">
        <f t="shared" si="348"/>
        <v>1032.7098</v>
      </c>
      <c r="H1582">
        <f t="shared" si="351"/>
        <v>34000000</v>
      </c>
      <c r="I1582">
        <f t="shared" si="350"/>
        <v>16320000</v>
      </c>
      <c r="K1582">
        <f t="shared" si="352"/>
        <v>67784842</v>
      </c>
      <c r="M1582">
        <f t="shared" si="349"/>
        <v>24677205</v>
      </c>
      <c r="N1582">
        <f t="shared" si="354"/>
        <v>105376084</v>
      </c>
      <c r="O1582">
        <f t="shared" si="346"/>
        <v>0.354724047354084</v>
      </c>
    </row>
    <row r="1583" ht="13.9" spans="1:15">
      <c r="A1583" s="42" t="s">
        <v>1065</v>
      </c>
      <c r="B1583" s="11">
        <v>21228227</v>
      </c>
      <c r="C1583" s="11">
        <v>4143608</v>
      </c>
      <c r="D1583" s="11">
        <v>25</v>
      </c>
      <c r="E1583">
        <f t="shared" si="353"/>
        <v>25</v>
      </c>
      <c r="F1583">
        <f t="shared" si="347"/>
        <v>10614113.5</v>
      </c>
      <c r="G1583">
        <f t="shared" si="348"/>
        <v>1061.41135</v>
      </c>
      <c r="H1583">
        <f t="shared" si="351"/>
        <v>25000000</v>
      </c>
      <c r="I1583">
        <f t="shared" ref="I1583:I1646" si="355">H1583*0.48</f>
        <v>12000000</v>
      </c>
      <c r="K1583">
        <f t="shared" si="352"/>
        <v>46556615</v>
      </c>
      <c r="M1583">
        <f t="shared" si="349"/>
        <v>25371835</v>
      </c>
      <c r="N1583">
        <f t="shared" si="354"/>
        <v>80698879</v>
      </c>
      <c r="O1583">
        <f t="shared" si="346"/>
        <v>0.219360561331392</v>
      </c>
    </row>
    <row r="1584" ht="13.9" spans="1:15">
      <c r="A1584" s="42" t="s">
        <v>1066</v>
      </c>
      <c r="B1584" s="11">
        <v>19057422</v>
      </c>
      <c r="C1584" s="11">
        <v>3736101</v>
      </c>
      <c r="D1584" s="11">
        <v>20</v>
      </c>
      <c r="E1584">
        <f t="shared" si="353"/>
        <v>20</v>
      </c>
      <c r="F1584">
        <f t="shared" si="347"/>
        <v>9528711</v>
      </c>
      <c r="G1584">
        <f t="shared" si="348"/>
        <v>952.8711</v>
      </c>
      <c r="H1584">
        <f t="shared" si="351"/>
        <v>20000000</v>
      </c>
      <c r="I1584">
        <f t="shared" si="355"/>
        <v>9600000</v>
      </c>
      <c r="K1584">
        <f t="shared" si="352"/>
        <v>27499193</v>
      </c>
      <c r="M1584">
        <f t="shared" si="349"/>
        <v>22793523</v>
      </c>
      <c r="N1584">
        <f t="shared" si="354"/>
        <v>55327044</v>
      </c>
      <c r="O1584">
        <f t="shared" si="346"/>
        <v>0</v>
      </c>
    </row>
    <row r="1585" ht="13.9" spans="1:15">
      <c r="A1585" s="42" t="s">
        <v>1067</v>
      </c>
      <c r="B1585" s="11">
        <v>27499193</v>
      </c>
      <c r="C1585" s="11">
        <v>5034328</v>
      </c>
      <c r="D1585" s="11">
        <v>80</v>
      </c>
      <c r="E1585">
        <f t="shared" si="353"/>
        <v>80</v>
      </c>
      <c r="F1585">
        <f t="shared" si="347"/>
        <v>13749596.5</v>
      </c>
      <c r="G1585">
        <f t="shared" si="348"/>
        <v>1374.95965</v>
      </c>
      <c r="H1585">
        <f t="shared" si="351"/>
        <v>80000000</v>
      </c>
      <c r="I1585">
        <f t="shared" si="355"/>
        <v>38400000</v>
      </c>
      <c r="K1585">
        <f t="shared" si="352"/>
        <v>139168015</v>
      </c>
      <c r="M1585">
        <f t="shared" si="349"/>
        <v>32533521</v>
      </c>
      <c r="N1585">
        <f t="shared" si="354"/>
        <v>198588749</v>
      </c>
      <c r="O1585">
        <f t="shared" si="346"/>
        <v>0.583302761584949</v>
      </c>
    </row>
    <row r="1586" ht="13.9" spans="1:15">
      <c r="A1586" s="42" t="s">
        <v>1068</v>
      </c>
      <c r="B1586" s="11">
        <v>23077525</v>
      </c>
      <c r="C1586" s="11">
        <v>4352484</v>
      </c>
      <c r="D1586" s="11">
        <v>64</v>
      </c>
      <c r="E1586">
        <f t="shared" si="353"/>
        <v>64</v>
      </c>
      <c r="F1586">
        <f t="shared" si="347"/>
        <v>11538762.5</v>
      </c>
      <c r="G1586">
        <f t="shared" si="348"/>
        <v>1153.87625</v>
      </c>
      <c r="H1586">
        <f t="shared" si="351"/>
        <v>64000000</v>
      </c>
      <c r="I1586">
        <f t="shared" si="355"/>
        <v>30720000</v>
      </c>
      <c r="K1586">
        <f t="shared" si="352"/>
        <v>116090490</v>
      </c>
      <c r="M1586">
        <f t="shared" si="349"/>
        <v>27430009</v>
      </c>
      <c r="N1586">
        <f t="shared" si="354"/>
        <v>166055228</v>
      </c>
      <c r="O1586">
        <f t="shared" si="346"/>
        <v>0.445255662204942</v>
      </c>
    </row>
    <row r="1587" ht="13.9" spans="1:15">
      <c r="A1587" s="42" t="s">
        <v>1069</v>
      </c>
      <c r="B1587" s="11">
        <v>24483737</v>
      </c>
      <c r="C1587" s="11">
        <v>4712972</v>
      </c>
      <c r="D1587" s="11">
        <v>51</v>
      </c>
      <c r="E1587">
        <f t="shared" si="353"/>
        <v>51</v>
      </c>
      <c r="F1587">
        <f t="shared" si="347"/>
        <v>12241868.5</v>
      </c>
      <c r="G1587">
        <f t="shared" si="348"/>
        <v>1224.18685</v>
      </c>
      <c r="H1587">
        <f t="shared" si="351"/>
        <v>51000000</v>
      </c>
      <c r="I1587">
        <f t="shared" si="355"/>
        <v>24480000</v>
      </c>
      <c r="K1587">
        <f t="shared" si="352"/>
        <v>91606753</v>
      </c>
      <c r="M1587">
        <f t="shared" si="349"/>
        <v>29196709</v>
      </c>
      <c r="N1587">
        <f t="shared" si="354"/>
        <v>138625219</v>
      </c>
      <c r="O1587">
        <f t="shared" si="346"/>
        <v>0.524388015991253</v>
      </c>
    </row>
    <row r="1588" ht="13.85" spans="1:15">
      <c r="A1588" s="43">
        <v>39762</v>
      </c>
      <c r="B1588" s="11">
        <v>20682246</v>
      </c>
      <c r="C1588" s="11">
        <v>4108557</v>
      </c>
      <c r="D1588" s="11">
        <v>38</v>
      </c>
      <c r="E1588">
        <f t="shared" si="353"/>
        <v>38</v>
      </c>
      <c r="F1588">
        <f t="shared" si="347"/>
        <v>10341123</v>
      </c>
      <c r="G1588">
        <f t="shared" si="348"/>
        <v>1034.1123</v>
      </c>
      <c r="H1588">
        <f t="shared" si="351"/>
        <v>38000000</v>
      </c>
      <c r="I1588">
        <f t="shared" si="355"/>
        <v>18240000</v>
      </c>
      <c r="K1588">
        <f t="shared" si="352"/>
        <v>70924507</v>
      </c>
      <c r="M1588">
        <f t="shared" si="349"/>
        <v>24790803</v>
      </c>
      <c r="N1588">
        <f t="shared" si="354"/>
        <v>109428510</v>
      </c>
      <c r="O1588">
        <f t="shared" si="346"/>
        <v>0.491071600581399</v>
      </c>
    </row>
    <row r="1589" ht="13.85" spans="1:15">
      <c r="A1589" s="43">
        <v>39639</v>
      </c>
      <c r="B1589" s="11">
        <v>22076590</v>
      </c>
      <c r="C1589" s="11">
        <v>4396128</v>
      </c>
      <c r="D1589" s="11">
        <v>25</v>
      </c>
      <c r="E1589">
        <f t="shared" si="353"/>
        <v>25</v>
      </c>
      <c r="F1589">
        <f t="shared" si="347"/>
        <v>11038295</v>
      </c>
      <c r="G1589">
        <f t="shared" si="348"/>
        <v>1103.8295</v>
      </c>
      <c r="H1589">
        <f t="shared" si="351"/>
        <v>25000000</v>
      </c>
      <c r="I1589">
        <f t="shared" si="355"/>
        <v>12000000</v>
      </c>
      <c r="K1589">
        <f t="shared" si="352"/>
        <v>48847917</v>
      </c>
      <c r="M1589">
        <f t="shared" si="349"/>
        <v>26472718</v>
      </c>
      <c r="N1589">
        <f t="shared" si="354"/>
        <v>84637707</v>
      </c>
      <c r="O1589">
        <f t="shared" si="346"/>
        <v>0.207877008653172</v>
      </c>
    </row>
    <row r="1590" ht="13.85" spans="1:15">
      <c r="A1590" s="43">
        <v>39548</v>
      </c>
      <c r="B1590" s="11">
        <v>20053010</v>
      </c>
      <c r="C1590" s="11">
        <v>3999674</v>
      </c>
      <c r="D1590" s="11">
        <v>20</v>
      </c>
      <c r="E1590">
        <f t="shared" si="353"/>
        <v>20</v>
      </c>
      <c r="F1590">
        <f t="shared" si="347"/>
        <v>10026505</v>
      </c>
      <c r="G1590">
        <f t="shared" si="348"/>
        <v>1002.6505</v>
      </c>
      <c r="H1590">
        <f t="shared" si="351"/>
        <v>20000000</v>
      </c>
      <c r="I1590">
        <f t="shared" si="355"/>
        <v>9600000</v>
      </c>
      <c r="K1590">
        <f t="shared" si="352"/>
        <v>28794907</v>
      </c>
      <c r="M1590">
        <f t="shared" si="349"/>
        <v>24052684</v>
      </c>
      <c r="N1590">
        <f t="shared" si="354"/>
        <v>58164989</v>
      </c>
      <c r="O1590">
        <f t="shared" si="346"/>
        <v>0</v>
      </c>
    </row>
    <row r="1591" ht="13.9" spans="1:15">
      <c r="A1591" s="42" t="s">
        <v>1070</v>
      </c>
      <c r="B1591" s="11">
        <v>28794907</v>
      </c>
      <c r="C1591" s="11">
        <v>5317398</v>
      </c>
      <c r="D1591" s="11">
        <v>85</v>
      </c>
      <c r="E1591">
        <f t="shared" si="353"/>
        <v>85</v>
      </c>
      <c r="F1591">
        <f t="shared" si="347"/>
        <v>14397453.5</v>
      </c>
      <c r="G1591">
        <f t="shared" si="348"/>
        <v>1439.74535</v>
      </c>
      <c r="H1591">
        <f t="shared" si="351"/>
        <v>85000000</v>
      </c>
      <c r="I1591">
        <f t="shared" si="355"/>
        <v>40800000</v>
      </c>
      <c r="K1591">
        <f t="shared" si="352"/>
        <v>141133726</v>
      </c>
      <c r="M1591">
        <f t="shared" si="349"/>
        <v>34112305</v>
      </c>
      <c r="N1591">
        <f t="shared" si="354"/>
        <v>202422551</v>
      </c>
      <c r="O1591">
        <f t="shared" si="346"/>
        <v>0.629068676405955</v>
      </c>
    </row>
    <row r="1592" ht="13.9" spans="1:15">
      <c r="A1592" s="42" t="s">
        <v>1071</v>
      </c>
      <c r="B1592" s="11">
        <v>24144586</v>
      </c>
      <c r="C1592" s="11">
        <v>4469142</v>
      </c>
      <c r="D1592" s="11">
        <v>67</v>
      </c>
      <c r="E1592">
        <f t="shared" si="353"/>
        <v>67</v>
      </c>
      <c r="F1592">
        <f t="shared" si="347"/>
        <v>12072293</v>
      </c>
      <c r="G1592">
        <f t="shared" si="348"/>
        <v>1207.2293</v>
      </c>
      <c r="H1592">
        <f t="shared" si="351"/>
        <v>67000000</v>
      </c>
      <c r="I1592">
        <f t="shared" si="355"/>
        <v>32160000</v>
      </c>
      <c r="K1592">
        <f t="shared" si="352"/>
        <v>116989140</v>
      </c>
      <c r="M1592">
        <f t="shared" si="349"/>
        <v>28613728</v>
      </c>
      <c r="N1592">
        <f t="shared" si="354"/>
        <v>168310246</v>
      </c>
      <c r="O1592">
        <f t="shared" si="346"/>
        <v>0.500820811922687</v>
      </c>
    </row>
    <row r="1593" ht="13.9" spans="1:15">
      <c r="A1593" s="42" t="s">
        <v>1072</v>
      </c>
      <c r="B1593" s="11">
        <v>25157201</v>
      </c>
      <c r="C1593" s="11">
        <v>4793631</v>
      </c>
      <c r="D1593" s="11">
        <v>52</v>
      </c>
      <c r="E1593">
        <f t="shared" si="353"/>
        <v>52</v>
      </c>
      <c r="F1593">
        <f t="shared" si="347"/>
        <v>12578600.5</v>
      </c>
      <c r="G1593">
        <f t="shared" si="348"/>
        <v>1257.86005</v>
      </c>
      <c r="H1593">
        <f t="shared" si="351"/>
        <v>52000000</v>
      </c>
      <c r="I1593">
        <f t="shared" si="355"/>
        <v>24960000</v>
      </c>
      <c r="K1593">
        <f t="shared" si="352"/>
        <v>91831939</v>
      </c>
      <c r="M1593">
        <f t="shared" si="349"/>
        <v>29950832</v>
      </c>
      <c r="N1593">
        <f t="shared" si="354"/>
        <v>139696518</v>
      </c>
      <c r="O1593">
        <f t="shared" si="346"/>
        <v>0.581100586690774</v>
      </c>
    </row>
    <row r="1594" ht="13.9" spans="1:15">
      <c r="A1594" s="42" t="s">
        <v>1073</v>
      </c>
      <c r="B1594" s="11">
        <v>21603539</v>
      </c>
      <c r="C1594" s="11">
        <v>4209548</v>
      </c>
      <c r="D1594" s="11">
        <v>37</v>
      </c>
      <c r="E1594">
        <f t="shared" si="353"/>
        <v>37</v>
      </c>
      <c r="F1594">
        <f t="shared" si="347"/>
        <v>10801769.5</v>
      </c>
      <c r="G1594">
        <f t="shared" si="348"/>
        <v>1080.17695</v>
      </c>
      <c r="H1594">
        <f t="shared" si="351"/>
        <v>37000000</v>
      </c>
      <c r="I1594">
        <f t="shared" si="355"/>
        <v>17760000</v>
      </c>
      <c r="K1594">
        <f t="shared" si="352"/>
        <v>70228400</v>
      </c>
      <c r="M1594">
        <f t="shared" si="349"/>
        <v>25813087</v>
      </c>
      <c r="N1594">
        <f t="shared" si="354"/>
        <v>109745686</v>
      </c>
      <c r="O1594">
        <f t="shared" si="346"/>
        <v>0.371383835592833</v>
      </c>
    </row>
    <row r="1595" ht="13.9" spans="1:15">
      <c r="A1595" s="42" t="s">
        <v>1074</v>
      </c>
      <c r="B1595" s="11">
        <v>22446683</v>
      </c>
      <c r="C1595" s="11">
        <v>4479637</v>
      </c>
      <c r="D1595" s="11">
        <v>27</v>
      </c>
      <c r="E1595">
        <f t="shared" si="353"/>
        <v>27</v>
      </c>
      <c r="F1595">
        <f t="shared" si="347"/>
        <v>11223341.5</v>
      </c>
      <c r="G1595">
        <f t="shared" si="348"/>
        <v>1122.33415</v>
      </c>
      <c r="H1595">
        <f t="shared" si="351"/>
        <v>27000000</v>
      </c>
      <c r="I1595">
        <f t="shared" si="355"/>
        <v>12960000</v>
      </c>
      <c r="K1595">
        <f t="shared" si="352"/>
        <v>47781717</v>
      </c>
      <c r="M1595">
        <f t="shared" si="349"/>
        <v>26926320</v>
      </c>
      <c r="N1595">
        <f t="shared" si="354"/>
        <v>83932599</v>
      </c>
      <c r="O1595">
        <f t="shared" si="346"/>
        <v>0.289488447033023</v>
      </c>
    </row>
    <row r="1596" ht="13.9" spans="1:15">
      <c r="A1596" s="42" t="s">
        <v>1075</v>
      </c>
      <c r="B1596" s="11">
        <v>20145814</v>
      </c>
      <c r="C1596" s="11">
        <v>4034771</v>
      </c>
      <c r="D1596" s="11">
        <v>20</v>
      </c>
      <c r="E1596">
        <f t="shared" si="353"/>
        <v>20</v>
      </c>
      <c r="F1596">
        <f t="shared" si="347"/>
        <v>10072907</v>
      </c>
      <c r="G1596">
        <f t="shared" si="348"/>
        <v>1007.2907</v>
      </c>
      <c r="H1596">
        <f t="shared" si="351"/>
        <v>20000000</v>
      </c>
      <c r="I1596">
        <f t="shared" si="355"/>
        <v>9600000</v>
      </c>
      <c r="K1596">
        <f t="shared" si="352"/>
        <v>27635903</v>
      </c>
      <c r="M1596">
        <f t="shared" si="349"/>
        <v>24180585</v>
      </c>
      <c r="N1596">
        <f t="shared" si="354"/>
        <v>57006279</v>
      </c>
      <c r="O1596">
        <f t="shared" si="346"/>
        <v>0</v>
      </c>
    </row>
    <row r="1597" ht="13.85" spans="1:15">
      <c r="A1597" s="43">
        <v>39365</v>
      </c>
      <c r="B1597" s="11">
        <v>27635903</v>
      </c>
      <c r="C1597" s="11">
        <v>5189791</v>
      </c>
      <c r="D1597" s="11">
        <v>72</v>
      </c>
      <c r="E1597">
        <f t="shared" si="353"/>
        <v>72</v>
      </c>
      <c r="F1597">
        <f t="shared" si="347"/>
        <v>13817951.5</v>
      </c>
      <c r="G1597">
        <f t="shared" si="348"/>
        <v>1381.79515</v>
      </c>
      <c r="H1597">
        <f t="shared" si="351"/>
        <v>72000000</v>
      </c>
      <c r="I1597">
        <f t="shared" si="355"/>
        <v>34560000</v>
      </c>
      <c r="K1597">
        <f t="shared" si="352"/>
        <v>121977768</v>
      </c>
      <c r="M1597">
        <f t="shared" si="349"/>
        <v>32825694</v>
      </c>
      <c r="N1597">
        <f t="shared" si="354"/>
        <v>178579566</v>
      </c>
      <c r="O1597">
        <f t="shared" si="346"/>
        <v>0.647672075855929</v>
      </c>
    </row>
    <row r="1598" ht="13.85" spans="1:15">
      <c r="A1598" s="43">
        <v>39273</v>
      </c>
      <c r="B1598" s="11">
        <v>23282946</v>
      </c>
      <c r="C1598" s="11">
        <v>4508896</v>
      </c>
      <c r="D1598" s="11">
        <v>54</v>
      </c>
      <c r="E1598">
        <f t="shared" si="353"/>
        <v>54</v>
      </c>
      <c r="F1598">
        <f t="shared" si="347"/>
        <v>11641473</v>
      </c>
      <c r="G1598">
        <f t="shared" si="348"/>
        <v>1164.1473</v>
      </c>
      <c r="H1598">
        <f t="shared" si="351"/>
        <v>54000000</v>
      </c>
      <c r="I1598">
        <f t="shared" si="355"/>
        <v>25920000</v>
      </c>
      <c r="K1598">
        <f t="shared" si="352"/>
        <v>98694822</v>
      </c>
      <c r="M1598">
        <f t="shared" si="349"/>
        <v>27791842</v>
      </c>
      <c r="N1598">
        <f t="shared" si="354"/>
        <v>145753872</v>
      </c>
      <c r="O1598">
        <f t="shared" si="346"/>
        <v>0.42388943007251</v>
      </c>
    </row>
    <row r="1599" ht="13.85" spans="1:15">
      <c r="A1599" s="43">
        <v>39151</v>
      </c>
      <c r="B1599" s="11">
        <v>25619440</v>
      </c>
      <c r="C1599" s="11">
        <v>5048935</v>
      </c>
      <c r="D1599" s="11">
        <v>41</v>
      </c>
      <c r="E1599">
        <f t="shared" si="353"/>
        <v>41</v>
      </c>
      <c r="F1599">
        <f t="shared" si="347"/>
        <v>12809720</v>
      </c>
      <c r="G1599">
        <f t="shared" si="348"/>
        <v>1280.972</v>
      </c>
      <c r="H1599">
        <f t="shared" si="351"/>
        <v>41000000</v>
      </c>
      <c r="I1599">
        <f t="shared" si="355"/>
        <v>19680000</v>
      </c>
      <c r="K1599">
        <f t="shared" si="352"/>
        <v>73075382</v>
      </c>
      <c r="M1599">
        <f t="shared" si="349"/>
        <v>30668375</v>
      </c>
      <c r="N1599">
        <f t="shared" si="354"/>
        <v>117962030</v>
      </c>
      <c r="O1599">
        <f t="shared" si="346"/>
        <v>0.540020869492231</v>
      </c>
    </row>
    <row r="1600" ht="13.9" spans="1:15">
      <c r="A1600" s="42" t="s">
        <v>1076</v>
      </c>
      <c r="B1600" s="11">
        <v>21611238</v>
      </c>
      <c r="C1600" s="11">
        <v>4313686</v>
      </c>
      <c r="D1600" s="11">
        <v>27</v>
      </c>
      <c r="E1600">
        <f t="shared" si="353"/>
        <v>27</v>
      </c>
      <c r="F1600">
        <f t="shared" si="347"/>
        <v>10805619</v>
      </c>
      <c r="G1600">
        <f t="shared" si="348"/>
        <v>1080.5619</v>
      </c>
      <c r="H1600">
        <f t="shared" si="351"/>
        <v>27000000</v>
      </c>
      <c r="I1600">
        <f t="shared" si="355"/>
        <v>12960000</v>
      </c>
      <c r="K1600">
        <f t="shared" si="352"/>
        <v>51464144</v>
      </c>
      <c r="M1600">
        <f t="shared" si="349"/>
        <v>25924924</v>
      </c>
      <c r="N1600">
        <f t="shared" si="354"/>
        <v>87293655</v>
      </c>
      <c r="O1600">
        <f t="shared" si="346"/>
        <v>0.254706558759384</v>
      </c>
    </row>
    <row r="1601" ht="13.9" spans="1:15">
      <c r="A1601" s="42" t="s">
        <v>1077</v>
      </c>
      <c r="B1601" s="11">
        <v>22870346</v>
      </c>
      <c r="C1601" s="11">
        <v>4612260</v>
      </c>
      <c r="D1601" s="11">
        <v>20</v>
      </c>
      <c r="E1601">
        <f t="shared" si="353"/>
        <v>20</v>
      </c>
      <c r="F1601">
        <f t="shared" si="347"/>
        <v>11435173</v>
      </c>
      <c r="G1601">
        <f t="shared" si="348"/>
        <v>1143.5173</v>
      </c>
      <c r="H1601">
        <f t="shared" si="351"/>
        <v>20000000</v>
      </c>
      <c r="I1601">
        <f t="shared" si="355"/>
        <v>9600000</v>
      </c>
      <c r="K1601">
        <f t="shared" si="352"/>
        <v>28593798</v>
      </c>
      <c r="M1601">
        <f t="shared" si="349"/>
        <v>27482606</v>
      </c>
      <c r="N1601">
        <f t="shared" si="354"/>
        <v>61368731</v>
      </c>
      <c r="O1601">
        <f t="shared" si="346"/>
        <v>0</v>
      </c>
    </row>
    <row r="1602" ht="13.9" spans="1:15">
      <c r="A1602" s="42" t="s">
        <v>1078</v>
      </c>
      <c r="B1602" s="11">
        <v>28593798</v>
      </c>
      <c r="C1602" s="11">
        <v>5292327</v>
      </c>
      <c r="D1602" s="11">
        <v>97</v>
      </c>
      <c r="E1602">
        <f t="shared" si="353"/>
        <v>97</v>
      </c>
      <c r="F1602">
        <f t="shared" si="347"/>
        <v>14296899</v>
      </c>
      <c r="G1602">
        <f t="shared" si="348"/>
        <v>1429.6899</v>
      </c>
      <c r="H1602">
        <f t="shared" si="351"/>
        <v>97000000</v>
      </c>
      <c r="I1602">
        <f t="shared" si="355"/>
        <v>46560000</v>
      </c>
      <c r="K1602">
        <f t="shared" si="352"/>
        <v>186863958</v>
      </c>
      <c r="M1602">
        <f t="shared" si="349"/>
        <v>33886125</v>
      </c>
      <c r="N1602">
        <f t="shared" si="354"/>
        <v>255386701</v>
      </c>
      <c r="O1602">
        <f t="shared" si="346"/>
        <v>0.557274274148791</v>
      </c>
    </row>
    <row r="1603" ht="13.9" spans="1:15">
      <c r="A1603" s="42" t="s">
        <v>1079</v>
      </c>
      <c r="B1603" s="11">
        <v>28542442</v>
      </c>
      <c r="C1603" s="11">
        <v>5552080</v>
      </c>
      <c r="D1603" s="11">
        <v>78</v>
      </c>
      <c r="E1603">
        <f t="shared" si="353"/>
        <v>78</v>
      </c>
      <c r="F1603">
        <f t="shared" si="347"/>
        <v>14271221</v>
      </c>
      <c r="G1603">
        <f t="shared" si="348"/>
        <v>1427.1221</v>
      </c>
      <c r="H1603">
        <f t="shared" si="351"/>
        <v>78000000</v>
      </c>
      <c r="I1603">
        <f t="shared" si="355"/>
        <v>37440000</v>
      </c>
      <c r="K1603">
        <f t="shared" si="352"/>
        <v>158321516</v>
      </c>
      <c r="M1603">
        <f t="shared" si="349"/>
        <v>34094522</v>
      </c>
      <c r="N1603">
        <f t="shared" si="354"/>
        <v>221500576</v>
      </c>
      <c r="O1603">
        <f t="shared" ref="O1603:O1617" si="356">IF(H1603&gt;H1604,(H1603-H1604)/M1604,0)</f>
        <v>0.590251640014182</v>
      </c>
    </row>
    <row r="1604" ht="13.9" spans="1:15">
      <c r="A1604" s="42" t="s">
        <v>1080</v>
      </c>
      <c r="B1604" s="11">
        <v>25440953</v>
      </c>
      <c r="C1604" s="11">
        <v>5054515</v>
      </c>
      <c r="D1604" s="11">
        <v>60</v>
      </c>
      <c r="E1604">
        <f t="shared" si="353"/>
        <v>60</v>
      </c>
      <c r="F1604">
        <f t="shared" ref="F1604:F1641" si="357">B1604/2</f>
        <v>12720476.5</v>
      </c>
      <c r="G1604">
        <f t="shared" ref="G1604:G1641" si="358">F1604/10000</f>
        <v>1272.04765</v>
      </c>
      <c r="H1604">
        <f t="shared" si="351"/>
        <v>60000000</v>
      </c>
      <c r="I1604">
        <f t="shared" si="355"/>
        <v>28800000</v>
      </c>
      <c r="K1604">
        <f t="shared" si="352"/>
        <v>132880563</v>
      </c>
      <c r="M1604">
        <f t="shared" si="349"/>
        <v>30495468</v>
      </c>
      <c r="N1604">
        <f t="shared" si="354"/>
        <v>187406054</v>
      </c>
      <c r="O1604">
        <f t="shared" si="356"/>
        <v>0.515531796986285</v>
      </c>
    </row>
    <row r="1605" ht="13.85" spans="1:15">
      <c r="A1605" s="43">
        <v>39061</v>
      </c>
      <c r="B1605" s="11">
        <v>25833923</v>
      </c>
      <c r="C1605" s="11">
        <v>5201990</v>
      </c>
      <c r="D1605" s="11">
        <v>44</v>
      </c>
      <c r="E1605">
        <f t="shared" si="353"/>
        <v>44</v>
      </c>
      <c r="F1605">
        <f t="shared" si="357"/>
        <v>12916961.5</v>
      </c>
      <c r="G1605">
        <f t="shared" si="358"/>
        <v>1291.69615</v>
      </c>
      <c r="H1605">
        <f t="shared" si="351"/>
        <v>44000000</v>
      </c>
      <c r="I1605">
        <f t="shared" si="355"/>
        <v>21120000</v>
      </c>
      <c r="K1605">
        <f t="shared" si="352"/>
        <v>107046640</v>
      </c>
      <c r="M1605">
        <f t="shared" si="349"/>
        <v>31035913</v>
      </c>
      <c r="N1605">
        <f t="shared" si="354"/>
        <v>156910586</v>
      </c>
      <c r="O1605">
        <f t="shared" si="356"/>
        <v>0.589193166243061</v>
      </c>
    </row>
    <row r="1606" ht="13.85" spans="1:15">
      <c r="A1606" s="43">
        <v>38970</v>
      </c>
      <c r="B1606" s="11">
        <v>22533772</v>
      </c>
      <c r="C1606" s="11">
        <v>4622008</v>
      </c>
      <c r="D1606" s="11">
        <v>28</v>
      </c>
      <c r="E1606">
        <f t="shared" si="353"/>
        <v>28</v>
      </c>
      <c r="F1606">
        <f t="shared" si="357"/>
        <v>11266886</v>
      </c>
      <c r="G1606">
        <f t="shared" si="358"/>
        <v>1126.6886</v>
      </c>
      <c r="H1606">
        <f t="shared" si="351"/>
        <v>28000000</v>
      </c>
      <c r="I1606">
        <f t="shared" si="355"/>
        <v>13440000</v>
      </c>
      <c r="K1606">
        <f t="shared" si="352"/>
        <v>84512868</v>
      </c>
      <c r="M1606">
        <f t="shared" si="349"/>
        <v>27155780</v>
      </c>
      <c r="N1606">
        <f t="shared" si="354"/>
        <v>125874673</v>
      </c>
      <c r="O1606">
        <f t="shared" si="356"/>
        <v>0.266244154942383</v>
      </c>
    </row>
    <row r="1607" ht="13.85" spans="1:15">
      <c r="A1607" s="43">
        <v>38847</v>
      </c>
      <c r="B1607" s="11">
        <v>25027219</v>
      </c>
      <c r="C1607" s="11">
        <v>5020389</v>
      </c>
      <c r="D1607" s="11">
        <v>20</v>
      </c>
      <c r="E1607">
        <f t="shared" si="353"/>
        <v>20</v>
      </c>
      <c r="F1607">
        <f t="shared" si="357"/>
        <v>12513609.5</v>
      </c>
      <c r="G1607">
        <f t="shared" si="358"/>
        <v>1251.36095</v>
      </c>
      <c r="H1607">
        <f t="shared" si="351"/>
        <v>20000000</v>
      </c>
      <c r="I1607">
        <f t="shared" si="355"/>
        <v>9600000</v>
      </c>
      <c r="K1607">
        <f t="shared" si="352"/>
        <v>59485649</v>
      </c>
      <c r="M1607">
        <f t="shared" ref="M1607:M1670" si="359">B1607+C1607</f>
        <v>30047608</v>
      </c>
      <c r="N1607">
        <f t="shared" si="354"/>
        <v>98718893</v>
      </c>
      <c r="O1607">
        <f t="shared" si="356"/>
        <v>0</v>
      </c>
    </row>
    <row r="1608" ht="13.85" spans="1:15">
      <c r="A1608" s="43">
        <v>38758</v>
      </c>
      <c r="B1608" s="11">
        <v>59485649</v>
      </c>
      <c r="C1608" s="11">
        <v>9185636</v>
      </c>
      <c r="D1608" s="11">
        <v>260</v>
      </c>
      <c r="E1608">
        <f t="shared" si="353"/>
        <v>260</v>
      </c>
      <c r="F1608">
        <f t="shared" si="357"/>
        <v>29742824.5</v>
      </c>
      <c r="G1608">
        <f t="shared" si="358"/>
        <v>2974.28245</v>
      </c>
      <c r="H1608">
        <f t="shared" si="351"/>
        <v>260000000</v>
      </c>
      <c r="I1608">
        <f t="shared" si="355"/>
        <v>124800000</v>
      </c>
      <c r="K1608">
        <f t="shared" si="352"/>
        <v>428908012</v>
      </c>
      <c r="M1608">
        <f t="shared" si="359"/>
        <v>68671285</v>
      </c>
      <c r="N1608">
        <f t="shared" si="354"/>
        <v>574214769</v>
      </c>
      <c r="O1608">
        <f t="shared" si="356"/>
        <v>0.649121359875495</v>
      </c>
    </row>
    <row r="1609" ht="13.9" spans="1:15">
      <c r="A1609" s="42" t="s">
        <v>1081</v>
      </c>
      <c r="B1609" s="11">
        <v>52757061</v>
      </c>
      <c r="C1609" s="11">
        <v>8864698</v>
      </c>
      <c r="D1609" s="11">
        <v>220</v>
      </c>
      <c r="E1609">
        <f t="shared" si="353"/>
        <v>220</v>
      </c>
      <c r="F1609">
        <f t="shared" si="357"/>
        <v>26378530.5</v>
      </c>
      <c r="G1609">
        <f t="shared" si="358"/>
        <v>2637.85305</v>
      </c>
      <c r="H1609">
        <f t="shared" si="351"/>
        <v>220000000</v>
      </c>
      <c r="I1609">
        <f t="shared" si="355"/>
        <v>105600000</v>
      </c>
      <c r="K1609">
        <f t="shared" si="352"/>
        <v>376150951</v>
      </c>
      <c r="M1609">
        <f t="shared" si="359"/>
        <v>61621759</v>
      </c>
      <c r="N1609">
        <f t="shared" si="354"/>
        <v>505543484</v>
      </c>
      <c r="O1609">
        <f t="shared" si="356"/>
        <v>0.614557125245984</v>
      </c>
    </row>
    <row r="1610" ht="13.9" spans="1:15">
      <c r="A1610" s="42" t="s">
        <v>1082</v>
      </c>
      <c r="B1610" s="11">
        <v>41711258</v>
      </c>
      <c r="C1610" s="11">
        <v>7104383</v>
      </c>
      <c r="D1610" s="11">
        <v>190</v>
      </c>
      <c r="E1610">
        <f t="shared" si="353"/>
        <v>190</v>
      </c>
      <c r="F1610">
        <f t="shared" si="357"/>
        <v>20855629</v>
      </c>
      <c r="G1610">
        <f t="shared" si="358"/>
        <v>2085.5629</v>
      </c>
      <c r="H1610">
        <f t="shared" si="351"/>
        <v>190000000</v>
      </c>
      <c r="I1610">
        <f t="shared" si="355"/>
        <v>91200000</v>
      </c>
      <c r="K1610">
        <f t="shared" si="352"/>
        <v>334439693</v>
      </c>
      <c r="M1610">
        <f t="shared" si="359"/>
        <v>48815641</v>
      </c>
      <c r="N1610">
        <f t="shared" si="354"/>
        <v>443921725</v>
      </c>
      <c r="O1610">
        <f t="shared" si="356"/>
        <v>0.545874827081027</v>
      </c>
    </row>
    <row r="1611" ht="13.9" spans="1:15">
      <c r="A1611" s="42" t="s">
        <v>1083</v>
      </c>
      <c r="B1611" s="11">
        <v>40400017</v>
      </c>
      <c r="C1611" s="11">
        <v>7229950</v>
      </c>
      <c r="D1611" s="11">
        <v>164</v>
      </c>
      <c r="E1611">
        <f t="shared" si="353"/>
        <v>164</v>
      </c>
      <c r="F1611">
        <f t="shared" si="357"/>
        <v>20200008.5</v>
      </c>
      <c r="G1611">
        <f t="shared" si="358"/>
        <v>2020.00085</v>
      </c>
      <c r="H1611">
        <f t="shared" si="351"/>
        <v>164000000</v>
      </c>
      <c r="I1611">
        <f t="shared" si="355"/>
        <v>78720000</v>
      </c>
      <c r="K1611">
        <f t="shared" si="352"/>
        <v>294039676</v>
      </c>
      <c r="M1611">
        <f t="shared" si="359"/>
        <v>47629967</v>
      </c>
      <c r="N1611">
        <f t="shared" si="354"/>
        <v>395106084</v>
      </c>
      <c r="O1611">
        <f t="shared" si="356"/>
        <v>0.448089165027112</v>
      </c>
    </row>
    <row r="1612" ht="13.9" spans="1:15">
      <c r="A1612" s="42" t="s">
        <v>1084</v>
      </c>
      <c r="B1612" s="11">
        <v>35863462</v>
      </c>
      <c r="C1612" s="11">
        <v>6538813</v>
      </c>
      <c r="D1612" s="11">
        <v>145</v>
      </c>
      <c r="E1612">
        <f t="shared" si="353"/>
        <v>145</v>
      </c>
      <c r="F1612">
        <f t="shared" si="357"/>
        <v>17931731</v>
      </c>
      <c r="G1612">
        <f t="shared" si="358"/>
        <v>1793.1731</v>
      </c>
      <c r="H1612">
        <f t="shared" si="351"/>
        <v>145000000</v>
      </c>
      <c r="I1612">
        <f t="shared" si="355"/>
        <v>69600000</v>
      </c>
      <c r="K1612">
        <f t="shared" si="352"/>
        <v>258176214</v>
      </c>
      <c r="M1612">
        <f t="shared" si="359"/>
        <v>42402275</v>
      </c>
      <c r="N1612">
        <f t="shared" si="354"/>
        <v>347476117</v>
      </c>
      <c r="O1612">
        <f t="shared" si="356"/>
        <v>0.601995784584718</v>
      </c>
    </row>
    <row r="1613" ht="13.9" spans="1:15">
      <c r="A1613" s="42" t="s">
        <v>1085</v>
      </c>
      <c r="B1613" s="11">
        <v>34878683</v>
      </c>
      <c r="C1613" s="11">
        <v>6649847</v>
      </c>
      <c r="D1613" s="11">
        <v>120</v>
      </c>
      <c r="E1613">
        <f t="shared" si="353"/>
        <v>120</v>
      </c>
      <c r="F1613">
        <f t="shared" si="357"/>
        <v>17439341.5</v>
      </c>
      <c r="G1613">
        <f t="shared" si="358"/>
        <v>1743.93415</v>
      </c>
      <c r="H1613">
        <f t="shared" si="351"/>
        <v>120000000</v>
      </c>
      <c r="I1613">
        <f t="shared" si="355"/>
        <v>57600000</v>
      </c>
      <c r="K1613">
        <f t="shared" si="352"/>
        <v>223297531</v>
      </c>
      <c r="M1613">
        <f t="shared" si="359"/>
        <v>41528530</v>
      </c>
      <c r="N1613">
        <f t="shared" si="354"/>
        <v>305073842</v>
      </c>
      <c r="O1613">
        <f t="shared" si="356"/>
        <v>0.654696536769181</v>
      </c>
    </row>
    <row r="1614" ht="13.85" spans="1:15">
      <c r="A1614" s="43">
        <v>38696</v>
      </c>
      <c r="B1614" s="11">
        <v>29287559</v>
      </c>
      <c r="C1614" s="11">
        <v>5843221</v>
      </c>
      <c r="D1614" s="11">
        <v>97</v>
      </c>
      <c r="E1614">
        <f t="shared" si="353"/>
        <v>97</v>
      </c>
      <c r="F1614">
        <f t="shared" si="357"/>
        <v>14643779.5</v>
      </c>
      <c r="G1614">
        <f t="shared" si="358"/>
        <v>1464.37795</v>
      </c>
      <c r="H1614">
        <f t="shared" si="351"/>
        <v>97000000</v>
      </c>
      <c r="I1614">
        <f t="shared" si="355"/>
        <v>46560000</v>
      </c>
      <c r="K1614">
        <f t="shared" si="352"/>
        <v>194009972</v>
      </c>
      <c r="M1614">
        <f t="shared" si="359"/>
        <v>35130780</v>
      </c>
      <c r="N1614">
        <f t="shared" si="354"/>
        <v>263545312</v>
      </c>
      <c r="O1614">
        <f t="shared" si="356"/>
        <v>0.491376444563647</v>
      </c>
    </row>
    <row r="1615" ht="13.85" spans="1:15">
      <c r="A1615" s="43">
        <v>38574</v>
      </c>
      <c r="B1615" s="11">
        <v>28788126</v>
      </c>
      <c r="C1615" s="11">
        <v>5808567</v>
      </c>
      <c r="D1615" s="11">
        <v>80</v>
      </c>
      <c r="E1615">
        <f t="shared" si="353"/>
        <v>80</v>
      </c>
      <c r="F1615">
        <f t="shared" si="357"/>
        <v>14394063</v>
      </c>
      <c r="G1615">
        <f t="shared" si="358"/>
        <v>1439.4063</v>
      </c>
      <c r="H1615">
        <f t="shared" si="351"/>
        <v>80000000</v>
      </c>
      <c r="I1615">
        <f t="shared" si="355"/>
        <v>38400000</v>
      </c>
      <c r="K1615">
        <f t="shared" si="352"/>
        <v>165221846</v>
      </c>
      <c r="M1615">
        <f t="shared" si="359"/>
        <v>34596693</v>
      </c>
      <c r="N1615">
        <f t="shared" si="354"/>
        <v>228414532</v>
      </c>
      <c r="O1615">
        <f t="shared" si="356"/>
        <v>0.663109350246335</v>
      </c>
    </row>
    <row r="1616" ht="13.85" spans="1:15">
      <c r="A1616" s="43">
        <v>38482</v>
      </c>
      <c r="B1616" s="11">
        <v>24990275</v>
      </c>
      <c r="C1616" s="11">
        <v>5170663</v>
      </c>
      <c r="D1616" s="11">
        <v>60</v>
      </c>
      <c r="E1616">
        <f t="shared" si="353"/>
        <v>60</v>
      </c>
      <c r="F1616">
        <f t="shared" si="357"/>
        <v>12495137.5</v>
      </c>
      <c r="G1616">
        <f t="shared" si="358"/>
        <v>1249.51375</v>
      </c>
      <c r="H1616">
        <f t="shared" ref="H1616:H1642" si="360">E1616*1000000</f>
        <v>60000000</v>
      </c>
      <c r="I1616">
        <f t="shared" si="355"/>
        <v>28800000</v>
      </c>
      <c r="K1616">
        <f t="shared" si="352"/>
        <v>140231571</v>
      </c>
      <c r="M1616">
        <f t="shared" si="359"/>
        <v>30160938</v>
      </c>
      <c r="N1616">
        <f t="shared" si="354"/>
        <v>193817839</v>
      </c>
      <c r="O1616">
        <f t="shared" si="356"/>
        <v>0.481891559299889</v>
      </c>
    </row>
    <row r="1617" ht="13.85" spans="1:15">
      <c r="A1617" s="43">
        <v>38362</v>
      </c>
      <c r="B1617" s="11">
        <v>25880765</v>
      </c>
      <c r="C1617" s="11">
        <v>5246570</v>
      </c>
      <c r="D1617" s="11">
        <v>45</v>
      </c>
      <c r="E1617">
        <f t="shared" si="353"/>
        <v>45</v>
      </c>
      <c r="F1617">
        <f t="shared" si="357"/>
        <v>12940382.5</v>
      </c>
      <c r="G1617">
        <f t="shared" si="358"/>
        <v>1294.03825</v>
      </c>
      <c r="H1617">
        <f t="shared" si="360"/>
        <v>45000000</v>
      </c>
      <c r="I1617">
        <f t="shared" si="355"/>
        <v>21600000</v>
      </c>
      <c r="K1617">
        <f t="shared" ref="K1617:K1680" si="361">IF(E1617&gt;E1618,B1618+K1618,B1618)</f>
        <v>114350806</v>
      </c>
      <c r="M1617">
        <f t="shared" si="359"/>
        <v>31127335</v>
      </c>
      <c r="N1617">
        <f t="shared" si="354"/>
        <v>163656901</v>
      </c>
      <c r="O1617">
        <f t="shared" si="356"/>
        <v>0.576366639268758</v>
      </c>
    </row>
    <row r="1618" ht="13.9" spans="1:15">
      <c r="A1618" s="42" t="s">
        <v>1086</v>
      </c>
      <c r="B1618" s="11">
        <v>21850871</v>
      </c>
      <c r="C1618" s="11">
        <v>4174230</v>
      </c>
      <c r="D1618" s="11">
        <v>30</v>
      </c>
      <c r="E1618">
        <f t="shared" ref="E1618:E1664" si="362">IF(RIGHT(D1618,1)="B",VALUE(LEFT(D1618,LEN(D1618)-1))*1000,D1618)</f>
        <v>30</v>
      </c>
      <c r="F1618">
        <f t="shared" si="357"/>
        <v>10925435.5</v>
      </c>
      <c r="G1618">
        <f t="shared" si="358"/>
        <v>1092.54355</v>
      </c>
      <c r="H1618">
        <f t="shared" si="360"/>
        <v>30000000</v>
      </c>
      <c r="I1618">
        <f t="shared" si="355"/>
        <v>14400000</v>
      </c>
      <c r="K1618">
        <f t="shared" si="361"/>
        <v>92499935</v>
      </c>
      <c r="M1618">
        <f t="shared" si="359"/>
        <v>26025101</v>
      </c>
      <c r="N1618">
        <f t="shared" si="354"/>
        <v>132529566</v>
      </c>
      <c r="O1618">
        <f t="shared" ref="O1618:O1649" si="363">IF(H1618&gt;H1619,(H1618-H1619)/M1619,0)</f>
        <v>0.354644877947369</v>
      </c>
    </row>
    <row r="1619" ht="13.9" spans="1:15">
      <c r="A1619" s="42" t="s">
        <v>1087</v>
      </c>
      <c r="B1619" s="11">
        <v>23746854</v>
      </c>
      <c r="C1619" s="11">
        <v>4450367</v>
      </c>
      <c r="D1619" s="11">
        <v>20</v>
      </c>
      <c r="E1619">
        <f t="shared" si="362"/>
        <v>20</v>
      </c>
      <c r="F1619">
        <f t="shared" si="357"/>
        <v>11873427</v>
      </c>
      <c r="G1619">
        <f t="shared" si="358"/>
        <v>1187.3427</v>
      </c>
      <c r="H1619">
        <f t="shared" si="360"/>
        <v>20000000</v>
      </c>
      <c r="I1619">
        <f t="shared" si="355"/>
        <v>9600000</v>
      </c>
      <c r="K1619">
        <f t="shared" si="361"/>
        <v>68753081</v>
      </c>
      <c r="M1619">
        <f t="shared" si="359"/>
        <v>28197221</v>
      </c>
      <c r="N1619">
        <f t="shared" si="354"/>
        <v>106504465</v>
      </c>
      <c r="O1619">
        <f t="shared" si="363"/>
        <v>0</v>
      </c>
    </row>
    <row r="1620" ht="13.9" spans="1:15">
      <c r="A1620" s="42" t="s">
        <v>1088</v>
      </c>
      <c r="B1620" s="11">
        <v>68753081</v>
      </c>
      <c r="C1620" s="11">
        <v>9554163</v>
      </c>
      <c r="D1620" s="11">
        <v>252</v>
      </c>
      <c r="E1620">
        <f t="shared" si="362"/>
        <v>252</v>
      </c>
      <c r="F1620">
        <f t="shared" si="357"/>
        <v>34376540.5</v>
      </c>
      <c r="G1620">
        <f t="shared" si="358"/>
        <v>3437.65405</v>
      </c>
      <c r="H1620">
        <f t="shared" si="360"/>
        <v>252000000</v>
      </c>
      <c r="I1620">
        <f t="shared" si="355"/>
        <v>120960000</v>
      </c>
      <c r="K1620">
        <f t="shared" si="361"/>
        <v>376821108</v>
      </c>
      <c r="M1620">
        <f t="shared" si="359"/>
        <v>78307244</v>
      </c>
      <c r="N1620">
        <f t="shared" si="354"/>
        <v>513155267.369</v>
      </c>
      <c r="O1620">
        <f t="shared" si="363"/>
        <v>0.6426727783991</v>
      </c>
    </row>
    <row r="1621" ht="13.9" spans="1:15">
      <c r="A1621" s="42" t="s">
        <v>1089</v>
      </c>
      <c r="B1621" s="11">
        <v>54155892</v>
      </c>
      <c r="C1621" s="11">
        <v>8084180</v>
      </c>
      <c r="D1621" s="11">
        <v>212</v>
      </c>
      <c r="E1621">
        <f t="shared" si="362"/>
        <v>212</v>
      </c>
      <c r="F1621">
        <f t="shared" si="357"/>
        <v>27077946</v>
      </c>
      <c r="G1621">
        <f t="shared" si="358"/>
        <v>2707.7946</v>
      </c>
      <c r="H1621">
        <f t="shared" si="360"/>
        <v>212000000</v>
      </c>
      <c r="I1621">
        <f t="shared" si="355"/>
        <v>101760000</v>
      </c>
      <c r="K1621">
        <f t="shared" si="361"/>
        <v>322665216</v>
      </c>
      <c r="M1621">
        <f t="shared" si="359"/>
        <v>62240072</v>
      </c>
      <c r="N1621">
        <f t="shared" si="354"/>
        <v>434848023.369</v>
      </c>
      <c r="O1621">
        <f t="shared" si="363"/>
        <v>0.759121177125397</v>
      </c>
    </row>
    <row r="1622" ht="13.9" spans="1:15">
      <c r="A1622" s="42" t="s">
        <v>1090</v>
      </c>
      <c r="B1622" s="11">
        <v>39986010</v>
      </c>
      <c r="C1622" s="11">
        <v>6119936</v>
      </c>
      <c r="D1622" s="11">
        <v>177</v>
      </c>
      <c r="E1622">
        <f t="shared" si="362"/>
        <v>177</v>
      </c>
      <c r="F1622">
        <f t="shared" si="357"/>
        <v>19993005</v>
      </c>
      <c r="G1622">
        <f t="shared" si="358"/>
        <v>1999.3005</v>
      </c>
      <c r="H1622">
        <f t="shared" si="360"/>
        <v>177000000</v>
      </c>
      <c r="I1622">
        <f t="shared" si="355"/>
        <v>84960000</v>
      </c>
      <c r="K1622">
        <f t="shared" si="361"/>
        <v>282679206</v>
      </c>
      <c r="M1622">
        <f t="shared" si="359"/>
        <v>46105946</v>
      </c>
      <c r="N1622">
        <f t="shared" si="354"/>
        <v>372607951.369</v>
      </c>
      <c r="O1622">
        <f t="shared" si="363"/>
        <v>0.61016705085722</v>
      </c>
    </row>
    <row r="1623" ht="13.85" spans="1:15">
      <c r="A1623" s="43">
        <v>38270</v>
      </c>
      <c r="B1623" s="11">
        <v>38072676</v>
      </c>
      <c r="C1623" s="11">
        <v>6177501</v>
      </c>
      <c r="D1623" s="11">
        <v>150</v>
      </c>
      <c r="E1623">
        <f t="shared" si="362"/>
        <v>150</v>
      </c>
      <c r="F1623">
        <f t="shared" si="357"/>
        <v>19036338</v>
      </c>
      <c r="G1623">
        <f t="shared" si="358"/>
        <v>1903.6338</v>
      </c>
      <c r="H1623">
        <f t="shared" si="360"/>
        <v>150000000</v>
      </c>
      <c r="I1623">
        <f t="shared" si="355"/>
        <v>72000000</v>
      </c>
      <c r="K1623">
        <f t="shared" si="361"/>
        <v>244606530</v>
      </c>
      <c r="M1623">
        <f t="shared" si="359"/>
        <v>44250177</v>
      </c>
      <c r="N1623">
        <f t="shared" si="354"/>
        <v>326502005.369</v>
      </c>
      <c r="O1623">
        <f t="shared" si="363"/>
        <v>0.658754689081752</v>
      </c>
    </row>
    <row r="1624" ht="13.85" spans="1:15">
      <c r="A1624" s="43">
        <v>38178</v>
      </c>
      <c r="B1624" s="11">
        <v>32505574</v>
      </c>
      <c r="C1624" s="11">
        <v>5444820</v>
      </c>
      <c r="D1624" s="11">
        <v>125</v>
      </c>
      <c r="E1624">
        <f t="shared" si="362"/>
        <v>125</v>
      </c>
      <c r="F1624">
        <f t="shared" si="357"/>
        <v>16252787</v>
      </c>
      <c r="G1624">
        <f t="shared" si="358"/>
        <v>1625.2787</v>
      </c>
      <c r="H1624">
        <f t="shared" si="360"/>
        <v>125000000</v>
      </c>
      <c r="I1624">
        <f t="shared" si="355"/>
        <v>60000000</v>
      </c>
      <c r="K1624">
        <f t="shared" si="361"/>
        <v>212100956</v>
      </c>
      <c r="M1624">
        <f t="shared" si="359"/>
        <v>37950394</v>
      </c>
      <c r="N1624">
        <f t="shared" si="354"/>
        <v>282251828.369</v>
      </c>
      <c r="O1624">
        <f t="shared" si="363"/>
        <v>0.560513824041615</v>
      </c>
    </row>
    <row r="1625" ht="13.85" spans="1:15">
      <c r="A1625" s="43">
        <v>38056</v>
      </c>
      <c r="B1625" s="11">
        <v>33430895</v>
      </c>
      <c r="C1625" s="11">
        <v>5818806</v>
      </c>
      <c r="D1625" s="11">
        <v>103</v>
      </c>
      <c r="E1625">
        <f t="shared" si="362"/>
        <v>103</v>
      </c>
      <c r="F1625">
        <f t="shared" si="357"/>
        <v>16715447.5</v>
      </c>
      <c r="G1625">
        <f t="shared" si="358"/>
        <v>1671.54475</v>
      </c>
      <c r="H1625">
        <f t="shared" si="360"/>
        <v>103000000</v>
      </c>
      <c r="I1625">
        <f t="shared" si="355"/>
        <v>49440000</v>
      </c>
      <c r="K1625">
        <f t="shared" si="361"/>
        <v>178670061</v>
      </c>
      <c r="M1625">
        <f t="shared" si="359"/>
        <v>39249701</v>
      </c>
      <c r="N1625">
        <f t="shared" si="354"/>
        <v>244301434.369</v>
      </c>
      <c r="O1625">
        <f t="shared" si="363"/>
        <v>0.687828124722105</v>
      </c>
    </row>
    <row r="1626" ht="13.9" spans="1:15">
      <c r="A1626" s="42" t="s">
        <v>1091</v>
      </c>
      <c r="B1626" s="11">
        <v>25881059</v>
      </c>
      <c r="C1626" s="11">
        <v>4649824</v>
      </c>
      <c r="D1626" s="11">
        <v>82</v>
      </c>
      <c r="E1626">
        <f t="shared" si="362"/>
        <v>82</v>
      </c>
      <c r="F1626">
        <f t="shared" si="357"/>
        <v>12940529.5</v>
      </c>
      <c r="G1626">
        <f t="shared" si="358"/>
        <v>1294.05295</v>
      </c>
      <c r="H1626">
        <f t="shared" si="360"/>
        <v>82000000</v>
      </c>
      <c r="I1626">
        <f t="shared" si="355"/>
        <v>39360000</v>
      </c>
      <c r="K1626">
        <f t="shared" si="361"/>
        <v>152789002</v>
      </c>
      <c r="M1626">
        <f t="shared" si="359"/>
        <v>30530883</v>
      </c>
      <c r="N1626">
        <f t="shared" si="354"/>
        <v>205051733.369</v>
      </c>
      <c r="O1626">
        <f t="shared" si="363"/>
        <v>0.542030132411584</v>
      </c>
    </row>
    <row r="1627" ht="13.9" spans="1:15">
      <c r="A1627" s="42" t="s">
        <v>1092</v>
      </c>
      <c r="B1627" s="11">
        <v>26490335</v>
      </c>
      <c r="C1627" s="11">
        <v>4873235</v>
      </c>
      <c r="D1627" s="11">
        <v>65</v>
      </c>
      <c r="E1627">
        <f t="shared" si="362"/>
        <v>65</v>
      </c>
      <c r="F1627">
        <f t="shared" si="357"/>
        <v>13245167.5</v>
      </c>
      <c r="G1627">
        <f t="shared" si="358"/>
        <v>1324.51675</v>
      </c>
      <c r="H1627">
        <f t="shared" si="360"/>
        <v>65000000</v>
      </c>
      <c r="I1627">
        <f t="shared" si="355"/>
        <v>31200000</v>
      </c>
      <c r="K1627">
        <f t="shared" si="361"/>
        <v>126298667</v>
      </c>
      <c r="M1627">
        <f t="shared" si="359"/>
        <v>31363570</v>
      </c>
      <c r="N1627">
        <f t="shared" si="354"/>
        <v>174520850.369</v>
      </c>
      <c r="O1627">
        <f t="shared" si="363"/>
        <v>0.736610538171342</v>
      </c>
    </row>
    <row r="1628" ht="13.9" spans="1:15">
      <c r="A1628" s="42" t="s">
        <v>1093</v>
      </c>
      <c r="B1628" s="11">
        <v>22871116</v>
      </c>
      <c r="C1628" s="11">
        <v>4280274</v>
      </c>
      <c r="D1628" s="11">
        <v>45</v>
      </c>
      <c r="E1628">
        <f t="shared" si="362"/>
        <v>45</v>
      </c>
      <c r="F1628">
        <f t="shared" si="357"/>
        <v>11435558</v>
      </c>
      <c r="G1628">
        <f t="shared" si="358"/>
        <v>1143.5558</v>
      </c>
      <c r="H1628">
        <f t="shared" si="360"/>
        <v>45000000</v>
      </c>
      <c r="I1628">
        <f t="shared" si="355"/>
        <v>21600000</v>
      </c>
      <c r="K1628">
        <f t="shared" si="361"/>
        <v>103427551</v>
      </c>
      <c r="M1628">
        <f t="shared" si="359"/>
        <v>27151390</v>
      </c>
      <c r="N1628">
        <f t="shared" si="354"/>
        <v>143157280.369</v>
      </c>
      <c r="O1628">
        <f t="shared" si="363"/>
        <v>0.628763480342832</v>
      </c>
    </row>
    <row r="1629" ht="13.9" spans="1:15">
      <c r="A1629" s="42" t="s">
        <v>1094</v>
      </c>
      <c r="B1629" s="11">
        <v>23851801</v>
      </c>
      <c r="C1629" s="11">
        <v>4546.369</v>
      </c>
      <c r="D1629" s="11">
        <v>30</v>
      </c>
      <c r="E1629">
        <f t="shared" si="362"/>
        <v>30</v>
      </c>
      <c r="F1629">
        <f t="shared" si="357"/>
        <v>11925900.5</v>
      </c>
      <c r="G1629">
        <f t="shared" si="358"/>
        <v>1192.59005</v>
      </c>
      <c r="H1629">
        <f t="shared" si="360"/>
        <v>30000000</v>
      </c>
      <c r="I1629">
        <f t="shared" si="355"/>
        <v>14400000</v>
      </c>
      <c r="K1629">
        <f t="shared" si="361"/>
        <v>79575750</v>
      </c>
      <c r="M1629">
        <f t="shared" si="359"/>
        <v>23856347.369</v>
      </c>
      <c r="N1629">
        <f t="shared" si="354"/>
        <v>116005890.369</v>
      </c>
      <c r="O1629">
        <f t="shared" si="363"/>
        <v>0.376302627992189</v>
      </c>
    </row>
    <row r="1630" ht="13.9" spans="1:15">
      <c r="A1630" s="42" t="s">
        <v>1095</v>
      </c>
      <c r="B1630" s="11">
        <v>22336363</v>
      </c>
      <c r="C1630" s="11">
        <v>4237993</v>
      </c>
      <c r="D1630" s="11">
        <v>20</v>
      </c>
      <c r="E1630">
        <f t="shared" si="362"/>
        <v>20</v>
      </c>
      <c r="F1630">
        <f t="shared" si="357"/>
        <v>11168181.5</v>
      </c>
      <c r="G1630">
        <f t="shared" si="358"/>
        <v>1116.81815</v>
      </c>
      <c r="H1630">
        <f t="shared" si="360"/>
        <v>20000000</v>
      </c>
      <c r="I1630">
        <f t="shared" si="355"/>
        <v>9600000</v>
      </c>
      <c r="K1630">
        <f t="shared" si="361"/>
        <v>57239387</v>
      </c>
      <c r="M1630">
        <f t="shared" si="359"/>
        <v>26574356</v>
      </c>
      <c r="N1630">
        <f t="shared" si="354"/>
        <v>92149543</v>
      </c>
      <c r="O1630">
        <f t="shared" si="363"/>
        <v>0</v>
      </c>
    </row>
    <row r="1631" ht="13.9" spans="1:15">
      <c r="A1631" s="42" t="s">
        <v>1096</v>
      </c>
      <c r="B1631" s="11">
        <v>57239387</v>
      </c>
      <c r="C1631" s="11">
        <v>8335800</v>
      </c>
      <c r="D1631" s="11">
        <v>211</v>
      </c>
      <c r="E1631">
        <f t="shared" si="362"/>
        <v>211</v>
      </c>
      <c r="F1631">
        <f t="shared" si="357"/>
        <v>28619693.5</v>
      </c>
      <c r="G1631">
        <f t="shared" si="358"/>
        <v>2861.96935</v>
      </c>
      <c r="H1631">
        <f t="shared" si="360"/>
        <v>211000000</v>
      </c>
      <c r="I1631">
        <f t="shared" si="355"/>
        <v>101280000</v>
      </c>
      <c r="K1631">
        <f t="shared" si="361"/>
        <v>297789073</v>
      </c>
      <c r="M1631">
        <f t="shared" si="359"/>
        <v>65575187</v>
      </c>
      <c r="N1631">
        <f t="shared" ref="N1631:N1694" si="364">IF(H1631&lt;H1632,M1631+M1632,M1631+N1632)</f>
        <v>416701755</v>
      </c>
      <c r="O1631">
        <f t="shared" si="363"/>
        <v>0.805134212879839</v>
      </c>
    </row>
    <row r="1632" ht="13.85" spans="1:15">
      <c r="A1632" s="43">
        <v>37904</v>
      </c>
      <c r="B1632" s="11">
        <v>41968422</v>
      </c>
      <c r="C1632" s="11">
        <v>6470707</v>
      </c>
      <c r="D1632" s="11">
        <v>172</v>
      </c>
      <c r="E1632">
        <f t="shared" si="362"/>
        <v>172</v>
      </c>
      <c r="F1632">
        <f t="shared" si="357"/>
        <v>20984211</v>
      </c>
      <c r="G1632">
        <f t="shared" si="358"/>
        <v>2098.4211</v>
      </c>
      <c r="H1632">
        <f t="shared" si="360"/>
        <v>172000000</v>
      </c>
      <c r="I1632">
        <f t="shared" si="355"/>
        <v>82560000</v>
      </c>
      <c r="K1632">
        <f t="shared" si="361"/>
        <v>255820651</v>
      </c>
      <c r="M1632">
        <f t="shared" si="359"/>
        <v>48439129</v>
      </c>
      <c r="N1632">
        <f t="shared" si="364"/>
        <v>351126568</v>
      </c>
      <c r="O1632">
        <f t="shared" si="363"/>
        <v>0.639033883014304</v>
      </c>
    </row>
    <row r="1633" ht="13.85" spans="1:15">
      <c r="A1633" s="43">
        <v>37782</v>
      </c>
      <c r="B1633" s="11">
        <v>37513118</v>
      </c>
      <c r="C1633" s="11">
        <v>6303025</v>
      </c>
      <c r="D1633" s="11">
        <v>144</v>
      </c>
      <c r="E1633">
        <f t="shared" si="362"/>
        <v>144</v>
      </c>
      <c r="F1633">
        <f t="shared" si="357"/>
        <v>18756559</v>
      </c>
      <c r="G1633">
        <f t="shared" si="358"/>
        <v>1875.6559</v>
      </c>
      <c r="H1633">
        <f t="shared" si="360"/>
        <v>144000000</v>
      </c>
      <c r="I1633">
        <f t="shared" si="355"/>
        <v>69120000</v>
      </c>
      <c r="K1633">
        <f t="shared" si="361"/>
        <v>218307533</v>
      </c>
      <c r="M1633">
        <f t="shared" si="359"/>
        <v>43816143</v>
      </c>
      <c r="N1633">
        <f t="shared" si="364"/>
        <v>302687439</v>
      </c>
      <c r="O1633">
        <f t="shared" si="363"/>
        <v>0.776833318215294</v>
      </c>
    </row>
    <row r="1634" ht="13.85" spans="1:15">
      <c r="A1634" s="43">
        <v>37690</v>
      </c>
      <c r="B1634" s="11">
        <v>33019146</v>
      </c>
      <c r="C1634" s="11">
        <v>5599177</v>
      </c>
      <c r="D1634" s="11">
        <v>114</v>
      </c>
      <c r="E1634">
        <f t="shared" si="362"/>
        <v>114</v>
      </c>
      <c r="F1634">
        <f t="shared" si="357"/>
        <v>16509573</v>
      </c>
      <c r="G1634">
        <f t="shared" si="358"/>
        <v>1650.9573</v>
      </c>
      <c r="H1634">
        <f t="shared" si="360"/>
        <v>114000000</v>
      </c>
      <c r="I1634">
        <f t="shared" si="355"/>
        <v>54720000</v>
      </c>
      <c r="K1634">
        <f t="shared" si="361"/>
        <v>185288387</v>
      </c>
      <c r="M1634">
        <f t="shared" si="359"/>
        <v>38618323</v>
      </c>
      <c r="N1634">
        <f t="shared" si="364"/>
        <v>258871296</v>
      </c>
      <c r="O1634">
        <f t="shared" si="363"/>
        <v>0.555246014020371</v>
      </c>
    </row>
    <row r="1635" ht="13.9" spans="1:15">
      <c r="A1635" s="42" t="s">
        <v>1097</v>
      </c>
      <c r="B1635" s="11">
        <v>28853280</v>
      </c>
      <c r="C1635" s="11">
        <v>5365786</v>
      </c>
      <c r="D1635" s="11">
        <v>95</v>
      </c>
      <c r="E1635">
        <f t="shared" si="362"/>
        <v>95</v>
      </c>
      <c r="F1635">
        <f t="shared" si="357"/>
        <v>14426640</v>
      </c>
      <c r="G1635">
        <f t="shared" si="358"/>
        <v>1442.664</v>
      </c>
      <c r="H1635">
        <f t="shared" si="360"/>
        <v>95000000</v>
      </c>
      <c r="I1635">
        <f t="shared" si="355"/>
        <v>45600000</v>
      </c>
      <c r="K1635">
        <f t="shared" si="361"/>
        <v>156435107</v>
      </c>
      <c r="M1635">
        <f t="shared" si="359"/>
        <v>34219066</v>
      </c>
      <c r="N1635">
        <f t="shared" si="364"/>
        <v>220252973</v>
      </c>
      <c r="O1635">
        <f t="shared" si="363"/>
        <v>0.643302332255362</v>
      </c>
    </row>
    <row r="1636" ht="13.9" spans="1:15">
      <c r="A1636" s="42" t="s">
        <v>1098</v>
      </c>
      <c r="B1636" s="11">
        <v>24821351</v>
      </c>
      <c r="C1636" s="11">
        <v>4713751</v>
      </c>
      <c r="D1636" s="11">
        <v>76</v>
      </c>
      <c r="E1636">
        <f t="shared" si="362"/>
        <v>76</v>
      </c>
      <c r="F1636">
        <f t="shared" si="357"/>
        <v>12410675.5</v>
      </c>
      <c r="G1636">
        <f t="shared" si="358"/>
        <v>1241.06755</v>
      </c>
      <c r="H1636">
        <f t="shared" si="360"/>
        <v>76000000</v>
      </c>
      <c r="I1636">
        <f t="shared" si="355"/>
        <v>36480000</v>
      </c>
      <c r="K1636">
        <f t="shared" si="361"/>
        <v>131613756</v>
      </c>
      <c r="M1636">
        <f t="shared" si="359"/>
        <v>29535102</v>
      </c>
      <c r="N1636">
        <f t="shared" si="364"/>
        <v>186033907</v>
      </c>
      <c r="O1636">
        <f t="shared" si="363"/>
        <v>0.616977606602933</v>
      </c>
    </row>
    <row r="1637" ht="13.9" spans="1:15">
      <c r="A1637" s="42" t="s">
        <v>1099</v>
      </c>
      <c r="B1637" s="11">
        <v>25747371</v>
      </c>
      <c r="C1637" s="11">
        <v>5047912</v>
      </c>
      <c r="D1637" s="11">
        <v>57</v>
      </c>
      <c r="E1637">
        <f t="shared" si="362"/>
        <v>57</v>
      </c>
      <c r="F1637">
        <f t="shared" si="357"/>
        <v>12873685.5</v>
      </c>
      <c r="G1637">
        <f t="shared" si="358"/>
        <v>1287.36855</v>
      </c>
      <c r="H1637">
        <f t="shared" si="360"/>
        <v>57000000</v>
      </c>
      <c r="I1637">
        <f t="shared" si="355"/>
        <v>27360000</v>
      </c>
      <c r="K1637">
        <f t="shared" si="361"/>
        <v>105866385</v>
      </c>
      <c r="M1637">
        <f t="shared" si="359"/>
        <v>30795283</v>
      </c>
      <c r="N1637">
        <f t="shared" si="364"/>
        <v>156498805</v>
      </c>
      <c r="O1637">
        <f t="shared" si="363"/>
        <v>0.638590041270947</v>
      </c>
    </row>
    <row r="1638" ht="13.9" spans="1:15">
      <c r="A1638" s="42" t="s">
        <v>1100</v>
      </c>
      <c r="B1638" s="11">
        <v>22180214</v>
      </c>
      <c r="C1638" s="11">
        <v>4440934</v>
      </c>
      <c r="D1638" s="11">
        <v>40</v>
      </c>
      <c r="E1638">
        <f t="shared" si="362"/>
        <v>40</v>
      </c>
      <c r="F1638">
        <f t="shared" si="357"/>
        <v>11090107</v>
      </c>
      <c r="G1638">
        <f t="shared" si="358"/>
        <v>1109.0107</v>
      </c>
      <c r="H1638">
        <f t="shared" si="360"/>
        <v>40000000</v>
      </c>
      <c r="I1638">
        <f t="shared" si="355"/>
        <v>19200000</v>
      </c>
      <c r="K1638">
        <f t="shared" si="361"/>
        <v>83686171</v>
      </c>
      <c r="M1638">
        <f t="shared" si="359"/>
        <v>26621148</v>
      </c>
      <c r="N1638">
        <f t="shared" si="364"/>
        <v>125703522</v>
      </c>
      <c r="O1638">
        <f t="shared" si="363"/>
        <v>0.527851764022532</v>
      </c>
    </row>
    <row r="1639" ht="13.9" spans="1:15">
      <c r="A1639" s="42" t="s">
        <v>1101</v>
      </c>
      <c r="B1639" s="11">
        <v>23691641</v>
      </c>
      <c r="C1639" s="11">
        <v>4725428</v>
      </c>
      <c r="D1639" s="11">
        <v>25</v>
      </c>
      <c r="E1639">
        <f t="shared" si="362"/>
        <v>25</v>
      </c>
      <c r="F1639">
        <f t="shared" si="357"/>
        <v>11845820.5</v>
      </c>
      <c r="G1639">
        <f t="shared" si="358"/>
        <v>1184.58205</v>
      </c>
      <c r="H1639">
        <f t="shared" si="360"/>
        <v>25000000</v>
      </c>
      <c r="I1639">
        <f t="shared" si="355"/>
        <v>12000000</v>
      </c>
      <c r="K1639">
        <f t="shared" si="361"/>
        <v>59994530</v>
      </c>
      <c r="M1639">
        <f t="shared" si="359"/>
        <v>28417069</v>
      </c>
      <c r="N1639">
        <f t="shared" si="364"/>
        <v>99082374</v>
      </c>
      <c r="O1639">
        <f t="shared" si="363"/>
        <v>0.200135948346993</v>
      </c>
    </row>
    <row r="1640" ht="13.85" spans="1:15">
      <c r="A1640" s="43">
        <v>37539</v>
      </c>
      <c r="B1640" s="11">
        <v>20879429</v>
      </c>
      <c r="C1640" s="11">
        <v>4103589</v>
      </c>
      <c r="D1640" s="11">
        <v>20</v>
      </c>
      <c r="E1640">
        <f t="shared" si="362"/>
        <v>20</v>
      </c>
      <c r="F1640">
        <f t="shared" si="357"/>
        <v>10439714.5</v>
      </c>
      <c r="G1640">
        <f t="shared" si="358"/>
        <v>1043.97145</v>
      </c>
      <c r="H1640">
        <f t="shared" si="360"/>
        <v>20000000</v>
      </c>
      <c r="I1640">
        <f t="shared" si="355"/>
        <v>9600000</v>
      </c>
      <c r="K1640">
        <f t="shared" si="361"/>
        <v>39115101</v>
      </c>
      <c r="M1640">
        <f t="shared" si="359"/>
        <v>24983018</v>
      </c>
      <c r="N1640">
        <f t="shared" si="364"/>
        <v>70665305</v>
      </c>
      <c r="O1640">
        <f t="shared" si="363"/>
        <v>0</v>
      </c>
    </row>
    <row r="1641" ht="13.85" spans="1:15">
      <c r="A1641" s="43">
        <v>37417</v>
      </c>
      <c r="B1641" s="11">
        <v>39115101</v>
      </c>
      <c r="C1641" s="11">
        <v>6567186</v>
      </c>
      <c r="D1641" s="11">
        <v>140</v>
      </c>
      <c r="E1641">
        <f t="shared" si="362"/>
        <v>140</v>
      </c>
      <c r="F1641">
        <f t="shared" si="357"/>
        <v>19557550.5</v>
      </c>
      <c r="G1641">
        <f t="shared" si="358"/>
        <v>1955.75505</v>
      </c>
      <c r="H1641">
        <f t="shared" si="360"/>
        <v>140000000</v>
      </c>
      <c r="I1641">
        <f t="shared" si="355"/>
        <v>67200000</v>
      </c>
      <c r="K1641">
        <f t="shared" si="361"/>
        <v>198282214</v>
      </c>
      <c r="M1641">
        <f t="shared" si="359"/>
        <v>45682287</v>
      </c>
      <c r="N1641">
        <f t="shared" si="364"/>
        <v>283891226</v>
      </c>
      <c r="O1641">
        <f t="shared" si="363"/>
        <v>0.584016510006574</v>
      </c>
    </row>
    <row r="1642" ht="13.85" spans="1:15">
      <c r="A1642" s="43">
        <v>37325</v>
      </c>
      <c r="B1642" s="11">
        <v>36570810</v>
      </c>
      <c r="C1642" s="11">
        <v>6236199</v>
      </c>
      <c r="D1642" s="11">
        <v>115</v>
      </c>
      <c r="E1642">
        <f t="shared" si="362"/>
        <v>115</v>
      </c>
      <c r="H1642">
        <f t="shared" si="360"/>
        <v>115000000</v>
      </c>
      <c r="I1642">
        <f t="shared" si="355"/>
        <v>55200000</v>
      </c>
      <c r="K1642">
        <f t="shared" si="361"/>
        <v>161711404</v>
      </c>
      <c r="M1642">
        <f t="shared" si="359"/>
        <v>42807009</v>
      </c>
      <c r="N1642">
        <f t="shared" si="364"/>
        <v>238208939</v>
      </c>
      <c r="O1642">
        <f t="shared" si="363"/>
        <v>0.948811109318069</v>
      </c>
    </row>
    <row r="1643" ht="27" spans="1:15">
      <c r="A1643" s="42" t="s">
        <v>1102</v>
      </c>
      <c r="B1643" s="11">
        <v>22002653</v>
      </c>
      <c r="C1643" s="11">
        <v>4346111</v>
      </c>
      <c r="D1643" s="11">
        <v>90</v>
      </c>
      <c r="E1643">
        <f t="shared" si="362"/>
        <v>90</v>
      </c>
      <c r="F1643" s="49" t="s">
        <v>1103</v>
      </c>
      <c r="G1643" s="50"/>
      <c r="H1643">
        <f t="shared" ref="H1643:H1678" si="365">E1643*1000000</f>
        <v>90000000</v>
      </c>
      <c r="I1643">
        <f t="shared" si="355"/>
        <v>43200000</v>
      </c>
      <c r="K1643">
        <f t="shared" si="361"/>
        <v>139708751</v>
      </c>
      <c r="M1643">
        <f t="shared" si="359"/>
        <v>26348764</v>
      </c>
      <c r="N1643">
        <f t="shared" si="364"/>
        <v>195401930</v>
      </c>
      <c r="O1643">
        <f t="shared" si="363"/>
        <v>0.605367342524712</v>
      </c>
    </row>
    <row r="1644" ht="13.9" spans="1:15">
      <c r="A1644" s="42" t="s">
        <v>1104</v>
      </c>
      <c r="B1644" s="11">
        <v>19227635</v>
      </c>
      <c r="C1644" s="11">
        <v>3898819</v>
      </c>
      <c r="D1644" s="11">
        <v>76</v>
      </c>
      <c r="E1644">
        <f t="shared" si="362"/>
        <v>76</v>
      </c>
      <c r="H1644">
        <f t="shared" si="365"/>
        <v>76000000</v>
      </c>
      <c r="I1644">
        <f t="shared" si="355"/>
        <v>36480000</v>
      </c>
      <c r="K1644">
        <f t="shared" si="361"/>
        <v>120481116</v>
      </c>
      <c r="M1644">
        <f t="shared" si="359"/>
        <v>23126454</v>
      </c>
      <c r="N1644">
        <f t="shared" si="364"/>
        <v>169053166</v>
      </c>
      <c r="O1644">
        <f t="shared" si="363"/>
        <v>0.452133323265831</v>
      </c>
    </row>
    <row r="1645" ht="13.9" spans="1:15">
      <c r="A1645" s="42" t="s">
        <v>1105</v>
      </c>
      <c r="B1645" s="11">
        <v>20174911</v>
      </c>
      <c r="C1645" s="11">
        <v>4154196</v>
      </c>
      <c r="D1645" s="11">
        <v>65</v>
      </c>
      <c r="E1645">
        <f t="shared" si="362"/>
        <v>65</v>
      </c>
      <c r="H1645">
        <f t="shared" si="365"/>
        <v>65000000</v>
      </c>
      <c r="I1645">
        <f t="shared" si="355"/>
        <v>31200000</v>
      </c>
      <c r="K1645">
        <f t="shared" si="361"/>
        <v>100306205</v>
      </c>
      <c r="M1645">
        <f t="shared" si="359"/>
        <v>24329107</v>
      </c>
      <c r="N1645">
        <f t="shared" si="364"/>
        <v>145926712</v>
      </c>
      <c r="O1645">
        <f t="shared" si="363"/>
        <v>0.668215494724081</v>
      </c>
    </row>
    <row r="1646" ht="13.9" spans="1:15">
      <c r="A1646" s="42" t="s">
        <v>1106</v>
      </c>
      <c r="B1646" s="11">
        <v>17339630</v>
      </c>
      <c r="C1646" s="11">
        <v>3611695</v>
      </c>
      <c r="D1646" s="11">
        <v>51</v>
      </c>
      <c r="E1646">
        <f t="shared" si="362"/>
        <v>51</v>
      </c>
      <c r="H1646">
        <f t="shared" si="365"/>
        <v>51000000</v>
      </c>
      <c r="I1646">
        <f t="shared" si="355"/>
        <v>24480000</v>
      </c>
      <c r="K1646">
        <f t="shared" si="361"/>
        <v>82966575</v>
      </c>
      <c r="M1646">
        <f t="shared" si="359"/>
        <v>20951325</v>
      </c>
      <c r="N1646">
        <f t="shared" si="364"/>
        <v>121597605</v>
      </c>
      <c r="O1646">
        <f t="shared" si="363"/>
        <v>0.497114229302796</v>
      </c>
    </row>
    <row r="1647" ht="13.9" spans="1:15">
      <c r="A1647" s="42" t="s">
        <v>1107</v>
      </c>
      <c r="B1647" s="11">
        <v>18310940</v>
      </c>
      <c r="C1647" s="11">
        <v>3816771</v>
      </c>
      <c r="D1647" s="11">
        <v>40</v>
      </c>
      <c r="E1647">
        <f t="shared" si="362"/>
        <v>40</v>
      </c>
      <c r="H1647">
        <f t="shared" si="365"/>
        <v>40000000</v>
      </c>
      <c r="I1647">
        <f t="shared" ref="I1647:I1710" si="366">H1647*0.48</f>
        <v>19200000</v>
      </c>
      <c r="K1647">
        <f t="shared" si="361"/>
        <v>64655635</v>
      </c>
      <c r="M1647">
        <f t="shared" si="359"/>
        <v>22127711</v>
      </c>
      <c r="N1647">
        <f t="shared" si="364"/>
        <v>100646280</v>
      </c>
      <c r="O1647">
        <f t="shared" si="363"/>
        <v>0.521288293121241</v>
      </c>
    </row>
    <row r="1648" ht="13.9" spans="1:15">
      <c r="A1648" s="42" t="s">
        <v>1108</v>
      </c>
      <c r="B1648" s="11">
        <v>15831466</v>
      </c>
      <c r="C1648" s="11">
        <v>3351777</v>
      </c>
      <c r="D1648" s="11">
        <v>30</v>
      </c>
      <c r="E1648">
        <f t="shared" si="362"/>
        <v>30</v>
      </c>
      <c r="H1648">
        <f t="shared" si="365"/>
        <v>30000000</v>
      </c>
      <c r="I1648">
        <f t="shared" si="366"/>
        <v>14400000</v>
      </c>
      <c r="K1648">
        <f t="shared" si="361"/>
        <v>48824169</v>
      </c>
      <c r="M1648">
        <f t="shared" si="359"/>
        <v>19183243</v>
      </c>
      <c r="N1648">
        <f t="shared" si="364"/>
        <v>78518569</v>
      </c>
      <c r="O1648">
        <f t="shared" si="363"/>
        <v>0.248296684742665</v>
      </c>
    </row>
    <row r="1649" ht="13.85" spans="1:15">
      <c r="A1649" s="43">
        <v>37144</v>
      </c>
      <c r="B1649" s="11">
        <v>16571399</v>
      </c>
      <c r="C1649" s="11">
        <v>3565801</v>
      </c>
      <c r="D1649" s="11">
        <v>25</v>
      </c>
      <c r="E1649">
        <f t="shared" si="362"/>
        <v>25</v>
      </c>
      <c r="H1649">
        <f t="shared" si="365"/>
        <v>25000000</v>
      </c>
      <c r="I1649">
        <f t="shared" si="366"/>
        <v>12000000</v>
      </c>
      <c r="K1649">
        <f t="shared" si="361"/>
        <v>32252770</v>
      </c>
      <c r="M1649">
        <f t="shared" si="359"/>
        <v>20137200</v>
      </c>
      <c r="N1649">
        <f t="shared" si="364"/>
        <v>59335326</v>
      </c>
      <c r="O1649">
        <f t="shared" si="363"/>
        <v>0.271373219045407</v>
      </c>
    </row>
    <row r="1650" ht="13.85" spans="1:15">
      <c r="A1650" s="43">
        <v>37052</v>
      </c>
      <c r="B1650" s="11">
        <v>15143519</v>
      </c>
      <c r="C1650" s="11">
        <v>3281291</v>
      </c>
      <c r="D1650" s="11">
        <v>20</v>
      </c>
      <c r="E1650">
        <f t="shared" si="362"/>
        <v>20</v>
      </c>
      <c r="H1650">
        <f t="shared" si="365"/>
        <v>20000000</v>
      </c>
      <c r="I1650">
        <f t="shared" si="366"/>
        <v>9600000</v>
      </c>
      <c r="K1650">
        <f t="shared" si="361"/>
        <v>17109251</v>
      </c>
      <c r="M1650">
        <f t="shared" si="359"/>
        <v>18424810</v>
      </c>
      <c r="N1650">
        <f t="shared" si="364"/>
        <v>39198126</v>
      </c>
      <c r="O1650">
        <f t="shared" ref="O1650:O1681" si="367">IF(H1650&gt;H1651,(H1650-H1651)/M1651,0)</f>
        <v>0</v>
      </c>
    </row>
    <row r="1651" ht="13.85" spans="1:15">
      <c r="A1651" s="43">
        <v>36932</v>
      </c>
      <c r="B1651" s="11">
        <v>17109251</v>
      </c>
      <c r="C1651" s="11">
        <v>3664065</v>
      </c>
      <c r="D1651" s="11">
        <v>25</v>
      </c>
      <c r="E1651">
        <f t="shared" si="362"/>
        <v>25</v>
      </c>
      <c r="H1651">
        <f t="shared" si="365"/>
        <v>25000000</v>
      </c>
      <c r="I1651">
        <f t="shared" si="366"/>
        <v>12000000</v>
      </c>
      <c r="K1651">
        <f t="shared" si="361"/>
        <v>42342332</v>
      </c>
      <c r="M1651">
        <f t="shared" si="359"/>
        <v>20773316</v>
      </c>
      <c r="N1651">
        <f t="shared" si="364"/>
        <v>63115648</v>
      </c>
      <c r="O1651">
        <f t="shared" si="367"/>
        <v>0.30807063739322</v>
      </c>
    </row>
    <row r="1652" ht="13.9" spans="1:15">
      <c r="A1652" s="41" t="s">
        <v>1109</v>
      </c>
      <c r="B1652" s="13">
        <v>16230044</v>
      </c>
      <c r="D1652" s="13">
        <v>20</v>
      </c>
      <c r="E1652">
        <f t="shared" si="362"/>
        <v>20</v>
      </c>
      <c r="H1652">
        <f t="shared" si="365"/>
        <v>20000000</v>
      </c>
      <c r="I1652">
        <f t="shared" si="366"/>
        <v>9600000</v>
      </c>
      <c r="K1652">
        <f t="shared" si="361"/>
        <v>26112288</v>
      </c>
      <c r="M1652">
        <f t="shared" si="359"/>
        <v>16230044</v>
      </c>
      <c r="N1652">
        <f t="shared" si="364"/>
        <v>42342332</v>
      </c>
      <c r="O1652">
        <f t="shared" si="367"/>
        <v>0</v>
      </c>
    </row>
    <row r="1653" ht="13.9" spans="1:15">
      <c r="A1653" s="42" t="s">
        <v>1110</v>
      </c>
      <c r="B1653" s="11">
        <v>26112288</v>
      </c>
      <c r="D1653" s="11">
        <v>122</v>
      </c>
      <c r="E1653">
        <f t="shared" si="362"/>
        <v>122</v>
      </c>
      <c r="H1653">
        <f t="shared" si="365"/>
        <v>122000000</v>
      </c>
      <c r="I1653">
        <f t="shared" si="366"/>
        <v>58560000</v>
      </c>
      <c r="K1653">
        <f t="shared" si="361"/>
        <v>189383902</v>
      </c>
      <c r="M1653">
        <f t="shared" si="359"/>
        <v>26112288</v>
      </c>
      <c r="N1653">
        <f t="shared" si="364"/>
        <v>215496190</v>
      </c>
      <c r="O1653">
        <f t="shared" si="367"/>
        <v>0.600207469214327</v>
      </c>
    </row>
    <row r="1654" ht="13.9" spans="1:15">
      <c r="A1654" s="42" t="s">
        <v>1111</v>
      </c>
      <c r="B1654" s="11">
        <v>26657449</v>
      </c>
      <c r="D1654" s="11">
        <v>106</v>
      </c>
      <c r="E1654">
        <f t="shared" si="362"/>
        <v>106</v>
      </c>
      <c r="H1654">
        <f t="shared" si="365"/>
        <v>106000000</v>
      </c>
      <c r="I1654">
        <f t="shared" si="366"/>
        <v>50880000</v>
      </c>
      <c r="K1654">
        <f t="shared" si="361"/>
        <v>162726453</v>
      </c>
      <c r="M1654">
        <f t="shared" si="359"/>
        <v>26657449</v>
      </c>
      <c r="N1654">
        <f t="shared" si="364"/>
        <v>189383902</v>
      </c>
      <c r="O1654">
        <f t="shared" si="367"/>
        <v>0.624135572232458</v>
      </c>
    </row>
    <row r="1655" ht="13.9" spans="1:15">
      <c r="A1655" s="42" t="s">
        <v>1112</v>
      </c>
      <c r="B1655" s="11">
        <v>22431024</v>
      </c>
      <c r="D1655" s="11">
        <v>92</v>
      </c>
      <c r="E1655">
        <f t="shared" si="362"/>
        <v>92</v>
      </c>
      <c r="H1655">
        <f t="shared" si="365"/>
        <v>92000000</v>
      </c>
      <c r="I1655">
        <f t="shared" si="366"/>
        <v>44160000</v>
      </c>
      <c r="K1655">
        <f t="shared" si="361"/>
        <v>140295429</v>
      </c>
      <c r="M1655">
        <f t="shared" si="359"/>
        <v>22431024</v>
      </c>
      <c r="N1655">
        <f t="shared" si="364"/>
        <v>162726453</v>
      </c>
      <c r="O1655">
        <f t="shared" si="367"/>
        <v>0.781245076528424</v>
      </c>
    </row>
    <row r="1656" ht="13.9" spans="1:15">
      <c r="A1656" s="42" t="s">
        <v>1113</v>
      </c>
      <c r="B1656" s="11">
        <v>19200121</v>
      </c>
      <c r="D1656" s="11">
        <v>77</v>
      </c>
      <c r="E1656">
        <f t="shared" si="362"/>
        <v>77</v>
      </c>
      <c r="H1656">
        <f t="shared" si="365"/>
        <v>77000000</v>
      </c>
      <c r="I1656">
        <f t="shared" si="366"/>
        <v>36960000</v>
      </c>
      <c r="K1656">
        <f t="shared" si="361"/>
        <v>121095308</v>
      </c>
      <c r="M1656">
        <f t="shared" si="359"/>
        <v>19200121</v>
      </c>
      <c r="N1656">
        <f t="shared" si="364"/>
        <v>140295429</v>
      </c>
      <c r="O1656">
        <f t="shared" si="367"/>
        <v>0.612913473983355</v>
      </c>
    </row>
    <row r="1657" ht="13.85" spans="1:15">
      <c r="A1657" s="43">
        <v>41252</v>
      </c>
      <c r="B1657" s="11">
        <v>19578620</v>
      </c>
      <c r="D1657" s="11">
        <v>65</v>
      </c>
      <c r="E1657">
        <f t="shared" si="362"/>
        <v>65</v>
      </c>
      <c r="H1657">
        <f t="shared" si="365"/>
        <v>65000000</v>
      </c>
      <c r="I1657">
        <f t="shared" si="366"/>
        <v>31200000</v>
      </c>
      <c r="K1657">
        <f t="shared" si="361"/>
        <v>101516688</v>
      </c>
      <c r="M1657">
        <f t="shared" si="359"/>
        <v>19578620</v>
      </c>
      <c r="N1657">
        <f t="shared" si="364"/>
        <v>121095308</v>
      </c>
      <c r="O1657">
        <f t="shared" si="367"/>
        <v>0.770606872473632</v>
      </c>
    </row>
    <row r="1658" ht="13.85" spans="1:15">
      <c r="A1658" s="43">
        <v>41161</v>
      </c>
      <c r="B1658" s="11">
        <v>16869821</v>
      </c>
      <c r="D1658" s="11">
        <v>52</v>
      </c>
      <c r="E1658">
        <f t="shared" si="362"/>
        <v>52</v>
      </c>
      <c r="H1658">
        <f t="shared" si="365"/>
        <v>52000000</v>
      </c>
      <c r="I1658">
        <f t="shared" si="366"/>
        <v>24960000</v>
      </c>
      <c r="K1658">
        <f t="shared" si="361"/>
        <v>84646867</v>
      </c>
      <c r="M1658">
        <f t="shared" si="359"/>
        <v>16869821</v>
      </c>
      <c r="N1658">
        <f t="shared" si="364"/>
        <v>101516688</v>
      </c>
      <c r="O1658">
        <f t="shared" si="367"/>
        <v>0.605761463361096</v>
      </c>
    </row>
    <row r="1659" ht="13.85" spans="1:15">
      <c r="A1659" s="43">
        <v>41038</v>
      </c>
      <c r="B1659" s="11">
        <v>18158963</v>
      </c>
      <c r="D1659" s="11">
        <v>41</v>
      </c>
      <c r="E1659">
        <f t="shared" si="362"/>
        <v>41</v>
      </c>
      <c r="H1659">
        <f t="shared" si="365"/>
        <v>41000000</v>
      </c>
      <c r="I1659">
        <f t="shared" si="366"/>
        <v>19680000</v>
      </c>
      <c r="K1659">
        <f t="shared" si="361"/>
        <v>66487904</v>
      </c>
      <c r="M1659">
        <f t="shared" si="359"/>
        <v>18158963</v>
      </c>
      <c r="N1659">
        <f t="shared" si="364"/>
        <v>84646867</v>
      </c>
      <c r="O1659">
        <f t="shared" si="367"/>
        <v>0.685001457184918</v>
      </c>
    </row>
    <row r="1660" ht="13.85" spans="1:15">
      <c r="A1660" s="43">
        <v>40948</v>
      </c>
      <c r="B1660" s="11">
        <v>16058360</v>
      </c>
      <c r="D1660" s="11">
        <v>30</v>
      </c>
      <c r="E1660">
        <f t="shared" si="362"/>
        <v>30</v>
      </c>
      <c r="H1660">
        <f t="shared" si="365"/>
        <v>30000000</v>
      </c>
      <c r="I1660">
        <f t="shared" si="366"/>
        <v>14400000</v>
      </c>
      <c r="K1660">
        <f t="shared" si="361"/>
        <v>50429544</v>
      </c>
      <c r="M1660">
        <f t="shared" si="359"/>
        <v>16058360</v>
      </c>
      <c r="N1660">
        <f t="shared" si="364"/>
        <v>66487904</v>
      </c>
      <c r="O1660">
        <f t="shared" si="367"/>
        <v>0.309922740599687</v>
      </c>
    </row>
    <row r="1661" ht="13.9" spans="1:15">
      <c r="A1661" s="42" t="s">
        <v>1114</v>
      </c>
      <c r="B1661" s="11">
        <v>16133053</v>
      </c>
      <c r="D1661" s="11">
        <v>25</v>
      </c>
      <c r="E1661">
        <f t="shared" si="362"/>
        <v>25</v>
      </c>
      <c r="H1661">
        <f t="shared" si="365"/>
        <v>25000000</v>
      </c>
      <c r="I1661">
        <f t="shared" si="366"/>
        <v>12000000</v>
      </c>
      <c r="K1661">
        <f t="shared" si="361"/>
        <v>34296491</v>
      </c>
      <c r="M1661">
        <f t="shared" si="359"/>
        <v>16133053</v>
      </c>
      <c r="N1661">
        <f t="shared" si="364"/>
        <v>50429544</v>
      </c>
      <c r="O1661">
        <f t="shared" si="367"/>
        <v>0.310670500257794</v>
      </c>
    </row>
    <row r="1662" ht="13.9" spans="1:15">
      <c r="A1662" s="42" t="s">
        <v>1115</v>
      </c>
      <c r="B1662" s="11">
        <v>16094222</v>
      </c>
      <c r="D1662" s="11">
        <v>20</v>
      </c>
      <c r="E1662">
        <f t="shared" si="362"/>
        <v>20</v>
      </c>
      <c r="H1662">
        <f t="shared" si="365"/>
        <v>20000000</v>
      </c>
      <c r="I1662">
        <f t="shared" si="366"/>
        <v>9600000</v>
      </c>
      <c r="K1662">
        <f t="shared" si="361"/>
        <v>18202269</v>
      </c>
      <c r="M1662">
        <f t="shared" si="359"/>
        <v>16094222</v>
      </c>
      <c r="N1662">
        <f t="shared" si="364"/>
        <v>34296491</v>
      </c>
      <c r="O1662">
        <f t="shared" si="367"/>
        <v>0</v>
      </c>
    </row>
    <row r="1663" ht="13.9" spans="1:15">
      <c r="A1663" s="42" t="s">
        <v>1116</v>
      </c>
      <c r="B1663" s="11">
        <v>18202269</v>
      </c>
      <c r="D1663" s="11">
        <v>32</v>
      </c>
      <c r="E1663">
        <f t="shared" si="362"/>
        <v>32</v>
      </c>
      <c r="H1663">
        <f t="shared" si="365"/>
        <v>32000000</v>
      </c>
      <c r="I1663">
        <f t="shared" si="366"/>
        <v>15360000</v>
      </c>
      <c r="K1663">
        <f t="shared" si="361"/>
        <v>55851214</v>
      </c>
      <c r="M1663">
        <f t="shared" si="359"/>
        <v>18202269</v>
      </c>
      <c r="N1663">
        <f t="shared" si="364"/>
        <v>74053483</v>
      </c>
      <c r="O1663">
        <f t="shared" si="367"/>
        <v>0.436328893250516</v>
      </c>
    </row>
    <row r="1664" ht="13.9" spans="1:15">
      <c r="A1664" s="42" t="s">
        <v>1117</v>
      </c>
      <c r="B1664" s="11">
        <v>16042944</v>
      </c>
      <c r="D1664" s="11">
        <v>25</v>
      </c>
      <c r="E1664">
        <f t="shared" ref="E1664:E1727" si="368">IF(RIGHT(D1664,1)="B",VALUE(LEFT(D1664,LEN(D1664)-1))*1000,D1664)</f>
        <v>25</v>
      </c>
      <c r="H1664">
        <f t="shared" si="365"/>
        <v>25000000</v>
      </c>
      <c r="I1664">
        <f t="shared" si="366"/>
        <v>12000000</v>
      </c>
      <c r="K1664">
        <f t="shared" si="361"/>
        <v>39808270</v>
      </c>
      <c r="M1664">
        <f t="shared" si="359"/>
        <v>16042944</v>
      </c>
      <c r="N1664">
        <f t="shared" si="364"/>
        <v>55851214</v>
      </c>
      <c r="O1664">
        <f t="shared" si="367"/>
        <v>0.27861203508149</v>
      </c>
    </row>
    <row r="1665" ht="13.9" spans="1:15">
      <c r="A1665" s="42" t="s">
        <v>1118</v>
      </c>
      <c r="B1665" s="11">
        <v>17946102</v>
      </c>
      <c r="D1665" s="11">
        <v>20</v>
      </c>
      <c r="E1665">
        <f t="shared" si="368"/>
        <v>20</v>
      </c>
      <c r="H1665">
        <f t="shared" si="365"/>
        <v>20000000</v>
      </c>
      <c r="I1665">
        <f t="shared" si="366"/>
        <v>9600000</v>
      </c>
      <c r="K1665">
        <f t="shared" si="361"/>
        <v>21862168</v>
      </c>
      <c r="M1665">
        <f t="shared" si="359"/>
        <v>17946102</v>
      </c>
      <c r="N1665">
        <f t="shared" si="364"/>
        <v>39808270</v>
      </c>
      <c r="O1665">
        <f t="shared" si="367"/>
        <v>0</v>
      </c>
    </row>
    <row r="1666" ht="13.85" spans="1:15">
      <c r="A1666" s="43">
        <v>40856</v>
      </c>
      <c r="B1666" s="11">
        <v>21862168</v>
      </c>
      <c r="D1666" s="11">
        <v>96</v>
      </c>
      <c r="E1666">
        <f t="shared" si="368"/>
        <v>96</v>
      </c>
      <c r="H1666">
        <f t="shared" si="365"/>
        <v>96000000</v>
      </c>
      <c r="I1666">
        <f t="shared" si="366"/>
        <v>46080000</v>
      </c>
      <c r="K1666">
        <f t="shared" si="361"/>
        <v>145681130</v>
      </c>
      <c r="M1666">
        <f t="shared" si="359"/>
        <v>21862168</v>
      </c>
      <c r="N1666">
        <f t="shared" si="364"/>
        <v>167543298</v>
      </c>
      <c r="O1666">
        <f t="shared" si="367"/>
        <v>0.723349705901833</v>
      </c>
    </row>
    <row r="1667" ht="13.85" spans="1:15">
      <c r="A1667" s="43">
        <v>40733</v>
      </c>
      <c r="B1667" s="11">
        <v>22119315</v>
      </c>
      <c r="D1667" s="11">
        <v>80</v>
      </c>
      <c r="E1667">
        <f t="shared" si="368"/>
        <v>80</v>
      </c>
      <c r="H1667">
        <f t="shared" si="365"/>
        <v>80000000</v>
      </c>
      <c r="I1667">
        <f t="shared" si="366"/>
        <v>38400000</v>
      </c>
      <c r="K1667">
        <f t="shared" si="361"/>
        <v>123561815</v>
      </c>
      <c r="M1667">
        <f t="shared" si="359"/>
        <v>22119315</v>
      </c>
      <c r="N1667">
        <f t="shared" si="364"/>
        <v>145681130</v>
      </c>
      <c r="O1667">
        <f t="shared" si="367"/>
        <v>0.718126371364896</v>
      </c>
    </row>
    <row r="1668" ht="13.85" spans="1:15">
      <c r="A1668" s="43">
        <v>40642</v>
      </c>
      <c r="B1668" s="11">
        <v>19495176</v>
      </c>
      <c r="D1668" s="11">
        <v>66</v>
      </c>
      <c r="E1668">
        <f t="shared" si="368"/>
        <v>66</v>
      </c>
      <c r="H1668">
        <f t="shared" si="365"/>
        <v>66000000</v>
      </c>
      <c r="I1668">
        <f t="shared" si="366"/>
        <v>31680000</v>
      </c>
      <c r="K1668">
        <f t="shared" si="361"/>
        <v>104066639</v>
      </c>
      <c r="M1668">
        <f t="shared" si="359"/>
        <v>19495176</v>
      </c>
      <c r="N1668">
        <f t="shared" si="364"/>
        <v>123561815</v>
      </c>
      <c r="O1668">
        <f t="shared" si="367"/>
        <v>0.667139274971511</v>
      </c>
    </row>
    <row r="1669" ht="13.9" spans="1:15">
      <c r="A1669" s="42" t="s">
        <v>1119</v>
      </c>
      <c r="B1669" s="11">
        <v>19486186</v>
      </c>
      <c r="D1669" s="11">
        <v>53</v>
      </c>
      <c r="E1669">
        <f t="shared" si="368"/>
        <v>53</v>
      </c>
      <c r="H1669">
        <f t="shared" si="365"/>
        <v>53000000</v>
      </c>
      <c r="I1669">
        <f t="shared" si="366"/>
        <v>25440000</v>
      </c>
      <c r="K1669">
        <f t="shared" si="361"/>
        <v>84580453</v>
      </c>
      <c r="M1669">
        <f t="shared" si="359"/>
        <v>19486186</v>
      </c>
      <c r="N1669">
        <f t="shared" si="364"/>
        <v>104066639</v>
      </c>
      <c r="O1669">
        <f t="shared" si="367"/>
        <v>0.717834208054196</v>
      </c>
    </row>
    <row r="1670" ht="13.9" spans="1:15">
      <c r="A1670" s="42" t="s">
        <v>1120</v>
      </c>
      <c r="B1670" s="11">
        <v>16716952</v>
      </c>
      <c r="D1670" s="11">
        <v>41</v>
      </c>
      <c r="E1670">
        <f t="shared" si="368"/>
        <v>41</v>
      </c>
      <c r="H1670">
        <f t="shared" si="365"/>
        <v>41000000</v>
      </c>
      <c r="I1670">
        <f t="shared" si="366"/>
        <v>19680000</v>
      </c>
      <c r="K1670">
        <f t="shared" si="361"/>
        <v>67863501</v>
      </c>
      <c r="M1670">
        <f t="shared" ref="M1670:M1733" si="369">B1670+C1670</f>
        <v>16716952</v>
      </c>
      <c r="N1670">
        <f t="shared" si="364"/>
        <v>84580453</v>
      </c>
      <c r="O1670">
        <f t="shared" si="367"/>
        <v>0.556905246359288</v>
      </c>
    </row>
    <row r="1671" ht="13.9" spans="1:15">
      <c r="A1671" s="42" t="s">
        <v>1121</v>
      </c>
      <c r="B1671" s="11">
        <v>17956376</v>
      </c>
      <c r="D1671" s="11">
        <v>31</v>
      </c>
      <c r="E1671">
        <f t="shared" si="368"/>
        <v>31</v>
      </c>
      <c r="H1671">
        <f t="shared" si="365"/>
        <v>31000000</v>
      </c>
      <c r="I1671">
        <f t="shared" si="366"/>
        <v>14880000</v>
      </c>
      <c r="K1671">
        <f t="shared" si="361"/>
        <v>49907125</v>
      </c>
      <c r="M1671">
        <f t="shared" si="369"/>
        <v>17956376</v>
      </c>
      <c r="N1671">
        <f t="shared" si="364"/>
        <v>67863501</v>
      </c>
      <c r="O1671">
        <f t="shared" si="367"/>
        <v>0.378785583117678</v>
      </c>
    </row>
    <row r="1672" ht="13.9" spans="1:15">
      <c r="A1672" s="42" t="s">
        <v>1122</v>
      </c>
      <c r="B1672" s="11">
        <v>15840096</v>
      </c>
      <c r="D1672" s="11">
        <v>25</v>
      </c>
      <c r="E1672">
        <f t="shared" si="368"/>
        <v>25</v>
      </c>
      <c r="H1672">
        <f t="shared" si="365"/>
        <v>25000000</v>
      </c>
      <c r="I1672">
        <f t="shared" si="366"/>
        <v>12000000</v>
      </c>
      <c r="K1672">
        <f t="shared" si="361"/>
        <v>34067029</v>
      </c>
      <c r="M1672">
        <f t="shared" si="369"/>
        <v>15840096</v>
      </c>
      <c r="N1672">
        <f t="shared" si="364"/>
        <v>49907125</v>
      </c>
      <c r="O1672">
        <f t="shared" si="367"/>
        <v>0.287963992060948</v>
      </c>
    </row>
    <row r="1673" ht="13.9" spans="1:15">
      <c r="A1673" s="42" t="s">
        <v>1123</v>
      </c>
      <c r="B1673" s="11">
        <v>17363282</v>
      </c>
      <c r="D1673" s="11">
        <v>20</v>
      </c>
      <c r="E1673">
        <f t="shared" si="368"/>
        <v>20</v>
      </c>
      <c r="H1673">
        <f t="shared" si="365"/>
        <v>20000000</v>
      </c>
      <c r="I1673">
        <f t="shared" si="366"/>
        <v>9600000</v>
      </c>
      <c r="K1673">
        <f t="shared" si="361"/>
        <v>16703747</v>
      </c>
      <c r="M1673">
        <f t="shared" si="369"/>
        <v>17363282</v>
      </c>
      <c r="N1673">
        <f t="shared" si="364"/>
        <v>34067029</v>
      </c>
      <c r="O1673">
        <f t="shared" si="367"/>
        <v>0</v>
      </c>
    </row>
    <row r="1674" ht="13.9" spans="1:15">
      <c r="A1674" s="42" t="s">
        <v>1124</v>
      </c>
      <c r="B1674" s="11">
        <v>16703747</v>
      </c>
      <c r="D1674" s="11">
        <v>30</v>
      </c>
      <c r="E1674">
        <f t="shared" si="368"/>
        <v>30</v>
      </c>
      <c r="H1674">
        <f t="shared" si="365"/>
        <v>30000000</v>
      </c>
      <c r="I1674">
        <f t="shared" si="366"/>
        <v>14400000</v>
      </c>
      <c r="K1674">
        <f t="shared" si="361"/>
        <v>75394985</v>
      </c>
      <c r="M1674">
        <f t="shared" si="369"/>
        <v>16703747</v>
      </c>
      <c r="N1674">
        <f t="shared" si="364"/>
        <v>92098732</v>
      </c>
      <c r="O1674">
        <f t="shared" si="367"/>
        <v>0.272961672359737</v>
      </c>
    </row>
    <row r="1675" ht="13.85" spans="1:15">
      <c r="A1675" s="43">
        <v>40460</v>
      </c>
      <c r="B1675" s="11">
        <v>18317590</v>
      </c>
      <c r="D1675" s="11">
        <v>25</v>
      </c>
      <c r="E1675">
        <f t="shared" si="368"/>
        <v>25</v>
      </c>
      <c r="H1675">
        <f t="shared" si="365"/>
        <v>25000000</v>
      </c>
      <c r="I1675">
        <f t="shared" si="366"/>
        <v>12000000</v>
      </c>
      <c r="K1675">
        <f t="shared" si="361"/>
        <v>57077395</v>
      </c>
      <c r="M1675">
        <f t="shared" si="369"/>
        <v>18317590</v>
      </c>
      <c r="N1675">
        <f t="shared" si="364"/>
        <v>75394985</v>
      </c>
      <c r="O1675">
        <f t="shared" si="367"/>
        <v>0.29215732297881</v>
      </c>
    </row>
    <row r="1676" ht="13.85" spans="1:15">
      <c r="A1676" s="43">
        <v>40368</v>
      </c>
      <c r="B1676" s="11">
        <v>17114067</v>
      </c>
      <c r="D1676" s="11">
        <v>20</v>
      </c>
      <c r="E1676">
        <f t="shared" si="368"/>
        <v>20</v>
      </c>
      <c r="H1676">
        <f t="shared" si="365"/>
        <v>20000000</v>
      </c>
      <c r="I1676">
        <f t="shared" si="366"/>
        <v>9600000</v>
      </c>
      <c r="K1676">
        <f t="shared" si="361"/>
        <v>39963328</v>
      </c>
      <c r="M1676">
        <f t="shared" si="369"/>
        <v>17114067</v>
      </c>
      <c r="N1676">
        <f t="shared" si="364"/>
        <v>57077395</v>
      </c>
      <c r="O1676">
        <f t="shared" si="367"/>
        <v>0</v>
      </c>
    </row>
    <row r="1677" ht="13.85" spans="1:15">
      <c r="A1677" s="43">
        <v>40246</v>
      </c>
      <c r="B1677" s="11">
        <v>39963328</v>
      </c>
      <c r="D1677" s="11">
        <v>189</v>
      </c>
      <c r="E1677">
        <f t="shared" si="368"/>
        <v>189</v>
      </c>
      <c r="H1677">
        <f t="shared" si="365"/>
        <v>189000000</v>
      </c>
      <c r="I1677">
        <f t="shared" si="366"/>
        <v>90720000</v>
      </c>
      <c r="K1677">
        <f t="shared" si="361"/>
        <v>345784873</v>
      </c>
      <c r="M1677">
        <f t="shared" si="369"/>
        <v>39963328</v>
      </c>
      <c r="N1677">
        <f t="shared" si="364"/>
        <v>385748201</v>
      </c>
      <c r="O1677">
        <f t="shared" si="367"/>
        <v>0.57404748828996</v>
      </c>
    </row>
    <row r="1678" ht="13.9" spans="1:15">
      <c r="A1678" s="42" t="s">
        <v>1125</v>
      </c>
      <c r="B1678" s="11">
        <v>33098307</v>
      </c>
      <c r="D1678" s="11">
        <v>170</v>
      </c>
      <c r="E1678">
        <f t="shared" si="368"/>
        <v>170</v>
      </c>
      <c r="H1678">
        <f t="shared" si="365"/>
        <v>170000000</v>
      </c>
      <c r="I1678">
        <f t="shared" si="366"/>
        <v>81600000</v>
      </c>
      <c r="K1678">
        <f t="shared" si="361"/>
        <v>312686566</v>
      </c>
      <c r="M1678">
        <f t="shared" si="369"/>
        <v>33098307</v>
      </c>
      <c r="N1678">
        <f t="shared" si="364"/>
        <v>345784873</v>
      </c>
      <c r="O1678">
        <f t="shared" si="367"/>
        <v>0.632610201883312</v>
      </c>
    </row>
    <row r="1679" ht="13.9" spans="1:15">
      <c r="A1679" s="42" t="s">
        <v>1126</v>
      </c>
      <c r="B1679" s="11">
        <v>31615045</v>
      </c>
      <c r="D1679" s="11">
        <v>150</v>
      </c>
      <c r="E1679">
        <f t="shared" si="368"/>
        <v>150</v>
      </c>
      <c r="H1679">
        <f t="shared" ref="H1679:H1742" si="370">E1679*1000000</f>
        <v>150000000</v>
      </c>
      <c r="I1679">
        <f t="shared" si="366"/>
        <v>72000000</v>
      </c>
      <c r="K1679">
        <f t="shared" si="361"/>
        <v>281071521</v>
      </c>
      <c r="M1679">
        <f t="shared" si="369"/>
        <v>31615045</v>
      </c>
      <c r="N1679">
        <f t="shared" si="364"/>
        <v>312686566</v>
      </c>
      <c r="O1679">
        <f t="shared" si="367"/>
        <v>0.760303992707454</v>
      </c>
    </row>
    <row r="1680" ht="13.9" spans="1:15">
      <c r="A1680" s="42" t="s">
        <v>1127</v>
      </c>
      <c r="B1680" s="11">
        <v>27620531</v>
      </c>
      <c r="D1680" s="11">
        <v>129</v>
      </c>
      <c r="E1680">
        <f t="shared" si="368"/>
        <v>129</v>
      </c>
      <c r="H1680">
        <f t="shared" si="370"/>
        <v>129000000</v>
      </c>
      <c r="I1680">
        <f t="shared" si="366"/>
        <v>61920000</v>
      </c>
      <c r="K1680">
        <f t="shared" si="361"/>
        <v>253450990</v>
      </c>
      <c r="M1680">
        <f t="shared" si="369"/>
        <v>27620531</v>
      </c>
      <c r="N1680">
        <f t="shared" si="364"/>
        <v>281071521</v>
      </c>
      <c r="O1680">
        <f t="shared" si="367"/>
        <v>0.652592636340469</v>
      </c>
    </row>
    <row r="1681" ht="13.9" spans="1:15">
      <c r="A1681" s="42" t="s">
        <v>1128</v>
      </c>
      <c r="B1681" s="11">
        <v>27582291</v>
      </c>
      <c r="D1681" s="11">
        <v>111</v>
      </c>
      <c r="E1681">
        <f t="shared" si="368"/>
        <v>111</v>
      </c>
      <c r="H1681">
        <f t="shared" si="370"/>
        <v>111000000</v>
      </c>
      <c r="I1681">
        <f t="shared" si="366"/>
        <v>53280000</v>
      </c>
      <c r="K1681">
        <f t="shared" ref="K1681:K1744" si="371">IF(E1681&gt;E1682,B1682+K1682,B1682)</f>
        <v>225868699</v>
      </c>
      <c r="M1681">
        <f t="shared" si="369"/>
        <v>27582291</v>
      </c>
      <c r="N1681">
        <f t="shared" si="364"/>
        <v>253450990</v>
      </c>
      <c r="O1681">
        <f t="shared" si="367"/>
        <v>0.709025347611863</v>
      </c>
    </row>
    <row r="1682" ht="13.9" spans="1:15">
      <c r="A1682" s="42" t="s">
        <v>1129</v>
      </c>
      <c r="B1682" s="11">
        <v>22566189</v>
      </c>
      <c r="D1682" s="11">
        <v>95</v>
      </c>
      <c r="E1682">
        <f t="shared" si="368"/>
        <v>95</v>
      </c>
      <c r="H1682">
        <f t="shared" si="370"/>
        <v>95000000</v>
      </c>
      <c r="I1682">
        <f t="shared" si="366"/>
        <v>45600000</v>
      </c>
      <c r="K1682">
        <f t="shared" si="371"/>
        <v>203302510</v>
      </c>
      <c r="M1682">
        <f t="shared" si="369"/>
        <v>22566189</v>
      </c>
      <c r="N1682">
        <f t="shared" si="364"/>
        <v>225868699</v>
      </c>
      <c r="O1682">
        <f t="shared" ref="O1682:O1713" si="372">IF(H1682&gt;H1683,(H1682-H1683)/M1683,0)</f>
        <v>0.620444249605253</v>
      </c>
    </row>
    <row r="1683" ht="13.85" spans="1:15">
      <c r="A1683" s="43">
        <v>40156</v>
      </c>
      <c r="B1683" s="11">
        <v>22564477</v>
      </c>
      <c r="D1683" s="11">
        <v>81</v>
      </c>
      <c r="E1683">
        <f t="shared" si="368"/>
        <v>81</v>
      </c>
      <c r="H1683">
        <f t="shared" si="370"/>
        <v>81000000</v>
      </c>
      <c r="I1683">
        <f t="shared" si="366"/>
        <v>38880000</v>
      </c>
      <c r="K1683">
        <f t="shared" si="371"/>
        <v>180738033</v>
      </c>
      <c r="M1683">
        <f t="shared" si="369"/>
        <v>22564477</v>
      </c>
      <c r="N1683">
        <f t="shared" si="364"/>
        <v>203302510</v>
      </c>
      <c r="O1683">
        <f t="shared" si="372"/>
        <v>0.698924669449818</v>
      </c>
    </row>
    <row r="1684" ht="13.85" spans="1:15">
      <c r="A1684" s="43">
        <v>40065</v>
      </c>
      <c r="B1684" s="11">
        <v>20030771</v>
      </c>
      <c r="D1684" s="11">
        <v>67</v>
      </c>
      <c r="E1684">
        <f t="shared" si="368"/>
        <v>67</v>
      </c>
      <c r="H1684">
        <f t="shared" si="370"/>
        <v>67000000</v>
      </c>
      <c r="I1684">
        <f t="shared" si="366"/>
        <v>32160000</v>
      </c>
      <c r="K1684">
        <f t="shared" si="371"/>
        <v>160707262</v>
      </c>
      <c r="M1684">
        <f t="shared" si="369"/>
        <v>20030771</v>
      </c>
      <c r="N1684">
        <f t="shared" si="364"/>
        <v>180738033</v>
      </c>
      <c r="O1684">
        <f t="shared" si="372"/>
        <v>0.472305159008144</v>
      </c>
    </row>
    <row r="1685" ht="13.85" spans="1:15">
      <c r="A1685" s="43">
        <v>39942</v>
      </c>
      <c r="B1685" s="11">
        <v>21172752</v>
      </c>
      <c r="D1685" s="11">
        <v>57</v>
      </c>
      <c r="E1685">
        <f t="shared" si="368"/>
        <v>57</v>
      </c>
      <c r="H1685">
        <f t="shared" si="370"/>
        <v>57000000</v>
      </c>
      <c r="I1685">
        <f t="shared" si="366"/>
        <v>27360000</v>
      </c>
      <c r="K1685">
        <f t="shared" si="371"/>
        <v>139534510</v>
      </c>
      <c r="M1685">
        <f t="shared" si="369"/>
        <v>21172752</v>
      </c>
      <c r="N1685">
        <f t="shared" si="364"/>
        <v>160707262</v>
      </c>
      <c r="O1685">
        <f t="shared" si="372"/>
        <v>0.653393592920437</v>
      </c>
    </row>
    <row r="1686" ht="13.85" spans="1:15">
      <c r="A1686" s="43">
        <v>39853</v>
      </c>
      <c r="B1686" s="11">
        <v>18365653</v>
      </c>
      <c r="D1686" s="11">
        <v>45</v>
      </c>
      <c r="E1686">
        <f t="shared" si="368"/>
        <v>45</v>
      </c>
      <c r="H1686">
        <f t="shared" si="370"/>
        <v>45000000</v>
      </c>
      <c r="I1686">
        <f t="shared" si="366"/>
        <v>21600000</v>
      </c>
      <c r="K1686">
        <f t="shared" si="371"/>
        <v>121168857</v>
      </c>
      <c r="M1686">
        <f t="shared" si="369"/>
        <v>18365653</v>
      </c>
      <c r="N1686">
        <f t="shared" si="364"/>
        <v>139534510</v>
      </c>
      <c r="O1686">
        <f t="shared" si="372"/>
        <v>0.629379431880166</v>
      </c>
    </row>
    <row r="1687" ht="13.9" spans="1:15">
      <c r="A1687" s="42" t="s">
        <v>1130</v>
      </c>
      <c r="B1687" s="11">
        <v>19066400</v>
      </c>
      <c r="D1687" s="11">
        <v>33</v>
      </c>
      <c r="E1687">
        <f t="shared" si="368"/>
        <v>33</v>
      </c>
      <c r="H1687">
        <f t="shared" si="370"/>
        <v>33000000</v>
      </c>
      <c r="I1687">
        <f t="shared" si="366"/>
        <v>15840000</v>
      </c>
      <c r="K1687">
        <f t="shared" si="371"/>
        <v>102102457</v>
      </c>
      <c r="M1687">
        <f t="shared" si="369"/>
        <v>19066400</v>
      </c>
      <c r="N1687">
        <f t="shared" si="364"/>
        <v>121168857</v>
      </c>
      <c r="O1687">
        <f t="shared" si="372"/>
        <v>0.476484336560185</v>
      </c>
    </row>
    <row r="1688" ht="13.9" spans="1:15">
      <c r="A1688" s="42" t="s">
        <v>1131</v>
      </c>
      <c r="B1688" s="11">
        <v>16789639</v>
      </c>
      <c r="D1688" s="11">
        <v>25</v>
      </c>
      <c r="E1688">
        <f t="shared" si="368"/>
        <v>25</v>
      </c>
      <c r="H1688">
        <f t="shared" si="370"/>
        <v>25000000</v>
      </c>
      <c r="I1688">
        <f t="shared" si="366"/>
        <v>12000000</v>
      </c>
      <c r="K1688">
        <f t="shared" si="371"/>
        <v>85312818</v>
      </c>
      <c r="M1688">
        <f t="shared" si="369"/>
        <v>16789639</v>
      </c>
      <c r="N1688">
        <f t="shared" si="364"/>
        <v>102102457</v>
      </c>
      <c r="O1688">
        <f t="shared" si="372"/>
        <v>0.256802809135113</v>
      </c>
    </row>
    <row r="1689" ht="13.9" spans="1:15">
      <c r="A1689" s="42" t="s">
        <v>1132</v>
      </c>
      <c r="B1689" s="11">
        <v>19470192</v>
      </c>
      <c r="D1689" s="11">
        <v>20</v>
      </c>
      <c r="E1689">
        <f t="shared" si="368"/>
        <v>20</v>
      </c>
      <c r="H1689">
        <f t="shared" si="370"/>
        <v>20000000</v>
      </c>
      <c r="I1689">
        <f t="shared" si="366"/>
        <v>9600000</v>
      </c>
      <c r="K1689">
        <f t="shared" si="371"/>
        <v>65842626</v>
      </c>
      <c r="M1689">
        <f t="shared" si="369"/>
        <v>19470192</v>
      </c>
      <c r="N1689">
        <f t="shared" si="364"/>
        <v>85312818</v>
      </c>
      <c r="O1689">
        <f t="shared" si="372"/>
        <v>0</v>
      </c>
    </row>
    <row r="1690" ht="13.9" spans="1:15">
      <c r="A1690" s="42" t="s">
        <v>1133</v>
      </c>
      <c r="B1690" s="11">
        <v>65842626</v>
      </c>
      <c r="D1690" s="11">
        <v>250</v>
      </c>
      <c r="E1690">
        <f t="shared" si="368"/>
        <v>250</v>
      </c>
      <c r="H1690">
        <f t="shared" si="370"/>
        <v>250000000</v>
      </c>
      <c r="I1690">
        <f t="shared" si="366"/>
        <v>120000000</v>
      </c>
      <c r="K1690">
        <f t="shared" si="371"/>
        <v>362630822</v>
      </c>
      <c r="M1690">
        <f t="shared" si="369"/>
        <v>65842626</v>
      </c>
      <c r="N1690">
        <f t="shared" si="364"/>
        <v>428473448</v>
      </c>
      <c r="O1690">
        <f t="shared" si="372"/>
        <v>0.747287050103153</v>
      </c>
    </row>
    <row r="1691" ht="13.9" spans="1:15">
      <c r="A1691" s="42" t="s">
        <v>1134</v>
      </c>
      <c r="B1691" s="11">
        <v>49512433</v>
      </c>
      <c r="D1691" s="11">
        <v>213</v>
      </c>
      <c r="E1691">
        <f t="shared" si="368"/>
        <v>213</v>
      </c>
      <c r="H1691">
        <f t="shared" si="370"/>
        <v>213000000</v>
      </c>
      <c r="I1691">
        <f t="shared" si="366"/>
        <v>102240000</v>
      </c>
      <c r="K1691">
        <f t="shared" si="371"/>
        <v>313118389</v>
      </c>
      <c r="M1691">
        <f t="shared" si="369"/>
        <v>49512433</v>
      </c>
      <c r="N1691">
        <f t="shared" si="364"/>
        <v>362630822</v>
      </c>
      <c r="O1691">
        <f t="shared" si="372"/>
        <v>0.721908745975258</v>
      </c>
    </row>
    <row r="1692" ht="13.85" spans="1:15">
      <c r="A1692" s="43">
        <v>39791</v>
      </c>
      <c r="B1692" s="11">
        <v>37400849</v>
      </c>
      <c r="D1692" s="11">
        <v>186</v>
      </c>
      <c r="E1692">
        <f t="shared" si="368"/>
        <v>186</v>
      </c>
      <c r="H1692">
        <f t="shared" si="370"/>
        <v>186000000</v>
      </c>
      <c r="I1692">
        <f t="shared" si="366"/>
        <v>89280000</v>
      </c>
      <c r="K1692">
        <f t="shared" si="371"/>
        <v>275717540</v>
      </c>
      <c r="M1692">
        <f t="shared" si="369"/>
        <v>37400849</v>
      </c>
      <c r="N1692">
        <f t="shared" si="364"/>
        <v>313118389</v>
      </c>
      <c r="O1692">
        <f t="shared" si="372"/>
        <v>0.735915901650197</v>
      </c>
    </row>
    <row r="1693" ht="13.85" spans="1:15">
      <c r="A1693" s="43">
        <v>39669</v>
      </c>
      <c r="B1693" s="11">
        <v>33971273</v>
      </c>
      <c r="D1693" s="11">
        <v>161</v>
      </c>
      <c r="E1693">
        <f t="shared" si="368"/>
        <v>161</v>
      </c>
      <c r="H1693">
        <f t="shared" si="370"/>
        <v>161000000</v>
      </c>
      <c r="I1693">
        <f t="shared" si="366"/>
        <v>77280000</v>
      </c>
      <c r="K1693">
        <f t="shared" si="371"/>
        <v>241746267</v>
      </c>
      <c r="M1693">
        <f t="shared" si="369"/>
        <v>33971273</v>
      </c>
      <c r="N1693">
        <f t="shared" si="364"/>
        <v>275717540</v>
      </c>
      <c r="O1693">
        <f t="shared" si="372"/>
        <v>0.796652038634299</v>
      </c>
    </row>
    <row r="1694" ht="13.85" spans="1:15">
      <c r="A1694" s="43">
        <v>39577</v>
      </c>
      <c r="B1694" s="11">
        <v>28870823</v>
      </c>
      <c r="D1694" s="11">
        <v>138</v>
      </c>
      <c r="E1694">
        <f t="shared" si="368"/>
        <v>138</v>
      </c>
      <c r="H1694">
        <f t="shared" si="370"/>
        <v>138000000</v>
      </c>
      <c r="I1694">
        <f t="shared" si="366"/>
        <v>66240000</v>
      </c>
      <c r="K1694">
        <f t="shared" si="371"/>
        <v>212875444</v>
      </c>
      <c r="M1694">
        <f t="shared" si="369"/>
        <v>28870823</v>
      </c>
      <c r="N1694">
        <f t="shared" si="364"/>
        <v>241746267</v>
      </c>
      <c r="O1694">
        <f t="shared" si="372"/>
        <v>0.642045688827278</v>
      </c>
    </row>
    <row r="1695" ht="13.85" spans="1:15">
      <c r="A1695" s="43">
        <v>39456</v>
      </c>
      <c r="B1695" s="11">
        <v>28035388</v>
      </c>
      <c r="D1695" s="11">
        <v>120</v>
      </c>
      <c r="E1695">
        <f t="shared" si="368"/>
        <v>120</v>
      </c>
      <c r="H1695">
        <f t="shared" si="370"/>
        <v>120000000</v>
      </c>
      <c r="I1695">
        <f t="shared" si="366"/>
        <v>57600000</v>
      </c>
      <c r="K1695">
        <f t="shared" si="371"/>
        <v>184840056</v>
      </c>
      <c r="M1695">
        <f t="shared" si="369"/>
        <v>28035388</v>
      </c>
      <c r="N1695">
        <f t="shared" ref="N1695:N1758" si="373">IF(H1695&lt;H1696,M1695+M1696,M1695+N1696)</f>
        <v>212875444</v>
      </c>
      <c r="O1695">
        <f t="shared" si="372"/>
        <v>0.749385191898813</v>
      </c>
    </row>
    <row r="1696" ht="13.9" spans="1:15">
      <c r="A1696" s="42" t="s">
        <v>1135</v>
      </c>
      <c r="B1696" s="11">
        <v>24019690</v>
      </c>
      <c r="D1696" s="11">
        <v>102</v>
      </c>
      <c r="E1696">
        <f t="shared" si="368"/>
        <v>102</v>
      </c>
      <c r="H1696">
        <f t="shared" si="370"/>
        <v>102000000</v>
      </c>
      <c r="I1696">
        <f t="shared" si="366"/>
        <v>48960000</v>
      </c>
      <c r="K1696">
        <f t="shared" si="371"/>
        <v>160820366</v>
      </c>
      <c r="M1696">
        <f t="shared" si="369"/>
        <v>24019690</v>
      </c>
      <c r="N1696">
        <f t="shared" si="373"/>
        <v>184840056</v>
      </c>
      <c r="O1696">
        <f t="shared" si="372"/>
        <v>0.639735683149517</v>
      </c>
    </row>
    <row r="1697" ht="13.9" spans="1:15">
      <c r="A1697" s="42" t="s">
        <v>1136</v>
      </c>
      <c r="B1697" s="11">
        <v>21884038</v>
      </c>
      <c r="D1697" s="11">
        <v>88</v>
      </c>
      <c r="E1697">
        <f t="shared" si="368"/>
        <v>88</v>
      </c>
      <c r="H1697">
        <f t="shared" si="370"/>
        <v>88000000</v>
      </c>
      <c r="I1697">
        <f t="shared" si="366"/>
        <v>42240000</v>
      </c>
      <c r="K1697">
        <f t="shared" si="371"/>
        <v>138936328</v>
      </c>
      <c r="M1697">
        <f t="shared" si="369"/>
        <v>21884038</v>
      </c>
      <c r="N1697">
        <f t="shared" si="373"/>
        <v>160820366</v>
      </c>
      <c r="O1697">
        <f t="shared" si="372"/>
        <v>0.736689804339398</v>
      </c>
    </row>
    <row r="1698" ht="13.9" spans="1:15">
      <c r="A1698" s="42" t="s">
        <v>1137</v>
      </c>
      <c r="B1698" s="11">
        <v>19003928</v>
      </c>
      <c r="D1698" s="11">
        <v>74</v>
      </c>
      <c r="E1698">
        <f t="shared" si="368"/>
        <v>74</v>
      </c>
      <c r="H1698">
        <f t="shared" si="370"/>
        <v>74000000</v>
      </c>
      <c r="I1698">
        <f t="shared" si="366"/>
        <v>35520000</v>
      </c>
      <c r="K1698">
        <f t="shared" si="371"/>
        <v>119932400</v>
      </c>
      <c r="M1698">
        <f t="shared" si="369"/>
        <v>19003928</v>
      </c>
      <c r="N1698">
        <f t="shared" si="373"/>
        <v>138936328</v>
      </c>
      <c r="O1698">
        <f t="shared" si="372"/>
        <v>0.654376766282442</v>
      </c>
    </row>
    <row r="1699" ht="13.9" spans="1:15">
      <c r="A1699" s="42" t="s">
        <v>1138</v>
      </c>
      <c r="B1699" s="11">
        <v>19866231</v>
      </c>
      <c r="D1699" s="11">
        <v>61</v>
      </c>
      <c r="E1699">
        <f t="shared" si="368"/>
        <v>61</v>
      </c>
      <c r="H1699">
        <f t="shared" si="370"/>
        <v>61000000</v>
      </c>
      <c r="I1699">
        <f t="shared" si="366"/>
        <v>29280000</v>
      </c>
      <c r="K1699">
        <f t="shared" si="371"/>
        <v>100066169</v>
      </c>
      <c r="M1699">
        <f t="shared" si="369"/>
        <v>19866231</v>
      </c>
      <c r="N1699">
        <f t="shared" si="373"/>
        <v>119932400</v>
      </c>
      <c r="O1699">
        <f t="shared" si="372"/>
        <v>0.700791637593547</v>
      </c>
    </row>
    <row r="1700" ht="13.9" spans="1:15">
      <c r="A1700" s="42" t="s">
        <v>1139</v>
      </c>
      <c r="B1700" s="11">
        <v>17123492</v>
      </c>
      <c r="D1700" s="11">
        <v>49</v>
      </c>
      <c r="E1700">
        <f t="shared" si="368"/>
        <v>49</v>
      </c>
      <c r="H1700">
        <f t="shared" si="370"/>
        <v>49000000</v>
      </c>
      <c r="I1700">
        <f t="shared" si="366"/>
        <v>23520000</v>
      </c>
      <c r="K1700">
        <f t="shared" si="371"/>
        <v>82942677</v>
      </c>
      <c r="M1700">
        <f t="shared" si="369"/>
        <v>17123492</v>
      </c>
      <c r="N1700">
        <f t="shared" si="373"/>
        <v>100066169</v>
      </c>
      <c r="O1700">
        <f t="shared" si="372"/>
        <v>0.611937668919135</v>
      </c>
    </row>
    <row r="1701" ht="13.85" spans="1:15">
      <c r="A1701" s="43">
        <v>39395</v>
      </c>
      <c r="B1701" s="11">
        <v>17975687</v>
      </c>
      <c r="D1701" s="11">
        <v>38</v>
      </c>
      <c r="E1701">
        <f t="shared" si="368"/>
        <v>38</v>
      </c>
      <c r="H1701">
        <f t="shared" si="370"/>
        <v>38000000</v>
      </c>
      <c r="I1701">
        <f t="shared" si="366"/>
        <v>18240000</v>
      </c>
      <c r="K1701">
        <f t="shared" si="371"/>
        <v>64966990</v>
      </c>
      <c r="M1701">
        <f t="shared" si="369"/>
        <v>17975687</v>
      </c>
      <c r="N1701">
        <f t="shared" si="373"/>
        <v>82942677</v>
      </c>
      <c r="O1701">
        <f t="shared" si="372"/>
        <v>0.503378709358383</v>
      </c>
    </row>
    <row r="1702" ht="13.85" spans="1:15">
      <c r="A1702" s="43">
        <v>39303</v>
      </c>
      <c r="B1702" s="11">
        <v>15892607</v>
      </c>
      <c r="D1702" s="11">
        <v>30</v>
      </c>
      <c r="E1702">
        <f t="shared" si="368"/>
        <v>30</v>
      </c>
      <c r="H1702">
        <f t="shared" si="370"/>
        <v>30000000</v>
      </c>
      <c r="I1702">
        <f t="shared" si="366"/>
        <v>14400000</v>
      </c>
      <c r="K1702">
        <f t="shared" si="371"/>
        <v>49074383</v>
      </c>
      <c r="M1702">
        <f t="shared" si="369"/>
        <v>15892607</v>
      </c>
      <c r="N1702">
        <f t="shared" si="373"/>
        <v>64966990</v>
      </c>
      <c r="O1702">
        <f t="shared" si="372"/>
        <v>0.299897177253807</v>
      </c>
    </row>
    <row r="1703" ht="13.85" spans="1:15">
      <c r="A1703" s="43">
        <v>39181</v>
      </c>
      <c r="B1703" s="11">
        <v>16672381</v>
      </c>
      <c r="D1703" s="11">
        <v>25</v>
      </c>
      <c r="E1703">
        <f t="shared" si="368"/>
        <v>25</v>
      </c>
      <c r="H1703">
        <f t="shared" si="370"/>
        <v>25000000</v>
      </c>
      <c r="I1703">
        <f t="shared" si="366"/>
        <v>12000000</v>
      </c>
      <c r="K1703">
        <f t="shared" si="371"/>
        <v>32402002</v>
      </c>
      <c r="M1703">
        <f t="shared" si="369"/>
        <v>16672381</v>
      </c>
      <c r="N1703">
        <f t="shared" si="373"/>
        <v>49074383</v>
      </c>
      <c r="O1703">
        <f t="shared" si="372"/>
        <v>0.327934503871496</v>
      </c>
    </row>
    <row r="1704" ht="13.85" spans="1:15">
      <c r="A1704" s="43">
        <v>39091</v>
      </c>
      <c r="B1704" s="11">
        <v>15246947</v>
      </c>
      <c r="D1704" s="11">
        <v>20</v>
      </c>
      <c r="E1704">
        <f t="shared" si="368"/>
        <v>20</v>
      </c>
      <c r="H1704">
        <f t="shared" si="370"/>
        <v>20000000</v>
      </c>
      <c r="I1704">
        <f t="shared" si="366"/>
        <v>9600000</v>
      </c>
      <c r="K1704">
        <f t="shared" si="371"/>
        <v>17155055</v>
      </c>
      <c r="M1704">
        <f t="shared" si="369"/>
        <v>15246947</v>
      </c>
      <c r="N1704">
        <f t="shared" si="373"/>
        <v>32402002</v>
      </c>
      <c r="O1704">
        <f t="shared" si="372"/>
        <v>0</v>
      </c>
    </row>
    <row r="1705" ht="13.9" spans="1:15">
      <c r="A1705" s="42" t="s">
        <v>1140</v>
      </c>
      <c r="B1705" s="11">
        <v>17155055</v>
      </c>
      <c r="D1705" s="11">
        <v>25</v>
      </c>
      <c r="E1705">
        <f t="shared" si="368"/>
        <v>25</v>
      </c>
      <c r="H1705">
        <f t="shared" si="370"/>
        <v>25000000</v>
      </c>
      <c r="I1705">
        <f t="shared" si="366"/>
        <v>12000000</v>
      </c>
      <c r="K1705">
        <f t="shared" si="371"/>
        <v>37855624</v>
      </c>
      <c r="M1705">
        <f t="shared" si="369"/>
        <v>17155055</v>
      </c>
      <c r="N1705">
        <f t="shared" si="373"/>
        <v>55010679</v>
      </c>
      <c r="O1705">
        <f t="shared" si="372"/>
        <v>0.321222495725332</v>
      </c>
    </row>
    <row r="1706" ht="13.9" spans="1:15">
      <c r="A1706" s="42" t="s">
        <v>1141</v>
      </c>
      <c r="B1706" s="11">
        <v>15565535</v>
      </c>
      <c r="D1706" s="11">
        <v>20</v>
      </c>
      <c r="E1706">
        <f t="shared" si="368"/>
        <v>20</v>
      </c>
      <c r="H1706">
        <f t="shared" si="370"/>
        <v>20000000</v>
      </c>
      <c r="I1706">
        <f t="shared" si="366"/>
        <v>9600000</v>
      </c>
      <c r="K1706">
        <f t="shared" si="371"/>
        <v>22290089</v>
      </c>
      <c r="M1706">
        <f t="shared" si="369"/>
        <v>15565535</v>
      </c>
      <c r="N1706">
        <f t="shared" si="373"/>
        <v>37855624</v>
      </c>
      <c r="O1706">
        <f t="shared" si="372"/>
        <v>0</v>
      </c>
    </row>
    <row r="1707" ht="13.9" spans="1:15">
      <c r="A1707" s="42" t="s">
        <v>1142</v>
      </c>
      <c r="B1707" s="11">
        <v>22290089</v>
      </c>
      <c r="D1707" s="11">
        <v>86</v>
      </c>
      <c r="E1707">
        <f t="shared" si="368"/>
        <v>86</v>
      </c>
      <c r="H1707">
        <f t="shared" si="370"/>
        <v>86000000</v>
      </c>
      <c r="I1707">
        <f t="shared" si="366"/>
        <v>41280000</v>
      </c>
      <c r="K1707">
        <f t="shared" si="371"/>
        <v>164569929</v>
      </c>
      <c r="M1707">
        <f t="shared" si="369"/>
        <v>22290089</v>
      </c>
      <c r="N1707">
        <f t="shared" si="373"/>
        <v>186860018</v>
      </c>
      <c r="O1707">
        <f t="shared" si="372"/>
        <v>0.711323270615622</v>
      </c>
    </row>
    <row r="1708" ht="13.9" spans="1:15">
      <c r="A1708" s="42" t="s">
        <v>1143</v>
      </c>
      <c r="B1708" s="11">
        <v>19681628</v>
      </c>
      <c r="D1708" s="11">
        <v>72</v>
      </c>
      <c r="E1708">
        <f t="shared" si="368"/>
        <v>72</v>
      </c>
      <c r="H1708">
        <f t="shared" si="370"/>
        <v>72000000</v>
      </c>
      <c r="I1708">
        <f t="shared" si="366"/>
        <v>34560000</v>
      </c>
      <c r="K1708">
        <f t="shared" si="371"/>
        <v>144888301</v>
      </c>
      <c r="M1708">
        <f t="shared" si="369"/>
        <v>19681628</v>
      </c>
      <c r="N1708">
        <f t="shared" si="373"/>
        <v>164569929</v>
      </c>
      <c r="O1708">
        <f t="shared" si="372"/>
        <v>0.646133055197904</v>
      </c>
    </row>
    <row r="1709" ht="13.9" spans="1:15">
      <c r="A1709" s="42" t="s">
        <v>1144</v>
      </c>
      <c r="B1709" s="11">
        <v>20119695</v>
      </c>
      <c r="D1709" s="11">
        <v>59</v>
      </c>
      <c r="E1709">
        <f t="shared" si="368"/>
        <v>59</v>
      </c>
      <c r="H1709">
        <f t="shared" si="370"/>
        <v>59000000</v>
      </c>
      <c r="I1709">
        <f t="shared" si="366"/>
        <v>28320000</v>
      </c>
      <c r="K1709">
        <f t="shared" si="371"/>
        <v>124768606</v>
      </c>
      <c r="M1709">
        <f t="shared" si="369"/>
        <v>20119695</v>
      </c>
      <c r="N1709">
        <f t="shared" si="373"/>
        <v>144888301</v>
      </c>
      <c r="O1709">
        <f t="shared" si="372"/>
        <v>0.781690617015763</v>
      </c>
    </row>
    <row r="1710" ht="13.85" spans="1:15">
      <c r="A1710" s="43">
        <v>38999</v>
      </c>
      <c r="B1710" s="11">
        <v>17909899</v>
      </c>
      <c r="D1710" s="11">
        <v>45</v>
      </c>
      <c r="E1710">
        <f t="shared" si="368"/>
        <v>45</v>
      </c>
      <c r="H1710">
        <f t="shared" si="370"/>
        <v>45000000</v>
      </c>
      <c r="I1710">
        <f t="shared" si="366"/>
        <v>21600000</v>
      </c>
      <c r="K1710">
        <f t="shared" si="371"/>
        <v>106858707</v>
      </c>
      <c r="M1710">
        <f t="shared" si="369"/>
        <v>17909899</v>
      </c>
      <c r="N1710">
        <f t="shared" si="373"/>
        <v>124768606</v>
      </c>
      <c r="O1710">
        <f t="shared" si="372"/>
        <v>0.588265714061256</v>
      </c>
    </row>
    <row r="1711" ht="13.85" spans="1:15">
      <c r="A1711" s="43">
        <v>38877</v>
      </c>
      <c r="B1711" s="11">
        <v>18699033</v>
      </c>
      <c r="D1711" s="11">
        <v>34</v>
      </c>
      <c r="E1711">
        <f t="shared" si="368"/>
        <v>34</v>
      </c>
      <c r="H1711">
        <f t="shared" si="370"/>
        <v>34000000</v>
      </c>
      <c r="I1711">
        <f t="shared" ref="I1711:I1774" si="374">H1711*0.48</f>
        <v>16320000</v>
      </c>
      <c r="K1711">
        <f t="shared" si="371"/>
        <v>88159674</v>
      </c>
      <c r="M1711">
        <f t="shared" si="369"/>
        <v>18699033</v>
      </c>
      <c r="N1711">
        <f t="shared" si="373"/>
        <v>106858707</v>
      </c>
      <c r="O1711">
        <f t="shared" si="372"/>
        <v>0.537420178921509</v>
      </c>
    </row>
    <row r="1712" ht="13.85" spans="1:15">
      <c r="A1712" s="43">
        <v>38785</v>
      </c>
      <c r="B1712" s="11">
        <v>16746673</v>
      </c>
      <c r="D1712" s="11">
        <v>25</v>
      </c>
      <c r="E1712">
        <f t="shared" si="368"/>
        <v>25</v>
      </c>
      <c r="H1712">
        <f t="shared" si="370"/>
        <v>25000000</v>
      </c>
      <c r="I1712">
        <f t="shared" si="374"/>
        <v>12000000</v>
      </c>
      <c r="K1712">
        <f t="shared" si="371"/>
        <v>71413001</v>
      </c>
      <c r="M1712">
        <f t="shared" si="369"/>
        <v>16746673</v>
      </c>
      <c r="N1712">
        <f t="shared" si="373"/>
        <v>88159674</v>
      </c>
      <c r="O1712">
        <f t="shared" si="372"/>
        <v>0.27318429017679</v>
      </c>
    </row>
    <row r="1713" ht="13.9" spans="1:15">
      <c r="A1713" s="42" t="s">
        <v>1145</v>
      </c>
      <c r="B1713" s="11">
        <v>18302663</v>
      </c>
      <c r="D1713" s="11">
        <v>20</v>
      </c>
      <c r="E1713">
        <f t="shared" si="368"/>
        <v>20</v>
      </c>
      <c r="H1713">
        <f t="shared" si="370"/>
        <v>20000000</v>
      </c>
      <c r="I1713">
        <f t="shared" si="374"/>
        <v>9600000</v>
      </c>
      <c r="K1713">
        <f t="shared" si="371"/>
        <v>53110338</v>
      </c>
      <c r="M1713">
        <f t="shared" si="369"/>
        <v>18302663</v>
      </c>
      <c r="N1713">
        <f t="shared" si="373"/>
        <v>71413001</v>
      </c>
      <c r="O1713">
        <f t="shared" si="372"/>
        <v>0</v>
      </c>
    </row>
    <row r="1714" ht="13.9" spans="1:15">
      <c r="A1714" s="42" t="s">
        <v>1146</v>
      </c>
      <c r="B1714" s="11">
        <v>53110338</v>
      </c>
      <c r="D1714" s="11">
        <v>232</v>
      </c>
      <c r="E1714">
        <f t="shared" si="368"/>
        <v>232</v>
      </c>
      <c r="H1714">
        <f t="shared" si="370"/>
        <v>232000000</v>
      </c>
      <c r="I1714">
        <f t="shared" si="374"/>
        <v>111360000</v>
      </c>
      <c r="K1714">
        <f t="shared" si="371"/>
        <v>345739386</v>
      </c>
      <c r="M1714">
        <f t="shared" si="369"/>
        <v>53110338</v>
      </c>
      <c r="N1714">
        <f t="shared" si="373"/>
        <v>398849724</v>
      </c>
      <c r="O1714">
        <f t="shared" ref="O1714:O1744" si="375">IF(H1714&gt;H1715,(H1714-H1715)/M1715,0)</f>
        <v>0.966920419621223</v>
      </c>
    </row>
    <row r="1715" ht="13.9" spans="1:15">
      <c r="A1715" s="42" t="s">
        <v>1147</v>
      </c>
      <c r="B1715" s="11">
        <v>41368451</v>
      </c>
      <c r="D1715" s="11">
        <v>192</v>
      </c>
      <c r="E1715">
        <f t="shared" si="368"/>
        <v>192</v>
      </c>
      <c r="H1715">
        <f t="shared" si="370"/>
        <v>192000000</v>
      </c>
      <c r="I1715">
        <f t="shared" si="374"/>
        <v>92160000</v>
      </c>
      <c r="K1715">
        <f t="shared" si="371"/>
        <v>304370935</v>
      </c>
      <c r="M1715">
        <f t="shared" si="369"/>
        <v>41368451</v>
      </c>
      <c r="N1715">
        <f t="shared" si="373"/>
        <v>345739386</v>
      </c>
      <c r="O1715">
        <f t="shared" si="375"/>
        <v>0.651805172945096</v>
      </c>
    </row>
    <row r="1716" ht="13.9" spans="1:15">
      <c r="A1716" s="42" t="s">
        <v>1148</v>
      </c>
      <c r="B1716" s="11">
        <v>33752417</v>
      </c>
      <c r="D1716" s="11">
        <v>170</v>
      </c>
      <c r="E1716">
        <f t="shared" si="368"/>
        <v>170</v>
      </c>
      <c r="H1716">
        <f t="shared" si="370"/>
        <v>170000000</v>
      </c>
      <c r="I1716">
        <f t="shared" si="374"/>
        <v>81600000</v>
      </c>
      <c r="K1716">
        <f t="shared" si="371"/>
        <v>270618518</v>
      </c>
      <c r="M1716">
        <f t="shared" si="369"/>
        <v>33752417</v>
      </c>
      <c r="N1716">
        <f t="shared" si="373"/>
        <v>304370935</v>
      </c>
      <c r="O1716">
        <f t="shared" si="375"/>
        <v>0.619994205534155</v>
      </c>
    </row>
    <row r="1717" ht="13.9" spans="1:15">
      <c r="A1717" s="42" t="s">
        <v>1149</v>
      </c>
      <c r="B1717" s="11">
        <v>32258366</v>
      </c>
      <c r="D1717" s="11">
        <v>150</v>
      </c>
      <c r="E1717">
        <f t="shared" si="368"/>
        <v>150</v>
      </c>
      <c r="H1717">
        <f t="shared" si="370"/>
        <v>150000000</v>
      </c>
      <c r="I1717">
        <f t="shared" si="374"/>
        <v>72000000</v>
      </c>
      <c r="K1717">
        <f t="shared" si="371"/>
        <v>238360152</v>
      </c>
      <c r="M1717">
        <f t="shared" si="369"/>
        <v>32258366</v>
      </c>
      <c r="N1717">
        <f t="shared" si="373"/>
        <v>270618518</v>
      </c>
      <c r="O1717">
        <f t="shared" si="375"/>
        <v>0.76431093056712</v>
      </c>
    </row>
    <row r="1718" ht="13.9" spans="1:15">
      <c r="A1718" s="42" t="s">
        <v>1150</v>
      </c>
      <c r="B1718" s="11">
        <v>27475729</v>
      </c>
      <c r="D1718" s="11">
        <v>129</v>
      </c>
      <c r="E1718">
        <f t="shared" si="368"/>
        <v>129</v>
      </c>
      <c r="H1718">
        <f t="shared" si="370"/>
        <v>129000000</v>
      </c>
      <c r="I1718">
        <f t="shared" si="374"/>
        <v>61920000</v>
      </c>
      <c r="K1718">
        <f t="shared" si="371"/>
        <v>210884423</v>
      </c>
      <c r="M1718">
        <f t="shared" si="369"/>
        <v>27475729</v>
      </c>
      <c r="N1718">
        <f t="shared" si="373"/>
        <v>238360152</v>
      </c>
      <c r="O1718">
        <f t="shared" si="375"/>
        <v>0.73340912138724</v>
      </c>
    </row>
    <row r="1719" ht="13.85" spans="1:15">
      <c r="A1719" s="43">
        <v>38604</v>
      </c>
      <c r="B1719" s="11">
        <v>27269909</v>
      </c>
      <c r="D1719" s="11">
        <v>109</v>
      </c>
      <c r="E1719">
        <f t="shared" si="368"/>
        <v>109</v>
      </c>
      <c r="H1719">
        <f t="shared" si="370"/>
        <v>109000000</v>
      </c>
      <c r="I1719">
        <f t="shared" si="374"/>
        <v>52320000</v>
      </c>
      <c r="K1719">
        <f t="shared" si="371"/>
        <v>183614514</v>
      </c>
      <c r="M1719">
        <f t="shared" si="369"/>
        <v>27269909</v>
      </c>
      <c r="N1719">
        <f t="shared" si="373"/>
        <v>210884423</v>
      </c>
      <c r="O1719">
        <f t="shared" si="375"/>
        <v>0.771550027666876</v>
      </c>
    </row>
    <row r="1720" ht="13.85" spans="1:15">
      <c r="A1720" s="43">
        <v>38512</v>
      </c>
      <c r="B1720" s="11">
        <v>22033568</v>
      </c>
      <c r="D1720" s="11">
        <v>92</v>
      </c>
      <c r="E1720">
        <f t="shared" si="368"/>
        <v>92</v>
      </c>
      <c r="H1720">
        <f t="shared" si="370"/>
        <v>92000000</v>
      </c>
      <c r="I1720">
        <f t="shared" si="374"/>
        <v>44160000</v>
      </c>
      <c r="K1720">
        <f t="shared" si="371"/>
        <v>161580946</v>
      </c>
      <c r="M1720">
        <f t="shared" si="369"/>
        <v>22033568</v>
      </c>
      <c r="N1720">
        <f t="shared" si="373"/>
        <v>183614514</v>
      </c>
      <c r="O1720">
        <f t="shared" si="375"/>
        <v>0.687000130117825</v>
      </c>
    </row>
    <row r="1721" ht="13.85" spans="1:15">
      <c r="A1721" s="43">
        <v>38392</v>
      </c>
      <c r="B1721" s="11">
        <v>21834057</v>
      </c>
      <c r="D1721" s="11">
        <v>77</v>
      </c>
      <c r="E1721">
        <f t="shared" si="368"/>
        <v>77</v>
      </c>
      <c r="H1721">
        <f t="shared" si="370"/>
        <v>77000000</v>
      </c>
      <c r="I1721">
        <f t="shared" si="374"/>
        <v>36960000</v>
      </c>
      <c r="K1721">
        <f t="shared" si="371"/>
        <v>139746889</v>
      </c>
      <c r="M1721">
        <f t="shared" si="369"/>
        <v>21834057</v>
      </c>
      <c r="N1721">
        <f t="shared" si="373"/>
        <v>161580946</v>
      </c>
      <c r="O1721">
        <f t="shared" si="375"/>
        <v>0.657809120676947</v>
      </c>
    </row>
    <row r="1722" ht="13.9" spans="1:15">
      <c r="A1722" s="42" t="s">
        <v>1151</v>
      </c>
      <c r="B1722" s="11">
        <v>18242374</v>
      </c>
      <c r="D1722" s="11">
        <v>65</v>
      </c>
      <c r="E1722">
        <f t="shared" si="368"/>
        <v>65</v>
      </c>
      <c r="H1722">
        <f t="shared" si="370"/>
        <v>65000000</v>
      </c>
      <c r="I1722">
        <f t="shared" si="374"/>
        <v>31200000</v>
      </c>
      <c r="K1722">
        <f t="shared" si="371"/>
        <v>121504515</v>
      </c>
      <c r="M1722">
        <f t="shared" si="369"/>
        <v>18242374</v>
      </c>
      <c r="N1722">
        <f t="shared" si="373"/>
        <v>139746889</v>
      </c>
      <c r="O1722">
        <f t="shared" si="375"/>
        <v>0.616736913857734</v>
      </c>
    </row>
    <row r="1723" ht="13.9" spans="1:15">
      <c r="A1723" s="42" t="s">
        <v>1152</v>
      </c>
      <c r="B1723" s="11">
        <v>19457243</v>
      </c>
      <c r="D1723" s="11">
        <v>53</v>
      </c>
      <c r="E1723">
        <f t="shared" si="368"/>
        <v>53</v>
      </c>
      <c r="H1723">
        <f t="shared" si="370"/>
        <v>53000000</v>
      </c>
      <c r="I1723">
        <f t="shared" si="374"/>
        <v>25440000</v>
      </c>
      <c r="K1723">
        <f t="shared" si="371"/>
        <v>102047272</v>
      </c>
      <c r="M1723">
        <f t="shared" si="369"/>
        <v>19457243</v>
      </c>
      <c r="N1723">
        <f t="shared" si="373"/>
        <v>121504515</v>
      </c>
      <c r="O1723">
        <f t="shared" si="375"/>
        <v>0.633571064556053</v>
      </c>
    </row>
    <row r="1724" ht="13.9" spans="1:15">
      <c r="A1724" s="42" t="s">
        <v>1153</v>
      </c>
      <c r="B1724" s="11">
        <v>17361904</v>
      </c>
      <c r="D1724" s="11">
        <v>42</v>
      </c>
      <c r="E1724">
        <f t="shared" si="368"/>
        <v>42</v>
      </c>
      <c r="H1724">
        <f t="shared" si="370"/>
        <v>42000000</v>
      </c>
      <c r="I1724">
        <f t="shared" si="374"/>
        <v>20160000</v>
      </c>
      <c r="K1724">
        <f t="shared" si="371"/>
        <v>84685368</v>
      </c>
      <c r="M1724">
        <f t="shared" si="369"/>
        <v>17361904</v>
      </c>
      <c r="N1724">
        <f t="shared" si="373"/>
        <v>102047272</v>
      </c>
      <c r="O1724">
        <f t="shared" si="375"/>
        <v>0.593786339049193</v>
      </c>
    </row>
    <row r="1725" ht="13.9" spans="1:15">
      <c r="A1725" s="42" t="s">
        <v>1154</v>
      </c>
      <c r="B1725" s="11">
        <v>18525182</v>
      </c>
      <c r="D1725" s="11">
        <v>31</v>
      </c>
      <c r="E1725">
        <f t="shared" si="368"/>
        <v>31</v>
      </c>
      <c r="H1725">
        <f t="shared" si="370"/>
        <v>31000000</v>
      </c>
      <c r="I1725">
        <f t="shared" si="374"/>
        <v>14880000</v>
      </c>
      <c r="K1725">
        <f t="shared" si="371"/>
        <v>66160186</v>
      </c>
      <c r="M1725">
        <f t="shared" si="369"/>
        <v>18525182</v>
      </c>
      <c r="N1725">
        <f t="shared" si="373"/>
        <v>84685368</v>
      </c>
      <c r="O1725">
        <f t="shared" si="375"/>
        <v>0.366589900704849</v>
      </c>
    </row>
    <row r="1726" ht="13.9" spans="1:15">
      <c r="A1726" s="42" t="s">
        <v>1155</v>
      </c>
      <c r="B1726" s="11">
        <v>16367063</v>
      </c>
      <c r="D1726" s="11">
        <v>25</v>
      </c>
      <c r="E1726">
        <f t="shared" si="368"/>
        <v>25</v>
      </c>
      <c r="H1726">
        <f t="shared" si="370"/>
        <v>25000000</v>
      </c>
      <c r="I1726">
        <f t="shared" si="374"/>
        <v>12000000</v>
      </c>
      <c r="K1726">
        <f t="shared" si="371"/>
        <v>49793123</v>
      </c>
      <c r="M1726">
        <f t="shared" si="369"/>
        <v>16367063</v>
      </c>
      <c r="N1726">
        <f t="shared" si="373"/>
        <v>66160186</v>
      </c>
      <c r="O1726">
        <f t="shared" si="375"/>
        <v>0.262889526039628</v>
      </c>
    </row>
    <row r="1727" ht="13.85" spans="1:15">
      <c r="A1727" s="43">
        <v>38300</v>
      </c>
      <c r="B1727" s="11">
        <v>19019396</v>
      </c>
      <c r="D1727" s="11">
        <v>20</v>
      </c>
      <c r="E1727">
        <f t="shared" si="368"/>
        <v>20</v>
      </c>
      <c r="H1727">
        <f t="shared" si="370"/>
        <v>20000000</v>
      </c>
      <c r="I1727">
        <f t="shared" si="374"/>
        <v>9600000</v>
      </c>
      <c r="K1727">
        <f t="shared" si="371"/>
        <v>30773727</v>
      </c>
      <c r="M1727">
        <f t="shared" si="369"/>
        <v>19019396</v>
      </c>
      <c r="N1727">
        <f t="shared" si="373"/>
        <v>49793123</v>
      </c>
      <c r="O1727">
        <f t="shared" si="375"/>
        <v>0</v>
      </c>
    </row>
    <row r="1728" ht="13.85" spans="1:15">
      <c r="A1728" s="43">
        <v>38208</v>
      </c>
      <c r="B1728" s="11">
        <v>30773727</v>
      </c>
      <c r="D1728" s="11">
        <v>144</v>
      </c>
      <c r="E1728">
        <f t="shared" ref="E1728:E1791" si="376">IF(RIGHT(D1728,1)="B",VALUE(LEFT(D1728,LEN(D1728)-1))*1000,D1728)</f>
        <v>144</v>
      </c>
      <c r="H1728">
        <f t="shared" si="370"/>
        <v>144000000</v>
      </c>
      <c r="I1728">
        <f t="shared" si="374"/>
        <v>69120000</v>
      </c>
      <c r="K1728">
        <f t="shared" si="371"/>
        <v>258642747</v>
      </c>
      <c r="M1728">
        <f t="shared" si="369"/>
        <v>30773727</v>
      </c>
      <c r="N1728">
        <f t="shared" si="373"/>
        <v>289416474</v>
      </c>
      <c r="O1728">
        <f t="shared" si="375"/>
        <v>0.591242457593874</v>
      </c>
    </row>
    <row r="1729" ht="13.85" spans="1:15">
      <c r="A1729" s="43">
        <v>38086</v>
      </c>
      <c r="B1729" s="11">
        <v>30444363</v>
      </c>
      <c r="D1729" s="11">
        <v>126</v>
      </c>
      <c r="E1729">
        <f t="shared" si="376"/>
        <v>126</v>
      </c>
      <c r="H1729">
        <f t="shared" si="370"/>
        <v>126000000</v>
      </c>
      <c r="I1729">
        <f t="shared" si="374"/>
        <v>60480000</v>
      </c>
      <c r="K1729">
        <f t="shared" si="371"/>
        <v>228198384</v>
      </c>
      <c r="M1729">
        <f t="shared" si="369"/>
        <v>30444363</v>
      </c>
      <c r="N1729">
        <f t="shared" si="373"/>
        <v>258642747</v>
      </c>
      <c r="O1729">
        <f t="shared" si="375"/>
        <v>0.650986570147058</v>
      </c>
    </row>
    <row r="1730" ht="13.85" spans="1:15">
      <c r="A1730" s="43">
        <v>37995</v>
      </c>
      <c r="B1730" s="11">
        <v>26114210</v>
      </c>
      <c r="D1730" s="11">
        <v>109</v>
      </c>
      <c r="E1730">
        <f t="shared" si="376"/>
        <v>109</v>
      </c>
      <c r="H1730">
        <f t="shared" si="370"/>
        <v>109000000</v>
      </c>
      <c r="I1730">
        <f t="shared" si="374"/>
        <v>52320000</v>
      </c>
      <c r="K1730">
        <f t="shared" si="371"/>
        <v>202084174</v>
      </c>
      <c r="M1730">
        <f t="shared" si="369"/>
        <v>26114210</v>
      </c>
      <c r="N1730">
        <f t="shared" si="373"/>
        <v>228198384</v>
      </c>
      <c r="O1730">
        <f t="shared" si="375"/>
        <v>0.6129654200462</v>
      </c>
    </row>
    <row r="1731" ht="13.9" spans="1:15">
      <c r="A1731" s="42" t="s">
        <v>1156</v>
      </c>
      <c r="B1731" s="11">
        <v>24471201</v>
      </c>
      <c r="D1731" s="11">
        <v>94</v>
      </c>
      <c r="E1731">
        <f t="shared" si="376"/>
        <v>94</v>
      </c>
      <c r="H1731">
        <f t="shared" si="370"/>
        <v>94000000</v>
      </c>
      <c r="I1731">
        <f t="shared" si="374"/>
        <v>45120000</v>
      </c>
      <c r="K1731">
        <f t="shared" si="371"/>
        <v>177612973</v>
      </c>
      <c r="M1731">
        <f t="shared" si="369"/>
        <v>24471201</v>
      </c>
      <c r="N1731">
        <f t="shared" si="373"/>
        <v>202084174</v>
      </c>
      <c r="O1731">
        <f t="shared" si="375"/>
        <v>0.619343989893068</v>
      </c>
    </row>
    <row r="1732" ht="13.9" spans="1:15">
      <c r="A1732" s="42" t="s">
        <v>1157</v>
      </c>
      <c r="B1732" s="11">
        <v>20989951</v>
      </c>
      <c r="D1732" s="11">
        <v>81</v>
      </c>
      <c r="E1732">
        <f t="shared" si="376"/>
        <v>81</v>
      </c>
      <c r="H1732">
        <f t="shared" si="370"/>
        <v>81000000</v>
      </c>
      <c r="I1732">
        <f t="shared" si="374"/>
        <v>38880000</v>
      </c>
      <c r="K1732">
        <f t="shared" si="371"/>
        <v>156623022</v>
      </c>
      <c r="M1732">
        <f t="shared" si="369"/>
        <v>20989951</v>
      </c>
      <c r="N1732">
        <f t="shared" si="373"/>
        <v>177612973</v>
      </c>
      <c r="O1732">
        <f t="shared" si="375"/>
        <v>0.501249455403859</v>
      </c>
    </row>
    <row r="1733" ht="13.9" spans="1:15">
      <c r="A1733" s="42" t="s">
        <v>1158</v>
      </c>
      <c r="B1733" s="11">
        <v>21945161</v>
      </c>
      <c r="D1733" s="11">
        <v>70</v>
      </c>
      <c r="E1733">
        <f t="shared" si="376"/>
        <v>70</v>
      </c>
      <c r="H1733">
        <f t="shared" si="370"/>
        <v>70000000</v>
      </c>
      <c r="I1733">
        <f t="shared" si="374"/>
        <v>33600000</v>
      </c>
      <c r="K1733">
        <f t="shared" si="371"/>
        <v>134677861</v>
      </c>
      <c r="M1733">
        <f t="shared" si="369"/>
        <v>21945161</v>
      </c>
      <c r="N1733">
        <f t="shared" si="373"/>
        <v>156623022</v>
      </c>
      <c r="O1733">
        <f t="shared" si="375"/>
        <v>0.793454025448821</v>
      </c>
    </row>
    <row r="1734" ht="13.9" spans="1:15">
      <c r="A1734" s="42" t="s">
        <v>1159</v>
      </c>
      <c r="B1734" s="11">
        <v>18904687</v>
      </c>
      <c r="D1734" s="11">
        <v>55</v>
      </c>
      <c r="E1734">
        <f t="shared" si="376"/>
        <v>55</v>
      </c>
      <c r="H1734">
        <f t="shared" si="370"/>
        <v>55000000</v>
      </c>
      <c r="I1734">
        <f t="shared" si="374"/>
        <v>26400000</v>
      </c>
      <c r="K1734">
        <f t="shared" si="371"/>
        <v>115773174</v>
      </c>
      <c r="M1734">
        <f t="shared" ref="M1734:M1797" si="377">B1734+C1734</f>
        <v>18904687</v>
      </c>
      <c r="N1734">
        <f t="shared" si="373"/>
        <v>134677861</v>
      </c>
      <c r="O1734">
        <f t="shared" si="375"/>
        <v>0.533716185743907</v>
      </c>
    </row>
    <row r="1735" ht="13.9" spans="1:15">
      <c r="A1735" s="42" t="s">
        <v>1160</v>
      </c>
      <c r="B1735" s="11">
        <v>20610205</v>
      </c>
      <c r="D1735" s="11">
        <v>44</v>
      </c>
      <c r="E1735">
        <f t="shared" si="376"/>
        <v>44</v>
      </c>
      <c r="H1735">
        <f t="shared" si="370"/>
        <v>44000000</v>
      </c>
      <c r="I1735">
        <f t="shared" si="374"/>
        <v>21120000</v>
      </c>
      <c r="K1735">
        <f t="shared" si="371"/>
        <v>95162969</v>
      </c>
      <c r="M1735">
        <f t="shared" si="377"/>
        <v>20610205</v>
      </c>
      <c r="N1735">
        <f t="shared" si="373"/>
        <v>115773174</v>
      </c>
      <c r="O1735">
        <f t="shared" si="375"/>
        <v>0.686471012131144</v>
      </c>
    </row>
    <row r="1736" ht="13.85" spans="1:15">
      <c r="A1736" s="43">
        <v>37934</v>
      </c>
      <c r="B1736" s="11">
        <v>17480709</v>
      </c>
      <c r="D1736" s="11">
        <v>32</v>
      </c>
      <c r="E1736">
        <f t="shared" si="376"/>
        <v>32</v>
      </c>
      <c r="H1736">
        <f t="shared" si="370"/>
        <v>32000000</v>
      </c>
      <c r="I1736">
        <f t="shared" si="374"/>
        <v>15360000</v>
      </c>
      <c r="K1736">
        <f t="shared" si="371"/>
        <v>77682260</v>
      </c>
      <c r="M1736">
        <f t="shared" si="377"/>
        <v>17480709</v>
      </c>
      <c r="N1736">
        <f t="shared" si="373"/>
        <v>95162969</v>
      </c>
      <c r="O1736">
        <f t="shared" si="375"/>
        <v>0.361093179682339</v>
      </c>
    </row>
    <row r="1737" ht="13.85" spans="1:15">
      <c r="A1737" s="43">
        <v>37811</v>
      </c>
      <c r="B1737" s="11">
        <v>19385578</v>
      </c>
      <c r="D1737" s="11">
        <v>25</v>
      </c>
      <c r="E1737">
        <f t="shared" si="376"/>
        <v>25</v>
      </c>
      <c r="H1737">
        <f t="shared" si="370"/>
        <v>25000000</v>
      </c>
      <c r="I1737">
        <f t="shared" si="374"/>
        <v>12000000</v>
      </c>
      <c r="K1737">
        <f t="shared" si="371"/>
        <v>58296682</v>
      </c>
      <c r="M1737">
        <f t="shared" si="377"/>
        <v>19385578</v>
      </c>
      <c r="N1737">
        <f t="shared" si="373"/>
        <v>77682260</v>
      </c>
      <c r="O1737">
        <f t="shared" si="375"/>
        <v>0.28231250074107</v>
      </c>
    </row>
    <row r="1738" ht="13.85" spans="1:15">
      <c r="A1738" s="43">
        <v>37720</v>
      </c>
      <c r="B1738" s="11">
        <v>17710870</v>
      </c>
      <c r="D1738" s="11">
        <v>20</v>
      </c>
      <c r="E1738">
        <f t="shared" si="376"/>
        <v>20</v>
      </c>
      <c r="H1738">
        <f t="shared" si="370"/>
        <v>20000000</v>
      </c>
      <c r="I1738">
        <f t="shared" si="374"/>
        <v>9600000</v>
      </c>
      <c r="K1738">
        <f t="shared" si="371"/>
        <v>40585812</v>
      </c>
      <c r="M1738">
        <f t="shared" si="377"/>
        <v>17710870</v>
      </c>
      <c r="N1738">
        <f t="shared" si="373"/>
        <v>58296682</v>
      </c>
      <c r="O1738">
        <f t="shared" si="375"/>
        <v>0</v>
      </c>
    </row>
    <row r="1739" ht="13.9" spans="1:15">
      <c r="A1739" s="42" t="s">
        <v>1161</v>
      </c>
      <c r="B1739" s="11">
        <v>40585812</v>
      </c>
      <c r="D1739" s="11">
        <v>173</v>
      </c>
      <c r="E1739">
        <f t="shared" si="376"/>
        <v>173</v>
      </c>
      <c r="H1739">
        <f t="shared" si="370"/>
        <v>173000000</v>
      </c>
      <c r="I1739">
        <f t="shared" si="374"/>
        <v>83040000</v>
      </c>
      <c r="K1739">
        <f t="shared" si="371"/>
        <v>292156050</v>
      </c>
      <c r="M1739">
        <f t="shared" si="377"/>
        <v>40585812</v>
      </c>
      <c r="N1739">
        <f t="shared" si="373"/>
        <v>332741862</v>
      </c>
      <c r="O1739">
        <f t="shared" si="375"/>
        <v>0.696867531966071</v>
      </c>
    </row>
    <row r="1740" ht="13.9" spans="1:15">
      <c r="A1740" s="42" t="s">
        <v>1162</v>
      </c>
      <c r="B1740" s="11">
        <v>33004838</v>
      </c>
      <c r="D1740" s="11">
        <v>150</v>
      </c>
      <c r="E1740">
        <f t="shared" si="376"/>
        <v>150</v>
      </c>
      <c r="H1740">
        <f t="shared" si="370"/>
        <v>150000000</v>
      </c>
      <c r="I1740">
        <f t="shared" si="374"/>
        <v>72000000</v>
      </c>
      <c r="K1740">
        <f t="shared" si="371"/>
        <v>259151212</v>
      </c>
      <c r="M1740">
        <f t="shared" si="377"/>
        <v>33004838</v>
      </c>
      <c r="N1740">
        <f t="shared" si="373"/>
        <v>292156050</v>
      </c>
      <c r="O1740">
        <f t="shared" si="375"/>
        <v>0.804284972964765</v>
      </c>
    </row>
    <row r="1741" ht="13.9" spans="1:15">
      <c r="A1741" s="42" t="s">
        <v>1163</v>
      </c>
      <c r="B1741" s="11">
        <v>31083510</v>
      </c>
      <c r="D1741" s="11">
        <v>125</v>
      </c>
      <c r="E1741">
        <f t="shared" si="376"/>
        <v>125</v>
      </c>
      <c r="H1741">
        <f t="shared" si="370"/>
        <v>125000000</v>
      </c>
      <c r="I1741">
        <f t="shared" si="374"/>
        <v>60000000</v>
      </c>
      <c r="K1741">
        <f t="shared" si="371"/>
        <v>228067702</v>
      </c>
      <c r="M1741">
        <f t="shared" si="377"/>
        <v>31083510</v>
      </c>
      <c r="N1741">
        <f t="shared" si="373"/>
        <v>259151212</v>
      </c>
      <c r="O1741">
        <f t="shared" si="375"/>
        <v>0.747631466133715</v>
      </c>
    </row>
    <row r="1742" ht="13.9" spans="1:15">
      <c r="A1742" s="42" t="s">
        <v>1164</v>
      </c>
      <c r="B1742" s="11">
        <v>26751148</v>
      </c>
      <c r="D1742" s="11">
        <v>105</v>
      </c>
      <c r="E1742">
        <f t="shared" si="376"/>
        <v>105</v>
      </c>
      <c r="H1742">
        <f t="shared" si="370"/>
        <v>105000000</v>
      </c>
      <c r="I1742">
        <f t="shared" si="374"/>
        <v>50400000</v>
      </c>
      <c r="K1742">
        <f t="shared" si="371"/>
        <v>201316554</v>
      </c>
      <c r="M1742">
        <f t="shared" si="377"/>
        <v>26751148</v>
      </c>
      <c r="N1742">
        <f t="shared" si="373"/>
        <v>228067702</v>
      </c>
      <c r="O1742">
        <f t="shared" si="375"/>
        <v>0.49767147174853</v>
      </c>
    </row>
    <row r="1743" ht="13.9" spans="1:15">
      <c r="A1743" s="42" t="s">
        <v>1165</v>
      </c>
      <c r="B1743" s="11">
        <v>26121650</v>
      </c>
      <c r="D1743" s="11">
        <v>92</v>
      </c>
      <c r="E1743">
        <f t="shared" si="376"/>
        <v>92</v>
      </c>
      <c r="H1743">
        <f t="shared" ref="H1743:H1806" si="378">E1743*1000000</f>
        <v>92000000</v>
      </c>
      <c r="I1743">
        <f t="shared" si="374"/>
        <v>44160000</v>
      </c>
      <c r="K1743">
        <f t="shared" si="371"/>
        <v>175194904</v>
      </c>
      <c r="M1743">
        <f t="shared" si="377"/>
        <v>26121650</v>
      </c>
      <c r="N1743">
        <f t="shared" si="373"/>
        <v>201316554</v>
      </c>
      <c r="O1743">
        <f t="shared" si="375"/>
        <v>0.656642117944744</v>
      </c>
    </row>
    <row r="1744" ht="13.85" spans="1:15">
      <c r="A1744" s="43">
        <v>37569</v>
      </c>
      <c r="B1744" s="11">
        <v>21320594</v>
      </c>
      <c r="D1744" s="11">
        <v>78</v>
      </c>
      <c r="E1744">
        <f t="shared" si="376"/>
        <v>78</v>
      </c>
      <c r="H1744">
        <f t="shared" si="378"/>
        <v>78000000</v>
      </c>
      <c r="I1744">
        <f t="shared" si="374"/>
        <v>37440000</v>
      </c>
      <c r="K1744">
        <f t="shared" si="371"/>
        <v>153874310</v>
      </c>
      <c r="M1744">
        <f t="shared" si="377"/>
        <v>21320594</v>
      </c>
      <c r="N1744">
        <f t="shared" si="373"/>
        <v>175194904</v>
      </c>
      <c r="O1744">
        <f t="shared" si="375"/>
        <v>0.57769089306746</v>
      </c>
    </row>
    <row r="1745" ht="13.85" spans="1:15">
      <c r="A1745" s="43">
        <v>37446</v>
      </c>
      <c r="B1745" s="11">
        <v>22503384</v>
      </c>
      <c r="D1745" s="11">
        <v>65</v>
      </c>
      <c r="E1745">
        <f t="shared" si="376"/>
        <v>65</v>
      </c>
      <c r="H1745">
        <f t="shared" si="378"/>
        <v>65000000</v>
      </c>
      <c r="I1745">
        <f t="shared" si="374"/>
        <v>31200000</v>
      </c>
      <c r="K1745">
        <f t="shared" ref="K1745:K1769" si="379">IF(E1745&gt;E1746,B1746+K1746,B1746)</f>
        <v>131370926</v>
      </c>
      <c r="M1745">
        <f t="shared" si="377"/>
        <v>22503384</v>
      </c>
      <c r="N1745">
        <f t="shared" si="373"/>
        <v>153874310</v>
      </c>
      <c r="O1745">
        <f t="shared" ref="O1745:O1759" si="380">IF(H1745&gt;H1746,(H1745-H1746)/M1746,0)</f>
        <v>0.67642371452047</v>
      </c>
    </row>
    <row r="1746" ht="13.85" spans="1:15">
      <c r="A1746" s="43">
        <v>37355</v>
      </c>
      <c r="B1746" s="11">
        <v>19218723</v>
      </c>
      <c r="D1746" s="11">
        <v>52</v>
      </c>
      <c r="E1746">
        <f t="shared" si="376"/>
        <v>52</v>
      </c>
      <c r="H1746">
        <f t="shared" si="378"/>
        <v>52000000</v>
      </c>
      <c r="I1746">
        <f t="shared" si="374"/>
        <v>24960000</v>
      </c>
      <c r="K1746">
        <f t="shared" si="379"/>
        <v>112152203</v>
      </c>
      <c r="M1746">
        <f t="shared" si="377"/>
        <v>19218723</v>
      </c>
      <c r="N1746">
        <f t="shared" si="373"/>
        <v>131370926</v>
      </c>
      <c r="O1746">
        <f t="shared" si="380"/>
        <v>0.484380004250919</v>
      </c>
    </row>
    <row r="1747" ht="13.9" spans="1:15">
      <c r="A1747" s="42" t="s">
        <v>1166</v>
      </c>
      <c r="B1747" s="11">
        <v>20644948</v>
      </c>
      <c r="D1747" s="11">
        <v>42</v>
      </c>
      <c r="E1747">
        <f t="shared" si="376"/>
        <v>42</v>
      </c>
      <c r="H1747">
        <f t="shared" si="378"/>
        <v>42000000</v>
      </c>
      <c r="I1747">
        <f t="shared" si="374"/>
        <v>20160000</v>
      </c>
      <c r="K1747">
        <f t="shared" si="379"/>
        <v>91507255</v>
      </c>
      <c r="M1747">
        <f t="shared" si="377"/>
        <v>20644948</v>
      </c>
      <c r="N1747">
        <f t="shared" si="373"/>
        <v>112152203</v>
      </c>
      <c r="O1747">
        <f t="shared" si="380"/>
        <v>0.718214819608677</v>
      </c>
    </row>
    <row r="1748" ht="13.9" spans="1:15">
      <c r="A1748" s="42" t="s">
        <v>1167</v>
      </c>
      <c r="B1748" s="11">
        <v>16708093</v>
      </c>
      <c r="D1748" s="11">
        <v>30</v>
      </c>
      <c r="E1748">
        <f t="shared" si="376"/>
        <v>30</v>
      </c>
      <c r="H1748">
        <f t="shared" si="378"/>
        <v>30000000</v>
      </c>
      <c r="I1748">
        <f t="shared" si="374"/>
        <v>14400000</v>
      </c>
      <c r="K1748">
        <f t="shared" si="379"/>
        <v>74799162</v>
      </c>
      <c r="M1748">
        <f t="shared" si="377"/>
        <v>16708093</v>
      </c>
      <c r="N1748">
        <f t="shared" si="373"/>
        <v>91507255</v>
      </c>
      <c r="O1748">
        <f t="shared" si="380"/>
        <v>0.259355040036119</v>
      </c>
    </row>
    <row r="1749" ht="13.9" spans="1:15">
      <c r="A1749" s="42" t="s">
        <v>1168</v>
      </c>
      <c r="B1749" s="11">
        <v>19278592</v>
      </c>
      <c r="D1749" s="11">
        <v>25</v>
      </c>
      <c r="E1749">
        <f t="shared" si="376"/>
        <v>25</v>
      </c>
      <c r="H1749">
        <f t="shared" si="378"/>
        <v>25000000</v>
      </c>
      <c r="I1749">
        <f t="shared" si="374"/>
        <v>12000000</v>
      </c>
      <c r="K1749">
        <f t="shared" si="379"/>
        <v>55520570</v>
      </c>
      <c r="M1749">
        <f t="shared" si="377"/>
        <v>19278592</v>
      </c>
      <c r="N1749">
        <f t="shared" si="373"/>
        <v>74799162</v>
      </c>
      <c r="O1749">
        <f t="shared" si="380"/>
        <v>0.290864312612586</v>
      </c>
    </row>
    <row r="1750" s="9" customFormat="1" ht="13.9" spans="1:15">
      <c r="A1750" s="47" t="s">
        <v>1169</v>
      </c>
      <c r="B1750" s="20">
        <v>17190146</v>
      </c>
      <c r="C1750" s="51"/>
      <c r="D1750" s="20">
        <v>20</v>
      </c>
      <c r="E1750" s="9">
        <f t="shared" si="376"/>
        <v>20</v>
      </c>
      <c r="H1750" s="9">
        <f t="shared" si="378"/>
        <v>20000000</v>
      </c>
      <c r="I1750">
        <f t="shared" si="374"/>
        <v>9600000</v>
      </c>
      <c r="K1750" s="9">
        <f t="shared" si="379"/>
        <v>38330424</v>
      </c>
      <c r="M1750" s="9">
        <f t="shared" si="377"/>
        <v>17190146</v>
      </c>
      <c r="N1750" s="9">
        <f t="shared" si="373"/>
        <v>55520570</v>
      </c>
      <c r="O1750" s="9">
        <f t="shared" si="380"/>
        <v>0</v>
      </c>
    </row>
    <row r="1751" ht="13.9" spans="1:15">
      <c r="A1751" s="42" t="s">
        <v>1170</v>
      </c>
      <c r="B1751" s="11">
        <v>38330424</v>
      </c>
      <c r="D1751" s="11">
        <v>165</v>
      </c>
      <c r="E1751">
        <f t="shared" si="376"/>
        <v>165</v>
      </c>
      <c r="H1751">
        <f t="shared" si="378"/>
        <v>165000000</v>
      </c>
      <c r="I1751">
        <f t="shared" si="374"/>
        <v>79200000</v>
      </c>
      <c r="K1751">
        <f t="shared" si="379"/>
        <v>304409882</v>
      </c>
      <c r="M1751">
        <f t="shared" si="377"/>
        <v>38330424</v>
      </c>
      <c r="N1751">
        <f t="shared" si="373"/>
        <v>342740306</v>
      </c>
      <c r="O1751">
        <f t="shared" si="380"/>
        <v>0.56421764927447</v>
      </c>
    </row>
    <row r="1752" ht="13.9" spans="1:15">
      <c r="A1752" s="42" t="s">
        <v>1171</v>
      </c>
      <c r="B1752" s="11">
        <v>33674948</v>
      </c>
      <c r="D1752" s="11">
        <v>146</v>
      </c>
      <c r="E1752">
        <f t="shared" si="376"/>
        <v>146</v>
      </c>
      <c r="H1752">
        <f t="shared" si="378"/>
        <v>146000000</v>
      </c>
      <c r="I1752">
        <f t="shared" si="374"/>
        <v>70080000</v>
      </c>
      <c r="K1752">
        <f t="shared" si="379"/>
        <v>270734934</v>
      </c>
      <c r="M1752">
        <f t="shared" si="377"/>
        <v>33674948</v>
      </c>
      <c r="N1752">
        <f t="shared" si="373"/>
        <v>304409882</v>
      </c>
      <c r="O1752">
        <f t="shared" si="380"/>
        <v>0.812273223469423</v>
      </c>
    </row>
    <row r="1753" ht="13.85" spans="1:15">
      <c r="A1753" s="43">
        <v>37173</v>
      </c>
      <c r="B1753" s="11">
        <v>32008934</v>
      </c>
      <c r="D1753" s="11">
        <v>120</v>
      </c>
      <c r="E1753">
        <f t="shared" si="376"/>
        <v>120</v>
      </c>
      <c r="H1753">
        <f t="shared" si="378"/>
        <v>120000000</v>
      </c>
      <c r="I1753">
        <f t="shared" si="374"/>
        <v>57600000</v>
      </c>
      <c r="K1753">
        <f t="shared" si="379"/>
        <v>238726000</v>
      </c>
      <c r="M1753">
        <f t="shared" si="377"/>
        <v>32008934</v>
      </c>
      <c r="N1753">
        <f t="shared" si="373"/>
        <v>270734934</v>
      </c>
      <c r="O1753">
        <f t="shared" si="380"/>
        <v>0.511726991603072</v>
      </c>
    </row>
    <row r="1754" ht="13.85" spans="1:15">
      <c r="A1754" s="43">
        <v>37081</v>
      </c>
      <c r="B1754" s="11">
        <v>29312505</v>
      </c>
      <c r="D1754" s="11">
        <v>105</v>
      </c>
      <c r="E1754">
        <f t="shared" si="376"/>
        <v>105</v>
      </c>
      <c r="H1754">
        <f t="shared" si="378"/>
        <v>105000000</v>
      </c>
      <c r="I1754">
        <f t="shared" si="374"/>
        <v>50400000</v>
      </c>
      <c r="K1754">
        <f t="shared" si="379"/>
        <v>209413495</v>
      </c>
      <c r="M1754">
        <f t="shared" si="377"/>
        <v>29312505</v>
      </c>
      <c r="N1754">
        <f t="shared" si="373"/>
        <v>238726000</v>
      </c>
      <c r="O1754">
        <f t="shared" si="380"/>
        <v>0.73676790627212</v>
      </c>
    </row>
    <row r="1755" ht="13.85" spans="1:15">
      <c r="A1755" s="44">
        <v>36959</v>
      </c>
      <c r="B1755" s="15">
        <v>20359193</v>
      </c>
      <c r="D1755" s="15">
        <v>90</v>
      </c>
      <c r="E1755">
        <f t="shared" si="376"/>
        <v>90</v>
      </c>
      <c r="H1755">
        <f t="shared" si="378"/>
        <v>90000000</v>
      </c>
      <c r="I1755">
        <f t="shared" si="374"/>
        <v>43200000</v>
      </c>
      <c r="K1755">
        <f t="shared" si="379"/>
        <v>189054302</v>
      </c>
      <c r="M1755">
        <f t="shared" si="377"/>
        <v>20359193</v>
      </c>
      <c r="N1755">
        <f t="shared" si="373"/>
        <v>209413495</v>
      </c>
      <c r="O1755">
        <f t="shared" si="380"/>
        <v>0.47655994630885</v>
      </c>
    </row>
    <row r="1756" ht="13.9" spans="1:15">
      <c r="A1756" s="41" t="s">
        <v>1172</v>
      </c>
      <c r="B1756" s="13">
        <v>20983719</v>
      </c>
      <c r="D1756" s="13">
        <v>80</v>
      </c>
      <c r="E1756">
        <f t="shared" si="376"/>
        <v>80</v>
      </c>
      <c r="H1756">
        <f t="shared" si="378"/>
        <v>80000000</v>
      </c>
      <c r="I1756">
        <f t="shared" si="374"/>
        <v>38400000</v>
      </c>
      <c r="K1756">
        <f t="shared" si="379"/>
        <v>168070583</v>
      </c>
      <c r="M1756">
        <f t="shared" si="377"/>
        <v>20983719</v>
      </c>
      <c r="N1756">
        <f t="shared" si="373"/>
        <v>189054302</v>
      </c>
      <c r="O1756">
        <f t="shared" si="380"/>
        <v>0.590112615911395</v>
      </c>
    </row>
    <row r="1757" ht="13.9" spans="1:15">
      <c r="A1757" s="42" t="s">
        <v>1173</v>
      </c>
      <c r="B1757" s="11">
        <v>16945918</v>
      </c>
      <c r="D1757" s="11">
        <v>70</v>
      </c>
      <c r="E1757">
        <f t="shared" si="376"/>
        <v>70</v>
      </c>
      <c r="H1757">
        <f t="shared" si="378"/>
        <v>70000000</v>
      </c>
      <c r="I1757">
        <f t="shared" si="374"/>
        <v>33600000</v>
      </c>
      <c r="K1757">
        <f t="shared" si="379"/>
        <v>151124665</v>
      </c>
      <c r="M1757">
        <f t="shared" si="377"/>
        <v>16945918</v>
      </c>
      <c r="N1757">
        <f t="shared" si="373"/>
        <v>168070583</v>
      </c>
      <c r="O1757">
        <f t="shared" si="380"/>
        <v>0.413171600753315</v>
      </c>
    </row>
    <row r="1758" ht="13.9" spans="1:15">
      <c r="A1758" s="42" t="s">
        <v>1174</v>
      </c>
      <c r="B1758" s="11">
        <v>19362415</v>
      </c>
      <c r="D1758" s="11">
        <v>62</v>
      </c>
      <c r="E1758">
        <f t="shared" si="376"/>
        <v>62</v>
      </c>
      <c r="H1758">
        <f t="shared" si="378"/>
        <v>62000000</v>
      </c>
      <c r="I1758">
        <f t="shared" si="374"/>
        <v>29760000</v>
      </c>
      <c r="K1758">
        <f t="shared" si="379"/>
        <v>131762250</v>
      </c>
      <c r="M1758">
        <f t="shared" si="377"/>
        <v>19362415</v>
      </c>
      <c r="N1758">
        <f t="shared" si="373"/>
        <v>151124665</v>
      </c>
      <c r="O1758">
        <f t="shared" si="380"/>
        <v>0.298022015959198</v>
      </c>
    </row>
    <row r="1759" ht="13.9" spans="1:15">
      <c r="A1759" s="42" t="s">
        <v>1175</v>
      </c>
      <c r="B1759" s="11">
        <v>16777284</v>
      </c>
      <c r="D1759" s="11">
        <v>57</v>
      </c>
      <c r="E1759">
        <f t="shared" si="376"/>
        <v>57</v>
      </c>
      <c r="H1759">
        <f t="shared" si="378"/>
        <v>57000000</v>
      </c>
      <c r="I1759">
        <f t="shared" si="374"/>
        <v>27360000</v>
      </c>
      <c r="K1759">
        <f t="shared" si="379"/>
        <v>114984966</v>
      </c>
      <c r="M1759">
        <f t="shared" si="377"/>
        <v>16777284</v>
      </c>
      <c r="N1759">
        <f t="shared" ref="N1759:N1822" si="381">IF(H1759&lt;H1760,M1759+M1760,M1759+N1760)</f>
        <v>131762250</v>
      </c>
      <c r="O1759">
        <f t="shared" si="380"/>
        <v>0.478674929325356</v>
      </c>
    </row>
    <row r="1760" ht="13.9" spans="1:15">
      <c r="A1760" s="42" t="s">
        <v>1176</v>
      </c>
      <c r="B1760" s="11">
        <v>14623703</v>
      </c>
      <c r="D1760" s="11">
        <v>50</v>
      </c>
      <c r="E1760">
        <f t="shared" si="376"/>
        <v>50</v>
      </c>
      <c r="H1760">
        <f t="shared" si="378"/>
        <v>50000000</v>
      </c>
      <c r="I1760">
        <f t="shared" si="374"/>
        <v>24000000</v>
      </c>
      <c r="K1760">
        <f t="shared" si="379"/>
        <v>100361263</v>
      </c>
      <c r="M1760">
        <f t="shared" si="377"/>
        <v>14623703</v>
      </c>
      <c r="N1760">
        <f t="shared" si="381"/>
        <v>114984966</v>
      </c>
      <c r="O1760">
        <f t="shared" ref="O1760:O1771" si="382">IF(H1760&gt;H1761,(H1760-H1761)/M1761,0)</f>
        <v>0.642793611891373</v>
      </c>
    </row>
    <row r="1761" ht="13.9" spans="1:15">
      <c r="A1761" s="42" t="s">
        <v>1177</v>
      </c>
      <c r="B1761" s="11">
        <v>15557093</v>
      </c>
      <c r="D1761" s="11">
        <v>40</v>
      </c>
      <c r="E1761">
        <f t="shared" si="376"/>
        <v>40</v>
      </c>
      <c r="H1761">
        <f t="shared" si="378"/>
        <v>40000000</v>
      </c>
      <c r="I1761">
        <f t="shared" si="374"/>
        <v>19200000</v>
      </c>
      <c r="K1761">
        <f t="shared" si="379"/>
        <v>84804170</v>
      </c>
      <c r="M1761">
        <f t="shared" si="377"/>
        <v>15557093</v>
      </c>
      <c r="N1761">
        <f t="shared" si="381"/>
        <v>100361263</v>
      </c>
      <c r="O1761">
        <f t="shared" si="382"/>
        <v>0.365431362488909</v>
      </c>
    </row>
    <row r="1762" ht="13.85" spans="1:15">
      <c r="A1762" s="43">
        <v>41190</v>
      </c>
      <c r="B1762" s="11">
        <v>13682460</v>
      </c>
      <c r="D1762" s="11">
        <v>35</v>
      </c>
      <c r="E1762">
        <f t="shared" si="376"/>
        <v>35</v>
      </c>
      <c r="H1762">
        <f t="shared" si="378"/>
        <v>35000000</v>
      </c>
      <c r="I1762">
        <f t="shared" si="374"/>
        <v>16800000</v>
      </c>
      <c r="K1762">
        <f t="shared" si="379"/>
        <v>71121710</v>
      </c>
      <c r="M1762">
        <f t="shared" si="377"/>
        <v>13682460</v>
      </c>
      <c r="N1762">
        <f t="shared" si="381"/>
        <v>84804170</v>
      </c>
      <c r="O1762">
        <f t="shared" si="382"/>
        <v>0.339499596606579</v>
      </c>
    </row>
    <row r="1763" ht="13.85" spans="1:15">
      <c r="A1763" s="43">
        <v>41068</v>
      </c>
      <c r="B1763" s="11">
        <v>14727558</v>
      </c>
      <c r="D1763" s="11">
        <v>30</v>
      </c>
      <c r="E1763">
        <f t="shared" si="376"/>
        <v>30</v>
      </c>
      <c r="H1763">
        <f t="shared" si="378"/>
        <v>30000000</v>
      </c>
      <c r="I1763">
        <f t="shared" si="374"/>
        <v>14400000</v>
      </c>
      <c r="K1763">
        <f t="shared" si="379"/>
        <v>56394152</v>
      </c>
      <c r="M1763">
        <f t="shared" si="377"/>
        <v>14727558</v>
      </c>
      <c r="N1763">
        <f t="shared" si="381"/>
        <v>71121710</v>
      </c>
      <c r="O1763">
        <f t="shared" si="382"/>
        <v>0.379724417282504</v>
      </c>
    </row>
    <row r="1764" ht="13.85" spans="1:15">
      <c r="A1764" s="43">
        <v>40976</v>
      </c>
      <c r="B1764" s="11">
        <v>13167444</v>
      </c>
      <c r="D1764" s="11">
        <v>25</v>
      </c>
      <c r="E1764">
        <f t="shared" si="376"/>
        <v>25</v>
      </c>
      <c r="H1764">
        <f t="shared" si="378"/>
        <v>25000000</v>
      </c>
      <c r="I1764">
        <f t="shared" si="374"/>
        <v>12000000</v>
      </c>
      <c r="K1764">
        <f t="shared" si="379"/>
        <v>43226708</v>
      </c>
      <c r="M1764">
        <f t="shared" si="377"/>
        <v>13167444</v>
      </c>
      <c r="N1764">
        <f t="shared" si="381"/>
        <v>56394152</v>
      </c>
      <c r="O1764">
        <f t="shared" si="382"/>
        <v>0.375944202662196</v>
      </c>
    </row>
    <row r="1765" ht="13.9" spans="1:15">
      <c r="A1765" s="42" t="s">
        <v>1178</v>
      </c>
      <c r="B1765" s="11">
        <v>13299846</v>
      </c>
      <c r="D1765" s="11">
        <v>20</v>
      </c>
      <c r="E1765">
        <f t="shared" si="376"/>
        <v>20</v>
      </c>
      <c r="H1765">
        <f t="shared" si="378"/>
        <v>20000000</v>
      </c>
      <c r="I1765">
        <f t="shared" si="374"/>
        <v>9600000</v>
      </c>
      <c r="K1765">
        <f t="shared" si="379"/>
        <v>29926862</v>
      </c>
      <c r="M1765">
        <f t="shared" si="377"/>
        <v>13299846</v>
      </c>
      <c r="N1765">
        <f t="shared" si="381"/>
        <v>43226708</v>
      </c>
      <c r="O1765">
        <f t="shared" si="382"/>
        <v>0.388819812889019</v>
      </c>
    </row>
    <row r="1766" s="23" customFormat="1" ht="13.9" spans="1:15">
      <c r="A1766" s="52" t="s">
        <v>1179</v>
      </c>
      <c r="B1766" s="22">
        <v>12859427</v>
      </c>
      <c r="C1766" s="53"/>
      <c r="D1766" s="22">
        <v>15</v>
      </c>
      <c r="E1766" s="23">
        <f t="shared" si="376"/>
        <v>15</v>
      </c>
      <c r="H1766" s="23">
        <f t="shared" si="378"/>
        <v>15000000</v>
      </c>
      <c r="I1766">
        <f t="shared" si="374"/>
        <v>7200000</v>
      </c>
      <c r="K1766" s="23">
        <f t="shared" si="379"/>
        <v>17067435</v>
      </c>
      <c r="M1766" s="23">
        <f t="shared" si="377"/>
        <v>12859427</v>
      </c>
      <c r="N1766" s="23">
        <f t="shared" si="381"/>
        <v>29926862</v>
      </c>
      <c r="O1766" s="23">
        <f t="shared" si="382"/>
        <v>0</v>
      </c>
    </row>
    <row r="1767" ht="13.9" spans="1:15">
      <c r="A1767" s="42" t="s">
        <v>1180</v>
      </c>
      <c r="B1767" s="11">
        <v>17067435</v>
      </c>
      <c r="D1767" s="11">
        <v>61</v>
      </c>
      <c r="E1767">
        <f t="shared" si="376"/>
        <v>61</v>
      </c>
      <c r="H1767">
        <f t="shared" si="378"/>
        <v>61000000</v>
      </c>
      <c r="I1767">
        <f t="shared" si="374"/>
        <v>29280000</v>
      </c>
      <c r="K1767">
        <f t="shared" si="379"/>
        <v>101721336</v>
      </c>
      <c r="M1767">
        <f t="shared" si="377"/>
        <v>17067435</v>
      </c>
      <c r="N1767">
        <f t="shared" si="381"/>
        <v>118788771</v>
      </c>
      <c r="O1767">
        <f t="shared" si="382"/>
        <v>0.738857624016581</v>
      </c>
    </row>
    <row r="1768" ht="13.9" spans="1:15">
      <c r="A1768" s="42" t="s">
        <v>1181</v>
      </c>
      <c r="B1768" s="11">
        <v>14887848</v>
      </c>
      <c r="D1768" s="11">
        <v>50</v>
      </c>
      <c r="E1768">
        <f t="shared" si="376"/>
        <v>50</v>
      </c>
      <c r="H1768">
        <f t="shared" si="378"/>
        <v>50000000</v>
      </c>
      <c r="I1768">
        <f t="shared" si="374"/>
        <v>24000000</v>
      </c>
      <c r="K1768">
        <f t="shared" si="379"/>
        <v>86833488</v>
      </c>
      <c r="M1768">
        <f t="shared" si="377"/>
        <v>14887848</v>
      </c>
      <c r="N1768">
        <f t="shared" si="381"/>
        <v>101721336</v>
      </c>
      <c r="O1768">
        <f t="shared" si="382"/>
        <v>0.503160698268806</v>
      </c>
    </row>
    <row r="1769" ht="13.9" spans="1:15">
      <c r="A1769" s="42" t="s">
        <v>1182</v>
      </c>
      <c r="B1769" s="11">
        <v>15899493</v>
      </c>
      <c r="D1769" s="11">
        <v>42</v>
      </c>
      <c r="E1769">
        <f t="shared" si="376"/>
        <v>42</v>
      </c>
      <c r="H1769">
        <f t="shared" si="378"/>
        <v>42000000</v>
      </c>
      <c r="I1769">
        <f t="shared" si="374"/>
        <v>20160000</v>
      </c>
      <c r="K1769">
        <f t="shared" si="379"/>
        <v>70933995</v>
      </c>
      <c r="M1769">
        <f t="shared" si="377"/>
        <v>15899493</v>
      </c>
      <c r="N1769">
        <f t="shared" si="381"/>
        <v>86833488</v>
      </c>
      <c r="O1769">
        <f t="shared" si="382"/>
        <v>0.733140463627765</v>
      </c>
    </row>
    <row r="1770" ht="13.85" spans="1:15">
      <c r="A1770" s="43">
        <v>40885</v>
      </c>
      <c r="B1770" s="11">
        <v>13639951</v>
      </c>
      <c r="D1770" s="11">
        <v>32</v>
      </c>
      <c r="E1770">
        <f t="shared" si="376"/>
        <v>32</v>
      </c>
      <c r="H1770">
        <f t="shared" si="378"/>
        <v>32000000</v>
      </c>
      <c r="I1770">
        <f t="shared" si="374"/>
        <v>15360000</v>
      </c>
      <c r="K1770">
        <f t="shared" ref="K1770:K1833" si="383">IF(E1770&gt;E1771,B1771+K1771,B1771)</f>
        <v>57294044</v>
      </c>
      <c r="M1770">
        <f t="shared" si="377"/>
        <v>13639951</v>
      </c>
      <c r="N1770">
        <f t="shared" si="381"/>
        <v>70933995</v>
      </c>
      <c r="O1770">
        <f t="shared" si="382"/>
        <v>0.476258156686348</v>
      </c>
    </row>
    <row r="1771" ht="13.85" spans="1:15">
      <c r="A1771" s="43">
        <v>40763</v>
      </c>
      <c r="B1771" s="11">
        <v>14697911</v>
      </c>
      <c r="D1771" s="11">
        <v>25</v>
      </c>
      <c r="E1771">
        <f t="shared" si="376"/>
        <v>25</v>
      </c>
      <c r="H1771">
        <f t="shared" si="378"/>
        <v>25000000</v>
      </c>
      <c r="I1771">
        <f t="shared" si="374"/>
        <v>12000000</v>
      </c>
      <c r="K1771">
        <f t="shared" si="383"/>
        <v>42596133</v>
      </c>
      <c r="M1771">
        <f t="shared" si="377"/>
        <v>14697911</v>
      </c>
      <c r="N1771">
        <f t="shared" si="381"/>
        <v>57294044</v>
      </c>
      <c r="O1771">
        <f t="shared" si="382"/>
        <v>0.387052205756333</v>
      </c>
    </row>
    <row r="1772" ht="13.85" spans="1:15">
      <c r="A1772" s="43">
        <v>40671</v>
      </c>
      <c r="B1772" s="11">
        <v>12918154</v>
      </c>
      <c r="D1772" s="11">
        <v>20</v>
      </c>
      <c r="E1772">
        <f t="shared" si="376"/>
        <v>20</v>
      </c>
      <c r="H1772">
        <f t="shared" si="378"/>
        <v>20000000</v>
      </c>
      <c r="I1772">
        <f t="shared" si="374"/>
        <v>9600000</v>
      </c>
      <c r="K1772">
        <f t="shared" si="383"/>
        <v>29677979</v>
      </c>
      <c r="M1772">
        <f t="shared" si="377"/>
        <v>12918154</v>
      </c>
      <c r="N1772">
        <f t="shared" si="381"/>
        <v>42596133</v>
      </c>
      <c r="O1772">
        <f t="shared" ref="O1772:O1792" si="384">IF(H1772&gt;H1773,(H1772-H1773)/M1773,0)</f>
        <v>0.352804545646664</v>
      </c>
    </row>
    <row r="1773" ht="13.85" spans="1:15">
      <c r="A1773" s="43">
        <v>40551</v>
      </c>
      <c r="B1773" s="11">
        <v>14172153</v>
      </c>
      <c r="D1773" s="11">
        <v>15</v>
      </c>
      <c r="E1773">
        <f t="shared" si="376"/>
        <v>15</v>
      </c>
      <c r="H1773">
        <f t="shared" si="378"/>
        <v>15000000</v>
      </c>
      <c r="I1773">
        <f t="shared" si="374"/>
        <v>7200000</v>
      </c>
      <c r="K1773">
        <f t="shared" si="383"/>
        <v>15505826</v>
      </c>
      <c r="M1773">
        <f t="shared" si="377"/>
        <v>14172153</v>
      </c>
      <c r="N1773">
        <f t="shared" si="381"/>
        <v>29677979</v>
      </c>
      <c r="O1773">
        <f t="shared" si="384"/>
        <v>0</v>
      </c>
    </row>
    <row r="1774" ht="13.9" spans="1:15">
      <c r="A1774" s="42" t="s">
        <v>1183</v>
      </c>
      <c r="B1774" s="11">
        <v>15505826</v>
      </c>
      <c r="D1774" s="11">
        <v>59</v>
      </c>
      <c r="E1774">
        <f t="shared" si="376"/>
        <v>59</v>
      </c>
      <c r="H1774">
        <f t="shared" si="378"/>
        <v>59000000</v>
      </c>
      <c r="I1774">
        <f t="shared" si="374"/>
        <v>28320000</v>
      </c>
      <c r="K1774">
        <f t="shared" si="383"/>
        <v>105165261</v>
      </c>
      <c r="M1774">
        <f t="shared" si="377"/>
        <v>15505826</v>
      </c>
      <c r="N1774">
        <f t="shared" si="381"/>
        <v>120671087</v>
      </c>
      <c r="O1774">
        <f t="shared" si="384"/>
        <v>0.409880317289525</v>
      </c>
    </row>
    <row r="1775" ht="13.9" spans="1:15">
      <c r="A1775" s="42" t="s">
        <v>1184</v>
      </c>
      <c r="B1775" s="11">
        <v>17078156</v>
      </c>
      <c r="D1775" s="11">
        <v>52</v>
      </c>
      <c r="E1775">
        <f t="shared" si="376"/>
        <v>52</v>
      </c>
      <c r="H1775">
        <f t="shared" si="378"/>
        <v>52000000</v>
      </c>
      <c r="I1775">
        <f t="shared" ref="I1775:I1838" si="385">H1775*0.48</f>
        <v>24960000</v>
      </c>
      <c r="K1775">
        <f t="shared" si="383"/>
        <v>88087105</v>
      </c>
      <c r="M1775">
        <f t="shared" si="377"/>
        <v>17078156</v>
      </c>
      <c r="N1775">
        <f t="shared" si="381"/>
        <v>105165261</v>
      </c>
      <c r="O1775">
        <f t="shared" si="384"/>
        <v>0.678086226393869</v>
      </c>
    </row>
    <row r="1776" ht="13.9" spans="1:15">
      <c r="A1776" s="42" t="s">
        <v>1185</v>
      </c>
      <c r="B1776" s="11">
        <v>14747387</v>
      </c>
      <c r="D1776" s="11">
        <v>42</v>
      </c>
      <c r="E1776">
        <f t="shared" si="376"/>
        <v>42</v>
      </c>
      <c r="H1776">
        <f t="shared" si="378"/>
        <v>42000000</v>
      </c>
      <c r="I1776">
        <f t="shared" si="385"/>
        <v>20160000</v>
      </c>
      <c r="K1776">
        <f t="shared" si="383"/>
        <v>73339718</v>
      </c>
      <c r="M1776">
        <f t="shared" si="377"/>
        <v>14747387</v>
      </c>
      <c r="N1776">
        <f t="shared" si="381"/>
        <v>88087105</v>
      </c>
      <c r="O1776">
        <f t="shared" si="384"/>
        <v>0.630640607251408</v>
      </c>
    </row>
    <row r="1777" ht="13.9" spans="1:15">
      <c r="A1777" s="42" t="s">
        <v>1186</v>
      </c>
      <c r="B1777" s="11">
        <v>15856892</v>
      </c>
      <c r="D1777" s="11">
        <v>32</v>
      </c>
      <c r="E1777">
        <f t="shared" si="376"/>
        <v>32</v>
      </c>
      <c r="H1777">
        <f t="shared" si="378"/>
        <v>32000000</v>
      </c>
      <c r="I1777">
        <f t="shared" si="385"/>
        <v>15360000</v>
      </c>
      <c r="K1777">
        <f t="shared" si="383"/>
        <v>57482826</v>
      </c>
      <c r="M1777">
        <f t="shared" si="377"/>
        <v>15856892</v>
      </c>
      <c r="N1777">
        <f t="shared" si="381"/>
        <v>73339718</v>
      </c>
      <c r="O1777">
        <f t="shared" si="384"/>
        <v>0.508088515116395</v>
      </c>
    </row>
    <row r="1778" ht="13.9" spans="1:15">
      <c r="A1778" s="42" t="s">
        <v>1187</v>
      </c>
      <c r="B1778" s="11">
        <v>13777127</v>
      </c>
      <c r="D1778" s="11">
        <v>25</v>
      </c>
      <c r="E1778">
        <f t="shared" si="376"/>
        <v>25</v>
      </c>
      <c r="H1778">
        <f t="shared" si="378"/>
        <v>25000000</v>
      </c>
      <c r="I1778">
        <f t="shared" si="385"/>
        <v>12000000</v>
      </c>
      <c r="K1778">
        <f t="shared" si="383"/>
        <v>43705699</v>
      </c>
      <c r="M1778">
        <f t="shared" si="377"/>
        <v>13777127</v>
      </c>
      <c r="N1778">
        <f t="shared" si="381"/>
        <v>57482826</v>
      </c>
      <c r="O1778">
        <f t="shared" si="384"/>
        <v>0.330770610845995</v>
      </c>
    </row>
    <row r="1779" ht="13.85" spans="1:15">
      <c r="A1779" s="43">
        <v>40490</v>
      </c>
      <c r="B1779" s="11">
        <v>15116216</v>
      </c>
      <c r="D1779" s="11">
        <v>20</v>
      </c>
      <c r="E1779">
        <f t="shared" si="376"/>
        <v>20</v>
      </c>
      <c r="H1779">
        <f t="shared" si="378"/>
        <v>20000000</v>
      </c>
      <c r="I1779">
        <f t="shared" si="385"/>
        <v>9600000</v>
      </c>
      <c r="K1779">
        <f t="shared" si="383"/>
        <v>28589483</v>
      </c>
      <c r="M1779">
        <f t="shared" si="377"/>
        <v>15116216</v>
      </c>
      <c r="N1779">
        <f t="shared" si="381"/>
        <v>43705699</v>
      </c>
      <c r="O1779">
        <f t="shared" si="384"/>
        <v>0.379915392842014</v>
      </c>
    </row>
    <row r="1780" ht="13.85" spans="1:15">
      <c r="A1780" s="43">
        <v>40398</v>
      </c>
      <c r="B1780" s="11">
        <v>13160825</v>
      </c>
      <c r="D1780" s="11">
        <v>15</v>
      </c>
      <c r="E1780">
        <f t="shared" si="376"/>
        <v>15</v>
      </c>
      <c r="H1780">
        <f t="shared" si="378"/>
        <v>15000000</v>
      </c>
      <c r="I1780">
        <f t="shared" si="385"/>
        <v>7200000</v>
      </c>
      <c r="K1780">
        <f t="shared" si="383"/>
        <v>15428658</v>
      </c>
      <c r="M1780">
        <f t="shared" si="377"/>
        <v>13160825</v>
      </c>
      <c r="N1780">
        <f t="shared" si="381"/>
        <v>28589483</v>
      </c>
      <c r="O1780">
        <f t="shared" si="384"/>
        <v>0</v>
      </c>
    </row>
    <row r="1781" ht="13.85" spans="1:15">
      <c r="A1781" s="43">
        <v>40276</v>
      </c>
      <c r="B1781" s="11">
        <v>15428658</v>
      </c>
      <c r="D1781" s="11">
        <v>20</v>
      </c>
      <c r="E1781">
        <f t="shared" si="376"/>
        <v>20</v>
      </c>
      <c r="H1781">
        <f t="shared" si="378"/>
        <v>20000000</v>
      </c>
      <c r="I1781">
        <f t="shared" si="385"/>
        <v>9600000</v>
      </c>
      <c r="K1781">
        <f t="shared" si="383"/>
        <v>59191394</v>
      </c>
      <c r="M1781">
        <f t="shared" si="377"/>
        <v>15428658</v>
      </c>
      <c r="N1781">
        <f t="shared" si="381"/>
        <v>74620052</v>
      </c>
      <c r="O1781">
        <f t="shared" si="384"/>
        <v>0.346587918194715</v>
      </c>
    </row>
    <row r="1782" ht="13.85" spans="1:15">
      <c r="A1782" s="43">
        <v>40186</v>
      </c>
      <c r="B1782" s="11">
        <v>14426354</v>
      </c>
      <c r="D1782" s="11">
        <v>15</v>
      </c>
      <c r="E1782">
        <f t="shared" si="376"/>
        <v>15</v>
      </c>
      <c r="H1782">
        <f t="shared" si="378"/>
        <v>15000000</v>
      </c>
      <c r="I1782">
        <f t="shared" si="385"/>
        <v>7200000</v>
      </c>
      <c r="K1782">
        <f t="shared" si="383"/>
        <v>44765040</v>
      </c>
      <c r="M1782">
        <f t="shared" si="377"/>
        <v>14426354</v>
      </c>
      <c r="N1782">
        <f t="shared" si="381"/>
        <v>59191394</v>
      </c>
      <c r="O1782">
        <f t="shared" si="384"/>
        <v>0</v>
      </c>
    </row>
    <row r="1783" ht="13.9" spans="1:15">
      <c r="A1783" s="42" t="s">
        <v>1188</v>
      </c>
      <c r="B1783" s="11">
        <v>44765040</v>
      </c>
      <c r="D1783" s="11">
        <v>200</v>
      </c>
      <c r="E1783">
        <f t="shared" si="376"/>
        <v>200</v>
      </c>
      <c r="H1783">
        <f t="shared" si="378"/>
        <v>200000000</v>
      </c>
      <c r="I1783">
        <f t="shared" si="385"/>
        <v>96000000</v>
      </c>
      <c r="K1783">
        <f t="shared" si="383"/>
        <v>322641072</v>
      </c>
      <c r="M1783">
        <f t="shared" si="377"/>
        <v>44765040</v>
      </c>
      <c r="N1783">
        <f t="shared" si="381"/>
        <v>367406112</v>
      </c>
      <c r="O1783">
        <f t="shared" si="384"/>
        <v>0.695789960493046</v>
      </c>
    </row>
    <row r="1784" ht="13.9" spans="1:15">
      <c r="A1784" s="42" t="s">
        <v>1189</v>
      </c>
      <c r="B1784" s="11">
        <v>34493168</v>
      </c>
      <c r="D1784" s="11">
        <v>176</v>
      </c>
      <c r="E1784">
        <f t="shared" si="376"/>
        <v>176</v>
      </c>
      <c r="H1784">
        <f t="shared" si="378"/>
        <v>176000000</v>
      </c>
      <c r="I1784">
        <f t="shared" si="385"/>
        <v>84480000</v>
      </c>
      <c r="K1784">
        <f t="shared" si="383"/>
        <v>288147904</v>
      </c>
      <c r="M1784">
        <f t="shared" si="377"/>
        <v>34493168</v>
      </c>
      <c r="N1784">
        <f t="shared" si="381"/>
        <v>322641072</v>
      </c>
      <c r="O1784">
        <f t="shared" si="384"/>
        <v>0.692795228782241</v>
      </c>
    </row>
    <row r="1785" ht="13.9" spans="1:15">
      <c r="A1785" s="42" t="s">
        <v>1190</v>
      </c>
      <c r="B1785" s="11">
        <v>31755415</v>
      </c>
      <c r="D1785" s="11">
        <v>154</v>
      </c>
      <c r="E1785">
        <f t="shared" si="376"/>
        <v>154</v>
      </c>
      <c r="H1785">
        <f t="shared" si="378"/>
        <v>154000000</v>
      </c>
      <c r="I1785">
        <f t="shared" si="385"/>
        <v>73920000</v>
      </c>
      <c r="K1785">
        <f t="shared" si="383"/>
        <v>256392489</v>
      </c>
      <c r="M1785">
        <f t="shared" si="377"/>
        <v>31755415</v>
      </c>
      <c r="N1785">
        <f t="shared" si="381"/>
        <v>288147904</v>
      </c>
      <c r="O1785">
        <f t="shared" si="384"/>
        <v>0.665240587954415</v>
      </c>
    </row>
    <row r="1786" ht="13.9" spans="1:15">
      <c r="A1786" s="42" t="s">
        <v>1191</v>
      </c>
      <c r="B1786" s="11">
        <v>27057880</v>
      </c>
      <c r="D1786" s="11">
        <v>136</v>
      </c>
      <c r="E1786">
        <f t="shared" si="376"/>
        <v>136</v>
      </c>
      <c r="H1786">
        <f t="shared" si="378"/>
        <v>136000000</v>
      </c>
      <c r="I1786">
        <f t="shared" si="385"/>
        <v>65280000</v>
      </c>
      <c r="K1786">
        <f t="shared" si="383"/>
        <v>229334609</v>
      </c>
      <c r="M1786">
        <f t="shared" si="377"/>
        <v>27057880</v>
      </c>
      <c r="N1786">
        <f t="shared" si="381"/>
        <v>256392489</v>
      </c>
      <c r="O1786">
        <f t="shared" si="384"/>
        <v>0.691467771724362</v>
      </c>
    </row>
    <row r="1787" ht="13.9" spans="1:15">
      <c r="A1787" s="42" t="s">
        <v>1192</v>
      </c>
      <c r="B1787" s="11">
        <v>26031582</v>
      </c>
      <c r="D1787" s="11">
        <v>118</v>
      </c>
      <c r="E1787">
        <f t="shared" si="376"/>
        <v>118</v>
      </c>
      <c r="H1787">
        <f t="shared" si="378"/>
        <v>118000000</v>
      </c>
      <c r="I1787">
        <f t="shared" si="385"/>
        <v>56640000</v>
      </c>
      <c r="K1787">
        <f t="shared" si="383"/>
        <v>203303027</v>
      </c>
      <c r="M1787">
        <f t="shared" si="377"/>
        <v>26031582</v>
      </c>
      <c r="N1787">
        <f t="shared" si="381"/>
        <v>229334609</v>
      </c>
      <c r="O1787">
        <f t="shared" si="384"/>
        <v>0.696167640648706</v>
      </c>
    </row>
    <row r="1788" ht="13.85" spans="1:15">
      <c r="A1788" s="43">
        <v>40094</v>
      </c>
      <c r="B1788" s="11">
        <v>22982970</v>
      </c>
      <c r="D1788" s="11">
        <v>102</v>
      </c>
      <c r="E1788">
        <f t="shared" si="376"/>
        <v>102</v>
      </c>
      <c r="H1788">
        <f t="shared" si="378"/>
        <v>102000000</v>
      </c>
      <c r="I1788">
        <f t="shared" si="385"/>
        <v>48960000</v>
      </c>
      <c r="K1788">
        <f t="shared" si="383"/>
        <v>180320057</v>
      </c>
      <c r="M1788">
        <f t="shared" si="377"/>
        <v>22982970</v>
      </c>
      <c r="N1788">
        <f t="shared" si="381"/>
        <v>203303027</v>
      </c>
      <c r="O1788">
        <f t="shared" si="384"/>
        <v>0.480978132521596</v>
      </c>
    </row>
    <row r="1789" ht="13.85" spans="1:15">
      <c r="A1789" s="43">
        <v>39972</v>
      </c>
      <c r="B1789" s="11">
        <v>20790966</v>
      </c>
      <c r="D1789" s="11">
        <v>92</v>
      </c>
      <c r="E1789">
        <f t="shared" si="376"/>
        <v>92</v>
      </c>
      <c r="H1789">
        <f t="shared" si="378"/>
        <v>92000000</v>
      </c>
      <c r="I1789">
        <f t="shared" si="385"/>
        <v>44160000</v>
      </c>
      <c r="K1789">
        <f t="shared" si="383"/>
        <v>159529091</v>
      </c>
      <c r="M1789">
        <f t="shared" si="377"/>
        <v>20790966</v>
      </c>
      <c r="N1789">
        <f t="shared" si="381"/>
        <v>180320057</v>
      </c>
      <c r="O1789">
        <f t="shared" si="384"/>
        <v>0.64857626307574</v>
      </c>
    </row>
    <row r="1790" ht="13.85" spans="1:15">
      <c r="A1790" s="43">
        <v>39880</v>
      </c>
      <c r="B1790" s="11">
        <v>16960226</v>
      </c>
      <c r="D1790" s="11">
        <v>81</v>
      </c>
      <c r="E1790">
        <f t="shared" si="376"/>
        <v>81</v>
      </c>
      <c r="H1790">
        <f t="shared" si="378"/>
        <v>81000000</v>
      </c>
      <c r="I1790">
        <f t="shared" si="385"/>
        <v>38880000</v>
      </c>
      <c r="K1790">
        <f t="shared" si="383"/>
        <v>142568865</v>
      </c>
      <c r="M1790">
        <f t="shared" si="377"/>
        <v>16960226</v>
      </c>
      <c r="N1790">
        <f t="shared" si="381"/>
        <v>159529091</v>
      </c>
      <c r="O1790">
        <f t="shared" si="384"/>
        <v>0.487266613504074</v>
      </c>
    </row>
    <row r="1791" ht="13.9" spans="1:15">
      <c r="A1791" s="42" t="s">
        <v>1193</v>
      </c>
      <c r="B1791" s="11">
        <v>18470381</v>
      </c>
      <c r="D1791" s="11">
        <v>72</v>
      </c>
      <c r="E1791">
        <f t="shared" si="376"/>
        <v>72</v>
      </c>
      <c r="H1791">
        <f t="shared" si="378"/>
        <v>72000000</v>
      </c>
      <c r="I1791">
        <f t="shared" si="385"/>
        <v>34560000</v>
      </c>
      <c r="K1791">
        <f t="shared" si="383"/>
        <v>124098484</v>
      </c>
      <c r="M1791">
        <f t="shared" si="377"/>
        <v>18470381</v>
      </c>
      <c r="N1791">
        <f t="shared" si="381"/>
        <v>142568865</v>
      </c>
      <c r="O1791">
        <f t="shared" si="384"/>
        <v>0.635929400644171</v>
      </c>
    </row>
    <row r="1792" ht="13.9" spans="1:15">
      <c r="A1792" s="42" t="s">
        <v>1194</v>
      </c>
      <c r="B1792" s="11">
        <v>15725016</v>
      </c>
      <c r="D1792" s="11">
        <v>62</v>
      </c>
      <c r="E1792">
        <f t="shared" ref="E1792:E1855" si="386">IF(RIGHT(D1792,1)="B",VALUE(LEFT(D1792,LEN(D1792)-1))*1000,D1792)</f>
        <v>62</v>
      </c>
      <c r="H1792">
        <f t="shared" si="378"/>
        <v>62000000</v>
      </c>
      <c r="I1792">
        <f t="shared" si="385"/>
        <v>29760000</v>
      </c>
      <c r="K1792">
        <f t="shared" si="383"/>
        <v>108373468</v>
      </c>
      <c r="M1792">
        <f t="shared" si="377"/>
        <v>15725016</v>
      </c>
      <c r="N1792">
        <f t="shared" si="381"/>
        <v>124098484</v>
      </c>
      <c r="O1792">
        <f t="shared" si="384"/>
        <v>0.593614876558677</v>
      </c>
    </row>
    <row r="1793" ht="13.9" spans="1:15">
      <c r="A1793" s="42" t="s">
        <v>1195</v>
      </c>
      <c r="B1793" s="11">
        <v>16845939</v>
      </c>
      <c r="D1793" s="11">
        <v>52</v>
      </c>
      <c r="E1793">
        <f t="shared" si="386"/>
        <v>52</v>
      </c>
      <c r="H1793">
        <f t="shared" si="378"/>
        <v>52000000</v>
      </c>
      <c r="I1793">
        <f t="shared" si="385"/>
        <v>24960000</v>
      </c>
      <c r="K1793">
        <f t="shared" si="383"/>
        <v>91527529</v>
      </c>
      <c r="M1793">
        <f t="shared" si="377"/>
        <v>16845939</v>
      </c>
      <c r="N1793">
        <f t="shared" si="381"/>
        <v>108373468</v>
      </c>
      <c r="O1793">
        <f t="shared" ref="O1793:O1806" si="387">IF(H1793&gt;H1794,(H1793-H1794)/M1794,0)</f>
        <v>0.615111863218258</v>
      </c>
    </row>
    <row r="1794" ht="13.9" spans="1:15">
      <c r="A1794" s="42" t="s">
        <v>1196</v>
      </c>
      <c r="B1794" s="11">
        <v>14631485</v>
      </c>
      <c r="D1794" s="11">
        <v>43</v>
      </c>
      <c r="E1794">
        <f t="shared" si="386"/>
        <v>43</v>
      </c>
      <c r="H1794">
        <f t="shared" si="378"/>
        <v>43000000</v>
      </c>
      <c r="I1794">
        <f t="shared" si="385"/>
        <v>20640000</v>
      </c>
      <c r="K1794">
        <f t="shared" si="383"/>
        <v>76896044</v>
      </c>
      <c r="M1794">
        <f t="shared" si="377"/>
        <v>14631485</v>
      </c>
      <c r="N1794">
        <f t="shared" si="381"/>
        <v>91527529</v>
      </c>
      <c r="O1794">
        <f t="shared" si="387"/>
        <v>0.5157168580363</v>
      </c>
    </row>
    <row r="1795" ht="13.9" spans="1:15">
      <c r="A1795" s="42" t="s">
        <v>1197</v>
      </c>
      <c r="B1795" s="11">
        <v>15512388</v>
      </c>
      <c r="D1795" s="11">
        <v>35</v>
      </c>
      <c r="E1795">
        <f t="shared" si="386"/>
        <v>35</v>
      </c>
      <c r="H1795">
        <f t="shared" si="378"/>
        <v>35000000</v>
      </c>
      <c r="I1795">
        <f t="shared" si="385"/>
        <v>16800000</v>
      </c>
      <c r="K1795">
        <f t="shared" si="383"/>
        <v>61383656</v>
      </c>
      <c r="M1795">
        <f t="shared" si="377"/>
        <v>15512388</v>
      </c>
      <c r="N1795">
        <f t="shared" si="381"/>
        <v>76896044</v>
      </c>
      <c r="O1795">
        <f t="shared" si="387"/>
        <v>0.742500301455122</v>
      </c>
    </row>
    <row r="1796" ht="13.9" spans="1:15">
      <c r="A1796" s="42" t="s">
        <v>1198</v>
      </c>
      <c r="B1796" s="11">
        <v>13468008</v>
      </c>
      <c r="D1796" s="11">
        <v>25</v>
      </c>
      <c r="E1796">
        <f t="shared" si="386"/>
        <v>25</v>
      </c>
      <c r="H1796">
        <f t="shared" si="378"/>
        <v>25000000</v>
      </c>
      <c r="I1796">
        <f t="shared" si="385"/>
        <v>12000000</v>
      </c>
      <c r="K1796">
        <f t="shared" si="383"/>
        <v>47915648</v>
      </c>
      <c r="M1796">
        <f t="shared" si="377"/>
        <v>13468008</v>
      </c>
      <c r="N1796">
        <f t="shared" si="381"/>
        <v>61383656</v>
      </c>
      <c r="O1796">
        <f t="shared" si="387"/>
        <v>0.33702694645026</v>
      </c>
    </row>
    <row r="1797" ht="13.85" spans="1:15">
      <c r="A1797" s="43">
        <v>39699</v>
      </c>
      <c r="B1797" s="11">
        <v>14835609</v>
      </c>
      <c r="D1797" s="11">
        <v>20</v>
      </c>
      <c r="E1797">
        <f t="shared" si="386"/>
        <v>20</v>
      </c>
      <c r="H1797">
        <f t="shared" si="378"/>
        <v>20000000</v>
      </c>
      <c r="I1797">
        <f t="shared" si="385"/>
        <v>9600000</v>
      </c>
      <c r="K1797">
        <f t="shared" si="383"/>
        <v>33080039</v>
      </c>
      <c r="M1797">
        <f t="shared" si="377"/>
        <v>14835609</v>
      </c>
      <c r="N1797">
        <f t="shared" si="381"/>
        <v>47915648</v>
      </c>
      <c r="O1797">
        <f t="shared" si="387"/>
        <v>0.387713754347047</v>
      </c>
    </row>
    <row r="1798" ht="13.85" spans="1:15">
      <c r="A1798" s="43">
        <v>39607</v>
      </c>
      <c r="B1798" s="11">
        <v>12896112</v>
      </c>
      <c r="D1798" s="11">
        <v>15</v>
      </c>
      <c r="E1798">
        <f t="shared" si="386"/>
        <v>15</v>
      </c>
      <c r="H1798">
        <f t="shared" si="378"/>
        <v>15000000</v>
      </c>
      <c r="I1798">
        <f t="shared" si="385"/>
        <v>7200000</v>
      </c>
      <c r="K1798">
        <f t="shared" si="383"/>
        <v>20183927</v>
      </c>
      <c r="M1798">
        <f t="shared" ref="M1798:M1861" si="388">B1798+C1798</f>
        <v>12896112</v>
      </c>
      <c r="N1798">
        <f t="shared" si="381"/>
        <v>33080039</v>
      </c>
      <c r="O1798">
        <f t="shared" si="387"/>
        <v>0</v>
      </c>
    </row>
    <row r="1799" ht="13.85" spans="1:15">
      <c r="A1799" s="43">
        <v>39486</v>
      </c>
      <c r="B1799" s="11">
        <v>20183927</v>
      </c>
      <c r="D1799" s="11">
        <v>87</v>
      </c>
      <c r="E1799">
        <f t="shared" si="386"/>
        <v>87</v>
      </c>
      <c r="H1799">
        <f t="shared" si="378"/>
        <v>87000000</v>
      </c>
      <c r="I1799">
        <f t="shared" si="385"/>
        <v>41760000</v>
      </c>
      <c r="K1799">
        <f t="shared" si="383"/>
        <v>140535478</v>
      </c>
      <c r="M1799">
        <f t="shared" si="388"/>
        <v>20183927</v>
      </c>
      <c r="N1799">
        <f t="shared" si="381"/>
        <v>160719405</v>
      </c>
      <c r="O1799">
        <f t="shared" si="387"/>
        <v>0.703123461917427</v>
      </c>
    </row>
    <row r="1800" ht="13.9" spans="1:15">
      <c r="A1800" s="42" t="s">
        <v>1199</v>
      </c>
      <c r="B1800" s="11">
        <v>17066704</v>
      </c>
      <c r="D1800" s="11">
        <v>75</v>
      </c>
      <c r="E1800">
        <f t="shared" si="386"/>
        <v>75</v>
      </c>
      <c r="H1800">
        <f t="shared" si="378"/>
        <v>75000000</v>
      </c>
      <c r="I1800">
        <f t="shared" si="385"/>
        <v>36000000</v>
      </c>
      <c r="K1800">
        <f t="shared" si="383"/>
        <v>123468774</v>
      </c>
      <c r="M1800">
        <f t="shared" si="388"/>
        <v>17066704</v>
      </c>
      <c r="N1800">
        <f t="shared" si="381"/>
        <v>140535478</v>
      </c>
      <c r="O1800">
        <f t="shared" si="387"/>
        <v>0.627516591110817</v>
      </c>
    </row>
    <row r="1801" ht="13.9" spans="1:15">
      <c r="A1801" s="42" t="s">
        <v>1200</v>
      </c>
      <c r="B1801" s="11">
        <v>17529417</v>
      </c>
      <c r="D1801" s="11">
        <v>64</v>
      </c>
      <c r="E1801">
        <f t="shared" si="386"/>
        <v>64</v>
      </c>
      <c r="H1801">
        <f t="shared" si="378"/>
        <v>64000000</v>
      </c>
      <c r="I1801">
        <f t="shared" si="385"/>
        <v>30720000</v>
      </c>
      <c r="K1801">
        <f t="shared" si="383"/>
        <v>105939357</v>
      </c>
      <c r="M1801">
        <f t="shared" si="388"/>
        <v>17529417</v>
      </c>
      <c r="N1801">
        <f t="shared" si="381"/>
        <v>123468774</v>
      </c>
      <c r="O1801">
        <f t="shared" si="387"/>
        <v>0.653590456690449</v>
      </c>
    </row>
    <row r="1802" ht="13.9" spans="1:15">
      <c r="A1802" s="42" t="s">
        <v>1201</v>
      </c>
      <c r="B1802" s="11">
        <v>15300101</v>
      </c>
      <c r="D1802" s="11">
        <v>54</v>
      </c>
      <c r="E1802">
        <f t="shared" si="386"/>
        <v>54</v>
      </c>
      <c r="H1802">
        <f t="shared" si="378"/>
        <v>54000000</v>
      </c>
      <c r="I1802">
        <f t="shared" si="385"/>
        <v>25920000</v>
      </c>
      <c r="K1802">
        <f t="shared" si="383"/>
        <v>90639256</v>
      </c>
      <c r="M1802">
        <f t="shared" si="388"/>
        <v>15300101</v>
      </c>
      <c r="N1802">
        <f t="shared" si="381"/>
        <v>105939357</v>
      </c>
      <c r="O1802">
        <f t="shared" si="387"/>
        <v>0.683508311461067</v>
      </c>
    </row>
    <row r="1803" ht="13.9" spans="1:15">
      <c r="A1803" s="42" t="s">
        <v>1202</v>
      </c>
      <c r="B1803" s="11">
        <v>16093440</v>
      </c>
      <c r="D1803" s="11">
        <v>43</v>
      </c>
      <c r="E1803">
        <f t="shared" si="386"/>
        <v>43</v>
      </c>
      <c r="H1803">
        <f t="shared" si="378"/>
        <v>43000000</v>
      </c>
      <c r="I1803">
        <f t="shared" si="385"/>
        <v>20640000</v>
      </c>
      <c r="K1803">
        <f t="shared" si="383"/>
        <v>74545816</v>
      </c>
      <c r="M1803">
        <f t="shared" si="388"/>
        <v>16093440</v>
      </c>
      <c r="N1803">
        <f t="shared" si="381"/>
        <v>90639256</v>
      </c>
      <c r="O1803">
        <f t="shared" si="387"/>
        <v>0.707738025391093</v>
      </c>
    </row>
    <row r="1804" ht="13.9" spans="1:15">
      <c r="A1804" s="42" t="s">
        <v>1203</v>
      </c>
      <c r="B1804" s="11">
        <v>14129522</v>
      </c>
      <c r="D1804" s="11">
        <v>33</v>
      </c>
      <c r="E1804">
        <f t="shared" si="386"/>
        <v>33</v>
      </c>
      <c r="H1804">
        <f t="shared" si="378"/>
        <v>33000000</v>
      </c>
      <c r="I1804">
        <f t="shared" si="385"/>
        <v>15840000</v>
      </c>
      <c r="K1804">
        <f t="shared" si="383"/>
        <v>60416294</v>
      </c>
      <c r="M1804">
        <f t="shared" si="388"/>
        <v>14129522</v>
      </c>
      <c r="N1804">
        <f t="shared" si="381"/>
        <v>74545816</v>
      </c>
      <c r="O1804">
        <f t="shared" si="387"/>
        <v>0.539136854027282</v>
      </c>
    </row>
    <row r="1805" ht="13.85" spans="1:15">
      <c r="A1805" s="43">
        <v>39424</v>
      </c>
      <c r="B1805" s="11">
        <v>14838533</v>
      </c>
      <c r="D1805" s="11">
        <v>25</v>
      </c>
      <c r="E1805">
        <f t="shared" si="386"/>
        <v>25</v>
      </c>
      <c r="H1805">
        <f t="shared" si="378"/>
        <v>25000000</v>
      </c>
      <c r="I1805">
        <f t="shared" si="385"/>
        <v>12000000</v>
      </c>
      <c r="K1805">
        <f t="shared" si="383"/>
        <v>45577761</v>
      </c>
      <c r="M1805">
        <f t="shared" si="388"/>
        <v>14838533</v>
      </c>
      <c r="N1805">
        <f t="shared" si="381"/>
        <v>60416294</v>
      </c>
      <c r="O1805">
        <f t="shared" si="387"/>
        <v>0.378855010747738</v>
      </c>
    </row>
    <row r="1806" ht="13.85" spans="1:15">
      <c r="A1806" s="43">
        <v>39333</v>
      </c>
      <c r="B1806" s="11">
        <v>13197661</v>
      </c>
      <c r="D1806" s="11">
        <v>20</v>
      </c>
      <c r="E1806">
        <f t="shared" si="386"/>
        <v>20</v>
      </c>
      <c r="H1806">
        <f t="shared" si="378"/>
        <v>20000000</v>
      </c>
      <c r="I1806">
        <f t="shared" si="385"/>
        <v>9600000</v>
      </c>
      <c r="K1806">
        <f t="shared" si="383"/>
        <v>32380100</v>
      </c>
      <c r="M1806">
        <f t="shared" si="388"/>
        <v>13197661</v>
      </c>
      <c r="N1806">
        <f t="shared" si="381"/>
        <v>45577761</v>
      </c>
      <c r="O1806">
        <f t="shared" si="387"/>
        <v>0.35150585812633</v>
      </c>
    </row>
    <row r="1807" ht="13.85" spans="1:15">
      <c r="A1807" s="43">
        <v>39210</v>
      </c>
      <c r="B1807" s="11">
        <v>14224514</v>
      </c>
      <c r="D1807" s="11">
        <v>15</v>
      </c>
      <c r="E1807">
        <f t="shared" si="386"/>
        <v>15</v>
      </c>
      <c r="H1807">
        <f t="shared" ref="H1807:H1870" si="389">E1807*1000000</f>
        <v>15000000</v>
      </c>
      <c r="I1807">
        <f t="shared" si="385"/>
        <v>7200000</v>
      </c>
      <c r="K1807">
        <f t="shared" si="383"/>
        <v>18155586</v>
      </c>
      <c r="M1807">
        <f t="shared" si="388"/>
        <v>14224514</v>
      </c>
      <c r="N1807">
        <f t="shared" si="381"/>
        <v>32380100</v>
      </c>
      <c r="O1807">
        <f t="shared" ref="O1807:O1824" si="390">IF(H1807&gt;H1808,(H1807-H1808)/M1808,0)</f>
        <v>0</v>
      </c>
    </row>
    <row r="1808" ht="13.85" spans="1:15">
      <c r="A1808" s="43">
        <v>39121</v>
      </c>
      <c r="B1808" s="11">
        <v>18155586</v>
      </c>
      <c r="D1808" s="11">
        <v>85</v>
      </c>
      <c r="E1808">
        <f t="shared" si="386"/>
        <v>85</v>
      </c>
      <c r="H1808">
        <f t="shared" si="389"/>
        <v>85000000</v>
      </c>
      <c r="I1808">
        <f t="shared" si="385"/>
        <v>40800000</v>
      </c>
      <c r="K1808">
        <f t="shared" si="383"/>
        <v>138291745</v>
      </c>
      <c r="M1808">
        <f t="shared" si="388"/>
        <v>18155586</v>
      </c>
      <c r="N1808">
        <f t="shared" si="381"/>
        <v>156447331</v>
      </c>
      <c r="O1808">
        <f t="shared" si="390"/>
        <v>0.538214783543739</v>
      </c>
    </row>
    <row r="1809" ht="13.9" spans="1:15">
      <c r="A1809" s="42" t="s">
        <v>1204</v>
      </c>
      <c r="B1809" s="11">
        <v>18579943</v>
      </c>
      <c r="D1809" s="11">
        <v>75</v>
      </c>
      <c r="E1809">
        <f t="shared" si="386"/>
        <v>75</v>
      </c>
      <c r="H1809">
        <f t="shared" si="389"/>
        <v>75000000</v>
      </c>
      <c r="I1809">
        <f t="shared" si="385"/>
        <v>36000000</v>
      </c>
      <c r="K1809">
        <f t="shared" si="383"/>
        <v>119711802</v>
      </c>
      <c r="M1809">
        <f t="shared" si="388"/>
        <v>18579943</v>
      </c>
      <c r="N1809">
        <f t="shared" si="381"/>
        <v>138291745</v>
      </c>
      <c r="O1809">
        <f t="shared" si="390"/>
        <v>0.681826141152268</v>
      </c>
    </row>
    <row r="1810" ht="13.9" spans="1:15">
      <c r="A1810" s="42" t="s">
        <v>1205</v>
      </c>
      <c r="B1810" s="11">
        <v>16133145</v>
      </c>
      <c r="D1810" s="11">
        <v>64</v>
      </c>
      <c r="E1810">
        <f t="shared" si="386"/>
        <v>64</v>
      </c>
      <c r="H1810">
        <f t="shared" si="389"/>
        <v>64000000</v>
      </c>
      <c r="I1810">
        <f t="shared" si="385"/>
        <v>30720000</v>
      </c>
      <c r="K1810">
        <f t="shared" si="383"/>
        <v>103578657</v>
      </c>
      <c r="M1810">
        <f t="shared" si="388"/>
        <v>16133145</v>
      </c>
      <c r="N1810">
        <f t="shared" si="381"/>
        <v>119711802</v>
      </c>
      <c r="O1810">
        <f t="shared" si="390"/>
        <v>0.651304138842411</v>
      </c>
    </row>
    <row r="1811" ht="13.9" spans="1:15">
      <c r="A1811" s="42" t="s">
        <v>1206</v>
      </c>
      <c r="B1811" s="11">
        <v>16889191</v>
      </c>
      <c r="D1811" s="11">
        <v>53</v>
      </c>
      <c r="E1811">
        <f t="shared" si="386"/>
        <v>53</v>
      </c>
      <c r="H1811">
        <f t="shared" si="389"/>
        <v>53000000</v>
      </c>
      <c r="I1811">
        <f t="shared" si="385"/>
        <v>25440000</v>
      </c>
      <c r="K1811">
        <f t="shared" si="383"/>
        <v>86689466</v>
      </c>
      <c r="M1811">
        <f t="shared" si="388"/>
        <v>16889191</v>
      </c>
      <c r="N1811">
        <f t="shared" si="381"/>
        <v>103578657</v>
      </c>
      <c r="O1811">
        <f t="shared" si="390"/>
        <v>0.745297494641819</v>
      </c>
    </row>
    <row r="1812" ht="13.9" spans="1:15">
      <c r="A1812" s="42" t="s">
        <v>1207</v>
      </c>
      <c r="B1812" s="11">
        <v>14759207</v>
      </c>
      <c r="D1812" s="11">
        <v>42</v>
      </c>
      <c r="E1812">
        <f t="shared" si="386"/>
        <v>42</v>
      </c>
      <c r="H1812">
        <f t="shared" si="389"/>
        <v>42000000</v>
      </c>
      <c r="I1812">
        <f t="shared" si="385"/>
        <v>20160000</v>
      </c>
      <c r="K1812">
        <f t="shared" si="383"/>
        <v>71930259</v>
      </c>
      <c r="M1812">
        <f t="shared" si="388"/>
        <v>14759207</v>
      </c>
      <c r="N1812">
        <f t="shared" si="381"/>
        <v>86689466</v>
      </c>
      <c r="O1812">
        <f t="shared" si="390"/>
        <v>0.580458515790793</v>
      </c>
    </row>
    <row r="1813" ht="13.9" spans="1:15">
      <c r="A1813" s="42" t="s">
        <v>1208</v>
      </c>
      <c r="B1813" s="11">
        <v>15504984</v>
      </c>
      <c r="D1813" s="11">
        <v>33</v>
      </c>
      <c r="E1813">
        <f t="shared" si="386"/>
        <v>33</v>
      </c>
      <c r="H1813">
        <f t="shared" si="389"/>
        <v>33000000</v>
      </c>
      <c r="I1813">
        <f t="shared" si="385"/>
        <v>15840000</v>
      </c>
      <c r="K1813">
        <f t="shared" si="383"/>
        <v>56425275</v>
      </c>
      <c r="M1813">
        <f t="shared" si="388"/>
        <v>15504984</v>
      </c>
      <c r="N1813">
        <f t="shared" si="381"/>
        <v>71930259</v>
      </c>
      <c r="O1813">
        <f t="shared" si="390"/>
        <v>0.607246623120505</v>
      </c>
    </row>
    <row r="1814" ht="13.85" spans="1:15">
      <c r="A1814" s="43">
        <v>39029</v>
      </c>
      <c r="B1814" s="11">
        <v>13174219</v>
      </c>
      <c r="D1814" s="11">
        <v>25</v>
      </c>
      <c r="E1814">
        <f t="shared" si="386"/>
        <v>25</v>
      </c>
      <c r="H1814">
        <f t="shared" si="389"/>
        <v>25000000</v>
      </c>
      <c r="I1814">
        <f t="shared" si="385"/>
        <v>12000000</v>
      </c>
      <c r="K1814">
        <f t="shared" si="383"/>
        <v>43251056</v>
      </c>
      <c r="M1814">
        <f t="shared" si="388"/>
        <v>13174219</v>
      </c>
      <c r="N1814">
        <f t="shared" si="381"/>
        <v>56425275</v>
      </c>
      <c r="O1814">
        <f t="shared" si="390"/>
        <v>0.346377782054389</v>
      </c>
    </row>
    <row r="1815" ht="13.85" spans="1:15">
      <c r="A1815" s="43">
        <v>38906</v>
      </c>
      <c r="B1815" s="11">
        <v>14435106</v>
      </c>
      <c r="D1815" s="11">
        <v>20</v>
      </c>
      <c r="E1815">
        <f t="shared" si="386"/>
        <v>20</v>
      </c>
      <c r="H1815">
        <f t="shared" si="389"/>
        <v>20000000</v>
      </c>
      <c r="I1815">
        <f t="shared" si="385"/>
        <v>9600000</v>
      </c>
      <c r="K1815">
        <f t="shared" si="383"/>
        <v>28815950</v>
      </c>
      <c r="M1815">
        <f t="shared" si="388"/>
        <v>14435106</v>
      </c>
      <c r="N1815">
        <f t="shared" si="381"/>
        <v>43251056</v>
      </c>
      <c r="O1815">
        <f t="shared" si="390"/>
        <v>0.386058620221859</v>
      </c>
    </row>
    <row r="1816" ht="13.85" spans="1:15">
      <c r="A1816" s="43">
        <v>38815</v>
      </c>
      <c r="B1816" s="11">
        <v>12951401</v>
      </c>
      <c r="D1816" s="11">
        <v>15</v>
      </c>
      <c r="E1816">
        <f t="shared" si="386"/>
        <v>15</v>
      </c>
      <c r="H1816">
        <f t="shared" si="389"/>
        <v>15000000</v>
      </c>
      <c r="I1816">
        <f t="shared" si="385"/>
        <v>7200000</v>
      </c>
      <c r="K1816">
        <f t="shared" si="383"/>
        <v>15864549</v>
      </c>
      <c r="M1816">
        <f t="shared" si="388"/>
        <v>12951401</v>
      </c>
      <c r="N1816">
        <f t="shared" si="381"/>
        <v>28815950</v>
      </c>
      <c r="O1816">
        <f t="shared" si="390"/>
        <v>0</v>
      </c>
    </row>
    <row r="1817" ht="13.9" spans="1:15">
      <c r="A1817" s="42" t="s">
        <v>1209</v>
      </c>
      <c r="B1817" s="11">
        <v>15864549</v>
      </c>
      <c r="D1817" s="11">
        <v>33</v>
      </c>
      <c r="E1817">
        <f t="shared" si="386"/>
        <v>33</v>
      </c>
      <c r="H1817">
        <f t="shared" si="389"/>
        <v>33000000</v>
      </c>
      <c r="I1817">
        <f t="shared" si="385"/>
        <v>15840000</v>
      </c>
      <c r="K1817">
        <f t="shared" si="383"/>
        <v>57725379</v>
      </c>
      <c r="M1817">
        <f t="shared" si="388"/>
        <v>15864549</v>
      </c>
      <c r="N1817">
        <f t="shared" si="381"/>
        <v>73589928</v>
      </c>
      <c r="O1817">
        <f t="shared" si="390"/>
        <v>0.606562812498318</v>
      </c>
    </row>
    <row r="1818" ht="13.9" spans="1:15">
      <c r="A1818" s="42" t="s">
        <v>1210</v>
      </c>
      <c r="B1818" s="11">
        <v>13189071</v>
      </c>
      <c r="D1818" s="11">
        <v>25</v>
      </c>
      <c r="E1818">
        <f t="shared" si="386"/>
        <v>25</v>
      </c>
      <c r="H1818">
        <f t="shared" si="389"/>
        <v>25000000</v>
      </c>
      <c r="I1818">
        <f t="shared" si="385"/>
        <v>12000000</v>
      </c>
      <c r="K1818">
        <f t="shared" si="383"/>
        <v>44536308</v>
      </c>
      <c r="M1818">
        <f t="shared" si="388"/>
        <v>13189071</v>
      </c>
      <c r="N1818">
        <f t="shared" si="381"/>
        <v>57725379</v>
      </c>
      <c r="O1818">
        <f t="shared" si="390"/>
        <v>0.332441768834887</v>
      </c>
    </row>
    <row r="1819" ht="13.9" spans="1:15">
      <c r="A1819" s="42" t="s">
        <v>1211</v>
      </c>
      <c r="B1819" s="11">
        <v>15040228</v>
      </c>
      <c r="D1819" s="11">
        <v>20</v>
      </c>
      <c r="E1819">
        <f t="shared" si="386"/>
        <v>20</v>
      </c>
      <c r="H1819">
        <f t="shared" si="389"/>
        <v>20000000</v>
      </c>
      <c r="I1819">
        <f t="shared" si="385"/>
        <v>9600000</v>
      </c>
      <c r="K1819">
        <f t="shared" si="383"/>
        <v>29496080</v>
      </c>
      <c r="M1819">
        <f t="shared" si="388"/>
        <v>15040228</v>
      </c>
      <c r="N1819">
        <f t="shared" si="381"/>
        <v>44536308</v>
      </c>
      <c r="O1819">
        <f t="shared" si="390"/>
        <v>0.380502532739009</v>
      </c>
    </row>
    <row r="1820" ht="13.9" spans="1:15">
      <c r="A1820" s="42" t="s">
        <v>1212</v>
      </c>
      <c r="B1820" s="11">
        <v>13140517</v>
      </c>
      <c r="D1820" s="11">
        <v>15</v>
      </c>
      <c r="E1820">
        <f t="shared" si="386"/>
        <v>15</v>
      </c>
      <c r="H1820">
        <f t="shared" si="389"/>
        <v>15000000</v>
      </c>
      <c r="I1820">
        <f t="shared" si="385"/>
        <v>7200000</v>
      </c>
      <c r="K1820">
        <f t="shared" si="383"/>
        <v>16355563</v>
      </c>
      <c r="M1820">
        <f t="shared" si="388"/>
        <v>13140517</v>
      </c>
      <c r="N1820">
        <f t="shared" si="381"/>
        <v>29496080</v>
      </c>
      <c r="O1820">
        <f t="shared" si="390"/>
        <v>0</v>
      </c>
    </row>
    <row r="1821" ht="13.9" spans="1:15">
      <c r="A1821" s="42" t="s">
        <v>1213</v>
      </c>
      <c r="B1821" s="11">
        <v>16355563</v>
      </c>
      <c r="D1821" s="11">
        <v>35</v>
      </c>
      <c r="E1821">
        <f t="shared" si="386"/>
        <v>35</v>
      </c>
      <c r="H1821">
        <f t="shared" si="389"/>
        <v>35000000</v>
      </c>
      <c r="I1821">
        <f t="shared" si="385"/>
        <v>16800000</v>
      </c>
      <c r="K1821">
        <f t="shared" si="383"/>
        <v>79165932</v>
      </c>
      <c r="M1821">
        <f t="shared" si="388"/>
        <v>16355563</v>
      </c>
      <c r="N1821">
        <f t="shared" si="381"/>
        <v>95521495</v>
      </c>
      <c r="O1821">
        <f t="shared" si="390"/>
        <v>0.62522199722721</v>
      </c>
    </row>
    <row r="1822" ht="13.9" spans="1:15">
      <c r="A1822" s="42" t="s">
        <v>1214</v>
      </c>
      <c r="B1822" s="11">
        <v>14394887</v>
      </c>
      <c r="D1822" s="11">
        <v>26</v>
      </c>
      <c r="E1822">
        <f t="shared" si="386"/>
        <v>26</v>
      </c>
      <c r="H1822">
        <f t="shared" si="389"/>
        <v>26000000</v>
      </c>
      <c r="I1822">
        <f t="shared" si="385"/>
        <v>12480000</v>
      </c>
      <c r="K1822">
        <f t="shared" si="383"/>
        <v>64771045</v>
      </c>
      <c r="M1822">
        <f t="shared" si="388"/>
        <v>14394887</v>
      </c>
      <c r="N1822">
        <f t="shared" si="381"/>
        <v>79165932</v>
      </c>
      <c r="O1822">
        <f t="shared" si="390"/>
        <v>0.381086547613112</v>
      </c>
    </row>
    <row r="1823" ht="13.85" spans="1:15">
      <c r="A1823" s="43">
        <v>38633</v>
      </c>
      <c r="B1823" s="11">
        <v>15744455</v>
      </c>
      <c r="D1823" s="11">
        <v>20</v>
      </c>
      <c r="E1823">
        <f t="shared" si="386"/>
        <v>20</v>
      </c>
      <c r="H1823">
        <f t="shared" si="389"/>
        <v>20000000</v>
      </c>
      <c r="I1823">
        <f t="shared" si="385"/>
        <v>9600000</v>
      </c>
      <c r="K1823">
        <f t="shared" si="383"/>
        <v>49026590</v>
      </c>
      <c r="M1823">
        <f t="shared" si="388"/>
        <v>15744455</v>
      </c>
      <c r="N1823">
        <f t="shared" ref="N1823:N1886" si="391">IF(H1823&lt;H1824,M1823+M1824,M1823+N1824)</f>
        <v>64771045</v>
      </c>
      <c r="O1823">
        <f t="shared" si="390"/>
        <v>0.351617415498072</v>
      </c>
    </row>
    <row r="1824" ht="13.85" spans="1:15">
      <c r="A1824" s="43">
        <v>38541</v>
      </c>
      <c r="B1824" s="11">
        <v>14220001</v>
      </c>
      <c r="D1824" s="11">
        <v>15</v>
      </c>
      <c r="E1824">
        <f t="shared" si="386"/>
        <v>15</v>
      </c>
      <c r="H1824">
        <f t="shared" si="389"/>
        <v>15000000</v>
      </c>
      <c r="I1824">
        <f t="shared" si="385"/>
        <v>7200000</v>
      </c>
      <c r="K1824">
        <f t="shared" si="383"/>
        <v>34806589</v>
      </c>
      <c r="M1824">
        <f t="shared" si="388"/>
        <v>14220001</v>
      </c>
      <c r="N1824">
        <f t="shared" si="391"/>
        <v>49026590</v>
      </c>
      <c r="O1824">
        <f t="shared" si="390"/>
        <v>0</v>
      </c>
    </row>
    <row r="1825" ht="13.85" spans="1:15">
      <c r="A1825" s="43">
        <v>38419</v>
      </c>
      <c r="B1825" s="11">
        <v>34806589</v>
      </c>
      <c r="D1825" s="11">
        <v>179</v>
      </c>
      <c r="E1825">
        <f t="shared" si="386"/>
        <v>179</v>
      </c>
      <c r="H1825">
        <f t="shared" si="389"/>
        <v>179000000</v>
      </c>
      <c r="I1825">
        <f t="shared" si="385"/>
        <v>85920000</v>
      </c>
      <c r="K1825">
        <f t="shared" si="383"/>
        <v>339920087</v>
      </c>
      <c r="M1825">
        <f t="shared" si="388"/>
        <v>34806589</v>
      </c>
      <c r="N1825">
        <f t="shared" si="391"/>
        <v>374726676</v>
      </c>
      <c r="O1825">
        <f t="shared" ref="O1825:O1845" si="392">IF(H1825&gt;H1826,(H1825-H1826)/M1826,0)</f>
        <v>0.569350013279252</v>
      </c>
    </row>
    <row r="1826" ht="13.9" spans="1:15">
      <c r="A1826" s="42" t="s">
        <v>1215</v>
      </c>
      <c r="B1826" s="11">
        <v>29858610</v>
      </c>
      <c r="D1826" s="11">
        <v>162</v>
      </c>
      <c r="E1826">
        <f t="shared" si="386"/>
        <v>162</v>
      </c>
      <c r="H1826">
        <f t="shared" si="389"/>
        <v>162000000</v>
      </c>
      <c r="I1826">
        <f t="shared" si="385"/>
        <v>77760000</v>
      </c>
      <c r="K1826">
        <f t="shared" si="383"/>
        <v>310061477</v>
      </c>
      <c r="M1826">
        <f t="shared" si="388"/>
        <v>29858610</v>
      </c>
      <c r="N1826">
        <f t="shared" si="391"/>
        <v>339920087</v>
      </c>
      <c r="O1826">
        <f t="shared" si="392"/>
        <v>0.626990520739314</v>
      </c>
    </row>
    <row r="1827" ht="13.9" spans="1:15">
      <c r="A1827" s="42" t="s">
        <v>1216</v>
      </c>
      <c r="B1827" s="11">
        <v>28708568</v>
      </c>
      <c r="D1827" s="11">
        <v>144</v>
      </c>
      <c r="E1827">
        <f t="shared" si="386"/>
        <v>144</v>
      </c>
      <c r="H1827">
        <f t="shared" si="389"/>
        <v>144000000</v>
      </c>
      <c r="I1827">
        <f t="shared" si="385"/>
        <v>69120000</v>
      </c>
      <c r="K1827">
        <f t="shared" si="383"/>
        <v>281352909</v>
      </c>
      <c r="M1827">
        <f t="shared" si="388"/>
        <v>28708568</v>
      </c>
      <c r="N1827">
        <f t="shared" si="391"/>
        <v>310061477</v>
      </c>
      <c r="O1827">
        <f t="shared" si="392"/>
        <v>0.767610551574642</v>
      </c>
    </row>
    <row r="1828" ht="13.9" spans="1:15">
      <c r="A1828" s="42" t="s">
        <v>1217</v>
      </c>
      <c r="B1828" s="11">
        <v>24752135</v>
      </c>
      <c r="D1828" s="11">
        <v>125</v>
      </c>
      <c r="E1828">
        <f t="shared" si="386"/>
        <v>125</v>
      </c>
      <c r="H1828">
        <f t="shared" si="389"/>
        <v>125000000</v>
      </c>
      <c r="I1828">
        <f t="shared" si="385"/>
        <v>60000000</v>
      </c>
      <c r="K1828">
        <f t="shared" si="383"/>
        <v>256600774</v>
      </c>
      <c r="M1828">
        <f t="shared" si="388"/>
        <v>24752135</v>
      </c>
      <c r="N1828">
        <f t="shared" si="391"/>
        <v>281352909</v>
      </c>
      <c r="O1828">
        <f t="shared" si="392"/>
        <v>0.803600677483587</v>
      </c>
    </row>
    <row r="1829" ht="13.9" spans="1:15">
      <c r="A1829" s="42" t="s">
        <v>1218</v>
      </c>
      <c r="B1829" s="11">
        <v>24887983</v>
      </c>
      <c r="D1829" s="11">
        <v>105</v>
      </c>
      <c r="E1829">
        <f t="shared" si="386"/>
        <v>105</v>
      </c>
      <c r="H1829">
        <f t="shared" si="389"/>
        <v>105000000</v>
      </c>
      <c r="I1829">
        <f t="shared" si="385"/>
        <v>50400000</v>
      </c>
      <c r="K1829">
        <f t="shared" si="383"/>
        <v>231712791</v>
      </c>
      <c r="M1829">
        <f t="shared" si="388"/>
        <v>24887983</v>
      </c>
      <c r="N1829">
        <f t="shared" si="391"/>
        <v>256600774</v>
      </c>
      <c r="O1829">
        <f t="shared" si="392"/>
        <v>0.682404706447774</v>
      </c>
    </row>
    <row r="1830" ht="13.9" spans="1:15">
      <c r="A1830" s="42" t="s">
        <v>1219</v>
      </c>
      <c r="B1830" s="11">
        <v>20515685</v>
      </c>
      <c r="D1830" s="11">
        <v>91</v>
      </c>
      <c r="E1830">
        <f t="shared" si="386"/>
        <v>91</v>
      </c>
      <c r="H1830">
        <f t="shared" si="389"/>
        <v>91000000</v>
      </c>
      <c r="I1830">
        <f t="shared" si="385"/>
        <v>43680000</v>
      </c>
      <c r="K1830">
        <f t="shared" si="383"/>
        <v>211197106</v>
      </c>
      <c r="M1830">
        <f t="shared" si="388"/>
        <v>20515685</v>
      </c>
      <c r="N1830">
        <f t="shared" si="391"/>
        <v>231712791</v>
      </c>
      <c r="O1830">
        <f t="shared" si="392"/>
        <v>0.5270066725273</v>
      </c>
    </row>
    <row r="1831" ht="13.85" spans="1:15">
      <c r="A1831" s="43">
        <v>38329</v>
      </c>
      <c r="B1831" s="11">
        <v>20872601</v>
      </c>
      <c r="D1831" s="11">
        <v>80</v>
      </c>
      <c r="E1831">
        <f t="shared" si="386"/>
        <v>80</v>
      </c>
      <c r="H1831">
        <f t="shared" si="389"/>
        <v>80000000</v>
      </c>
      <c r="I1831">
        <f t="shared" si="385"/>
        <v>38400000</v>
      </c>
      <c r="K1831">
        <f t="shared" si="383"/>
        <v>190324505</v>
      </c>
      <c r="M1831">
        <f t="shared" si="388"/>
        <v>20872601</v>
      </c>
      <c r="N1831">
        <f t="shared" si="391"/>
        <v>211197106</v>
      </c>
      <c r="O1831">
        <f t="shared" si="392"/>
        <v>0.665244263557138</v>
      </c>
    </row>
    <row r="1832" ht="13.85" spans="1:15">
      <c r="A1832" s="43">
        <v>38238</v>
      </c>
      <c r="B1832" s="11">
        <v>18038487</v>
      </c>
      <c r="D1832" s="11">
        <v>68</v>
      </c>
      <c r="E1832">
        <f t="shared" si="386"/>
        <v>68</v>
      </c>
      <c r="H1832">
        <f t="shared" si="389"/>
        <v>68000000</v>
      </c>
      <c r="I1832">
        <f t="shared" si="385"/>
        <v>32640000</v>
      </c>
      <c r="K1832">
        <f t="shared" si="383"/>
        <v>172286018</v>
      </c>
      <c r="M1832">
        <f t="shared" si="388"/>
        <v>18038487</v>
      </c>
      <c r="N1832">
        <f t="shared" si="391"/>
        <v>190324505</v>
      </c>
      <c r="O1832">
        <f t="shared" si="392"/>
        <v>0.568640578367434</v>
      </c>
    </row>
    <row r="1833" ht="13.85" spans="1:15">
      <c r="A1833" s="43">
        <v>38115</v>
      </c>
      <c r="B1833" s="11">
        <v>19344381</v>
      </c>
      <c r="D1833" s="11">
        <v>57</v>
      </c>
      <c r="E1833">
        <f t="shared" si="386"/>
        <v>57</v>
      </c>
      <c r="H1833">
        <f t="shared" si="389"/>
        <v>57000000</v>
      </c>
      <c r="I1833">
        <f t="shared" si="385"/>
        <v>27360000</v>
      </c>
      <c r="K1833">
        <f t="shared" si="383"/>
        <v>152941637</v>
      </c>
      <c r="M1833">
        <f t="shared" si="388"/>
        <v>19344381</v>
      </c>
      <c r="N1833">
        <f t="shared" si="391"/>
        <v>172286018</v>
      </c>
      <c r="O1833">
        <f t="shared" si="392"/>
        <v>0.663743339863562</v>
      </c>
    </row>
    <row r="1834" ht="13.85" spans="1:15">
      <c r="A1834" s="43">
        <v>38025</v>
      </c>
      <c r="B1834" s="11">
        <v>16572671</v>
      </c>
      <c r="D1834" s="11">
        <v>46</v>
      </c>
      <c r="E1834">
        <f t="shared" si="386"/>
        <v>46</v>
      </c>
      <c r="H1834">
        <f t="shared" si="389"/>
        <v>46000000</v>
      </c>
      <c r="I1834">
        <f t="shared" si="385"/>
        <v>22080000</v>
      </c>
      <c r="K1834">
        <f t="shared" ref="K1834:K1897" si="393">IF(E1834&gt;E1835,B1835+K1835,B1835)</f>
        <v>136368966</v>
      </c>
      <c r="M1834">
        <f t="shared" si="388"/>
        <v>16572671</v>
      </c>
      <c r="N1834">
        <f t="shared" si="391"/>
        <v>152941637</v>
      </c>
      <c r="O1834">
        <f t="shared" si="392"/>
        <v>0.578757493317955</v>
      </c>
    </row>
    <row r="1835" ht="13.9" spans="1:15">
      <c r="A1835" s="42" t="s">
        <v>1220</v>
      </c>
      <c r="B1835" s="11">
        <v>17278394</v>
      </c>
      <c r="D1835" s="11">
        <v>36</v>
      </c>
      <c r="E1835">
        <f t="shared" si="386"/>
        <v>36</v>
      </c>
      <c r="H1835">
        <f t="shared" si="389"/>
        <v>36000000</v>
      </c>
      <c r="I1835">
        <f t="shared" si="385"/>
        <v>17280000</v>
      </c>
      <c r="K1835">
        <f t="shared" si="393"/>
        <v>119090572</v>
      </c>
      <c r="M1835">
        <f t="shared" si="388"/>
        <v>17278394</v>
      </c>
      <c r="N1835">
        <f t="shared" si="391"/>
        <v>136368966</v>
      </c>
      <c r="O1835">
        <f t="shared" si="392"/>
        <v>0.67105730513989</v>
      </c>
    </row>
    <row r="1836" ht="13.9" spans="1:15">
      <c r="A1836" s="42" t="s">
        <v>1221</v>
      </c>
      <c r="B1836" s="11">
        <v>14901857</v>
      </c>
      <c r="D1836" s="11">
        <v>26</v>
      </c>
      <c r="E1836">
        <f t="shared" si="386"/>
        <v>26</v>
      </c>
      <c r="H1836">
        <f t="shared" si="389"/>
        <v>26000000</v>
      </c>
      <c r="I1836">
        <f t="shared" si="385"/>
        <v>12480000</v>
      </c>
      <c r="K1836">
        <f t="shared" si="393"/>
        <v>104188715</v>
      </c>
      <c r="M1836">
        <f t="shared" si="388"/>
        <v>14901857</v>
      </c>
      <c r="N1836">
        <f t="shared" si="391"/>
        <v>119090572</v>
      </c>
      <c r="O1836">
        <f t="shared" si="392"/>
        <v>0.363877956546301</v>
      </c>
    </row>
    <row r="1837" ht="13.9" spans="1:15">
      <c r="A1837" s="42" t="s">
        <v>1222</v>
      </c>
      <c r="B1837" s="11">
        <v>16489045</v>
      </c>
      <c r="D1837" s="11">
        <v>20</v>
      </c>
      <c r="E1837">
        <f t="shared" si="386"/>
        <v>20</v>
      </c>
      <c r="H1837">
        <f t="shared" si="389"/>
        <v>20000000</v>
      </c>
      <c r="I1837">
        <f t="shared" si="385"/>
        <v>9600000</v>
      </c>
      <c r="K1837">
        <f t="shared" si="393"/>
        <v>87699670</v>
      </c>
      <c r="M1837">
        <f t="shared" si="388"/>
        <v>16489045</v>
      </c>
      <c r="N1837">
        <f t="shared" si="391"/>
        <v>104188715</v>
      </c>
      <c r="O1837">
        <f t="shared" si="392"/>
        <v>0.329510875374637</v>
      </c>
    </row>
    <row r="1838" ht="13.9" spans="1:15">
      <c r="A1838" s="42" t="s">
        <v>1223</v>
      </c>
      <c r="B1838" s="11">
        <v>15174006</v>
      </c>
      <c r="D1838" s="11">
        <v>15</v>
      </c>
      <c r="E1838">
        <f t="shared" si="386"/>
        <v>15</v>
      </c>
      <c r="H1838">
        <f t="shared" si="389"/>
        <v>15000000</v>
      </c>
      <c r="I1838">
        <f t="shared" si="385"/>
        <v>7200000</v>
      </c>
      <c r="K1838">
        <f t="shared" si="393"/>
        <v>72525664</v>
      </c>
      <c r="M1838">
        <f t="shared" si="388"/>
        <v>15174006</v>
      </c>
      <c r="N1838">
        <f t="shared" si="391"/>
        <v>87699670</v>
      </c>
      <c r="O1838">
        <f t="shared" si="392"/>
        <v>0</v>
      </c>
    </row>
    <row r="1839" ht="13.9" spans="1:15">
      <c r="A1839" s="42" t="s">
        <v>1224</v>
      </c>
      <c r="B1839" s="11">
        <v>72525664</v>
      </c>
      <c r="D1839" s="11">
        <v>275</v>
      </c>
      <c r="E1839">
        <f t="shared" si="386"/>
        <v>275</v>
      </c>
      <c r="H1839">
        <f t="shared" si="389"/>
        <v>275000000</v>
      </c>
      <c r="I1839">
        <f t="shared" ref="I1839:I1902" si="394">H1839*0.48</f>
        <v>132000000</v>
      </c>
      <c r="K1839">
        <f t="shared" si="393"/>
        <v>412408015</v>
      </c>
      <c r="M1839">
        <f t="shared" si="388"/>
        <v>72525664</v>
      </c>
      <c r="N1839">
        <f t="shared" si="391"/>
        <v>484933679</v>
      </c>
      <c r="O1839">
        <f t="shared" si="392"/>
        <v>0.810654274200782</v>
      </c>
    </row>
    <row r="1840" ht="13.85" spans="1:15">
      <c r="A1840" s="43">
        <v>37963</v>
      </c>
      <c r="B1840" s="11">
        <v>55510717</v>
      </c>
      <c r="D1840" s="11">
        <v>230</v>
      </c>
      <c r="E1840">
        <f t="shared" si="386"/>
        <v>230</v>
      </c>
      <c r="H1840">
        <f t="shared" si="389"/>
        <v>230000000</v>
      </c>
      <c r="I1840">
        <f t="shared" si="394"/>
        <v>110400000</v>
      </c>
      <c r="K1840">
        <f t="shared" si="393"/>
        <v>356897298</v>
      </c>
      <c r="M1840">
        <f t="shared" si="388"/>
        <v>55510717</v>
      </c>
      <c r="N1840">
        <f t="shared" si="391"/>
        <v>412408015</v>
      </c>
      <c r="O1840">
        <f t="shared" si="392"/>
        <v>0.634727744853157</v>
      </c>
    </row>
    <row r="1841" ht="13.85" spans="1:15">
      <c r="A1841" s="43">
        <v>37841</v>
      </c>
      <c r="B1841" s="11">
        <v>47264359</v>
      </c>
      <c r="D1841" s="11">
        <v>200</v>
      </c>
      <c r="E1841">
        <f t="shared" si="386"/>
        <v>200</v>
      </c>
      <c r="H1841">
        <f t="shared" si="389"/>
        <v>200000000</v>
      </c>
      <c r="I1841">
        <f t="shared" si="394"/>
        <v>96000000</v>
      </c>
      <c r="K1841">
        <f t="shared" si="393"/>
        <v>309632939</v>
      </c>
      <c r="M1841">
        <f t="shared" si="388"/>
        <v>47264359</v>
      </c>
      <c r="N1841">
        <f t="shared" si="391"/>
        <v>356897298</v>
      </c>
      <c r="O1841">
        <f t="shared" si="392"/>
        <v>0.751637337545769</v>
      </c>
    </row>
    <row r="1842" ht="13.85" spans="1:15">
      <c r="A1842" s="43">
        <v>37749</v>
      </c>
      <c r="B1842" s="11">
        <v>35921579</v>
      </c>
      <c r="D1842" s="11">
        <v>173</v>
      </c>
      <c r="E1842">
        <f t="shared" si="386"/>
        <v>173</v>
      </c>
      <c r="H1842">
        <f t="shared" si="389"/>
        <v>173000000</v>
      </c>
      <c r="I1842">
        <f t="shared" si="394"/>
        <v>83040000</v>
      </c>
      <c r="K1842">
        <f t="shared" si="393"/>
        <v>273711360</v>
      </c>
      <c r="M1842">
        <f t="shared" si="388"/>
        <v>35921579</v>
      </c>
      <c r="N1842">
        <f t="shared" si="391"/>
        <v>309632939</v>
      </c>
      <c r="O1842">
        <f t="shared" si="392"/>
        <v>0.60385490707141</v>
      </c>
    </row>
    <row r="1843" ht="13.85" spans="1:15">
      <c r="A1843" s="43">
        <v>37629</v>
      </c>
      <c r="B1843" s="11">
        <v>33120539</v>
      </c>
      <c r="D1843" s="11">
        <v>153</v>
      </c>
      <c r="E1843">
        <f t="shared" si="386"/>
        <v>153</v>
      </c>
      <c r="H1843">
        <f t="shared" si="389"/>
        <v>153000000</v>
      </c>
      <c r="I1843">
        <f t="shared" si="394"/>
        <v>73440000</v>
      </c>
      <c r="K1843">
        <f t="shared" si="393"/>
        <v>240590821</v>
      </c>
      <c r="M1843">
        <f t="shared" si="388"/>
        <v>33120539</v>
      </c>
      <c r="N1843">
        <f t="shared" si="391"/>
        <v>273711360</v>
      </c>
      <c r="O1843">
        <f t="shared" si="392"/>
        <v>0.71327915003374</v>
      </c>
    </row>
    <row r="1844" ht="13.9" spans="1:15">
      <c r="A1844" s="42" t="s">
        <v>1225</v>
      </c>
      <c r="B1844" s="11">
        <v>28039513</v>
      </c>
      <c r="D1844" s="11">
        <v>133</v>
      </c>
      <c r="E1844">
        <f t="shared" si="386"/>
        <v>133</v>
      </c>
      <c r="H1844">
        <f t="shared" si="389"/>
        <v>133000000</v>
      </c>
      <c r="I1844">
        <f t="shared" si="394"/>
        <v>63840000</v>
      </c>
      <c r="K1844">
        <f t="shared" si="393"/>
        <v>212551308</v>
      </c>
      <c r="M1844">
        <f t="shared" si="388"/>
        <v>28039513</v>
      </c>
      <c r="N1844">
        <f t="shared" si="391"/>
        <v>240590821</v>
      </c>
      <c r="O1844">
        <f t="shared" si="392"/>
        <v>0.684793974786951</v>
      </c>
    </row>
    <row r="1845" ht="13.9" spans="1:15">
      <c r="A1845" s="42" t="s">
        <v>1226</v>
      </c>
      <c r="B1845" s="11">
        <v>26285278</v>
      </c>
      <c r="D1845" s="11">
        <v>115</v>
      </c>
      <c r="E1845">
        <f t="shared" si="386"/>
        <v>115</v>
      </c>
      <c r="H1845">
        <f t="shared" si="389"/>
        <v>115000000</v>
      </c>
      <c r="I1845">
        <f t="shared" si="394"/>
        <v>55200000</v>
      </c>
      <c r="K1845">
        <f t="shared" si="393"/>
        <v>186266030</v>
      </c>
      <c r="M1845">
        <f t="shared" si="388"/>
        <v>26285278</v>
      </c>
      <c r="N1845">
        <f t="shared" si="391"/>
        <v>212551308</v>
      </c>
      <c r="O1845">
        <f t="shared" si="392"/>
        <v>0.650886544356985</v>
      </c>
    </row>
    <row r="1846" ht="13.9" spans="1:15">
      <c r="A1846" s="42" t="s">
        <v>1227</v>
      </c>
      <c r="B1846" s="11">
        <v>23045491</v>
      </c>
      <c r="D1846" s="11">
        <v>100</v>
      </c>
      <c r="E1846">
        <f t="shared" si="386"/>
        <v>100</v>
      </c>
      <c r="H1846">
        <f t="shared" si="389"/>
        <v>100000000</v>
      </c>
      <c r="I1846">
        <f t="shared" si="394"/>
        <v>48000000</v>
      </c>
      <c r="K1846">
        <f t="shared" si="393"/>
        <v>163220539</v>
      </c>
      <c r="M1846">
        <f t="shared" si="388"/>
        <v>23045491</v>
      </c>
      <c r="N1846">
        <f t="shared" si="391"/>
        <v>186266030</v>
      </c>
      <c r="O1846">
        <f t="shared" ref="O1846:O1861" si="395">IF(H1846&gt;H1847,(H1846-H1847)/M1847,0)</f>
        <v>0.705990505940532</v>
      </c>
    </row>
    <row r="1847" ht="13.9" spans="1:15">
      <c r="A1847" s="42" t="s">
        <v>1228</v>
      </c>
      <c r="B1847" s="11">
        <v>19830295</v>
      </c>
      <c r="D1847" s="11">
        <v>86</v>
      </c>
      <c r="E1847">
        <f t="shared" si="386"/>
        <v>86</v>
      </c>
      <c r="H1847">
        <f t="shared" si="389"/>
        <v>86000000</v>
      </c>
      <c r="I1847">
        <f t="shared" si="394"/>
        <v>41280000</v>
      </c>
      <c r="K1847">
        <f t="shared" si="393"/>
        <v>143390244</v>
      </c>
      <c r="M1847">
        <f t="shared" si="388"/>
        <v>19830295</v>
      </c>
      <c r="N1847">
        <f t="shared" si="391"/>
        <v>163220539</v>
      </c>
      <c r="O1847">
        <f t="shared" si="395"/>
        <v>0.727898278641887</v>
      </c>
    </row>
    <row r="1848" ht="13.9" spans="1:15">
      <c r="A1848" s="42" t="s">
        <v>1229</v>
      </c>
      <c r="B1848" s="11">
        <v>16485820</v>
      </c>
      <c r="D1848" s="11">
        <v>74</v>
      </c>
      <c r="E1848">
        <f t="shared" si="386"/>
        <v>74</v>
      </c>
      <c r="H1848">
        <f t="shared" si="389"/>
        <v>74000000</v>
      </c>
      <c r="I1848">
        <f t="shared" si="394"/>
        <v>35520000</v>
      </c>
      <c r="K1848">
        <f t="shared" si="393"/>
        <v>126904424</v>
      </c>
      <c r="M1848">
        <f t="shared" si="388"/>
        <v>16485820</v>
      </c>
      <c r="N1848">
        <f t="shared" si="391"/>
        <v>143390244</v>
      </c>
      <c r="O1848">
        <f t="shared" si="395"/>
        <v>0.613871383788315</v>
      </c>
    </row>
    <row r="1849" ht="13.85" spans="1:15">
      <c r="A1849" s="43">
        <v>37507</v>
      </c>
      <c r="B1849" s="11">
        <v>17919063</v>
      </c>
      <c r="D1849" s="11">
        <v>63</v>
      </c>
      <c r="E1849">
        <f t="shared" si="386"/>
        <v>63</v>
      </c>
      <c r="H1849">
        <f t="shared" si="389"/>
        <v>63000000</v>
      </c>
      <c r="I1849">
        <f t="shared" si="394"/>
        <v>30240000</v>
      </c>
      <c r="K1849">
        <f t="shared" si="393"/>
        <v>108985361</v>
      </c>
      <c r="M1849">
        <f t="shared" si="388"/>
        <v>17919063</v>
      </c>
      <c r="N1849">
        <f t="shared" si="391"/>
        <v>126904424</v>
      </c>
      <c r="O1849">
        <f t="shared" si="395"/>
        <v>0.721324435599695</v>
      </c>
    </row>
    <row r="1850" ht="13.85" spans="1:15">
      <c r="A1850" s="43">
        <v>37415</v>
      </c>
      <c r="B1850" s="11">
        <v>15249726</v>
      </c>
      <c r="D1850" s="11">
        <v>52</v>
      </c>
      <c r="E1850">
        <f t="shared" si="386"/>
        <v>52</v>
      </c>
      <c r="H1850">
        <f t="shared" si="389"/>
        <v>52000000</v>
      </c>
      <c r="I1850">
        <f t="shared" si="394"/>
        <v>24960000</v>
      </c>
      <c r="K1850">
        <f t="shared" si="393"/>
        <v>93735635</v>
      </c>
      <c r="M1850">
        <f t="shared" si="388"/>
        <v>15249726</v>
      </c>
      <c r="N1850">
        <f t="shared" si="391"/>
        <v>108985361</v>
      </c>
      <c r="O1850">
        <f t="shared" si="395"/>
        <v>0.54417632473831</v>
      </c>
    </row>
    <row r="1851" ht="13.85" spans="1:15">
      <c r="A1851" s="43">
        <v>37295</v>
      </c>
      <c r="B1851" s="11">
        <v>16538757</v>
      </c>
      <c r="D1851" s="11">
        <v>43</v>
      </c>
      <c r="E1851">
        <f t="shared" si="386"/>
        <v>43</v>
      </c>
      <c r="H1851">
        <f t="shared" si="389"/>
        <v>43000000</v>
      </c>
      <c r="I1851">
        <f t="shared" si="394"/>
        <v>20640000</v>
      </c>
      <c r="K1851">
        <f t="shared" si="393"/>
        <v>77196878</v>
      </c>
      <c r="M1851">
        <f t="shared" si="388"/>
        <v>16538757</v>
      </c>
      <c r="N1851">
        <f t="shared" si="391"/>
        <v>93735635</v>
      </c>
      <c r="O1851">
        <f t="shared" si="395"/>
        <v>0.72080591868156</v>
      </c>
    </row>
    <row r="1852" ht="13.9" spans="1:15">
      <c r="A1852" s="42" t="s">
        <v>1230</v>
      </c>
      <c r="B1852" s="11">
        <v>13873360</v>
      </c>
      <c r="D1852" s="11">
        <v>33</v>
      </c>
      <c r="E1852">
        <f t="shared" si="386"/>
        <v>33</v>
      </c>
      <c r="H1852">
        <f t="shared" si="389"/>
        <v>33000000</v>
      </c>
      <c r="I1852">
        <f t="shared" si="394"/>
        <v>15840000</v>
      </c>
      <c r="K1852">
        <f t="shared" si="393"/>
        <v>63323518</v>
      </c>
      <c r="M1852">
        <f t="shared" si="388"/>
        <v>13873360</v>
      </c>
      <c r="N1852">
        <f t="shared" si="391"/>
        <v>77196878</v>
      </c>
      <c r="O1852">
        <f t="shared" si="395"/>
        <v>0.535306258078106</v>
      </c>
    </row>
    <row r="1853" ht="13.9" spans="1:15">
      <c r="A1853" s="42" t="s">
        <v>1231</v>
      </c>
      <c r="B1853" s="11">
        <v>14944716</v>
      </c>
      <c r="D1853" s="11">
        <v>25</v>
      </c>
      <c r="E1853">
        <f t="shared" si="386"/>
        <v>25</v>
      </c>
      <c r="H1853">
        <f t="shared" si="389"/>
        <v>25000000</v>
      </c>
      <c r="I1853">
        <f t="shared" si="394"/>
        <v>12000000</v>
      </c>
      <c r="K1853">
        <f t="shared" si="393"/>
        <v>48378802</v>
      </c>
      <c r="M1853">
        <f t="shared" si="388"/>
        <v>14944716</v>
      </c>
      <c r="N1853">
        <f t="shared" si="391"/>
        <v>63323518</v>
      </c>
      <c r="O1853">
        <f t="shared" si="395"/>
        <v>0.384268449323868</v>
      </c>
    </row>
    <row r="1854" ht="13.9" spans="1:15">
      <c r="A1854" s="42" t="s">
        <v>1232</v>
      </c>
      <c r="B1854" s="11">
        <v>13011737</v>
      </c>
      <c r="D1854" s="11">
        <v>20</v>
      </c>
      <c r="E1854">
        <f t="shared" si="386"/>
        <v>20</v>
      </c>
      <c r="H1854">
        <f t="shared" si="389"/>
        <v>20000000</v>
      </c>
      <c r="I1854">
        <f t="shared" si="394"/>
        <v>9600000</v>
      </c>
      <c r="K1854">
        <f t="shared" si="393"/>
        <v>35367065</v>
      </c>
      <c r="M1854">
        <f t="shared" si="388"/>
        <v>13011737</v>
      </c>
      <c r="N1854">
        <f t="shared" si="391"/>
        <v>48378802</v>
      </c>
      <c r="O1854">
        <f t="shared" si="395"/>
        <v>0.34102687694202</v>
      </c>
    </row>
    <row r="1855" ht="13.9" spans="1:15">
      <c r="A1855" s="42" t="s">
        <v>1233</v>
      </c>
      <c r="B1855" s="11">
        <v>14661601</v>
      </c>
      <c r="D1855" s="11">
        <v>15</v>
      </c>
      <c r="E1855">
        <f t="shared" si="386"/>
        <v>15</v>
      </c>
      <c r="H1855">
        <f t="shared" si="389"/>
        <v>15000000</v>
      </c>
      <c r="I1855">
        <f t="shared" si="394"/>
        <v>7200000</v>
      </c>
      <c r="K1855">
        <f t="shared" si="393"/>
        <v>20705464</v>
      </c>
      <c r="M1855">
        <f t="shared" si="388"/>
        <v>14661601</v>
      </c>
      <c r="N1855">
        <f t="shared" si="391"/>
        <v>35367065</v>
      </c>
      <c r="O1855">
        <f t="shared" si="395"/>
        <v>0</v>
      </c>
    </row>
    <row r="1856" ht="13.9" spans="1:15">
      <c r="A1856" s="42" t="s">
        <v>1234</v>
      </c>
      <c r="B1856" s="11">
        <v>20705464</v>
      </c>
      <c r="D1856" s="11">
        <v>95</v>
      </c>
      <c r="E1856">
        <f t="shared" ref="E1856:E1919" si="396">IF(RIGHT(D1856,1)="B",VALUE(LEFT(D1856,LEN(D1856)-1))*1000,D1856)</f>
        <v>95</v>
      </c>
      <c r="H1856">
        <f t="shared" si="389"/>
        <v>95000000</v>
      </c>
      <c r="I1856">
        <f t="shared" si="394"/>
        <v>45600000</v>
      </c>
      <c r="K1856">
        <f t="shared" si="393"/>
        <v>157030777</v>
      </c>
      <c r="M1856">
        <f t="shared" si="388"/>
        <v>20705464</v>
      </c>
      <c r="N1856">
        <f t="shared" si="391"/>
        <v>177736241</v>
      </c>
      <c r="O1856">
        <f t="shared" si="395"/>
        <v>0.592621535935755</v>
      </c>
    </row>
    <row r="1857" ht="13.85" spans="1:15">
      <c r="A1857" s="43">
        <v>37233</v>
      </c>
      <c r="B1857" s="11">
        <v>20249011</v>
      </c>
      <c r="D1857" s="11">
        <v>83</v>
      </c>
      <c r="E1857">
        <f t="shared" si="396"/>
        <v>83</v>
      </c>
      <c r="H1857">
        <f t="shared" si="389"/>
        <v>83000000</v>
      </c>
      <c r="I1857">
        <f t="shared" si="394"/>
        <v>39840000</v>
      </c>
      <c r="K1857">
        <f t="shared" si="393"/>
        <v>136781766</v>
      </c>
      <c r="M1857">
        <f t="shared" si="388"/>
        <v>20249011</v>
      </c>
      <c r="N1857">
        <f t="shared" si="391"/>
        <v>157030777</v>
      </c>
      <c r="O1857">
        <f t="shared" si="395"/>
        <v>0.691246150911016</v>
      </c>
    </row>
    <row r="1858" ht="13.85" spans="1:15">
      <c r="A1858" s="43">
        <v>37142</v>
      </c>
      <c r="B1858" s="11">
        <v>17359952</v>
      </c>
      <c r="D1858" s="11">
        <v>71</v>
      </c>
      <c r="E1858">
        <f t="shared" si="396"/>
        <v>71</v>
      </c>
      <c r="H1858">
        <f t="shared" si="389"/>
        <v>71000000</v>
      </c>
      <c r="I1858">
        <f t="shared" si="394"/>
        <v>34080000</v>
      </c>
      <c r="K1858">
        <f t="shared" si="393"/>
        <v>119421814</v>
      </c>
      <c r="M1858">
        <f t="shared" si="388"/>
        <v>17359952</v>
      </c>
      <c r="N1858">
        <f t="shared" si="391"/>
        <v>136781766</v>
      </c>
      <c r="O1858">
        <f t="shared" si="395"/>
        <v>0.447132855579329</v>
      </c>
    </row>
    <row r="1859" ht="13.85" spans="1:15">
      <c r="A1859" s="43">
        <v>37019</v>
      </c>
      <c r="B1859" s="11">
        <v>17891774</v>
      </c>
      <c r="D1859" s="11">
        <v>63</v>
      </c>
      <c r="E1859">
        <f t="shared" si="396"/>
        <v>63</v>
      </c>
      <c r="H1859">
        <f t="shared" si="389"/>
        <v>63000000</v>
      </c>
      <c r="I1859">
        <f t="shared" si="394"/>
        <v>30240000</v>
      </c>
      <c r="K1859">
        <f t="shared" si="393"/>
        <v>101530040</v>
      </c>
      <c r="M1859">
        <f t="shared" si="388"/>
        <v>17891774</v>
      </c>
      <c r="N1859">
        <f t="shared" si="391"/>
        <v>119421814</v>
      </c>
      <c r="O1859">
        <f t="shared" si="395"/>
        <v>0.752841360173542</v>
      </c>
    </row>
    <row r="1860" ht="13.85" spans="1:15">
      <c r="A1860" s="43">
        <v>36930</v>
      </c>
      <c r="B1860" s="11">
        <v>14611312</v>
      </c>
      <c r="D1860" s="11">
        <v>52</v>
      </c>
      <c r="E1860">
        <f t="shared" si="396"/>
        <v>52</v>
      </c>
      <c r="H1860">
        <f t="shared" si="389"/>
        <v>52000000</v>
      </c>
      <c r="I1860">
        <f t="shared" si="394"/>
        <v>24960000</v>
      </c>
      <c r="K1860">
        <f t="shared" si="393"/>
        <v>86918728</v>
      </c>
      <c r="M1860">
        <f t="shared" si="388"/>
        <v>14611312</v>
      </c>
      <c r="N1860">
        <f t="shared" si="391"/>
        <v>101530040</v>
      </c>
      <c r="O1860">
        <f t="shared" si="395"/>
        <v>0.613961019246511</v>
      </c>
    </row>
    <row r="1861" ht="13.9" spans="1:15">
      <c r="A1861" s="41" t="s">
        <v>1235</v>
      </c>
      <c r="B1861" s="13">
        <v>16287679</v>
      </c>
      <c r="D1861" s="13">
        <v>42</v>
      </c>
      <c r="E1861">
        <f t="shared" si="396"/>
        <v>42</v>
      </c>
      <c r="H1861">
        <f t="shared" si="389"/>
        <v>42000000</v>
      </c>
      <c r="I1861">
        <f t="shared" si="394"/>
        <v>20160000</v>
      </c>
      <c r="K1861">
        <f t="shared" si="393"/>
        <v>70631049</v>
      </c>
      <c r="M1861">
        <f t="shared" si="388"/>
        <v>16287679</v>
      </c>
      <c r="N1861">
        <f t="shared" si="391"/>
        <v>86918728</v>
      </c>
      <c r="O1861">
        <f t="shared" si="395"/>
        <v>0.729752346135549</v>
      </c>
    </row>
    <row r="1862" ht="13.9" spans="1:15">
      <c r="A1862" s="42" t="s">
        <v>1236</v>
      </c>
      <c r="B1862" s="11">
        <v>13703279</v>
      </c>
      <c r="D1862" s="11">
        <v>32</v>
      </c>
      <c r="E1862">
        <f t="shared" si="396"/>
        <v>32</v>
      </c>
      <c r="H1862">
        <f t="shared" si="389"/>
        <v>32000000</v>
      </c>
      <c r="I1862">
        <f t="shared" si="394"/>
        <v>15360000</v>
      </c>
      <c r="K1862">
        <f t="shared" si="393"/>
        <v>56927770</v>
      </c>
      <c r="M1862">
        <f t="shared" ref="M1862:M1925" si="397">B1862+C1862</f>
        <v>13703279</v>
      </c>
      <c r="N1862">
        <f t="shared" si="391"/>
        <v>70631049</v>
      </c>
      <c r="O1862">
        <f t="shared" ref="O1862:O1881" si="398">IF(H1862&gt;H1863,(H1862-H1863)/M1863,0)</f>
        <v>0.450959564646213</v>
      </c>
    </row>
    <row r="1863" ht="13.9" spans="1:15">
      <c r="A1863" s="42" t="s">
        <v>1237</v>
      </c>
      <c r="B1863" s="11">
        <v>15522456</v>
      </c>
      <c r="D1863" s="11">
        <v>25</v>
      </c>
      <c r="E1863">
        <f t="shared" si="396"/>
        <v>25</v>
      </c>
      <c r="H1863">
        <f t="shared" si="389"/>
        <v>25000000</v>
      </c>
      <c r="I1863">
        <f t="shared" si="394"/>
        <v>12000000</v>
      </c>
      <c r="K1863">
        <f t="shared" si="393"/>
        <v>41405314</v>
      </c>
      <c r="M1863">
        <f t="shared" si="397"/>
        <v>15522456</v>
      </c>
      <c r="N1863">
        <f t="shared" si="391"/>
        <v>56927770</v>
      </c>
      <c r="O1863">
        <f t="shared" si="398"/>
        <v>0.379690103012962</v>
      </c>
    </row>
    <row r="1864" ht="13.9" spans="1:15">
      <c r="A1864" s="42" t="s">
        <v>1238</v>
      </c>
      <c r="B1864" s="11">
        <v>13168634</v>
      </c>
      <c r="D1864" s="11">
        <v>20</v>
      </c>
      <c r="E1864">
        <f t="shared" si="396"/>
        <v>20</v>
      </c>
      <c r="H1864">
        <f t="shared" si="389"/>
        <v>20000000</v>
      </c>
      <c r="I1864">
        <f t="shared" si="394"/>
        <v>9600000</v>
      </c>
      <c r="K1864">
        <f t="shared" si="393"/>
        <v>28236680</v>
      </c>
      <c r="M1864">
        <f t="shared" si="397"/>
        <v>13168634</v>
      </c>
      <c r="N1864">
        <f t="shared" si="391"/>
        <v>41405314</v>
      </c>
      <c r="O1864">
        <f t="shared" si="398"/>
        <v>0.356929948428619</v>
      </c>
    </row>
    <row r="1865" ht="13.9" spans="1:15">
      <c r="A1865" s="42" t="s">
        <v>1239</v>
      </c>
      <c r="B1865" s="11">
        <v>14008351</v>
      </c>
      <c r="D1865" s="11">
        <v>15</v>
      </c>
      <c r="E1865">
        <f t="shared" si="396"/>
        <v>15</v>
      </c>
      <c r="H1865">
        <f t="shared" si="389"/>
        <v>15000000</v>
      </c>
      <c r="I1865">
        <f t="shared" si="394"/>
        <v>7200000</v>
      </c>
      <c r="K1865">
        <f t="shared" si="393"/>
        <v>14228329</v>
      </c>
      <c r="M1865">
        <f t="shared" si="397"/>
        <v>14008351</v>
      </c>
      <c r="N1865">
        <f t="shared" si="391"/>
        <v>28236680</v>
      </c>
      <c r="O1865">
        <f t="shared" si="398"/>
        <v>0</v>
      </c>
    </row>
    <row r="1866" ht="13.85" spans="1:15">
      <c r="A1866" s="43">
        <v>41250</v>
      </c>
      <c r="B1866" s="11">
        <v>14228329</v>
      </c>
      <c r="D1866" s="11">
        <v>33</v>
      </c>
      <c r="E1866">
        <f t="shared" si="396"/>
        <v>33</v>
      </c>
      <c r="H1866">
        <f t="shared" si="389"/>
        <v>33000000</v>
      </c>
      <c r="I1866">
        <f t="shared" si="394"/>
        <v>15840000</v>
      </c>
      <c r="K1866">
        <f t="shared" si="393"/>
        <v>73015771</v>
      </c>
      <c r="M1866">
        <f t="shared" si="397"/>
        <v>14228329</v>
      </c>
      <c r="N1866">
        <f t="shared" si="391"/>
        <v>87244100</v>
      </c>
      <c r="O1866">
        <f t="shared" si="398"/>
        <v>0.462226732381221</v>
      </c>
    </row>
    <row r="1867" ht="13.85" spans="1:15">
      <c r="A1867" s="43">
        <v>41128</v>
      </c>
      <c r="B1867" s="11">
        <v>15144083</v>
      </c>
      <c r="D1867" s="11">
        <v>26</v>
      </c>
      <c r="E1867">
        <f t="shared" si="396"/>
        <v>26</v>
      </c>
      <c r="H1867">
        <f t="shared" si="389"/>
        <v>26000000</v>
      </c>
      <c r="I1867">
        <f t="shared" si="394"/>
        <v>12480000</v>
      </c>
      <c r="K1867">
        <f t="shared" si="393"/>
        <v>57871688</v>
      </c>
      <c r="M1867">
        <f t="shared" si="397"/>
        <v>15144083</v>
      </c>
      <c r="N1867">
        <f t="shared" si="391"/>
        <v>73015771</v>
      </c>
      <c r="O1867">
        <f t="shared" si="398"/>
        <v>0.446433819683297</v>
      </c>
    </row>
    <row r="1868" ht="13.85" spans="1:15">
      <c r="A1868" s="43">
        <v>41036</v>
      </c>
      <c r="B1868" s="11">
        <v>13439842</v>
      </c>
      <c r="D1868" s="11">
        <v>20</v>
      </c>
      <c r="E1868">
        <f t="shared" si="396"/>
        <v>20</v>
      </c>
      <c r="H1868">
        <f t="shared" si="389"/>
        <v>20000000</v>
      </c>
      <c r="I1868">
        <f t="shared" si="394"/>
        <v>9600000</v>
      </c>
      <c r="K1868">
        <f t="shared" si="393"/>
        <v>44431846</v>
      </c>
      <c r="M1868">
        <f t="shared" si="397"/>
        <v>13439842</v>
      </c>
      <c r="N1868">
        <f t="shared" si="391"/>
        <v>57871688</v>
      </c>
      <c r="O1868">
        <f t="shared" si="398"/>
        <v>0.324366102678349</v>
      </c>
    </row>
    <row r="1869" ht="13.85" spans="1:15">
      <c r="A1869" s="43">
        <v>40915</v>
      </c>
      <c r="B1869" s="11">
        <v>15414681</v>
      </c>
      <c r="D1869" s="11">
        <v>15</v>
      </c>
      <c r="E1869">
        <f t="shared" si="396"/>
        <v>15</v>
      </c>
      <c r="H1869">
        <f t="shared" si="389"/>
        <v>15000000</v>
      </c>
      <c r="I1869">
        <f t="shared" si="394"/>
        <v>7200000</v>
      </c>
      <c r="K1869">
        <f t="shared" si="393"/>
        <v>29017165</v>
      </c>
      <c r="M1869">
        <f t="shared" si="397"/>
        <v>15414681</v>
      </c>
      <c r="N1869">
        <f t="shared" si="391"/>
        <v>44431846</v>
      </c>
      <c r="O1869">
        <f t="shared" si="398"/>
        <v>0</v>
      </c>
    </row>
    <row r="1870" ht="13.9" spans="1:15">
      <c r="A1870" s="42" t="s">
        <v>1240</v>
      </c>
      <c r="B1870" s="11">
        <v>29017165</v>
      </c>
      <c r="D1870" s="11">
        <v>155</v>
      </c>
      <c r="E1870">
        <f t="shared" si="396"/>
        <v>155</v>
      </c>
      <c r="H1870">
        <f t="shared" si="389"/>
        <v>155000000</v>
      </c>
      <c r="I1870">
        <f t="shared" si="394"/>
        <v>74400000</v>
      </c>
      <c r="K1870">
        <f t="shared" si="393"/>
        <v>250343200</v>
      </c>
      <c r="M1870">
        <f t="shared" si="397"/>
        <v>29017165</v>
      </c>
      <c r="N1870">
        <f t="shared" si="391"/>
        <v>279360365</v>
      </c>
      <c r="O1870">
        <f t="shared" si="398"/>
        <v>0.718226870231846</v>
      </c>
    </row>
    <row r="1871" ht="13.9" spans="1:15">
      <c r="A1871" s="42" t="s">
        <v>1241</v>
      </c>
      <c r="B1871" s="11">
        <v>25061719</v>
      </c>
      <c r="D1871" s="11">
        <v>137</v>
      </c>
      <c r="E1871">
        <f t="shared" si="396"/>
        <v>137</v>
      </c>
      <c r="H1871">
        <f t="shared" ref="H1871:H1934" si="399">E1871*1000000</f>
        <v>137000000</v>
      </c>
      <c r="I1871">
        <f t="shared" si="394"/>
        <v>65760000</v>
      </c>
      <c r="K1871">
        <f t="shared" si="393"/>
        <v>225281481</v>
      </c>
      <c r="M1871">
        <f t="shared" si="397"/>
        <v>25061719</v>
      </c>
      <c r="N1871">
        <f t="shared" si="391"/>
        <v>250343200</v>
      </c>
      <c r="O1871">
        <f t="shared" si="398"/>
        <v>0.664422352184103</v>
      </c>
    </row>
    <row r="1872" ht="13.9" spans="1:15">
      <c r="A1872" s="42" t="s">
        <v>1242</v>
      </c>
      <c r="B1872" s="11">
        <v>25586135</v>
      </c>
      <c r="D1872" s="11">
        <v>120</v>
      </c>
      <c r="E1872">
        <f t="shared" si="396"/>
        <v>120</v>
      </c>
      <c r="H1872">
        <f t="shared" si="399"/>
        <v>120000000</v>
      </c>
      <c r="I1872">
        <f t="shared" si="394"/>
        <v>57600000</v>
      </c>
      <c r="K1872">
        <f t="shared" si="393"/>
        <v>199695346</v>
      </c>
      <c r="M1872">
        <f t="shared" si="397"/>
        <v>25586135</v>
      </c>
      <c r="N1872">
        <f t="shared" si="391"/>
        <v>225281481</v>
      </c>
      <c r="O1872">
        <f t="shared" si="398"/>
        <v>0.447334933003054</v>
      </c>
    </row>
    <row r="1873" ht="13.9" spans="1:15">
      <c r="A1873" s="42" t="s">
        <v>1243</v>
      </c>
      <c r="B1873" s="11">
        <v>24590076</v>
      </c>
      <c r="D1873" s="11">
        <v>109</v>
      </c>
      <c r="E1873">
        <f t="shared" si="396"/>
        <v>109</v>
      </c>
      <c r="H1873">
        <f t="shared" si="399"/>
        <v>109000000</v>
      </c>
      <c r="I1873">
        <f t="shared" si="394"/>
        <v>52320000</v>
      </c>
      <c r="K1873">
        <f t="shared" si="393"/>
        <v>175105270</v>
      </c>
      <c r="M1873">
        <f t="shared" si="397"/>
        <v>24590076</v>
      </c>
      <c r="N1873">
        <f t="shared" si="391"/>
        <v>199695346</v>
      </c>
      <c r="O1873">
        <f t="shared" si="398"/>
        <v>0.704541367976773</v>
      </c>
    </row>
    <row r="1874" ht="13.9" spans="1:15">
      <c r="A1874" s="42" t="s">
        <v>1244</v>
      </c>
      <c r="B1874" s="11">
        <v>19871083</v>
      </c>
      <c r="D1874" s="11">
        <v>95</v>
      </c>
      <c r="E1874">
        <f t="shared" si="396"/>
        <v>95</v>
      </c>
      <c r="H1874">
        <f t="shared" si="399"/>
        <v>95000000</v>
      </c>
      <c r="I1874">
        <f t="shared" si="394"/>
        <v>45600000</v>
      </c>
      <c r="K1874">
        <f t="shared" si="393"/>
        <v>155234187</v>
      </c>
      <c r="M1874">
        <f t="shared" si="397"/>
        <v>19871083</v>
      </c>
      <c r="N1874">
        <f t="shared" si="391"/>
        <v>175105270</v>
      </c>
      <c r="O1874">
        <f t="shared" si="398"/>
        <v>0.657650946701185</v>
      </c>
    </row>
    <row r="1875" ht="13.85" spans="1:15">
      <c r="A1875" s="43">
        <v>40823</v>
      </c>
      <c r="B1875" s="11">
        <v>19767325</v>
      </c>
      <c r="D1875" s="11">
        <v>82</v>
      </c>
      <c r="E1875">
        <f t="shared" si="396"/>
        <v>82</v>
      </c>
      <c r="H1875">
        <f t="shared" si="399"/>
        <v>82000000</v>
      </c>
      <c r="I1875">
        <f t="shared" si="394"/>
        <v>39360000</v>
      </c>
      <c r="K1875">
        <f t="shared" si="393"/>
        <v>135466862</v>
      </c>
      <c r="M1875">
        <f t="shared" si="397"/>
        <v>19767325</v>
      </c>
      <c r="N1875">
        <f t="shared" si="391"/>
        <v>155234187</v>
      </c>
      <c r="O1875">
        <f t="shared" si="398"/>
        <v>0.647241117086389</v>
      </c>
    </row>
    <row r="1876" ht="13.85" spans="1:15">
      <c r="A1876" s="43">
        <v>40731</v>
      </c>
      <c r="B1876" s="11">
        <v>16995212</v>
      </c>
      <c r="D1876" s="11">
        <v>71</v>
      </c>
      <c r="E1876">
        <f t="shared" si="396"/>
        <v>71</v>
      </c>
      <c r="H1876">
        <f t="shared" si="399"/>
        <v>71000000</v>
      </c>
      <c r="I1876">
        <f t="shared" si="394"/>
        <v>34080000</v>
      </c>
      <c r="K1876">
        <f t="shared" si="393"/>
        <v>118471650</v>
      </c>
      <c r="M1876">
        <f t="shared" si="397"/>
        <v>16995212</v>
      </c>
      <c r="N1876">
        <f t="shared" si="391"/>
        <v>135466862</v>
      </c>
      <c r="O1876">
        <f t="shared" si="398"/>
        <v>0.508551922134146</v>
      </c>
    </row>
    <row r="1877" ht="13.85" spans="1:15">
      <c r="A1877" s="43">
        <v>40609</v>
      </c>
      <c r="B1877" s="11">
        <v>17697308</v>
      </c>
      <c r="D1877" s="11">
        <v>62</v>
      </c>
      <c r="E1877">
        <f t="shared" si="396"/>
        <v>62</v>
      </c>
      <c r="H1877">
        <f t="shared" si="399"/>
        <v>62000000</v>
      </c>
      <c r="I1877">
        <f t="shared" si="394"/>
        <v>29760000</v>
      </c>
      <c r="K1877">
        <f t="shared" si="393"/>
        <v>100774342</v>
      </c>
      <c r="M1877">
        <f t="shared" si="397"/>
        <v>17697308</v>
      </c>
      <c r="N1877">
        <f t="shared" si="391"/>
        <v>118471650</v>
      </c>
      <c r="O1877">
        <f t="shared" si="398"/>
        <v>0.730182062267802</v>
      </c>
    </row>
    <row r="1878" ht="13.9" spans="1:15">
      <c r="A1878" s="42" t="s">
        <v>1245</v>
      </c>
      <c r="B1878" s="11">
        <v>15064736</v>
      </c>
      <c r="D1878" s="11">
        <v>51</v>
      </c>
      <c r="E1878">
        <f t="shared" si="396"/>
        <v>51</v>
      </c>
      <c r="H1878">
        <f t="shared" si="399"/>
        <v>51000000</v>
      </c>
      <c r="I1878">
        <f t="shared" si="394"/>
        <v>24480000</v>
      </c>
      <c r="K1878">
        <f t="shared" si="393"/>
        <v>85709606</v>
      </c>
      <c r="M1878">
        <f t="shared" si="397"/>
        <v>15064736</v>
      </c>
      <c r="N1878">
        <f t="shared" si="391"/>
        <v>100774342</v>
      </c>
      <c r="O1878">
        <f t="shared" si="398"/>
        <v>0.502133218830222</v>
      </c>
    </row>
    <row r="1879" ht="13.9" spans="1:15">
      <c r="A1879" s="42" t="s">
        <v>1246</v>
      </c>
      <c r="B1879" s="11">
        <v>15932027</v>
      </c>
      <c r="D1879" s="11">
        <v>43</v>
      </c>
      <c r="E1879">
        <f t="shared" si="396"/>
        <v>43</v>
      </c>
      <c r="H1879">
        <f t="shared" si="399"/>
        <v>43000000</v>
      </c>
      <c r="I1879">
        <f t="shared" si="394"/>
        <v>20640000</v>
      </c>
      <c r="K1879">
        <f t="shared" si="393"/>
        <v>69777579</v>
      </c>
      <c r="M1879">
        <f t="shared" si="397"/>
        <v>15932027</v>
      </c>
      <c r="N1879">
        <f t="shared" si="391"/>
        <v>85709606</v>
      </c>
      <c r="O1879">
        <f t="shared" si="398"/>
        <v>0.647194082862703</v>
      </c>
    </row>
    <row r="1880" ht="13.9" spans="1:15">
      <c r="A1880" s="42" t="s">
        <v>1247</v>
      </c>
      <c r="B1880" s="11">
        <v>13906184</v>
      </c>
      <c r="D1880" s="11">
        <v>34</v>
      </c>
      <c r="E1880">
        <f t="shared" si="396"/>
        <v>34</v>
      </c>
      <c r="H1880">
        <f t="shared" si="399"/>
        <v>34000000</v>
      </c>
      <c r="I1880">
        <f t="shared" si="394"/>
        <v>16320000</v>
      </c>
      <c r="K1880">
        <f t="shared" si="393"/>
        <v>55871395</v>
      </c>
      <c r="M1880">
        <f t="shared" si="397"/>
        <v>13906184</v>
      </c>
      <c r="N1880">
        <f t="shared" si="391"/>
        <v>69777579</v>
      </c>
      <c r="O1880">
        <f t="shared" si="398"/>
        <v>0.531755048897868</v>
      </c>
    </row>
    <row r="1881" ht="13.9" spans="1:15">
      <c r="A1881" s="42" t="s">
        <v>1248</v>
      </c>
      <c r="B1881" s="11">
        <v>15044521</v>
      </c>
      <c r="D1881" s="11">
        <v>26</v>
      </c>
      <c r="E1881">
        <f t="shared" si="396"/>
        <v>26</v>
      </c>
      <c r="H1881">
        <f t="shared" si="399"/>
        <v>26000000</v>
      </c>
      <c r="I1881">
        <f t="shared" si="394"/>
        <v>12480000</v>
      </c>
      <c r="K1881">
        <f t="shared" si="393"/>
        <v>40826874</v>
      </c>
      <c r="M1881">
        <f t="shared" si="397"/>
        <v>15044521</v>
      </c>
      <c r="N1881">
        <f t="shared" si="391"/>
        <v>55871395</v>
      </c>
      <c r="O1881">
        <f t="shared" si="398"/>
        <v>0.455356299228285</v>
      </c>
    </row>
    <row r="1882" ht="13.9" spans="1:15">
      <c r="A1882" s="42" t="s">
        <v>1249</v>
      </c>
      <c r="B1882" s="11">
        <v>13176495</v>
      </c>
      <c r="D1882" s="11">
        <v>20</v>
      </c>
      <c r="E1882">
        <f t="shared" si="396"/>
        <v>20</v>
      </c>
      <c r="H1882">
        <f t="shared" si="399"/>
        <v>20000000</v>
      </c>
      <c r="I1882">
        <f t="shared" si="394"/>
        <v>9600000</v>
      </c>
      <c r="K1882">
        <f t="shared" si="393"/>
        <v>27650379</v>
      </c>
      <c r="M1882">
        <f t="shared" si="397"/>
        <v>13176495</v>
      </c>
      <c r="N1882">
        <f t="shared" si="391"/>
        <v>40826874</v>
      </c>
      <c r="O1882">
        <f t="shared" ref="O1882:O1900" si="400">IF(H1882&gt;H1883,(H1882-H1883)/M1883,0)</f>
        <v>0.351312820880348</v>
      </c>
    </row>
    <row r="1883" ht="13.9" spans="1:15">
      <c r="A1883" s="42" t="s">
        <v>1250</v>
      </c>
      <c r="B1883" s="11">
        <v>14232330</v>
      </c>
      <c r="D1883" s="11">
        <v>15</v>
      </c>
      <c r="E1883">
        <f t="shared" si="396"/>
        <v>15</v>
      </c>
      <c r="H1883">
        <f t="shared" si="399"/>
        <v>15000000</v>
      </c>
      <c r="I1883">
        <f t="shared" si="394"/>
        <v>7200000</v>
      </c>
      <c r="K1883">
        <f t="shared" si="393"/>
        <v>13418049</v>
      </c>
      <c r="M1883">
        <f t="shared" si="397"/>
        <v>14232330</v>
      </c>
      <c r="N1883">
        <f t="shared" si="391"/>
        <v>27650379</v>
      </c>
      <c r="O1883">
        <f t="shared" si="400"/>
        <v>0</v>
      </c>
    </row>
    <row r="1884" ht="13.85" spans="1:15">
      <c r="A1884" s="43">
        <v>40458</v>
      </c>
      <c r="B1884" s="11">
        <v>13418049</v>
      </c>
      <c r="D1884" s="11">
        <v>20</v>
      </c>
      <c r="E1884">
        <f t="shared" si="396"/>
        <v>20</v>
      </c>
      <c r="H1884">
        <f t="shared" si="399"/>
        <v>20000000</v>
      </c>
      <c r="I1884">
        <f t="shared" si="394"/>
        <v>9600000</v>
      </c>
      <c r="K1884">
        <f t="shared" si="393"/>
        <v>27990295</v>
      </c>
      <c r="M1884">
        <f t="shared" si="397"/>
        <v>13418049</v>
      </c>
      <c r="N1884">
        <f t="shared" si="391"/>
        <v>73580831</v>
      </c>
      <c r="O1884">
        <f t="shared" si="400"/>
        <v>0.341560547789342</v>
      </c>
    </row>
    <row r="1885" ht="13.85" spans="1:15">
      <c r="A1885" s="43">
        <v>40336</v>
      </c>
      <c r="B1885" s="11">
        <v>14638693</v>
      </c>
      <c r="D1885" s="11">
        <v>15</v>
      </c>
      <c r="E1885">
        <f t="shared" si="396"/>
        <v>15</v>
      </c>
      <c r="H1885">
        <f t="shared" si="399"/>
        <v>15000000</v>
      </c>
      <c r="I1885">
        <f t="shared" si="394"/>
        <v>7200000</v>
      </c>
      <c r="K1885">
        <f t="shared" si="393"/>
        <v>13351602</v>
      </c>
      <c r="M1885">
        <f t="shared" si="397"/>
        <v>14638693</v>
      </c>
      <c r="N1885">
        <f t="shared" si="391"/>
        <v>60162782</v>
      </c>
      <c r="O1885">
        <f t="shared" si="400"/>
        <v>0</v>
      </c>
    </row>
    <row r="1886" ht="13.85" spans="1:15">
      <c r="A1886" s="43">
        <v>40244</v>
      </c>
      <c r="B1886" s="11">
        <v>13351602</v>
      </c>
      <c r="D1886" s="11">
        <v>15</v>
      </c>
      <c r="E1886">
        <f t="shared" si="396"/>
        <v>15</v>
      </c>
      <c r="H1886">
        <f t="shared" si="399"/>
        <v>15000000</v>
      </c>
      <c r="I1886">
        <f t="shared" si="394"/>
        <v>7200000</v>
      </c>
      <c r="K1886">
        <f t="shared" si="393"/>
        <v>15275860</v>
      </c>
      <c r="M1886">
        <f t="shared" si="397"/>
        <v>13351602</v>
      </c>
      <c r="N1886">
        <f t="shared" si="391"/>
        <v>45524089</v>
      </c>
      <c r="O1886">
        <f t="shared" si="400"/>
        <v>0</v>
      </c>
    </row>
    <row r="1887" ht="13.9" spans="1:15">
      <c r="A1887" s="42" t="s">
        <v>1251</v>
      </c>
      <c r="B1887" s="11">
        <v>15275860</v>
      </c>
      <c r="D1887" s="11">
        <v>15</v>
      </c>
      <c r="E1887">
        <f t="shared" si="396"/>
        <v>15</v>
      </c>
      <c r="H1887">
        <f t="shared" si="399"/>
        <v>15000000</v>
      </c>
      <c r="I1887">
        <f t="shared" si="394"/>
        <v>7200000</v>
      </c>
      <c r="K1887">
        <f t="shared" si="393"/>
        <v>16896627</v>
      </c>
      <c r="M1887">
        <f t="shared" si="397"/>
        <v>15275860</v>
      </c>
      <c r="N1887">
        <f t="shared" ref="N1887:N1950" si="401">IF(H1887&lt;H1888,M1887+M1888,M1887+N1888)</f>
        <v>32172487</v>
      </c>
      <c r="O1887">
        <f t="shared" si="400"/>
        <v>0</v>
      </c>
    </row>
    <row r="1888" ht="13.9" spans="1:15">
      <c r="A1888" s="42" t="s">
        <v>1252</v>
      </c>
      <c r="B1888" s="11">
        <v>16896627</v>
      </c>
      <c r="D1888" s="11">
        <v>61</v>
      </c>
      <c r="E1888">
        <f t="shared" si="396"/>
        <v>61</v>
      </c>
      <c r="H1888">
        <f t="shared" si="399"/>
        <v>61000000</v>
      </c>
      <c r="I1888">
        <f t="shared" si="394"/>
        <v>29280000</v>
      </c>
      <c r="K1888">
        <f t="shared" si="393"/>
        <v>92711923</v>
      </c>
      <c r="M1888">
        <f t="shared" si="397"/>
        <v>16896627</v>
      </c>
      <c r="N1888">
        <f t="shared" si="401"/>
        <v>109608550</v>
      </c>
      <c r="O1888">
        <f t="shared" si="400"/>
        <v>0.746630485336235</v>
      </c>
    </row>
    <row r="1889" ht="13.9" spans="1:15">
      <c r="A1889" s="42" t="s">
        <v>1253</v>
      </c>
      <c r="B1889" s="11">
        <v>17411558</v>
      </c>
      <c r="D1889" s="11">
        <v>48</v>
      </c>
      <c r="E1889">
        <f t="shared" si="396"/>
        <v>48</v>
      </c>
      <c r="H1889">
        <f t="shared" si="399"/>
        <v>48000000</v>
      </c>
      <c r="I1889">
        <f t="shared" si="394"/>
        <v>23040000</v>
      </c>
      <c r="K1889">
        <f t="shared" si="393"/>
        <v>75300365</v>
      </c>
      <c r="M1889">
        <f t="shared" si="397"/>
        <v>17411558</v>
      </c>
      <c r="N1889">
        <f t="shared" si="401"/>
        <v>92711923</v>
      </c>
      <c r="O1889">
        <f t="shared" si="400"/>
        <v>0.661943566927923</v>
      </c>
    </row>
    <row r="1890" ht="13.9" spans="1:15">
      <c r="A1890" s="42" t="s">
        <v>1254</v>
      </c>
      <c r="B1890" s="11">
        <v>15107028</v>
      </c>
      <c r="D1890" s="11">
        <v>38</v>
      </c>
      <c r="E1890">
        <f t="shared" si="396"/>
        <v>38</v>
      </c>
      <c r="H1890">
        <f t="shared" si="399"/>
        <v>38000000</v>
      </c>
      <c r="I1890">
        <f t="shared" si="394"/>
        <v>18240000</v>
      </c>
      <c r="K1890">
        <f t="shared" si="393"/>
        <v>60193337</v>
      </c>
      <c r="M1890">
        <f t="shared" si="397"/>
        <v>15107028</v>
      </c>
      <c r="N1890">
        <f t="shared" si="401"/>
        <v>75300365</v>
      </c>
      <c r="O1890">
        <f t="shared" si="400"/>
        <v>0.560595516880278</v>
      </c>
    </row>
    <row r="1891" ht="13.9" spans="1:15">
      <c r="A1891" s="42" t="s">
        <v>1255</v>
      </c>
      <c r="B1891" s="11">
        <v>16054356</v>
      </c>
      <c r="D1891" s="11">
        <v>29</v>
      </c>
      <c r="E1891">
        <f t="shared" si="396"/>
        <v>29</v>
      </c>
      <c r="H1891">
        <f t="shared" si="399"/>
        <v>29000000</v>
      </c>
      <c r="I1891">
        <f t="shared" si="394"/>
        <v>13920000</v>
      </c>
      <c r="K1891">
        <f t="shared" si="393"/>
        <v>44138981</v>
      </c>
      <c r="M1891">
        <f t="shared" si="397"/>
        <v>16054356</v>
      </c>
      <c r="N1891">
        <f t="shared" si="401"/>
        <v>60193337</v>
      </c>
      <c r="O1891">
        <f t="shared" si="400"/>
        <v>0.639270515629205</v>
      </c>
    </row>
    <row r="1892" ht="13.85" spans="1:15">
      <c r="A1892" s="43">
        <v>40154</v>
      </c>
      <c r="B1892" s="11">
        <v>14078547</v>
      </c>
      <c r="D1892" s="11">
        <v>20</v>
      </c>
      <c r="E1892">
        <f t="shared" si="396"/>
        <v>20</v>
      </c>
      <c r="H1892">
        <f t="shared" si="399"/>
        <v>20000000</v>
      </c>
      <c r="I1892">
        <f t="shared" si="394"/>
        <v>9600000</v>
      </c>
      <c r="K1892">
        <f t="shared" si="393"/>
        <v>30060434</v>
      </c>
      <c r="M1892">
        <f t="shared" si="397"/>
        <v>14078547</v>
      </c>
      <c r="N1892">
        <f t="shared" si="401"/>
        <v>44138981</v>
      </c>
      <c r="O1892">
        <f t="shared" si="400"/>
        <v>0.319621465905499</v>
      </c>
    </row>
    <row r="1893" ht="13.85" spans="1:15">
      <c r="A1893" s="43">
        <v>40032</v>
      </c>
      <c r="B1893" s="11">
        <v>15643505</v>
      </c>
      <c r="D1893" s="11">
        <v>15</v>
      </c>
      <c r="E1893">
        <f t="shared" si="396"/>
        <v>15</v>
      </c>
      <c r="H1893">
        <f t="shared" si="399"/>
        <v>15000000</v>
      </c>
      <c r="I1893">
        <f t="shared" si="394"/>
        <v>7200000</v>
      </c>
      <c r="K1893">
        <f t="shared" si="393"/>
        <v>14416929</v>
      </c>
      <c r="M1893">
        <f t="shared" si="397"/>
        <v>15643505</v>
      </c>
      <c r="N1893">
        <f t="shared" si="401"/>
        <v>30060434</v>
      </c>
      <c r="O1893">
        <f t="shared" si="400"/>
        <v>0</v>
      </c>
    </row>
    <row r="1894" ht="13.85" spans="1:15">
      <c r="A1894" s="43">
        <v>39940</v>
      </c>
      <c r="B1894" s="11">
        <v>14416929</v>
      </c>
      <c r="D1894" s="11">
        <v>29</v>
      </c>
      <c r="E1894">
        <f t="shared" si="396"/>
        <v>29</v>
      </c>
      <c r="H1894">
        <f t="shared" si="399"/>
        <v>29000000</v>
      </c>
      <c r="I1894">
        <f t="shared" si="394"/>
        <v>13920000</v>
      </c>
      <c r="K1894">
        <f t="shared" si="393"/>
        <v>124850814</v>
      </c>
      <c r="M1894">
        <f t="shared" si="397"/>
        <v>14416929</v>
      </c>
      <c r="N1894">
        <f t="shared" si="401"/>
        <v>139267743</v>
      </c>
      <c r="O1894">
        <f t="shared" si="400"/>
        <v>0.547262035873148</v>
      </c>
    </row>
    <row r="1895" ht="13.85" spans="1:15">
      <c r="A1895" s="43">
        <v>39820</v>
      </c>
      <c r="B1895" s="11">
        <v>16445504</v>
      </c>
      <c r="D1895" s="11">
        <v>20</v>
      </c>
      <c r="E1895">
        <f t="shared" si="396"/>
        <v>20</v>
      </c>
      <c r="H1895">
        <f t="shared" si="399"/>
        <v>20000000</v>
      </c>
      <c r="I1895">
        <f t="shared" si="394"/>
        <v>9600000</v>
      </c>
      <c r="K1895">
        <f t="shared" si="393"/>
        <v>108405310</v>
      </c>
      <c r="M1895">
        <f t="shared" si="397"/>
        <v>16445504</v>
      </c>
      <c r="N1895">
        <f t="shared" si="401"/>
        <v>124850814</v>
      </c>
      <c r="O1895">
        <f t="shared" si="400"/>
        <v>0.338994220419737</v>
      </c>
    </row>
    <row r="1896" ht="13.9" spans="1:15">
      <c r="A1896" s="42" t="s">
        <v>1256</v>
      </c>
      <c r="B1896" s="11">
        <v>14749514</v>
      </c>
      <c r="D1896" s="11">
        <v>15</v>
      </c>
      <c r="E1896">
        <f t="shared" si="396"/>
        <v>15</v>
      </c>
      <c r="H1896">
        <f t="shared" si="399"/>
        <v>15000000</v>
      </c>
      <c r="I1896">
        <f t="shared" si="394"/>
        <v>7200000</v>
      </c>
      <c r="K1896">
        <f t="shared" si="393"/>
        <v>93655796</v>
      </c>
      <c r="M1896">
        <f t="shared" si="397"/>
        <v>14749514</v>
      </c>
      <c r="N1896">
        <f t="shared" si="401"/>
        <v>108405310</v>
      </c>
      <c r="O1896">
        <f t="shared" si="400"/>
        <v>0</v>
      </c>
    </row>
    <row r="1897" ht="13.9" spans="1:15">
      <c r="A1897" s="42" t="s">
        <v>1257</v>
      </c>
      <c r="B1897" s="11">
        <v>93655796</v>
      </c>
      <c r="D1897" s="11">
        <v>300</v>
      </c>
      <c r="E1897">
        <f t="shared" si="396"/>
        <v>300</v>
      </c>
      <c r="H1897">
        <f t="shared" si="399"/>
        <v>300000000</v>
      </c>
      <c r="I1897">
        <f t="shared" si="394"/>
        <v>144000000</v>
      </c>
      <c r="K1897">
        <f t="shared" si="393"/>
        <v>423241828</v>
      </c>
      <c r="M1897">
        <f t="shared" si="397"/>
        <v>93655796</v>
      </c>
      <c r="N1897">
        <f t="shared" si="401"/>
        <v>516897624</v>
      </c>
      <c r="O1897">
        <f t="shared" si="400"/>
        <v>0.929310681943047</v>
      </c>
    </row>
    <row r="1898" ht="13.9" spans="1:15">
      <c r="A1898" s="42" t="s">
        <v>1258</v>
      </c>
      <c r="B1898" s="11">
        <v>59183652</v>
      </c>
      <c r="D1898" s="11">
        <v>245</v>
      </c>
      <c r="E1898">
        <f t="shared" si="396"/>
        <v>245</v>
      </c>
      <c r="H1898">
        <f t="shared" si="399"/>
        <v>245000000</v>
      </c>
      <c r="I1898">
        <f t="shared" si="394"/>
        <v>117600000</v>
      </c>
      <c r="K1898">
        <f t="shared" ref="K1898:K1961" si="402">IF(E1898&gt;E1899,B1899+K1899,B1899)</f>
        <v>364058176</v>
      </c>
      <c r="M1898">
        <f t="shared" si="397"/>
        <v>59183652</v>
      </c>
      <c r="N1898">
        <f t="shared" si="401"/>
        <v>423241828</v>
      </c>
      <c r="O1898">
        <f t="shared" si="400"/>
        <v>0.743962863584482</v>
      </c>
    </row>
    <row r="1899" ht="13.9" spans="1:15">
      <c r="A1899" s="42" t="s">
        <v>1259</v>
      </c>
      <c r="B1899" s="11">
        <v>47045359</v>
      </c>
      <c r="D1899" s="11">
        <v>210</v>
      </c>
      <c r="E1899">
        <f t="shared" si="396"/>
        <v>210</v>
      </c>
      <c r="H1899">
        <f t="shared" si="399"/>
        <v>210000000</v>
      </c>
      <c r="I1899">
        <f t="shared" si="394"/>
        <v>100800000</v>
      </c>
      <c r="K1899">
        <f t="shared" si="402"/>
        <v>317012817</v>
      </c>
      <c r="M1899">
        <f t="shared" si="397"/>
        <v>47045359</v>
      </c>
      <c r="N1899">
        <f t="shared" si="401"/>
        <v>364058176</v>
      </c>
      <c r="O1899">
        <f t="shared" si="400"/>
        <v>0.790500689507412</v>
      </c>
    </row>
    <row r="1900" ht="13.9" spans="1:15">
      <c r="A1900" s="42" t="s">
        <v>1260</v>
      </c>
      <c r="B1900" s="11">
        <v>36685610</v>
      </c>
      <c r="D1900" s="11">
        <v>181</v>
      </c>
      <c r="E1900">
        <f t="shared" si="396"/>
        <v>181</v>
      </c>
      <c r="H1900">
        <f t="shared" si="399"/>
        <v>181000000</v>
      </c>
      <c r="I1900">
        <f t="shared" si="394"/>
        <v>86880000</v>
      </c>
      <c r="K1900">
        <f t="shared" si="402"/>
        <v>280327207</v>
      </c>
      <c r="M1900">
        <f t="shared" si="397"/>
        <v>36685610</v>
      </c>
      <c r="N1900">
        <f t="shared" si="401"/>
        <v>317012817</v>
      </c>
      <c r="O1900">
        <f t="shared" si="400"/>
        <v>0.615316419392534</v>
      </c>
    </row>
    <row r="1901" ht="13.85" spans="1:15">
      <c r="A1901" s="43">
        <v>39759</v>
      </c>
      <c r="B1901" s="11">
        <v>32503602</v>
      </c>
      <c r="D1901" s="11">
        <v>161</v>
      </c>
      <c r="E1901">
        <f t="shared" si="396"/>
        <v>161</v>
      </c>
      <c r="H1901">
        <f t="shared" si="399"/>
        <v>161000000</v>
      </c>
      <c r="I1901">
        <f t="shared" si="394"/>
        <v>77280000</v>
      </c>
      <c r="K1901">
        <f t="shared" si="402"/>
        <v>247823605</v>
      </c>
      <c r="M1901">
        <f t="shared" si="397"/>
        <v>32503602</v>
      </c>
      <c r="N1901">
        <f t="shared" si="401"/>
        <v>280327207</v>
      </c>
      <c r="O1901">
        <f t="shared" ref="O1901:O1926" si="403">IF(H1901&gt;H1902,(H1901-H1902)/M1902,0)</f>
        <v>0.708162636631129</v>
      </c>
    </row>
    <row r="1902" ht="13.85" spans="1:15">
      <c r="A1902" s="43">
        <v>39667</v>
      </c>
      <c r="B1902" s="11">
        <v>28242100</v>
      </c>
      <c r="D1902" s="11">
        <v>141</v>
      </c>
      <c r="E1902">
        <f t="shared" si="396"/>
        <v>141</v>
      </c>
      <c r="H1902">
        <f t="shared" si="399"/>
        <v>141000000</v>
      </c>
      <c r="I1902">
        <f t="shared" si="394"/>
        <v>67680000</v>
      </c>
      <c r="K1902">
        <f t="shared" si="402"/>
        <v>219581505</v>
      </c>
      <c r="M1902">
        <f t="shared" si="397"/>
        <v>28242100</v>
      </c>
      <c r="N1902">
        <f t="shared" si="401"/>
        <v>247823605</v>
      </c>
      <c r="O1902">
        <f t="shared" si="403"/>
        <v>0.668435445883949</v>
      </c>
    </row>
    <row r="1903" ht="13.85" spans="1:15">
      <c r="A1903" s="43">
        <v>39545</v>
      </c>
      <c r="B1903" s="11">
        <v>26928554</v>
      </c>
      <c r="D1903" s="11">
        <v>123</v>
      </c>
      <c r="E1903">
        <f t="shared" si="396"/>
        <v>123</v>
      </c>
      <c r="H1903">
        <f t="shared" si="399"/>
        <v>123000000</v>
      </c>
      <c r="I1903">
        <f t="shared" ref="I1903:I1966" si="404">H1903*0.48</f>
        <v>59040000</v>
      </c>
      <c r="K1903">
        <f t="shared" si="402"/>
        <v>192652951</v>
      </c>
      <c r="M1903">
        <f t="shared" si="397"/>
        <v>26928554</v>
      </c>
      <c r="N1903">
        <f t="shared" si="401"/>
        <v>219581505</v>
      </c>
      <c r="O1903">
        <f t="shared" si="403"/>
        <v>0.781076224100489</v>
      </c>
    </row>
    <row r="1904" ht="13.85" spans="1:15">
      <c r="A1904" s="43">
        <v>39454</v>
      </c>
      <c r="B1904" s="11">
        <v>23045126</v>
      </c>
      <c r="D1904" s="11">
        <v>105</v>
      </c>
      <c r="E1904">
        <f t="shared" si="396"/>
        <v>105</v>
      </c>
      <c r="H1904">
        <f t="shared" si="399"/>
        <v>105000000</v>
      </c>
      <c r="I1904">
        <f t="shared" si="404"/>
        <v>50400000</v>
      </c>
      <c r="K1904">
        <f t="shared" si="402"/>
        <v>169607825</v>
      </c>
      <c r="M1904">
        <f t="shared" si="397"/>
        <v>23045126</v>
      </c>
      <c r="N1904">
        <f t="shared" si="401"/>
        <v>192652951</v>
      </c>
      <c r="O1904">
        <f t="shared" si="403"/>
        <v>0.518478234330857</v>
      </c>
    </row>
    <row r="1905" ht="13.9" spans="1:15">
      <c r="A1905" s="42" t="s">
        <v>1261</v>
      </c>
      <c r="B1905" s="11">
        <v>21215934</v>
      </c>
      <c r="D1905" s="11">
        <v>94</v>
      </c>
      <c r="E1905">
        <f t="shared" si="396"/>
        <v>94</v>
      </c>
      <c r="H1905">
        <f t="shared" si="399"/>
        <v>94000000</v>
      </c>
      <c r="I1905">
        <f t="shared" si="404"/>
        <v>45120000</v>
      </c>
      <c r="K1905">
        <f t="shared" si="402"/>
        <v>148391891</v>
      </c>
      <c r="M1905">
        <f t="shared" si="397"/>
        <v>21215934</v>
      </c>
      <c r="N1905">
        <f t="shared" si="401"/>
        <v>169607825</v>
      </c>
      <c r="O1905">
        <f t="shared" si="403"/>
        <v>0.675626525367637</v>
      </c>
    </row>
    <row r="1906" ht="13.9" spans="1:15">
      <c r="A1906" s="42" t="s">
        <v>1262</v>
      </c>
      <c r="B1906" s="11">
        <v>17761292</v>
      </c>
      <c r="D1906" s="11">
        <v>82</v>
      </c>
      <c r="E1906">
        <f t="shared" si="396"/>
        <v>82</v>
      </c>
      <c r="H1906">
        <f t="shared" si="399"/>
        <v>82000000</v>
      </c>
      <c r="I1906">
        <f t="shared" si="404"/>
        <v>39360000</v>
      </c>
      <c r="K1906">
        <f t="shared" si="402"/>
        <v>130630599</v>
      </c>
      <c r="M1906">
        <f t="shared" si="397"/>
        <v>17761292</v>
      </c>
      <c r="N1906">
        <f t="shared" si="401"/>
        <v>148391891</v>
      </c>
      <c r="O1906">
        <f t="shared" si="403"/>
        <v>0.551312197457095</v>
      </c>
    </row>
    <row r="1907" ht="13.9" spans="1:15">
      <c r="A1907" s="42" t="s">
        <v>1263</v>
      </c>
      <c r="B1907" s="11">
        <v>18138543</v>
      </c>
      <c r="D1907" s="11">
        <v>72</v>
      </c>
      <c r="E1907">
        <f t="shared" si="396"/>
        <v>72</v>
      </c>
      <c r="H1907">
        <f t="shared" si="399"/>
        <v>72000000</v>
      </c>
      <c r="I1907">
        <f t="shared" si="404"/>
        <v>34560000</v>
      </c>
      <c r="K1907">
        <f t="shared" si="402"/>
        <v>112492056</v>
      </c>
      <c r="M1907">
        <f t="shared" si="397"/>
        <v>18138543</v>
      </c>
      <c r="N1907">
        <f t="shared" si="401"/>
        <v>130630599</v>
      </c>
      <c r="O1907">
        <f t="shared" si="403"/>
        <v>0.768385102319121</v>
      </c>
    </row>
    <row r="1908" ht="13.9" spans="1:15">
      <c r="A1908" s="42" t="s">
        <v>1264</v>
      </c>
      <c r="B1908" s="11">
        <v>15617169</v>
      </c>
      <c r="D1908" s="11">
        <v>60</v>
      </c>
      <c r="E1908">
        <f t="shared" si="396"/>
        <v>60</v>
      </c>
      <c r="H1908">
        <f t="shared" si="399"/>
        <v>60000000</v>
      </c>
      <c r="I1908">
        <f t="shared" si="404"/>
        <v>28800000</v>
      </c>
      <c r="K1908">
        <f t="shared" si="402"/>
        <v>96874887</v>
      </c>
      <c r="M1908">
        <f t="shared" si="397"/>
        <v>15617169</v>
      </c>
      <c r="N1908">
        <f t="shared" si="401"/>
        <v>112492056</v>
      </c>
      <c r="O1908">
        <f t="shared" si="403"/>
        <v>0.606939012340284</v>
      </c>
    </row>
    <row r="1909" ht="13.9" spans="1:15">
      <c r="A1909" s="42" t="s">
        <v>1265</v>
      </c>
      <c r="B1909" s="11">
        <v>16476120</v>
      </c>
      <c r="D1909" s="11">
        <v>50</v>
      </c>
      <c r="E1909">
        <f t="shared" si="396"/>
        <v>50</v>
      </c>
      <c r="H1909">
        <f t="shared" si="399"/>
        <v>50000000</v>
      </c>
      <c r="I1909">
        <f t="shared" si="404"/>
        <v>24000000</v>
      </c>
      <c r="K1909">
        <f t="shared" si="402"/>
        <v>80398767</v>
      </c>
      <c r="M1909">
        <f t="shared" si="397"/>
        <v>16476120</v>
      </c>
      <c r="N1909">
        <f t="shared" si="401"/>
        <v>96874887</v>
      </c>
      <c r="O1909">
        <f t="shared" si="403"/>
        <v>1.01401007013401</v>
      </c>
    </row>
    <row r="1910" ht="13.85" spans="1:15">
      <c r="A1910" s="43">
        <v>39393</v>
      </c>
      <c r="B1910" s="11">
        <v>13806569</v>
      </c>
      <c r="D1910" s="11">
        <v>36</v>
      </c>
      <c r="E1910">
        <f t="shared" si="396"/>
        <v>36</v>
      </c>
      <c r="H1910">
        <f t="shared" si="399"/>
        <v>36000000</v>
      </c>
      <c r="I1910">
        <f t="shared" si="404"/>
        <v>17280000</v>
      </c>
      <c r="K1910">
        <f t="shared" si="402"/>
        <v>66592198</v>
      </c>
      <c r="M1910">
        <f t="shared" si="397"/>
        <v>13806569</v>
      </c>
      <c r="N1910">
        <f t="shared" si="401"/>
        <v>80398767</v>
      </c>
      <c r="O1910">
        <f t="shared" si="403"/>
        <v>0.483934373552062</v>
      </c>
    </row>
    <row r="1911" ht="13.85" spans="1:15">
      <c r="A1911" s="43">
        <v>39270</v>
      </c>
      <c r="B1911" s="11">
        <v>18597563</v>
      </c>
      <c r="D1911" s="11">
        <v>27</v>
      </c>
      <c r="E1911">
        <f t="shared" si="396"/>
        <v>27</v>
      </c>
      <c r="H1911">
        <f t="shared" si="399"/>
        <v>27000000</v>
      </c>
      <c r="I1911">
        <f t="shared" si="404"/>
        <v>12960000</v>
      </c>
      <c r="K1911">
        <f t="shared" si="402"/>
        <v>47994635</v>
      </c>
      <c r="M1911">
        <f t="shared" si="397"/>
        <v>18597563</v>
      </c>
      <c r="N1911">
        <f t="shared" si="401"/>
        <v>66592198</v>
      </c>
      <c r="O1911">
        <f t="shared" si="403"/>
        <v>0.564597267123388</v>
      </c>
    </row>
    <row r="1912" ht="13.85" spans="1:15">
      <c r="A1912" s="43">
        <v>39179</v>
      </c>
      <c r="B1912" s="11">
        <v>12398218</v>
      </c>
      <c r="D1912" s="11">
        <v>20</v>
      </c>
      <c r="E1912">
        <f t="shared" si="396"/>
        <v>20</v>
      </c>
      <c r="H1912">
        <f t="shared" si="399"/>
        <v>20000000</v>
      </c>
      <c r="I1912">
        <f t="shared" si="404"/>
        <v>9600000</v>
      </c>
      <c r="K1912">
        <f t="shared" si="402"/>
        <v>35596417</v>
      </c>
      <c r="M1912">
        <f t="shared" si="397"/>
        <v>12398218</v>
      </c>
      <c r="N1912">
        <f t="shared" si="401"/>
        <v>47994635</v>
      </c>
      <c r="O1912">
        <f t="shared" si="403"/>
        <v>0.350317741694895</v>
      </c>
    </row>
    <row r="1913" ht="13.9" spans="1:15">
      <c r="A1913" s="42" t="s">
        <v>1266</v>
      </c>
      <c r="B1913" s="11">
        <v>14272757</v>
      </c>
      <c r="D1913" s="11">
        <v>15</v>
      </c>
      <c r="E1913">
        <f t="shared" si="396"/>
        <v>15</v>
      </c>
      <c r="H1913">
        <f t="shared" si="399"/>
        <v>15000000</v>
      </c>
      <c r="I1913">
        <f t="shared" si="404"/>
        <v>7200000</v>
      </c>
      <c r="K1913">
        <f t="shared" si="402"/>
        <v>21323660</v>
      </c>
      <c r="M1913">
        <f t="shared" si="397"/>
        <v>14272757</v>
      </c>
      <c r="N1913">
        <f t="shared" si="401"/>
        <v>35596417</v>
      </c>
      <c r="O1913">
        <f t="shared" si="403"/>
        <v>0</v>
      </c>
    </row>
    <row r="1914" ht="13.9" spans="1:15">
      <c r="A1914" s="42" t="s">
        <v>1267</v>
      </c>
      <c r="B1914" s="11">
        <v>21323660</v>
      </c>
      <c r="D1914" s="11">
        <v>103</v>
      </c>
      <c r="E1914">
        <f t="shared" si="396"/>
        <v>103</v>
      </c>
      <c r="H1914">
        <f t="shared" si="399"/>
        <v>103000000</v>
      </c>
      <c r="I1914">
        <f t="shared" si="404"/>
        <v>49440000</v>
      </c>
      <c r="K1914">
        <f t="shared" si="402"/>
        <v>153830902</v>
      </c>
      <c r="M1914">
        <f t="shared" si="397"/>
        <v>21323660</v>
      </c>
      <c r="N1914">
        <f t="shared" si="401"/>
        <v>175154562</v>
      </c>
      <c r="O1914">
        <f t="shared" si="403"/>
        <v>0.727950458603589</v>
      </c>
    </row>
    <row r="1915" ht="13.9" spans="1:15">
      <c r="A1915" s="42" t="s">
        <v>1268</v>
      </c>
      <c r="B1915" s="11">
        <v>19232078</v>
      </c>
      <c r="D1915" s="11">
        <v>89</v>
      </c>
      <c r="E1915">
        <f t="shared" si="396"/>
        <v>89</v>
      </c>
      <c r="H1915">
        <f t="shared" si="399"/>
        <v>89000000</v>
      </c>
      <c r="I1915">
        <f t="shared" si="404"/>
        <v>42720000</v>
      </c>
      <c r="K1915">
        <f t="shared" si="402"/>
        <v>134598824</v>
      </c>
      <c r="M1915">
        <f t="shared" si="397"/>
        <v>19232078</v>
      </c>
      <c r="N1915">
        <f t="shared" si="401"/>
        <v>153830902</v>
      </c>
      <c r="O1915">
        <f t="shared" si="403"/>
        <v>0.778287456281199</v>
      </c>
    </row>
    <row r="1916" ht="13.9" spans="1:15">
      <c r="A1916" s="42" t="s">
        <v>1269</v>
      </c>
      <c r="B1916" s="11">
        <v>16703340</v>
      </c>
      <c r="D1916" s="11">
        <v>76</v>
      </c>
      <c r="E1916">
        <f t="shared" si="396"/>
        <v>76</v>
      </c>
      <c r="H1916">
        <f t="shared" si="399"/>
        <v>76000000</v>
      </c>
      <c r="I1916">
        <f t="shared" si="404"/>
        <v>36480000</v>
      </c>
      <c r="K1916">
        <f t="shared" si="402"/>
        <v>117895484</v>
      </c>
      <c r="M1916">
        <f t="shared" si="397"/>
        <v>16703340</v>
      </c>
      <c r="N1916">
        <f t="shared" si="401"/>
        <v>134598824</v>
      </c>
      <c r="O1916">
        <f t="shared" si="403"/>
        <v>0.578418511243299</v>
      </c>
    </row>
    <row r="1917" ht="13.9" spans="1:15">
      <c r="A1917" s="42" t="s">
        <v>1270</v>
      </c>
      <c r="B1917" s="11">
        <v>17288520</v>
      </c>
      <c r="D1917" s="11">
        <v>66</v>
      </c>
      <c r="E1917">
        <f t="shared" si="396"/>
        <v>66</v>
      </c>
      <c r="H1917">
        <f t="shared" si="399"/>
        <v>66000000</v>
      </c>
      <c r="I1917">
        <f t="shared" si="404"/>
        <v>31680000</v>
      </c>
      <c r="K1917">
        <f t="shared" si="402"/>
        <v>100606964</v>
      </c>
      <c r="M1917">
        <f t="shared" si="397"/>
        <v>17288520</v>
      </c>
      <c r="N1917">
        <f t="shared" si="401"/>
        <v>117895484</v>
      </c>
      <c r="O1917">
        <f t="shared" si="403"/>
        <v>0.806070246335067</v>
      </c>
    </row>
    <row r="1918" ht="13.9" spans="1:15">
      <c r="A1918" s="42" t="s">
        <v>1271</v>
      </c>
      <c r="B1918" s="11">
        <v>14887040</v>
      </c>
      <c r="D1918" s="11">
        <v>54</v>
      </c>
      <c r="E1918">
        <f t="shared" si="396"/>
        <v>54</v>
      </c>
      <c r="H1918">
        <f t="shared" si="399"/>
        <v>54000000</v>
      </c>
      <c r="I1918">
        <f t="shared" si="404"/>
        <v>25920000</v>
      </c>
      <c r="K1918">
        <f t="shared" si="402"/>
        <v>85719924</v>
      </c>
      <c r="M1918">
        <f t="shared" si="397"/>
        <v>14887040</v>
      </c>
      <c r="N1918">
        <f t="shared" si="401"/>
        <v>100606964</v>
      </c>
      <c r="O1918">
        <f t="shared" si="403"/>
        <v>0.708734071443358</v>
      </c>
    </row>
    <row r="1919" ht="13.85" spans="1:15">
      <c r="A1919" s="43">
        <v>38967</v>
      </c>
      <c r="B1919" s="11">
        <v>15520631</v>
      </c>
      <c r="D1919" s="11">
        <v>43</v>
      </c>
      <c r="E1919">
        <f t="shared" si="396"/>
        <v>43</v>
      </c>
      <c r="H1919">
        <f t="shared" si="399"/>
        <v>43000000</v>
      </c>
      <c r="I1919">
        <f t="shared" si="404"/>
        <v>20640000</v>
      </c>
      <c r="K1919">
        <f t="shared" si="402"/>
        <v>70199293</v>
      </c>
      <c r="M1919">
        <f t="shared" si="397"/>
        <v>15520631</v>
      </c>
      <c r="N1919">
        <f t="shared" si="401"/>
        <v>85719924</v>
      </c>
      <c r="O1919">
        <f t="shared" si="403"/>
        <v>0.811274413275281</v>
      </c>
    </row>
    <row r="1920" ht="13.85" spans="1:15">
      <c r="A1920" s="43">
        <v>38875</v>
      </c>
      <c r="B1920" s="11">
        <v>13558914</v>
      </c>
      <c r="D1920" s="11">
        <v>32</v>
      </c>
      <c r="E1920">
        <f t="shared" ref="E1920:E1983" si="405">IF(RIGHT(D1920,1)="B",VALUE(LEFT(D1920,LEN(D1920)-1))*1000,D1920)</f>
        <v>32</v>
      </c>
      <c r="H1920">
        <f t="shared" si="399"/>
        <v>32000000</v>
      </c>
      <c r="I1920">
        <f t="shared" si="404"/>
        <v>15360000</v>
      </c>
      <c r="K1920">
        <f t="shared" si="402"/>
        <v>56640379</v>
      </c>
      <c r="M1920">
        <f t="shared" si="397"/>
        <v>13558914</v>
      </c>
      <c r="N1920">
        <f t="shared" si="401"/>
        <v>70199293</v>
      </c>
      <c r="O1920">
        <f t="shared" si="403"/>
        <v>0.476795130259748</v>
      </c>
    </row>
    <row r="1921" ht="13.85" spans="1:15">
      <c r="A1921" s="43">
        <v>38755</v>
      </c>
      <c r="B1921" s="11">
        <v>14681358</v>
      </c>
      <c r="D1921" s="11">
        <v>25</v>
      </c>
      <c r="E1921">
        <f t="shared" si="405"/>
        <v>25</v>
      </c>
      <c r="H1921">
        <f t="shared" si="399"/>
        <v>25000000</v>
      </c>
      <c r="I1921">
        <f t="shared" si="404"/>
        <v>12000000</v>
      </c>
      <c r="K1921">
        <f t="shared" si="402"/>
        <v>41959021</v>
      </c>
      <c r="M1921">
        <f t="shared" si="397"/>
        <v>14681358</v>
      </c>
      <c r="N1921">
        <f t="shared" si="401"/>
        <v>56640379</v>
      </c>
      <c r="O1921">
        <f t="shared" si="403"/>
        <v>0.407845112824641</v>
      </c>
    </row>
    <row r="1922" ht="13.9" spans="1:15">
      <c r="A1922" s="42" t="s">
        <v>1272</v>
      </c>
      <c r="B1922" s="11">
        <v>12259556</v>
      </c>
      <c r="D1922" s="11">
        <v>20</v>
      </c>
      <c r="E1922">
        <f t="shared" si="405"/>
        <v>20</v>
      </c>
      <c r="H1922">
        <f t="shared" si="399"/>
        <v>20000000</v>
      </c>
      <c r="I1922">
        <f t="shared" si="404"/>
        <v>9600000</v>
      </c>
      <c r="K1922">
        <f t="shared" si="402"/>
        <v>29699465</v>
      </c>
      <c r="M1922">
        <f t="shared" si="397"/>
        <v>12259556</v>
      </c>
      <c r="N1922">
        <f t="shared" si="401"/>
        <v>41959021</v>
      </c>
      <c r="O1922">
        <f t="shared" si="403"/>
        <v>0.360276127152686</v>
      </c>
    </row>
    <row r="1923" ht="13.9" spans="1:15">
      <c r="A1923" s="42" t="s">
        <v>1273</v>
      </c>
      <c r="B1923" s="11">
        <v>13878244</v>
      </c>
      <c r="D1923" s="11">
        <v>15</v>
      </c>
      <c r="E1923">
        <f t="shared" si="405"/>
        <v>15</v>
      </c>
      <c r="H1923">
        <f t="shared" si="399"/>
        <v>15000000</v>
      </c>
      <c r="I1923">
        <f t="shared" si="404"/>
        <v>7200000</v>
      </c>
      <c r="K1923">
        <f t="shared" si="402"/>
        <v>15821221</v>
      </c>
      <c r="M1923">
        <f t="shared" si="397"/>
        <v>13878244</v>
      </c>
      <c r="N1923">
        <f t="shared" si="401"/>
        <v>29699465</v>
      </c>
      <c r="O1923">
        <f t="shared" si="403"/>
        <v>0</v>
      </c>
    </row>
    <row r="1924" ht="13.9" spans="1:15">
      <c r="A1924" s="42" t="s">
        <v>1274</v>
      </c>
      <c r="B1924" s="11">
        <v>15821221</v>
      </c>
      <c r="D1924" s="11">
        <v>63</v>
      </c>
      <c r="E1924">
        <f t="shared" si="405"/>
        <v>63</v>
      </c>
      <c r="H1924">
        <f t="shared" si="399"/>
        <v>63000000</v>
      </c>
      <c r="I1924">
        <f t="shared" si="404"/>
        <v>30240000</v>
      </c>
      <c r="K1924">
        <f t="shared" si="402"/>
        <v>106731668</v>
      </c>
      <c r="M1924">
        <f t="shared" si="397"/>
        <v>15821221</v>
      </c>
      <c r="N1924">
        <f t="shared" si="401"/>
        <v>122552889</v>
      </c>
      <c r="O1924">
        <f t="shared" si="403"/>
        <v>0.60319382686612</v>
      </c>
    </row>
    <row r="1925" ht="13.9" spans="1:15">
      <c r="A1925" s="42" t="s">
        <v>1275</v>
      </c>
      <c r="B1925" s="11">
        <v>16578419</v>
      </c>
      <c r="D1925" s="11">
        <v>53</v>
      </c>
      <c r="E1925">
        <f t="shared" si="405"/>
        <v>53</v>
      </c>
      <c r="H1925">
        <f t="shared" si="399"/>
        <v>53000000</v>
      </c>
      <c r="I1925">
        <f t="shared" si="404"/>
        <v>25440000</v>
      </c>
      <c r="K1925">
        <f t="shared" si="402"/>
        <v>90153249</v>
      </c>
      <c r="M1925">
        <f t="shared" si="397"/>
        <v>16578419</v>
      </c>
      <c r="N1925">
        <f t="shared" si="401"/>
        <v>106731668</v>
      </c>
      <c r="O1925">
        <f t="shared" si="403"/>
        <v>0.690795556775347</v>
      </c>
    </row>
    <row r="1926" ht="13.9" spans="1:15">
      <c r="A1926" s="42" t="s">
        <v>1276</v>
      </c>
      <c r="B1926" s="11">
        <v>14476063</v>
      </c>
      <c r="D1926" s="11">
        <v>43</v>
      </c>
      <c r="E1926">
        <f t="shared" si="405"/>
        <v>43</v>
      </c>
      <c r="H1926">
        <f t="shared" si="399"/>
        <v>43000000</v>
      </c>
      <c r="I1926">
        <f t="shared" si="404"/>
        <v>20640000</v>
      </c>
      <c r="K1926">
        <f t="shared" si="402"/>
        <v>75677186</v>
      </c>
      <c r="M1926">
        <f t="shared" ref="M1926:M1989" si="406">B1926+C1926</f>
        <v>14476063</v>
      </c>
      <c r="N1926">
        <f t="shared" si="401"/>
        <v>90153249</v>
      </c>
      <c r="O1926">
        <f t="shared" si="403"/>
        <v>0.584809571383318</v>
      </c>
    </row>
    <row r="1927" ht="13.85" spans="1:15">
      <c r="A1927" s="43">
        <v>38693</v>
      </c>
      <c r="B1927" s="11">
        <v>15389625</v>
      </c>
      <c r="D1927" s="11">
        <v>34</v>
      </c>
      <c r="E1927">
        <f t="shared" si="405"/>
        <v>34</v>
      </c>
      <c r="H1927">
        <f t="shared" si="399"/>
        <v>34000000</v>
      </c>
      <c r="I1927">
        <f t="shared" si="404"/>
        <v>16320000</v>
      </c>
      <c r="K1927">
        <f t="shared" si="402"/>
        <v>60287561</v>
      </c>
      <c r="M1927">
        <f t="shared" si="406"/>
        <v>15389625</v>
      </c>
      <c r="N1927">
        <f t="shared" si="401"/>
        <v>75677186</v>
      </c>
      <c r="O1927">
        <f t="shared" ref="O1927:O1945" si="407">IF(H1927&gt;H1928,(H1927-H1928)/M1928,0)</f>
        <v>0.662317789936788</v>
      </c>
    </row>
    <row r="1928" ht="13.85" spans="1:15">
      <c r="A1928" s="43">
        <v>38602</v>
      </c>
      <c r="B1928" s="11">
        <v>13588643</v>
      </c>
      <c r="D1928" s="11">
        <v>25</v>
      </c>
      <c r="E1928">
        <f t="shared" si="405"/>
        <v>25</v>
      </c>
      <c r="H1928">
        <f t="shared" si="399"/>
        <v>25000000</v>
      </c>
      <c r="I1928">
        <f t="shared" si="404"/>
        <v>12000000</v>
      </c>
      <c r="K1928">
        <f t="shared" si="402"/>
        <v>46698918</v>
      </c>
      <c r="M1928">
        <f t="shared" si="406"/>
        <v>13588643</v>
      </c>
      <c r="N1928">
        <f t="shared" si="401"/>
        <v>60287561</v>
      </c>
      <c r="O1928">
        <f t="shared" si="407"/>
        <v>0.33279921278343</v>
      </c>
    </row>
    <row r="1929" ht="13.85" spans="1:15">
      <c r="A1929" s="43">
        <v>38479</v>
      </c>
      <c r="B1929" s="11">
        <v>15024074</v>
      </c>
      <c r="D1929" s="11">
        <v>20</v>
      </c>
      <c r="E1929">
        <f t="shared" si="405"/>
        <v>20</v>
      </c>
      <c r="H1929">
        <f t="shared" si="399"/>
        <v>20000000</v>
      </c>
      <c r="I1929">
        <f t="shared" si="404"/>
        <v>9600000</v>
      </c>
      <c r="K1929">
        <f t="shared" si="402"/>
        <v>31674844</v>
      </c>
      <c r="M1929">
        <f t="shared" si="406"/>
        <v>15024074</v>
      </c>
      <c r="N1929">
        <f t="shared" si="401"/>
        <v>46698918</v>
      </c>
      <c r="O1929">
        <f t="shared" si="407"/>
        <v>0.377966231740924</v>
      </c>
    </row>
    <row r="1930" ht="13.85" spans="1:15">
      <c r="A1930" s="43">
        <v>38390</v>
      </c>
      <c r="B1930" s="11">
        <v>13228695</v>
      </c>
      <c r="D1930" s="11">
        <v>15</v>
      </c>
      <c r="E1930">
        <f t="shared" si="405"/>
        <v>15</v>
      </c>
      <c r="H1930">
        <f t="shared" si="399"/>
        <v>15000000</v>
      </c>
      <c r="I1930">
        <f t="shared" si="404"/>
        <v>7200000</v>
      </c>
      <c r="K1930">
        <f t="shared" si="402"/>
        <v>18446149</v>
      </c>
      <c r="M1930">
        <f t="shared" si="406"/>
        <v>13228695</v>
      </c>
      <c r="N1930">
        <f t="shared" si="401"/>
        <v>31674844</v>
      </c>
      <c r="O1930">
        <f t="shared" si="407"/>
        <v>0</v>
      </c>
    </row>
    <row r="1931" ht="13.9" spans="1:15">
      <c r="A1931" s="42" t="s">
        <v>1277</v>
      </c>
      <c r="B1931" s="11">
        <v>18446149</v>
      </c>
      <c r="D1931" s="11">
        <v>68</v>
      </c>
      <c r="E1931">
        <f t="shared" si="405"/>
        <v>68</v>
      </c>
      <c r="H1931">
        <f t="shared" si="399"/>
        <v>68000000</v>
      </c>
      <c r="I1931">
        <f t="shared" si="404"/>
        <v>32640000</v>
      </c>
      <c r="K1931">
        <f t="shared" si="402"/>
        <v>108411021</v>
      </c>
      <c r="M1931">
        <f t="shared" si="406"/>
        <v>18446149</v>
      </c>
      <c r="N1931">
        <f t="shared" si="401"/>
        <v>144490959</v>
      </c>
      <c r="O1931">
        <f t="shared" si="407"/>
        <v>0.677871262387327</v>
      </c>
    </row>
    <row r="1932" ht="13.9" spans="1:15">
      <c r="A1932" s="42" t="s">
        <v>1278</v>
      </c>
      <c r="B1932" s="11">
        <v>16227270</v>
      </c>
      <c r="D1932" s="11">
        <v>57</v>
      </c>
      <c r="E1932">
        <f t="shared" si="405"/>
        <v>57</v>
      </c>
      <c r="H1932">
        <f t="shared" si="399"/>
        <v>57000000</v>
      </c>
      <c r="I1932">
        <f t="shared" si="404"/>
        <v>27360000</v>
      </c>
      <c r="K1932">
        <f t="shared" si="402"/>
        <v>92183751</v>
      </c>
      <c r="M1932">
        <f t="shared" si="406"/>
        <v>16227270</v>
      </c>
      <c r="N1932">
        <f t="shared" si="401"/>
        <v>126044810</v>
      </c>
      <c r="O1932">
        <f t="shared" si="407"/>
        <v>0.583262569002149</v>
      </c>
    </row>
    <row r="1933" ht="13.9" spans="1:15">
      <c r="A1933" s="42" t="s">
        <v>1279</v>
      </c>
      <c r="B1933" s="11">
        <v>17144937</v>
      </c>
      <c r="D1933" s="11">
        <v>47</v>
      </c>
      <c r="E1933">
        <f t="shared" si="405"/>
        <v>47</v>
      </c>
      <c r="H1933">
        <f t="shared" si="399"/>
        <v>47000000</v>
      </c>
      <c r="I1933">
        <f t="shared" si="404"/>
        <v>22560000</v>
      </c>
      <c r="K1933">
        <f t="shared" si="402"/>
        <v>75038814</v>
      </c>
      <c r="M1933">
        <f t="shared" si="406"/>
        <v>17144937</v>
      </c>
      <c r="N1933">
        <f t="shared" si="401"/>
        <v>109817540</v>
      </c>
      <c r="O1933">
        <f t="shared" si="407"/>
        <v>0.729588211127971</v>
      </c>
    </row>
    <row r="1934" ht="13.9" spans="1:15">
      <c r="A1934" s="42" t="s">
        <v>1280</v>
      </c>
      <c r="B1934" s="11">
        <v>15076998</v>
      </c>
      <c r="D1934" s="11">
        <v>36</v>
      </c>
      <c r="E1934">
        <f t="shared" si="405"/>
        <v>36</v>
      </c>
      <c r="H1934">
        <f t="shared" si="399"/>
        <v>36000000</v>
      </c>
      <c r="I1934">
        <f t="shared" si="404"/>
        <v>17280000</v>
      </c>
      <c r="K1934">
        <f t="shared" si="402"/>
        <v>59961816</v>
      </c>
      <c r="M1934">
        <f t="shared" si="406"/>
        <v>15076998</v>
      </c>
      <c r="N1934">
        <f t="shared" si="401"/>
        <v>92672603</v>
      </c>
      <c r="O1934">
        <f t="shared" si="407"/>
        <v>0.548769278188525</v>
      </c>
    </row>
    <row r="1935" ht="13.9" spans="1:15">
      <c r="A1935" s="42" t="s">
        <v>1281</v>
      </c>
      <c r="B1935" s="11">
        <v>16400335</v>
      </c>
      <c r="D1935" s="11">
        <v>27</v>
      </c>
      <c r="E1935">
        <f t="shared" si="405"/>
        <v>27</v>
      </c>
      <c r="H1935">
        <f t="shared" ref="H1935:H1998" si="408">E1935*1000000</f>
        <v>27000000</v>
      </c>
      <c r="I1935">
        <f t="shared" si="404"/>
        <v>12960000</v>
      </c>
      <c r="K1935">
        <f t="shared" si="402"/>
        <v>43561481</v>
      </c>
      <c r="M1935">
        <f t="shared" si="406"/>
        <v>16400335</v>
      </c>
      <c r="N1935">
        <f t="shared" si="401"/>
        <v>77595605</v>
      </c>
      <c r="O1935">
        <f t="shared" si="407"/>
        <v>0.499244500429564</v>
      </c>
    </row>
    <row r="1936" ht="13.85" spans="1:15">
      <c r="A1936" s="43">
        <v>38298</v>
      </c>
      <c r="B1936" s="11">
        <v>14021186</v>
      </c>
      <c r="D1936" s="11">
        <v>20</v>
      </c>
      <c r="E1936">
        <f t="shared" si="405"/>
        <v>20</v>
      </c>
      <c r="H1936">
        <f t="shared" si="408"/>
        <v>20000000</v>
      </c>
      <c r="I1936">
        <f t="shared" si="404"/>
        <v>9600000</v>
      </c>
      <c r="K1936">
        <f t="shared" si="402"/>
        <v>29540295</v>
      </c>
      <c r="M1936">
        <f t="shared" si="406"/>
        <v>14021186</v>
      </c>
      <c r="N1936">
        <f t="shared" si="401"/>
        <v>61195270</v>
      </c>
      <c r="O1936">
        <f t="shared" si="407"/>
        <v>0.322163682217486</v>
      </c>
    </row>
    <row r="1937" ht="13.85" spans="1:15">
      <c r="A1937" s="43">
        <v>38175</v>
      </c>
      <c r="B1937" s="11">
        <v>15520061</v>
      </c>
      <c r="D1937" s="11">
        <v>15</v>
      </c>
      <c r="E1937">
        <f t="shared" si="405"/>
        <v>15</v>
      </c>
      <c r="H1937">
        <f t="shared" si="408"/>
        <v>15000000</v>
      </c>
      <c r="I1937">
        <f t="shared" si="404"/>
        <v>7200000</v>
      </c>
      <c r="K1937">
        <f t="shared" si="402"/>
        <v>14020234</v>
      </c>
      <c r="M1937">
        <f t="shared" si="406"/>
        <v>15520061</v>
      </c>
      <c r="N1937">
        <f t="shared" si="401"/>
        <v>47174084</v>
      </c>
      <c r="O1937">
        <f t="shared" si="407"/>
        <v>0</v>
      </c>
    </row>
    <row r="1938" ht="13.85" spans="1:15">
      <c r="A1938" s="43">
        <v>38084</v>
      </c>
      <c r="B1938" s="11">
        <v>14020234</v>
      </c>
      <c r="D1938" s="11">
        <v>15</v>
      </c>
      <c r="E1938">
        <f t="shared" si="405"/>
        <v>15</v>
      </c>
      <c r="H1938">
        <f t="shared" si="408"/>
        <v>15000000</v>
      </c>
      <c r="I1938">
        <f t="shared" si="404"/>
        <v>7200000</v>
      </c>
      <c r="K1938">
        <f t="shared" si="402"/>
        <v>17633789</v>
      </c>
      <c r="M1938">
        <f t="shared" si="406"/>
        <v>14020234</v>
      </c>
      <c r="N1938">
        <f t="shared" si="401"/>
        <v>31654023</v>
      </c>
      <c r="O1938">
        <f t="shared" si="407"/>
        <v>0</v>
      </c>
    </row>
    <row r="1939" ht="13.9" spans="1:15">
      <c r="A1939" s="42" t="s">
        <v>1282</v>
      </c>
      <c r="B1939" s="11">
        <v>17633789</v>
      </c>
      <c r="D1939" s="11">
        <v>41</v>
      </c>
      <c r="E1939">
        <f t="shared" si="405"/>
        <v>41</v>
      </c>
      <c r="H1939">
        <f t="shared" si="408"/>
        <v>41000000</v>
      </c>
      <c r="I1939">
        <f t="shared" si="404"/>
        <v>19680000</v>
      </c>
      <c r="K1939">
        <f t="shared" si="402"/>
        <v>81562160</v>
      </c>
      <c r="M1939">
        <f t="shared" si="406"/>
        <v>17633789</v>
      </c>
      <c r="N1939">
        <f t="shared" si="401"/>
        <v>99195949</v>
      </c>
      <c r="O1939">
        <f t="shared" si="407"/>
        <v>0.722098159923211</v>
      </c>
    </row>
    <row r="1940" ht="13.9" spans="1:15">
      <c r="A1940" s="42" t="s">
        <v>1283</v>
      </c>
      <c r="B1940" s="11">
        <v>15233386</v>
      </c>
      <c r="D1940" s="11">
        <v>30</v>
      </c>
      <c r="E1940">
        <f t="shared" si="405"/>
        <v>30</v>
      </c>
      <c r="H1940">
        <f t="shared" si="408"/>
        <v>30000000</v>
      </c>
      <c r="I1940">
        <f t="shared" si="404"/>
        <v>14400000</v>
      </c>
      <c r="K1940">
        <f t="shared" si="402"/>
        <v>66328774</v>
      </c>
      <c r="M1940">
        <f t="shared" si="406"/>
        <v>15233386</v>
      </c>
      <c r="N1940">
        <f t="shared" si="401"/>
        <v>81562160</v>
      </c>
      <c r="O1940">
        <f t="shared" si="407"/>
        <v>0.607386401736056</v>
      </c>
    </row>
    <row r="1941" ht="13.9" spans="1:15">
      <c r="A1941" s="42" t="s">
        <v>1284</v>
      </c>
      <c r="B1941" s="11">
        <v>16463984</v>
      </c>
      <c r="D1941" s="11">
        <v>20</v>
      </c>
      <c r="E1941">
        <f t="shared" si="405"/>
        <v>20</v>
      </c>
      <c r="H1941">
        <f t="shared" si="408"/>
        <v>20000000</v>
      </c>
      <c r="I1941">
        <f t="shared" si="404"/>
        <v>9600000</v>
      </c>
      <c r="K1941">
        <f t="shared" si="402"/>
        <v>49864790</v>
      </c>
      <c r="M1941">
        <f t="shared" si="406"/>
        <v>16463984</v>
      </c>
      <c r="N1941">
        <f t="shared" si="401"/>
        <v>66328774</v>
      </c>
      <c r="O1941">
        <f t="shared" si="407"/>
        <v>0.325729779656182</v>
      </c>
    </row>
    <row r="1942" ht="13.9" spans="1:15">
      <c r="A1942" s="42" t="s">
        <v>1285</v>
      </c>
      <c r="B1942" s="11">
        <v>15350147</v>
      </c>
      <c r="D1942" s="11">
        <v>15</v>
      </c>
      <c r="E1942">
        <f t="shared" si="405"/>
        <v>15</v>
      </c>
      <c r="H1942">
        <f t="shared" si="408"/>
        <v>15000000</v>
      </c>
      <c r="I1942">
        <f t="shared" si="404"/>
        <v>7200000</v>
      </c>
      <c r="K1942">
        <f t="shared" si="402"/>
        <v>34514643</v>
      </c>
      <c r="M1942">
        <f t="shared" si="406"/>
        <v>15350147</v>
      </c>
      <c r="N1942">
        <f t="shared" si="401"/>
        <v>49864790</v>
      </c>
      <c r="O1942">
        <f t="shared" si="407"/>
        <v>0</v>
      </c>
    </row>
    <row r="1943" ht="13.9" spans="1:15">
      <c r="A1943" s="42" t="s">
        <v>1286</v>
      </c>
      <c r="B1943" s="11">
        <v>34514643</v>
      </c>
      <c r="D1943" s="11">
        <v>183</v>
      </c>
      <c r="E1943">
        <f t="shared" si="405"/>
        <v>183</v>
      </c>
      <c r="H1943">
        <f t="shared" si="408"/>
        <v>183000000</v>
      </c>
      <c r="I1943">
        <f t="shared" si="404"/>
        <v>87840000</v>
      </c>
      <c r="K1943">
        <f t="shared" si="402"/>
        <v>284241649</v>
      </c>
      <c r="M1943">
        <f t="shared" si="406"/>
        <v>34514643</v>
      </c>
      <c r="N1943">
        <f t="shared" si="401"/>
        <v>384743350</v>
      </c>
      <c r="O1943">
        <f t="shared" si="407"/>
        <v>0.588654835729164</v>
      </c>
    </row>
    <row r="1944" ht="13.9" spans="1:15">
      <c r="A1944" s="42" t="s">
        <v>1287</v>
      </c>
      <c r="B1944" s="11">
        <v>30578191</v>
      </c>
      <c r="D1944" s="11">
        <v>165</v>
      </c>
      <c r="E1944">
        <f t="shared" si="405"/>
        <v>165</v>
      </c>
      <c r="H1944">
        <f t="shared" si="408"/>
        <v>165000000</v>
      </c>
      <c r="I1944">
        <f t="shared" si="404"/>
        <v>79200000</v>
      </c>
      <c r="K1944">
        <f t="shared" si="402"/>
        <v>253663458</v>
      </c>
      <c r="M1944">
        <f t="shared" si="406"/>
        <v>30578191</v>
      </c>
      <c r="N1944">
        <f t="shared" si="401"/>
        <v>350228707</v>
      </c>
      <c r="O1944">
        <f t="shared" si="407"/>
        <v>0.761724799295451</v>
      </c>
    </row>
    <row r="1945" ht="13.85" spans="1:15">
      <c r="A1945" s="43">
        <v>37901</v>
      </c>
      <c r="B1945" s="11">
        <v>30194632</v>
      </c>
      <c r="D1945" s="11">
        <v>142</v>
      </c>
      <c r="E1945">
        <f t="shared" si="405"/>
        <v>142</v>
      </c>
      <c r="H1945">
        <f t="shared" si="408"/>
        <v>142000000</v>
      </c>
      <c r="I1945">
        <f t="shared" si="404"/>
        <v>68160000</v>
      </c>
      <c r="K1945">
        <f t="shared" si="402"/>
        <v>223468826</v>
      </c>
      <c r="M1945">
        <f t="shared" si="406"/>
        <v>30194632</v>
      </c>
      <c r="N1945">
        <f t="shared" si="401"/>
        <v>319650516</v>
      </c>
      <c r="O1945">
        <f t="shared" si="407"/>
        <v>0.79572032673</v>
      </c>
    </row>
    <row r="1946" ht="13.85" spans="1:15">
      <c r="A1946" s="43">
        <v>37809</v>
      </c>
      <c r="B1946" s="11">
        <v>27647905</v>
      </c>
      <c r="D1946" s="11">
        <v>120</v>
      </c>
      <c r="E1946">
        <f t="shared" si="405"/>
        <v>120</v>
      </c>
      <c r="H1946">
        <f t="shared" si="408"/>
        <v>120000000</v>
      </c>
      <c r="I1946">
        <f t="shared" si="404"/>
        <v>57600000</v>
      </c>
      <c r="K1946">
        <f t="shared" si="402"/>
        <v>195820921</v>
      </c>
      <c r="M1946">
        <f t="shared" si="406"/>
        <v>27647905</v>
      </c>
      <c r="N1946">
        <f t="shared" si="401"/>
        <v>289455884</v>
      </c>
      <c r="O1946">
        <f t="shared" ref="O1946:O1968" si="409">IF(H1946&gt;H1947,(H1946-H1947)/M1947,0)</f>
        <v>0.594922031105062</v>
      </c>
    </row>
    <row r="1947" ht="13.85" spans="1:15">
      <c r="A1947" s="43">
        <v>37687</v>
      </c>
      <c r="B1947" s="11">
        <v>25213388</v>
      </c>
      <c r="D1947" s="11">
        <v>105</v>
      </c>
      <c r="E1947">
        <f t="shared" si="405"/>
        <v>105</v>
      </c>
      <c r="H1947">
        <f t="shared" si="408"/>
        <v>105000000</v>
      </c>
      <c r="I1947">
        <f t="shared" si="404"/>
        <v>50400000</v>
      </c>
      <c r="K1947">
        <f t="shared" si="402"/>
        <v>170607533</v>
      </c>
      <c r="M1947">
        <f t="shared" si="406"/>
        <v>25213388</v>
      </c>
      <c r="N1947">
        <f t="shared" si="401"/>
        <v>261807979</v>
      </c>
      <c r="O1947">
        <f t="shared" si="409"/>
        <v>0.732602700520075</v>
      </c>
    </row>
    <row r="1948" ht="13.9" spans="1:15">
      <c r="A1948" s="42" t="s">
        <v>1288</v>
      </c>
      <c r="B1948" s="11">
        <v>20474945</v>
      </c>
      <c r="D1948" s="11">
        <v>90</v>
      </c>
      <c r="E1948">
        <f t="shared" si="405"/>
        <v>90</v>
      </c>
      <c r="H1948">
        <f t="shared" si="408"/>
        <v>90000000</v>
      </c>
      <c r="I1948">
        <f t="shared" si="404"/>
        <v>43200000</v>
      </c>
      <c r="K1948">
        <f t="shared" si="402"/>
        <v>150132588</v>
      </c>
      <c r="M1948">
        <f t="shared" si="406"/>
        <v>20474945</v>
      </c>
      <c r="N1948">
        <f t="shared" si="401"/>
        <v>236594591</v>
      </c>
      <c r="O1948">
        <f t="shared" si="409"/>
        <v>0.598851522550053</v>
      </c>
    </row>
    <row r="1949" ht="13.9" spans="1:15">
      <c r="A1949" s="42" t="s">
        <v>1289</v>
      </c>
      <c r="B1949" s="11">
        <v>20038356</v>
      </c>
      <c r="D1949" s="11">
        <v>78</v>
      </c>
      <c r="E1949">
        <f t="shared" si="405"/>
        <v>78</v>
      </c>
      <c r="H1949">
        <f t="shared" si="408"/>
        <v>78000000</v>
      </c>
      <c r="I1949">
        <f t="shared" si="404"/>
        <v>37440000</v>
      </c>
      <c r="K1949">
        <f t="shared" si="402"/>
        <v>130094232</v>
      </c>
      <c r="M1949">
        <f t="shared" si="406"/>
        <v>20038356</v>
      </c>
      <c r="N1949">
        <f t="shared" si="401"/>
        <v>216119646</v>
      </c>
      <c r="O1949">
        <f t="shared" si="409"/>
        <v>0.630038337832857</v>
      </c>
    </row>
    <row r="1950" ht="13.9" spans="1:15">
      <c r="A1950" s="42" t="s">
        <v>1290</v>
      </c>
      <c r="B1950" s="11">
        <v>17459255</v>
      </c>
      <c r="D1950" s="11">
        <v>67</v>
      </c>
      <c r="E1950">
        <f t="shared" si="405"/>
        <v>67</v>
      </c>
      <c r="H1950">
        <f t="shared" si="408"/>
        <v>67000000</v>
      </c>
      <c r="I1950">
        <f t="shared" si="404"/>
        <v>32160000</v>
      </c>
      <c r="K1950">
        <f t="shared" si="402"/>
        <v>112634977</v>
      </c>
      <c r="M1950">
        <f t="shared" si="406"/>
        <v>17459255</v>
      </c>
      <c r="N1950">
        <f t="shared" si="401"/>
        <v>196081290</v>
      </c>
      <c r="O1950">
        <f t="shared" si="409"/>
        <v>0.493510744962695</v>
      </c>
    </row>
    <row r="1951" ht="13.9" spans="1:15">
      <c r="A1951" s="42" t="s">
        <v>1291</v>
      </c>
      <c r="B1951" s="11">
        <v>18236685</v>
      </c>
      <c r="D1951" s="11">
        <v>58</v>
      </c>
      <c r="E1951">
        <f t="shared" si="405"/>
        <v>58</v>
      </c>
      <c r="H1951">
        <f t="shared" si="408"/>
        <v>58000000</v>
      </c>
      <c r="I1951">
        <f t="shared" si="404"/>
        <v>27840000</v>
      </c>
      <c r="K1951">
        <f t="shared" si="402"/>
        <v>94398292</v>
      </c>
      <c r="M1951">
        <f t="shared" si="406"/>
        <v>18236685</v>
      </c>
      <c r="N1951">
        <f t="shared" ref="N1951:N2014" si="410">IF(H1951&lt;H1952,M1951+M1952,M1951+N1952)</f>
        <v>178622035</v>
      </c>
      <c r="O1951">
        <f t="shared" si="409"/>
        <v>0.774744066525723</v>
      </c>
    </row>
    <row r="1952" ht="13.9" spans="1:15">
      <c r="A1952" s="42" t="s">
        <v>1292</v>
      </c>
      <c r="B1952" s="11">
        <v>15488986</v>
      </c>
      <c r="D1952" s="11">
        <v>46</v>
      </c>
      <c r="E1952">
        <f t="shared" si="405"/>
        <v>46</v>
      </c>
      <c r="H1952">
        <f t="shared" si="408"/>
        <v>46000000</v>
      </c>
      <c r="I1952">
        <f t="shared" si="404"/>
        <v>22080000</v>
      </c>
      <c r="K1952">
        <f t="shared" si="402"/>
        <v>78909306</v>
      </c>
      <c r="M1952">
        <f t="shared" si="406"/>
        <v>15488986</v>
      </c>
      <c r="N1952">
        <f t="shared" si="410"/>
        <v>160385350</v>
      </c>
      <c r="O1952">
        <f t="shared" si="409"/>
        <v>0.525451559934319</v>
      </c>
    </row>
    <row r="1953" ht="13.85" spans="1:15">
      <c r="A1953" s="43">
        <v>37536</v>
      </c>
      <c r="B1953" s="11">
        <v>17128125</v>
      </c>
      <c r="D1953" s="11">
        <v>37</v>
      </c>
      <c r="E1953">
        <f t="shared" si="405"/>
        <v>37</v>
      </c>
      <c r="H1953">
        <f t="shared" si="408"/>
        <v>37000000</v>
      </c>
      <c r="I1953">
        <f t="shared" si="404"/>
        <v>17760000</v>
      </c>
      <c r="K1953">
        <f t="shared" si="402"/>
        <v>61781181</v>
      </c>
      <c r="M1953">
        <f t="shared" si="406"/>
        <v>17128125</v>
      </c>
      <c r="N1953">
        <f t="shared" si="410"/>
        <v>144896364</v>
      </c>
      <c r="O1953">
        <f t="shared" si="409"/>
        <v>0.670071613233593</v>
      </c>
    </row>
    <row r="1954" ht="13.85" spans="1:15">
      <c r="A1954" s="43">
        <v>37444</v>
      </c>
      <c r="B1954" s="11">
        <v>14923778</v>
      </c>
      <c r="D1954" s="11">
        <v>27</v>
      </c>
      <c r="E1954">
        <f t="shared" si="405"/>
        <v>27</v>
      </c>
      <c r="H1954">
        <f t="shared" si="408"/>
        <v>27000000</v>
      </c>
      <c r="I1954">
        <f t="shared" si="404"/>
        <v>12960000</v>
      </c>
      <c r="K1954">
        <f t="shared" si="402"/>
        <v>46857403</v>
      </c>
      <c r="M1954">
        <f t="shared" si="406"/>
        <v>14923778</v>
      </c>
      <c r="N1954">
        <f t="shared" si="410"/>
        <v>127768239</v>
      </c>
      <c r="O1954">
        <f t="shared" si="409"/>
        <v>0.428569390680244</v>
      </c>
    </row>
    <row r="1955" ht="13.85" spans="1:15">
      <c r="A1955" s="43">
        <v>37322</v>
      </c>
      <c r="B1955" s="11">
        <v>16333411</v>
      </c>
      <c r="D1955" s="11">
        <v>20</v>
      </c>
      <c r="E1955">
        <f t="shared" si="405"/>
        <v>20</v>
      </c>
      <c r="H1955">
        <f t="shared" si="408"/>
        <v>20000000</v>
      </c>
      <c r="I1955">
        <f t="shared" si="404"/>
        <v>9600000</v>
      </c>
      <c r="K1955">
        <f t="shared" si="402"/>
        <v>30523992</v>
      </c>
      <c r="M1955">
        <f t="shared" si="406"/>
        <v>16333411</v>
      </c>
      <c r="N1955">
        <f t="shared" si="410"/>
        <v>112844461</v>
      </c>
      <c r="O1955">
        <f t="shared" si="409"/>
        <v>0.354907522811504</v>
      </c>
    </row>
    <row r="1956" ht="13.9" spans="1:15">
      <c r="A1956" s="42" t="s">
        <v>1293</v>
      </c>
      <c r="B1956" s="11">
        <v>14088177</v>
      </c>
      <c r="D1956" s="11">
        <v>15</v>
      </c>
      <c r="E1956">
        <f t="shared" si="405"/>
        <v>15</v>
      </c>
      <c r="H1956">
        <f t="shared" si="408"/>
        <v>15000000</v>
      </c>
      <c r="I1956">
        <f t="shared" si="404"/>
        <v>7200000</v>
      </c>
      <c r="K1956">
        <f t="shared" si="402"/>
        <v>16435815</v>
      </c>
      <c r="M1956">
        <f t="shared" si="406"/>
        <v>14088177</v>
      </c>
      <c r="N1956">
        <f t="shared" si="410"/>
        <v>96511050</v>
      </c>
      <c r="O1956">
        <f t="shared" si="409"/>
        <v>0</v>
      </c>
    </row>
    <row r="1957" ht="13.9" spans="1:15">
      <c r="A1957" s="42" t="s">
        <v>1294</v>
      </c>
      <c r="B1957" s="11">
        <v>16435815</v>
      </c>
      <c r="D1957" s="11">
        <v>15</v>
      </c>
      <c r="E1957">
        <f t="shared" si="405"/>
        <v>15</v>
      </c>
      <c r="H1957">
        <f t="shared" si="408"/>
        <v>15000000</v>
      </c>
      <c r="I1957">
        <f t="shared" si="404"/>
        <v>7200000</v>
      </c>
      <c r="K1957">
        <f t="shared" si="402"/>
        <v>65987058</v>
      </c>
      <c r="M1957">
        <f t="shared" si="406"/>
        <v>16435815</v>
      </c>
      <c r="N1957">
        <f t="shared" si="410"/>
        <v>82422873</v>
      </c>
      <c r="O1957">
        <f t="shared" si="409"/>
        <v>0</v>
      </c>
    </row>
    <row r="1958" ht="13.9" spans="1:15">
      <c r="A1958" s="42" t="s">
        <v>1295</v>
      </c>
      <c r="B1958" s="11">
        <v>65987058</v>
      </c>
      <c r="D1958" s="11">
        <v>240</v>
      </c>
      <c r="E1958">
        <f t="shared" si="405"/>
        <v>240</v>
      </c>
      <c r="H1958">
        <f t="shared" si="408"/>
        <v>240000000</v>
      </c>
      <c r="I1958">
        <f t="shared" si="404"/>
        <v>115200000</v>
      </c>
      <c r="K1958">
        <f t="shared" si="402"/>
        <v>360616886</v>
      </c>
      <c r="M1958">
        <f t="shared" si="406"/>
        <v>65987058</v>
      </c>
      <c r="N1958">
        <f t="shared" si="410"/>
        <v>426603944</v>
      </c>
      <c r="O1958">
        <f t="shared" si="409"/>
        <v>0.69706181474467</v>
      </c>
    </row>
    <row r="1959" ht="13.9" spans="1:15">
      <c r="A1959" s="42" t="s">
        <v>1296</v>
      </c>
      <c r="B1959" s="11">
        <v>50210755</v>
      </c>
      <c r="D1959" s="11">
        <v>205</v>
      </c>
      <c r="E1959">
        <f t="shared" si="405"/>
        <v>205</v>
      </c>
      <c r="H1959">
        <f t="shared" si="408"/>
        <v>205000000</v>
      </c>
      <c r="I1959">
        <f t="shared" si="404"/>
        <v>98400000</v>
      </c>
      <c r="K1959">
        <f t="shared" si="402"/>
        <v>310406131</v>
      </c>
      <c r="M1959">
        <f t="shared" si="406"/>
        <v>50210755</v>
      </c>
      <c r="N1959">
        <f t="shared" si="410"/>
        <v>360616886</v>
      </c>
      <c r="O1959">
        <f t="shared" si="409"/>
        <v>0.708836523385949</v>
      </c>
    </row>
    <row r="1960" ht="13.9" spans="1:15">
      <c r="A1960" s="42" t="s">
        <v>1297</v>
      </c>
      <c r="B1960" s="11">
        <v>35269063</v>
      </c>
      <c r="D1960" s="11">
        <v>180</v>
      </c>
      <c r="E1960">
        <f t="shared" si="405"/>
        <v>180</v>
      </c>
      <c r="H1960">
        <f t="shared" si="408"/>
        <v>180000000</v>
      </c>
      <c r="I1960">
        <f t="shared" si="404"/>
        <v>86400000</v>
      </c>
      <c r="K1960">
        <f t="shared" si="402"/>
        <v>275137068</v>
      </c>
      <c r="M1960">
        <f t="shared" si="406"/>
        <v>35269063</v>
      </c>
      <c r="N1960">
        <f t="shared" si="410"/>
        <v>310406131</v>
      </c>
      <c r="O1960">
        <f t="shared" si="409"/>
        <v>0.747446140974441</v>
      </c>
    </row>
    <row r="1961" ht="13.9" spans="1:15">
      <c r="A1961" s="42" t="s">
        <v>1298</v>
      </c>
      <c r="B1961" s="11">
        <v>33447226</v>
      </c>
      <c r="D1961" s="11">
        <v>155</v>
      </c>
      <c r="E1961">
        <f t="shared" si="405"/>
        <v>155</v>
      </c>
      <c r="H1961">
        <f t="shared" si="408"/>
        <v>155000000</v>
      </c>
      <c r="I1961">
        <f t="shared" si="404"/>
        <v>74400000</v>
      </c>
      <c r="K1961">
        <f t="shared" si="402"/>
        <v>241689842</v>
      </c>
      <c r="M1961">
        <f t="shared" si="406"/>
        <v>33447226</v>
      </c>
      <c r="N1961">
        <f t="shared" si="410"/>
        <v>275137068</v>
      </c>
      <c r="O1961">
        <f t="shared" si="409"/>
        <v>0.864710151859316</v>
      </c>
    </row>
    <row r="1962" ht="13.85" spans="1:15">
      <c r="A1962" s="43">
        <v>37171</v>
      </c>
      <c r="B1962" s="11">
        <v>27754965</v>
      </c>
      <c r="D1962" s="11">
        <v>131</v>
      </c>
      <c r="E1962">
        <f t="shared" si="405"/>
        <v>131</v>
      </c>
      <c r="H1962">
        <f t="shared" si="408"/>
        <v>131000000</v>
      </c>
      <c r="I1962">
        <f t="shared" si="404"/>
        <v>62880000</v>
      </c>
      <c r="K1962">
        <f t="shared" ref="K1962:K2025" si="411">IF(E1962&gt;E1963,B1963+K1963,B1963)</f>
        <v>213934877</v>
      </c>
      <c r="M1962">
        <f t="shared" si="406"/>
        <v>27754965</v>
      </c>
      <c r="N1962">
        <f t="shared" si="410"/>
        <v>241689842</v>
      </c>
      <c r="O1962">
        <f t="shared" si="409"/>
        <v>0.598880415521199</v>
      </c>
    </row>
    <row r="1963" ht="13.85" spans="1:15">
      <c r="A1963" s="43">
        <v>37049</v>
      </c>
      <c r="B1963" s="11">
        <v>26716519</v>
      </c>
      <c r="D1963" s="11">
        <v>115</v>
      </c>
      <c r="E1963">
        <f t="shared" si="405"/>
        <v>115</v>
      </c>
      <c r="H1963">
        <f t="shared" si="408"/>
        <v>115000000</v>
      </c>
      <c r="I1963">
        <f t="shared" si="404"/>
        <v>55200000</v>
      </c>
      <c r="K1963">
        <f t="shared" si="411"/>
        <v>187218358</v>
      </c>
      <c r="M1963">
        <f t="shared" si="406"/>
        <v>26716519</v>
      </c>
      <c r="N1963">
        <f t="shared" si="410"/>
        <v>213934877</v>
      </c>
      <c r="O1963">
        <f t="shared" si="409"/>
        <v>0.683794970915921</v>
      </c>
    </row>
    <row r="1964" ht="13.85" spans="1:15">
      <c r="A1964" s="44">
        <v>36957</v>
      </c>
      <c r="B1964" s="15">
        <v>21936400</v>
      </c>
      <c r="D1964" s="15">
        <v>100</v>
      </c>
      <c r="E1964">
        <f t="shared" si="405"/>
        <v>100</v>
      </c>
      <c r="H1964">
        <f t="shared" si="408"/>
        <v>100000000</v>
      </c>
      <c r="I1964">
        <f t="shared" si="404"/>
        <v>48000000</v>
      </c>
      <c r="K1964">
        <f t="shared" si="411"/>
        <v>165281958</v>
      </c>
      <c r="M1964">
        <f t="shared" si="406"/>
        <v>21936400</v>
      </c>
      <c r="N1964">
        <f t="shared" si="410"/>
        <v>187218358</v>
      </c>
      <c r="O1964">
        <f t="shared" si="409"/>
        <v>0.570264308953235</v>
      </c>
    </row>
    <row r="1965" ht="13.9" spans="1:15">
      <c r="A1965" s="41" t="s">
        <v>1299</v>
      </c>
      <c r="B1965" s="13">
        <v>21042874</v>
      </c>
      <c r="D1965" s="13">
        <v>88</v>
      </c>
      <c r="E1965">
        <f t="shared" si="405"/>
        <v>88</v>
      </c>
      <c r="H1965">
        <f t="shared" si="408"/>
        <v>88000000</v>
      </c>
      <c r="I1965">
        <f t="shared" si="404"/>
        <v>42240000</v>
      </c>
      <c r="K1965">
        <f t="shared" si="411"/>
        <v>144239084</v>
      </c>
      <c r="M1965">
        <f t="shared" si="406"/>
        <v>21042874</v>
      </c>
      <c r="N1965">
        <f t="shared" si="410"/>
        <v>165281958</v>
      </c>
      <c r="O1965">
        <f t="shared" si="409"/>
        <v>0.773904511375146</v>
      </c>
    </row>
    <row r="1966" ht="13.9" spans="1:15">
      <c r="A1966" s="42" t="s">
        <v>1300</v>
      </c>
      <c r="B1966" s="11">
        <v>16797938</v>
      </c>
      <c r="D1966" s="11">
        <v>75</v>
      </c>
      <c r="E1966">
        <f t="shared" si="405"/>
        <v>75</v>
      </c>
      <c r="H1966">
        <f t="shared" si="408"/>
        <v>75000000</v>
      </c>
      <c r="I1966">
        <f t="shared" si="404"/>
        <v>36000000</v>
      </c>
      <c r="K1966">
        <f t="shared" si="411"/>
        <v>127441146</v>
      </c>
      <c r="M1966">
        <f t="shared" si="406"/>
        <v>16797938</v>
      </c>
      <c r="N1966">
        <f t="shared" si="410"/>
        <v>144239084</v>
      </c>
      <c r="O1966">
        <f t="shared" si="409"/>
        <v>0.502601869357289</v>
      </c>
    </row>
    <row r="1967" ht="13.9" spans="1:15">
      <c r="A1967" s="42" t="s">
        <v>1301</v>
      </c>
      <c r="B1967" s="11">
        <v>19896464</v>
      </c>
      <c r="D1967" s="11">
        <v>65</v>
      </c>
      <c r="E1967">
        <f t="shared" si="405"/>
        <v>65</v>
      </c>
      <c r="H1967">
        <f t="shared" si="408"/>
        <v>65000000</v>
      </c>
      <c r="I1967">
        <f t="shared" ref="I1967:I2003" si="412">H1967*0.48</f>
        <v>31200000</v>
      </c>
      <c r="K1967">
        <f t="shared" si="411"/>
        <v>107544682</v>
      </c>
      <c r="M1967">
        <f t="shared" si="406"/>
        <v>19896464</v>
      </c>
      <c r="N1967">
        <f t="shared" si="410"/>
        <v>127441146</v>
      </c>
      <c r="O1967">
        <f t="shared" si="409"/>
        <v>0.748579943846523</v>
      </c>
    </row>
    <row r="1968" ht="13.9" spans="1:15">
      <c r="A1968" s="42" t="s">
        <v>1302</v>
      </c>
      <c r="B1968" s="11">
        <v>16030352</v>
      </c>
      <c r="D1968" s="11">
        <v>53</v>
      </c>
      <c r="E1968">
        <f t="shared" si="405"/>
        <v>53</v>
      </c>
      <c r="H1968">
        <f t="shared" si="408"/>
        <v>53000000</v>
      </c>
      <c r="I1968">
        <f t="shared" si="412"/>
        <v>25440000</v>
      </c>
      <c r="K1968">
        <f t="shared" si="411"/>
        <v>91514330</v>
      </c>
      <c r="M1968">
        <f t="shared" si="406"/>
        <v>16030352</v>
      </c>
      <c r="N1968">
        <f t="shared" si="410"/>
        <v>107544682</v>
      </c>
      <c r="O1968">
        <f t="shared" si="409"/>
        <v>0.599669869743309</v>
      </c>
    </row>
    <row r="1969" ht="13.9" spans="1:15">
      <c r="A1969" s="42" t="s">
        <v>1303</v>
      </c>
      <c r="B1969" s="11">
        <v>16675842</v>
      </c>
      <c r="D1969" s="11">
        <v>43</v>
      </c>
      <c r="E1969">
        <f t="shared" si="405"/>
        <v>43</v>
      </c>
      <c r="H1969">
        <f t="shared" si="408"/>
        <v>43000000</v>
      </c>
      <c r="I1969">
        <f t="shared" si="412"/>
        <v>20640000</v>
      </c>
      <c r="K1969">
        <f t="shared" si="411"/>
        <v>74838488</v>
      </c>
      <c r="M1969">
        <f t="shared" si="406"/>
        <v>16675842</v>
      </c>
      <c r="N1969">
        <f t="shared" si="410"/>
        <v>91514330</v>
      </c>
      <c r="O1969">
        <f t="shared" ref="O1969:O1999" si="413">IF(H1969&gt;H1970,(H1969-H1970)/M1970,0)</f>
        <v>0.6947663528546</v>
      </c>
    </row>
    <row r="1970" ht="13.9" spans="1:15">
      <c r="A1970" s="42" t="s">
        <v>1304</v>
      </c>
      <c r="B1970" s="11">
        <v>14393328</v>
      </c>
      <c r="D1970" s="11">
        <v>33</v>
      </c>
      <c r="E1970">
        <f t="shared" si="405"/>
        <v>33</v>
      </c>
      <c r="H1970">
        <f t="shared" si="408"/>
        <v>33000000</v>
      </c>
      <c r="I1970">
        <f t="shared" si="412"/>
        <v>15840000</v>
      </c>
      <c r="K1970">
        <f t="shared" si="411"/>
        <v>60445160</v>
      </c>
      <c r="M1970">
        <f t="shared" si="406"/>
        <v>14393328</v>
      </c>
      <c r="N1970">
        <f t="shared" si="410"/>
        <v>74838488</v>
      </c>
      <c r="O1970">
        <f t="shared" si="413"/>
        <v>0.529410857700516</v>
      </c>
    </row>
    <row r="1971" ht="13.85" spans="1:15">
      <c r="A1971" s="43">
        <v>41158</v>
      </c>
      <c r="B1971" s="11">
        <v>15111137</v>
      </c>
      <c r="D1971" s="11">
        <v>25</v>
      </c>
      <c r="E1971">
        <f t="shared" si="405"/>
        <v>25</v>
      </c>
      <c r="H1971">
        <f t="shared" si="408"/>
        <v>25000000</v>
      </c>
      <c r="I1971">
        <f t="shared" si="412"/>
        <v>12000000</v>
      </c>
      <c r="K1971">
        <f t="shared" si="411"/>
        <v>45334023</v>
      </c>
      <c r="M1971">
        <f t="shared" si="406"/>
        <v>15111137</v>
      </c>
      <c r="N1971">
        <f t="shared" si="410"/>
        <v>60445160</v>
      </c>
      <c r="O1971">
        <f t="shared" si="413"/>
        <v>0.367457250942069</v>
      </c>
    </row>
    <row r="1972" ht="13.85" spans="1:15">
      <c r="A1972" s="43">
        <v>41066</v>
      </c>
      <c r="B1972" s="11">
        <v>13607025</v>
      </c>
      <c r="D1972" s="11">
        <v>20</v>
      </c>
      <c r="E1972">
        <f t="shared" si="405"/>
        <v>20</v>
      </c>
      <c r="H1972">
        <f t="shared" si="408"/>
        <v>20000000</v>
      </c>
      <c r="I1972">
        <f t="shared" si="412"/>
        <v>9600000</v>
      </c>
      <c r="K1972">
        <f t="shared" si="411"/>
        <v>31726998</v>
      </c>
      <c r="M1972">
        <f t="shared" si="406"/>
        <v>13607025</v>
      </c>
      <c r="N1972">
        <f t="shared" si="410"/>
        <v>45334023</v>
      </c>
      <c r="O1972">
        <f t="shared" si="413"/>
        <v>0.343845965259867</v>
      </c>
    </row>
    <row r="1973" ht="13.85" spans="1:15">
      <c r="A1973" s="43">
        <v>40945</v>
      </c>
      <c r="B1973" s="11">
        <v>14541395</v>
      </c>
      <c r="D1973" s="11">
        <v>15</v>
      </c>
      <c r="E1973">
        <f t="shared" si="405"/>
        <v>15</v>
      </c>
      <c r="H1973">
        <f t="shared" si="408"/>
        <v>15000000</v>
      </c>
      <c r="I1973">
        <f t="shared" si="412"/>
        <v>7200000</v>
      </c>
      <c r="K1973">
        <f t="shared" si="411"/>
        <v>17185603</v>
      </c>
      <c r="M1973">
        <f t="shared" si="406"/>
        <v>14541395</v>
      </c>
      <c r="N1973">
        <f t="shared" si="410"/>
        <v>31726998</v>
      </c>
      <c r="O1973">
        <f t="shared" si="413"/>
        <v>0</v>
      </c>
    </row>
    <row r="1974" ht="13.9" spans="1:15">
      <c r="A1974" s="42" t="s">
        <v>1305</v>
      </c>
      <c r="B1974" s="11">
        <v>17185603</v>
      </c>
      <c r="D1974" s="11">
        <v>74</v>
      </c>
      <c r="E1974">
        <f t="shared" si="405"/>
        <v>74</v>
      </c>
      <c r="H1974">
        <f t="shared" si="408"/>
        <v>74000000</v>
      </c>
      <c r="I1974">
        <f t="shared" si="412"/>
        <v>35520000</v>
      </c>
      <c r="K1974">
        <f t="shared" si="411"/>
        <v>130942680</v>
      </c>
      <c r="M1974">
        <f t="shared" si="406"/>
        <v>17185603</v>
      </c>
      <c r="N1974">
        <f t="shared" si="410"/>
        <v>148128283</v>
      </c>
      <c r="O1974">
        <f t="shared" si="413"/>
        <v>0.592106451266234</v>
      </c>
    </row>
    <row r="1975" ht="13.9" spans="1:15">
      <c r="A1975" s="42" t="s">
        <v>1306</v>
      </c>
      <c r="B1975" s="11">
        <v>16888855</v>
      </c>
      <c r="D1975" s="11">
        <v>64</v>
      </c>
      <c r="E1975">
        <f t="shared" si="405"/>
        <v>64</v>
      </c>
      <c r="H1975">
        <f t="shared" si="408"/>
        <v>64000000</v>
      </c>
      <c r="I1975">
        <f t="shared" si="412"/>
        <v>30720000</v>
      </c>
      <c r="K1975">
        <f t="shared" si="411"/>
        <v>114053825</v>
      </c>
      <c r="M1975">
        <f t="shared" si="406"/>
        <v>16888855</v>
      </c>
      <c r="N1975">
        <f t="shared" si="410"/>
        <v>130942680</v>
      </c>
      <c r="O1975">
        <f t="shared" si="413"/>
        <v>0.600075705551012</v>
      </c>
    </row>
    <row r="1976" ht="13.9" spans="1:15">
      <c r="A1976" s="42" t="s">
        <v>1307</v>
      </c>
      <c r="B1976" s="11">
        <v>16664564</v>
      </c>
      <c r="D1976" s="11">
        <v>54</v>
      </c>
      <c r="E1976">
        <f t="shared" si="405"/>
        <v>54</v>
      </c>
      <c r="H1976">
        <f t="shared" si="408"/>
        <v>54000000</v>
      </c>
      <c r="I1976">
        <f t="shared" si="412"/>
        <v>25920000</v>
      </c>
      <c r="K1976">
        <f t="shared" si="411"/>
        <v>97389261</v>
      </c>
      <c r="M1976">
        <f t="shared" si="406"/>
        <v>16664564</v>
      </c>
      <c r="N1976">
        <f t="shared" si="410"/>
        <v>114053825</v>
      </c>
      <c r="O1976">
        <f t="shared" si="413"/>
        <v>0.534466782978516</v>
      </c>
    </row>
    <row r="1977" ht="13.9" spans="1:15">
      <c r="A1977" s="42" t="s">
        <v>1308</v>
      </c>
      <c r="B1977" s="11">
        <v>16839213</v>
      </c>
      <c r="D1977" s="11">
        <v>45</v>
      </c>
      <c r="E1977">
        <f t="shared" si="405"/>
        <v>45</v>
      </c>
      <c r="H1977">
        <f t="shared" si="408"/>
        <v>45000000</v>
      </c>
      <c r="I1977">
        <f t="shared" si="412"/>
        <v>21600000</v>
      </c>
      <c r="K1977">
        <f t="shared" si="411"/>
        <v>80550048</v>
      </c>
      <c r="M1977">
        <f t="shared" si="406"/>
        <v>16839213</v>
      </c>
      <c r="N1977">
        <f t="shared" si="410"/>
        <v>97389261</v>
      </c>
      <c r="O1977">
        <f t="shared" si="413"/>
        <v>0.684572340812971</v>
      </c>
    </row>
    <row r="1978" ht="13.9" spans="1:15">
      <c r="A1978" s="42" t="s">
        <v>1309</v>
      </c>
      <c r="B1978" s="11">
        <v>14607660</v>
      </c>
      <c r="D1978" s="11">
        <v>35</v>
      </c>
      <c r="E1978">
        <f t="shared" si="405"/>
        <v>35</v>
      </c>
      <c r="H1978">
        <f t="shared" si="408"/>
        <v>35000000</v>
      </c>
      <c r="I1978">
        <f t="shared" si="412"/>
        <v>16800000</v>
      </c>
      <c r="K1978">
        <f t="shared" si="411"/>
        <v>65942388</v>
      </c>
      <c r="M1978">
        <f t="shared" si="406"/>
        <v>14607660</v>
      </c>
      <c r="N1978">
        <f t="shared" si="410"/>
        <v>80550048</v>
      </c>
      <c r="O1978">
        <f t="shared" si="413"/>
        <v>0.505376415409306</v>
      </c>
    </row>
    <row r="1979" ht="13.85" spans="1:15">
      <c r="A1979" s="43">
        <v>40853</v>
      </c>
      <c r="B1979" s="11">
        <v>15829785</v>
      </c>
      <c r="D1979" s="11">
        <v>27</v>
      </c>
      <c r="E1979">
        <f t="shared" si="405"/>
        <v>27</v>
      </c>
      <c r="H1979">
        <f t="shared" si="408"/>
        <v>27000000</v>
      </c>
      <c r="I1979">
        <f t="shared" si="412"/>
        <v>12960000</v>
      </c>
      <c r="K1979">
        <f t="shared" si="411"/>
        <v>50112603</v>
      </c>
      <c r="M1979">
        <f t="shared" si="406"/>
        <v>15829785</v>
      </c>
      <c r="N1979">
        <f t="shared" si="410"/>
        <v>65942388</v>
      </c>
      <c r="O1979">
        <f t="shared" si="413"/>
        <v>0.506708971557412</v>
      </c>
    </row>
    <row r="1980" ht="13.85" spans="1:15">
      <c r="A1980" s="43">
        <v>40761</v>
      </c>
      <c r="B1980" s="11">
        <v>13814636</v>
      </c>
      <c r="D1980" s="11">
        <v>20</v>
      </c>
      <c r="E1980">
        <f t="shared" si="405"/>
        <v>20</v>
      </c>
      <c r="H1980">
        <f t="shared" si="408"/>
        <v>20000000</v>
      </c>
      <c r="I1980">
        <f t="shared" si="412"/>
        <v>9600000</v>
      </c>
      <c r="K1980">
        <f t="shared" si="411"/>
        <v>36297967</v>
      </c>
      <c r="M1980">
        <f t="shared" si="406"/>
        <v>13814636</v>
      </c>
      <c r="N1980">
        <f t="shared" si="410"/>
        <v>50112603</v>
      </c>
      <c r="O1980">
        <f t="shared" si="413"/>
        <v>0.318810495088469</v>
      </c>
    </row>
    <row r="1981" ht="13.85" spans="1:15">
      <c r="A1981" s="43">
        <v>40639</v>
      </c>
      <c r="B1981" s="11">
        <v>15683298</v>
      </c>
      <c r="D1981" s="11">
        <v>15</v>
      </c>
      <c r="E1981">
        <f t="shared" si="405"/>
        <v>15</v>
      </c>
      <c r="H1981">
        <f t="shared" si="408"/>
        <v>15000000</v>
      </c>
      <c r="I1981">
        <f t="shared" si="412"/>
        <v>7200000</v>
      </c>
      <c r="K1981">
        <f t="shared" si="411"/>
        <v>20614669</v>
      </c>
      <c r="M1981">
        <f t="shared" si="406"/>
        <v>15683298</v>
      </c>
      <c r="N1981">
        <f t="shared" si="410"/>
        <v>36297967</v>
      </c>
      <c r="O1981">
        <f t="shared" si="413"/>
        <v>0</v>
      </c>
    </row>
    <row r="1982" ht="13.85" spans="1:15">
      <c r="A1982" s="43">
        <v>40549</v>
      </c>
      <c r="B1982" s="11">
        <v>20614669</v>
      </c>
      <c r="D1982" s="11">
        <v>93</v>
      </c>
      <c r="E1982">
        <f t="shared" si="405"/>
        <v>93</v>
      </c>
      <c r="H1982">
        <f t="shared" si="408"/>
        <v>93000000</v>
      </c>
      <c r="I1982">
        <f t="shared" si="412"/>
        <v>44640000</v>
      </c>
      <c r="K1982">
        <f t="shared" si="411"/>
        <v>152164212</v>
      </c>
      <c r="M1982">
        <f t="shared" si="406"/>
        <v>20614669</v>
      </c>
      <c r="N1982">
        <f t="shared" si="410"/>
        <v>232631865</v>
      </c>
      <c r="O1982">
        <f t="shared" si="413"/>
        <v>0.490797256953763</v>
      </c>
    </row>
    <row r="1983" ht="13.9" spans="1:15">
      <c r="A1983" s="42" t="s">
        <v>1310</v>
      </c>
      <c r="B1983" s="11">
        <v>20375012</v>
      </c>
      <c r="D1983" s="11">
        <v>83</v>
      </c>
      <c r="E1983">
        <f t="shared" si="405"/>
        <v>83</v>
      </c>
      <c r="H1983">
        <f t="shared" si="408"/>
        <v>83000000</v>
      </c>
      <c r="I1983">
        <f t="shared" si="412"/>
        <v>39840000</v>
      </c>
      <c r="K1983">
        <f t="shared" si="411"/>
        <v>131789200</v>
      </c>
      <c r="M1983">
        <f t="shared" si="406"/>
        <v>20375012</v>
      </c>
      <c r="N1983">
        <f t="shared" si="410"/>
        <v>212017196</v>
      </c>
      <c r="O1983">
        <f t="shared" si="413"/>
        <v>0.734293766986898</v>
      </c>
    </row>
    <row r="1984" ht="13.9" spans="1:15">
      <c r="A1984" s="42" t="s">
        <v>1311</v>
      </c>
      <c r="B1984" s="11">
        <v>17704086</v>
      </c>
      <c r="D1984" s="11">
        <v>70</v>
      </c>
      <c r="E1984">
        <f t="shared" ref="E1984:E2047" si="414">IF(RIGHT(D1984,1)="B",VALUE(LEFT(D1984,LEN(D1984)-1))*1000,D1984)</f>
        <v>70</v>
      </c>
      <c r="H1984">
        <f t="shared" si="408"/>
        <v>70000000</v>
      </c>
      <c r="I1984">
        <f t="shared" si="412"/>
        <v>33600000</v>
      </c>
      <c r="K1984">
        <f t="shared" si="411"/>
        <v>114085114</v>
      </c>
      <c r="M1984">
        <f t="shared" si="406"/>
        <v>17704086</v>
      </c>
      <c r="N1984">
        <f t="shared" si="410"/>
        <v>191642184</v>
      </c>
      <c r="O1984">
        <f t="shared" si="413"/>
        <v>0.587631761731774</v>
      </c>
    </row>
    <row r="1985" ht="13.9" spans="1:15">
      <c r="A1985" s="42" t="s">
        <v>1312</v>
      </c>
      <c r="B1985" s="11">
        <v>18719206</v>
      </c>
      <c r="D1985" s="11">
        <v>59</v>
      </c>
      <c r="E1985">
        <f t="shared" si="414"/>
        <v>59</v>
      </c>
      <c r="H1985">
        <f t="shared" si="408"/>
        <v>59000000</v>
      </c>
      <c r="I1985">
        <f t="shared" si="412"/>
        <v>28320000</v>
      </c>
      <c r="K1985">
        <f t="shared" si="411"/>
        <v>95365908</v>
      </c>
      <c r="M1985">
        <f t="shared" si="406"/>
        <v>18719206</v>
      </c>
      <c r="N1985">
        <f t="shared" si="410"/>
        <v>173938098</v>
      </c>
      <c r="O1985">
        <f t="shared" si="413"/>
        <v>0.752338220167141</v>
      </c>
    </row>
    <row r="1986" ht="13.9" spans="1:15">
      <c r="A1986" s="42" t="s">
        <v>1313</v>
      </c>
      <c r="B1986" s="11">
        <v>15950273</v>
      </c>
      <c r="D1986" s="11">
        <v>47</v>
      </c>
      <c r="E1986">
        <f t="shared" si="414"/>
        <v>47</v>
      </c>
      <c r="H1986">
        <f t="shared" si="408"/>
        <v>47000000</v>
      </c>
      <c r="I1986">
        <f t="shared" si="412"/>
        <v>22560000</v>
      </c>
      <c r="K1986">
        <f t="shared" si="411"/>
        <v>79415635</v>
      </c>
      <c r="M1986">
        <f t="shared" si="406"/>
        <v>15950273</v>
      </c>
      <c r="N1986">
        <f t="shared" si="410"/>
        <v>155218892</v>
      </c>
      <c r="O1986">
        <f t="shared" si="413"/>
        <v>0.573927385674095</v>
      </c>
    </row>
    <row r="1987" ht="13.9" spans="1:15">
      <c r="A1987" s="42" t="s">
        <v>1314</v>
      </c>
      <c r="B1987" s="11">
        <v>17423807</v>
      </c>
      <c r="D1987" s="11">
        <v>37</v>
      </c>
      <c r="E1987">
        <f t="shared" si="414"/>
        <v>37</v>
      </c>
      <c r="H1987">
        <f t="shared" si="408"/>
        <v>37000000</v>
      </c>
      <c r="I1987">
        <f t="shared" si="412"/>
        <v>17760000</v>
      </c>
      <c r="K1987">
        <f t="shared" si="411"/>
        <v>61991828</v>
      </c>
      <c r="M1987">
        <f t="shared" si="406"/>
        <v>17423807</v>
      </c>
      <c r="N1987">
        <f t="shared" si="410"/>
        <v>139268619</v>
      </c>
      <c r="O1987">
        <f t="shared" si="413"/>
        <v>0.669723552851301</v>
      </c>
    </row>
    <row r="1988" ht="13.85" spans="1:15">
      <c r="A1988" s="43">
        <v>40488</v>
      </c>
      <c r="B1988" s="11">
        <v>14931534</v>
      </c>
      <c r="D1988" s="11">
        <v>27</v>
      </c>
      <c r="E1988">
        <f t="shared" si="414"/>
        <v>27</v>
      </c>
      <c r="H1988">
        <f t="shared" si="408"/>
        <v>27000000</v>
      </c>
      <c r="I1988">
        <f t="shared" si="412"/>
        <v>12960000</v>
      </c>
      <c r="K1988">
        <f t="shared" si="411"/>
        <v>47060294</v>
      </c>
      <c r="M1988">
        <f t="shared" si="406"/>
        <v>14931534</v>
      </c>
      <c r="N1988">
        <f t="shared" si="410"/>
        <v>121844812</v>
      </c>
      <c r="O1988">
        <f t="shared" si="413"/>
        <v>0.424146104517962</v>
      </c>
    </row>
    <row r="1989" ht="13.85" spans="1:15">
      <c r="A1989" s="43">
        <v>40365</v>
      </c>
      <c r="B1989" s="11">
        <v>16503747</v>
      </c>
      <c r="D1989" s="11">
        <v>20</v>
      </c>
      <c r="E1989">
        <f t="shared" si="414"/>
        <v>20</v>
      </c>
      <c r="H1989">
        <f t="shared" si="408"/>
        <v>20000000</v>
      </c>
      <c r="I1989">
        <f t="shared" si="412"/>
        <v>9600000</v>
      </c>
      <c r="K1989">
        <f t="shared" si="411"/>
        <v>30556547</v>
      </c>
      <c r="M1989">
        <f t="shared" si="406"/>
        <v>16503747</v>
      </c>
      <c r="N1989">
        <f t="shared" si="410"/>
        <v>106913278</v>
      </c>
      <c r="O1989">
        <f t="shared" si="413"/>
        <v>0.344708697365826</v>
      </c>
    </row>
    <row r="1990" ht="13.85" spans="1:15">
      <c r="A1990" s="43">
        <v>40274</v>
      </c>
      <c r="B1990" s="11">
        <v>14505001</v>
      </c>
      <c r="D1990" s="11">
        <v>15</v>
      </c>
      <c r="E1990">
        <f t="shared" si="414"/>
        <v>15</v>
      </c>
      <c r="H1990">
        <f t="shared" si="408"/>
        <v>15000000</v>
      </c>
      <c r="I1990">
        <f t="shared" si="412"/>
        <v>7200000</v>
      </c>
      <c r="K1990">
        <f t="shared" si="411"/>
        <v>16051546</v>
      </c>
      <c r="M1990">
        <f t="shared" ref="M1990:M2053" si="415">B1990+C1990</f>
        <v>14505001</v>
      </c>
      <c r="N1990">
        <f t="shared" si="410"/>
        <v>90409531</v>
      </c>
      <c r="O1990">
        <f t="shared" si="413"/>
        <v>0</v>
      </c>
    </row>
    <row r="1991" ht="13.9" spans="1:15">
      <c r="A1991" s="42" t="s">
        <v>1315</v>
      </c>
      <c r="B1991" s="11">
        <v>16051546</v>
      </c>
      <c r="D1991" s="11">
        <v>15</v>
      </c>
      <c r="E1991">
        <f t="shared" si="414"/>
        <v>15</v>
      </c>
      <c r="H1991">
        <f t="shared" si="408"/>
        <v>15000000</v>
      </c>
      <c r="I1991">
        <f t="shared" si="412"/>
        <v>7200000</v>
      </c>
      <c r="K1991">
        <f t="shared" si="411"/>
        <v>14573640</v>
      </c>
      <c r="M1991">
        <f t="shared" si="415"/>
        <v>16051546</v>
      </c>
      <c r="N1991">
        <f t="shared" si="410"/>
        <v>75904530</v>
      </c>
      <c r="O1991">
        <f t="shared" si="413"/>
        <v>0</v>
      </c>
    </row>
    <row r="1992" ht="13.9" spans="1:15">
      <c r="A1992" s="42" t="s">
        <v>1316</v>
      </c>
      <c r="B1992" s="11">
        <v>14573640</v>
      </c>
      <c r="D1992" s="11">
        <v>15</v>
      </c>
      <c r="E1992">
        <f t="shared" si="414"/>
        <v>15</v>
      </c>
      <c r="H1992">
        <f t="shared" si="408"/>
        <v>15000000</v>
      </c>
      <c r="I1992">
        <f t="shared" si="412"/>
        <v>7200000</v>
      </c>
      <c r="K1992">
        <f t="shared" si="411"/>
        <v>45279344</v>
      </c>
      <c r="M1992">
        <f t="shared" si="415"/>
        <v>14573640</v>
      </c>
      <c r="N1992">
        <f t="shared" si="410"/>
        <v>59852984</v>
      </c>
      <c r="O1992">
        <f t="shared" si="413"/>
        <v>0</v>
      </c>
    </row>
    <row r="1993" ht="13.9" spans="1:15">
      <c r="A1993" s="42" t="s">
        <v>1317</v>
      </c>
      <c r="B1993" s="11">
        <v>45279344</v>
      </c>
      <c r="D1993" s="11">
        <v>203</v>
      </c>
      <c r="E1993">
        <f t="shared" si="414"/>
        <v>203</v>
      </c>
      <c r="H1993">
        <f t="shared" si="408"/>
        <v>203000000</v>
      </c>
      <c r="I1993">
        <f t="shared" si="412"/>
        <v>97440000</v>
      </c>
      <c r="K1993">
        <f t="shared" si="411"/>
        <v>327593134</v>
      </c>
      <c r="M1993">
        <f t="shared" si="415"/>
        <v>45279344</v>
      </c>
      <c r="N1993">
        <f t="shared" si="410"/>
        <v>372872478</v>
      </c>
      <c r="O1993">
        <f t="shared" si="413"/>
        <v>0.716647772546747</v>
      </c>
    </row>
    <row r="1994" ht="13.9" spans="1:15">
      <c r="A1994" s="42" t="s">
        <v>1318</v>
      </c>
      <c r="B1994" s="11">
        <v>33489255</v>
      </c>
      <c r="D1994" s="11">
        <v>179</v>
      </c>
      <c r="E1994">
        <f t="shared" si="414"/>
        <v>179</v>
      </c>
      <c r="H1994">
        <f t="shared" si="408"/>
        <v>179000000</v>
      </c>
      <c r="I1994">
        <f t="shared" si="412"/>
        <v>85920000</v>
      </c>
      <c r="K1994">
        <f t="shared" si="411"/>
        <v>294103879</v>
      </c>
      <c r="M1994">
        <f t="shared" si="415"/>
        <v>33489255</v>
      </c>
      <c r="N1994">
        <f t="shared" si="410"/>
        <v>327593134</v>
      </c>
      <c r="O1994">
        <f t="shared" si="413"/>
        <v>0.699975889012332</v>
      </c>
    </row>
    <row r="1995" ht="13.9" spans="1:15">
      <c r="A1995" s="42" t="s">
        <v>1319</v>
      </c>
      <c r="B1995" s="11">
        <v>31429654</v>
      </c>
      <c r="D1995" s="11">
        <v>157</v>
      </c>
      <c r="E1995">
        <f t="shared" si="414"/>
        <v>157</v>
      </c>
      <c r="H1995">
        <f t="shared" si="408"/>
        <v>157000000</v>
      </c>
      <c r="I1995">
        <f t="shared" si="412"/>
        <v>75360000</v>
      </c>
      <c r="K1995">
        <f t="shared" si="411"/>
        <v>262674225</v>
      </c>
      <c r="M1995">
        <f t="shared" si="415"/>
        <v>31429654</v>
      </c>
      <c r="N1995">
        <f t="shared" si="410"/>
        <v>294103879</v>
      </c>
      <c r="O1995">
        <f t="shared" si="413"/>
        <v>0.746752346043842</v>
      </c>
    </row>
    <row r="1996" ht="13.9" spans="1:15">
      <c r="A1996" s="42" t="s">
        <v>1320</v>
      </c>
      <c r="B1996" s="11">
        <v>26782641</v>
      </c>
      <c r="D1996" s="11">
        <v>137</v>
      </c>
      <c r="E1996">
        <f t="shared" si="414"/>
        <v>137</v>
      </c>
      <c r="H1996">
        <f t="shared" si="408"/>
        <v>137000000</v>
      </c>
      <c r="I1996">
        <f t="shared" si="412"/>
        <v>65760000</v>
      </c>
      <c r="K1996">
        <f t="shared" si="411"/>
        <v>235891584</v>
      </c>
      <c r="M1996">
        <f t="shared" si="415"/>
        <v>26782641</v>
      </c>
      <c r="N1996">
        <f t="shared" si="410"/>
        <v>262674225</v>
      </c>
      <c r="O1996">
        <f t="shared" si="413"/>
        <v>0.680336362833361</v>
      </c>
    </row>
    <row r="1997" ht="13.85" spans="1:15">
      <c r="A1997" s="43">
        <v>40062</v>
      </c>
      <c r="B1997" s="11">
        <v>26457501</v>
      </c>
      <c r="D1997" s="11">
        <v>119</v>
      </c>
      <c r="E1997">
        <f t="shared" si="414"/>
        <v>119</v>
      </c>
      <c r="H1997">
        <f t="shared" si="408"/>
        <v>119000000</v>
      </c>
      <c r="I1997">
        <f t="shared" si="412"/>
        <v>57120000</v>
      </c>
      <c r="K1997">
        <f t="shared" si="411"/>
        <v>209434083</v>
      </c>
      <c r="M1997">
        <f t="shared" si="415"/>
        <v>26457501</v>
      </c>
      <c r="N1997">
        <f t="shared" si="410"/>
        <v>235891584</v>
      </c>
      <c r="O1997">
        <f t="shared" si="413"/>
        <v>0.764183939433838</v>
      </c>
    </row>
    <row r="1998" ht="13.85" spans="1:15">
      <c r="A1998" s="43">
        <v>39970</v>
      </c>
      <c r="B1998" s="11">
        <v>22245953</v>
      </c>
      <c r="D1998" s="11">
        <v>102</v>
      </c>
      <c r="E1998">
        <f t="shared" si="414"/>
        <v>102</v>
      </c>
      <c r="H1998">
        <f t="shared" si="408"/>
        <v>102000000</v>
      </c>
      <c r="I1998">
        <f t="shared" si="412"/>
        <v>48960000</v>
      </c>
      <c r="K1998">
        <f t="shared" si="411"/>
        <v>187188130</v>
      </c>
      <c r="M1998">
        <f t="shared" si="415"/>
        <v>22245953</v>
      </c>
      <c r="N1998">
        <f t="shared" si="410"/>
        <v>209434083</v>
      </c>
      <c r="O1998">
        <f t="shared" si="413"/>
        <v>0.585896955508157</v>
      </c>
    </row>
    <row r="1999" ht="13.85" spans="1:15">
      <c r="A1999" s="43">
        <v>39850</v>
      </c>
      <c r="B1999" s="11">
        <v>22188202</v>
      </c>
      <c r="D1999" s="11">
        <v>89</v>
      </c>
      <c r="E1999">
        <f t="shared" si="414"/>
        <v>89</v>
      </c>
      <c r="H1999">
        <f t="shared" ref="H1999:H2062" si="416">E1999*1000000</f>
        <v>89000000</v>
      </c>
      <c r="I1999">
        <f t="shared" si="412"/>
        <v>42720000</v>
      </c>
      <c r="K1999">
        <f t="shared" si="411"/>
        <v>164999928</v>
      </c>
      <c r="M1999">
        <f t="shared" si="415"/>
        <v>22188202</v>
      </c>
      <c r="N1999">
        <f t="shared" si="410"/>
        <v>187188130</v>
      </c>
      <c r="O1999">
        <f t="shared" si="413"/>
        <v>0.757815814598412</v>
      </c>
    </row>
    <row r="2000" ht="13.9" spans="1:15">
      <c r="A2000" s="42" t="s">
        <v>1321</v>
      </c>
      <c r="B2000" s="11">
        <v>18474146</v>
      </c>
      <c r="D2000" s="11">
        <v>75</v>
      </c>
      <c r="E2000">
        <f t="shared" si="414"/>
        <v>75</v>
      </c>
      <c r="H2000">
        <f t="shared" si="416"/>
        <v>75000000</v>
      </c>
      <c r="I2000">
        <f t="shared" si="412"/>
        <v>36000000</v>
      </c>
      <c r="K2000">
        <f t="shared" si="411"/>
        <v>146525782</v>
      </c>
      <c r="M2000">
        <f t="shared" si="415"/>
        <v>18474146</v>
      </c>
      <c r="N2000">
        <f t="shared" si="410"/>
        <v>164999928</v>
      </c>
      <c r="O2000">
        <f t="shared" ref="O2000:O2010" si="417">IF(H2000&gt;H2001,(H2000-H2001)/M2001,0)</f>
        <v>0.565155724549676</v>
      </c>
    </row>
    <row r="2001" ht="13.9" spans="1:15">
      <c r="A2001" s="42" t="s">
        <v>1322</v>
      </c>
      <c r="B2001" s="11">
        <v>19463662</v>
      </c>
      <c r="D2001" s="11">
        <v>64</v>
      </c>
      <c r="E2001">
        <f t="shared" si="414"/>
        <v>64</v>
      </c>
      <c r="H2001">
        <f t="shared" si="416"/>
        <v>64000000</v>
      </c>
      <c r="I2001">
        <f t="shared" si="412"/>
        <v>30720000</v>
      </c>
      <c r="K2001">
        <f t="shared" si="411"/>
        <v>127062120</v>
      </c>
      <c r="M2001">
        <f t="shared" si="415"/>
        <v>19463662</v>
      </c>
      <c r="N2001">
        <f t="shared" si="410"/>
        <v>146525782</v>
      </c>
      <c r="O2001">
        <f t="shared" si="417"/>
        <v>0.774250892904842</v>
      </c>
    </row>
    <row r="2002" ht="13.9" spans="1:15">
      <c r="A2002" s="42" t="s">
        <v>1323</v>
      </c>
      <c r="B2002" s="11">
        <v>16790423</v>
      </c>
      <c r="D2002" s="11">
        <v>51</v>
      </c>
      <c r="E2002">
        <f t="shared" si="414"/>
        <v>51</v>
      </c>
      <c r="H2002">
        <f t="shared" si="416"/>
        <v>51000000</v>
      </c>
      <c r="I2002">
        <f t="shared" si="412"/>
        <v>24480000</v>
      </c>
      <c r="K2002">
        <f t="shared" si="411"/>
        <v>110271697</v>
      </c>
      <c r="M2002">
        <f t="shared" si="415"/>
        <v>16790423</v>
      </c>
      <c r="N2002">
        <f t="shared" si="410"/>
        <v>127062120</v>
      </c>
      <c r="O2002">
        <f t="shared" si="417"/>
        <v>0.621067723821798</v>
      </c>
    </row>
    <row r="2003" ht="13.9" spans="1:15">
      <c r="A2003" s="42" t="s">
        <v>1324</v>
      </c>
      <c r="B2003" s="11">
        <v>17711434</v>
      </c>
      <c r="D2003" s="11">
        <v>40</v>
      </c>
      <c r="E2003">
        <f t="shared" si="414"/>
        <v>40</v>
      </c>
      <c r="H2003">
        <f t="shared" si="416"/>
        <v>40000000</v>
      </c>
      <c r="I2003">
        <f t="shared" si="412"/>
        <v>19200000</v>
      </c>
      <c r="K2003">
        <f t="shared" si="411"/>
        <v>92560263</v>
      </c>
      <c r="M2003">
        <f t="shared" si="415"/>
        <v>17711434</v>
      </c>
      <c r="N2003">
        <f t="shared" si="410"/>
        <v>110271697</v>
      </c>
      <c r="O2003">
        <f t="shared" si="417"/>
        <v>0.728138791196934</v>
      </c>
    </row>
    <row r="2004" ht="13.9" spans="1:15">
      <c r="A2004" s="42" t="s">
        <v>1325</v>
      </c>
      <c r="B2004" s="11">
        <v>15107010</v>
      </c>
      <c r="D2004" s="11">
        <v>29</v>
      </c>
      <c r="E2004">
        <f t="shared" si="414"/>
        <v>29</v>
      </c>
      <c r="H2004">
        <f t="shared" si="416"/>
        <v>29000000</v>
      </c>
      <c r="I2004">
        <f t="shared" ref="I2004:I2035" si="418">H2004*0.48</f>
        <v>13920000</v>
      </c>
      <c r="K2004">
        <f t="shared" si="411"/>
        <v>77453253</v>
      </c>
      <c r="M2004">
        <f t="shared" si="415"/>
        <v>15107010</v>
      </c>
      <c r="N2004">
        <f t="shared" si="410"/>
        <v>92560263</v>
      </c>
      <c r="O2004">
        <f t="shared" si="417"/>
        <v>0.564068851748228</v>
      </c>
    </row>
    <row r="2005" ht="13.85" spans="1:15">
      <c r="A2005" s="43">
        <v>39788</v>
      </c>
      <c r="B2005" s="11">
        <v>15955499</v>
      </c>
      <c r="D2005" s="11">
        <v>20</v>
      </c>
      <c r="E2005">
        <f t="shared" si="414"/>
        <v>20</v>
      </c>
      <c r="H2005">
        <f t="shared" si="416"/>
        <v>20000000</v>
      </c>
      <c r="I2005">
        <f t="shared" si="418"/>
        <v>9600000</v>
      </c>
      <c r="K2005">
        <f t="shared" si="411"/>
        <v>61497754</v>
      </c>
      <c r="M2005">
        <f t="shared" si="415"/>
        <v>15955499</v>
      </c>
      <c r="N2005">
        <f t="shared" si="410"/>
        <v>77453253</v>
      </c>
      <c r="O2005">
        <f t="shared" si="417"/>
        <v>0.351516978551278</v>
      </c>
    </row>
    <row r="2006" ht="13.85" spans="1:15">
      <c r="A2006" s="43">
        <v>39697</v>
      </c>
      <c r="B2006" s="11">
        <v>14224064</v>
      </c>
      <c r="D2006" s="11">
        <v>15</v>
      </c>
      <c r="E2006">
        <f t="shared" si="414"/>
        <v>15</v>
      </c>
      <c r="H2006">
        <f t="shared" si="416"/>
        <v>15000000</v>
      </c>
      <c r="I2006">
        <f t="shared" si="418"/>
        <v>7200000</v>
      </c>
      <c r="K2006">
        <f t="shared" si="411"/>
        <v>47273690</v>
      </c>
      <c r="M2006">
        <f t="shared" si="415"/>
        <v>14224064</v>
      </c>
      <c r="N2006">
        <f t="shared" si="410"/>
        <v>61497754</v>
      </c>
      <c r="O2006">
        <f t="shared" si="417"/>
        <v>0</v>
      </c>
    </row>
    <row r="2007" ht="13.85" spans="1:15">
      <c r="A2007" s="43">
        <v>39574</v>
      </c>
      <c r="B2007" s="11">
        <v>47273690</v>
      </c>
      <c r="D2007" s="11">
        <v>204</v>
      </c>
      <c r="E2007">
        <f t="shared" si="414"/>
        <v>204</v>
      </c>
      <c r="H2007">
        <f t="shared" si="416"/>
        <v>204000000</v>
      </c>
      <c r="I2007">
        <f t="shared" si="418"/>
        <v>97920000</v>
      </c>
      <c r="K2007">
        <f t="shared" si="411"/>
        <v>298113015</v>
      </c>
      <c r="M2007">
        <f t="shared" si="415"/>
        <v>47273690</v>
      </c>
      <c r="N2007">
        <f t="shared" si="410"/>
        <v>345386705</v>
      </c>
      <c r="O2007">
        <f t="shared" si="417"/>
        <v>0.748807574338376</v>
      </c>
    </row>
    <row r="2008" ht="13.85" spans="1:15">
      <c r="A2008" s="43">
        <v>39484</v>
      </c>
      <c r="B2008" s="11">
        <v>34721871</v>
      </c>
      <c r="D2008" s="11">
        <v>178</v>
      </c>
      <c r="E2008">
        <f t="shared" si="414"/>
        <v>178</v>
      </c>
      <c r="H2008">
        <f t="shared" si="416"/>
        <v>178000000</v>
      </c>
      <c r="I2008">
        <f t="shared" si="418"/>
        <v>85440000</v>
      </c>
      <c r="K2008">
        <f t="shared" si="411"/>
        <v>263391144</v>
      </c>
      <c r="M2008">
        <f t="shared" si="415"/>
        <v>34721871</v>
      </c>
      <c r="N2008">
        <f t="shared" si="410"/>
        <v>298113015</v>
      </c>
      <c r="O2008">
        <f t="shared" si="417"/>
        <v>0.732913390955409</v>
      </c>
    </row>
    <row r="2009" ht="13.9" spans="1:15">
      <c r="A2009" s="42" t="s">
        <v>1326</v>
      </c>
      <c r="B2009" s="11">
        <v>31381607</v>
      </c>
      <c r="D2009" s="11">
        <v>155</v>
      </c>
      <c r="E2009">
        <f t="shared" si="414"/>
        <v>155</v>
      </c>
      <c r="H2009">
        <f t="shared" si="416"/>
        <v>155000000</v>
      </c>
      <c r="I2009">
        <f t="shared" si="418"/>
        <v>74400000</v>
      </c>
      <c r="K2009">
        <f t="shared" si="411"/>
        <v>232009537</v>
      </c>
      <c r="M2009">
        <f t="shared" si="415"/>
        <v>31381607</v>
      </c>
      <c r="N2009">
        <f t="shared" si="410"/>
        <v>263391144</v>
      </c>
      <c r="O2009">
        <f t="shared" si="417"/>
        <v>0.744249657356761</v>
      </c>
    </row>
    <row r="2010" ht="13.9" spans="1:15">
      <c r="A2010" s="42" t="s">
        <v>1327</v>
      </c>
      <c r="B2010" s="11">
        <v>26872703</v>
      </c>
      <c r="D2010" s="11">
        <v>135</v>
      </c>
      <c r="E2010">
        <f t="shared" si="414"/>
        <v>135</v>
      </c>
      <c r="H2010">
        <f t="shared" si="416"/>
        <v>135000000</v>
      </c>
      <c r="I2010">
        <f t="shared" si="418"/>
        <v>64800000</v>
      </c>
      <c r="K2010">
        <f t="shared" si="411"/>
        <v>205136834</v>
      </c>
      <c r="M2010">
        <f t="shared" si="415"/>
        <v>26872703</v>
      </c>
      <c r="N2010">
        <f t="shared" si="410"/>
        <v>232009537</v>
      </c>
      <c r="O2010">
        <f t="shared" si="417"/>
        <v>0.735546093421787</v>
      </c>
    </row>
    <row r="2011" ht="13.9" spans="1:15">
      <c r="A2011" s="42" t="s">
        <v>1328</v>
      </c>
      <c r="B2011" s="11">
        <v>25831148</v>
      </c>
      <c r="D2011" s="11">
        <v>116</v>
      </c>
      <c r="E2011">
        <f t="shared" si="414"/>
        <v>116</v>
      </c>
      <c r="H2011">
        <f t="shared" si="416"/>
        <v>116000000</v>
      </c>
      <c r="I2011">
        <f t="shared" si="418"/>
        <v>55680000</v>
      </c>
      <c r="K2011">
        <f t="shared" si="411"/>
        <v>179305686</v>
      </c>
      <c r="M2011">
        <f t="shared" si="415"/>
        <v>25831148</v>
      </c>
      <c r="N2011">
        <f t="shared" si="410"/>
        <v>205136834</v>
      </c>
      <c r="O2011">
        <f t="shared" ref="O2011:O2021" si="419">IF(H2011&gt;H2012,(H2011-H2012)/M2012,0)</f>
        <v>0.709973166120453</v>
      </c>
    </row>
    <row r="2012" ht="13.9" spans="1:15">
      <c r="A2012" s="42" t="s">
        <v>1329</v>
      </c>
      <c r="B2012" s="11">
        <v>22536063</v>
      </c>
      <c r="D2012" s="11">
        <v>100</v>
      </c>
      <c r="E2012">
        <f t="shared" si="414"/>
        <v>100</v>
      </c>
      <c r="H2012">
        <f t="shared" si="416"/>
        <v>100000000</v>
      </c>
      <c r="I2012">
        <f t="shared" si="418"/>
        <v>48000000</v>
      </c>
      <c r="K2012">
        <f t="shared" si="411"/>
        <v>156769623</v>
      </c>
      <c r="M2012">
        <f t="shared" si="415"/>
        <v>22536063</v>
      </c>
      <c r="N2012">
        <f t="shared" si="410"/>
        <v>179305686</v>
      </c>
      <c r="O2012">
        <f t="shared" si="419"/>
        <v>0.686776058319453</v>
      </c>
    </row>
    <row r="2013" ht="13.9" spans="1:15">
      <c r="A2013" s="42" t="s">
        <v>1330</v>
      </c>
      <c r="B2013" s="11">
        <v>20385102</v>
      </c>
      <c r="D2013" s="11">
        <v>86</v>
      </c>
      <c r="E2013">
        <f t="shared" si="414"/>
        <v>86</v>
      </c>
      <c r="H2013">
        <f t="shared" si="416"/>
        <v>86000000</v>
      </c>
      <c r="I2013">
        <f t="shared" si="418"/>
        <v>41280000</v>
      </c>
      <c r="K2013">
        <f t="shared" si="411"/>
        <v>136384521</v>
      </c>
      <c r="M2013">
        <f t="shared" si="415"/>
        <v>20385102</v>
      </c>
      <c r="N2013">
        <f t="shared" si="410"/>
        <v>156769623</v>
      </c>
      <c r="O2013">
        <f t="shared" si="419"/>
        <v>0.730967928613447</v>
      </c>
    </row>
    <row r="2014" ht="13.85" spans="1:15">
      <c r="A2014" s="43">
        <v>39422</v>
      </c>
      <c r="B2014" s="11">
        <v>17784638</v>
      </c>
      <c r="D2014" s="11">
        <v>73</v>
      </c>
      <c r="E2014">
        <f t="shared" si="414"/>
        <v>73</v>
      </c>
      <c r="H2014">
        <f t="shared" si="416"/>
        <v>73000000</v>
      </c>
      <c r="I2014">
        <f t="shared" si="418"/>
        <v>35040000</v>
      </c>
      <c r="K2014">
        <f t="shared" si="411"/>
        <v>118599883</v>
      </c>
      <c r="M2014">
        <f t="shared" si="415"/>
        <v>17784638</v>
      </c>
      <c r="N2014">
        <f t="shared" si="410"/>
        <v>136384521</v>
      </c>
      <c r="O2014">
        <f t="shared" si="419"/>
        <v>0.600904481425442</v>
      </c>
    </row>
    <row r="2015" ht="13.85" spans="1:15">
      <c r="A2015" s="43">
        <v>39300</v>
      </c>
      <c r="B2015" s="11">
        <v>18305738</v>
      </c>
      <c r="D2015" s="11">
        <v>62</v>
      </c>
      <c r="E2015">
        <f t="shared" si="414"/>
        <v>62</v>
      </c>
      <c r="H2015">
        <f t="shared" si="416"/>
        <v>62000000</v>
      </c>
      <c r="I2015">
        <f t="shared" si="418"/>
        <v>29760000</v>
      </c>
      <c r="K2015">
        <f t="shared" si="411"/>
        <v>100294145</v>
      </c>
      <c r="M2015">
        <f t="shared" si="415"/>
        <v>18305738</v>
      </c>
      <c r="N2015">
        <f t="shared" ref="N2015:N2078" si="420">IF(H2015&lt;H2016,M2015+M2016,M2015+N2016)</f>
        <v>118599883</v>
      </c>
      <c r="O2015">
        <f t="shared" si="419"/>
        <v>0.793087344956381</v>
      </c>
    </row>
    <row r="2016" ht="13.85" spans="1:15">
      <c r="A2016" s="43">
        <v>39208</v>
      </c>
      <c r="B2016" s="11">
        <v>15130742</v>
      </c>
      <c r="D2016" s="11">
        <v>50</v>
      </c>
      <c r="E2016">
        <f t="shared" si="414"/>
        <v>50</v>
      </c>
      <c r="H2016">
        <f t="shared" si="416"/>
        <v>50000000</v>
      </c>
      <c r="I2016">
        <f t="shared" si="418"/>
        <v>24000000</v>
      </c>
      <c r="K2016">
        <f t="shared" si="411"/>
        <v>85163403</v>
      </c>
      <c r="M2016">
        <f t="shared" si="415"/>
        <v>15130742</v>
      </c>
      <c r="N2016">
        <f t="shared" si="420"/>
        <v>100294145</v>
      </c>
      <c r="O2016">
        <f t="shared" si="419"/>
        <v>0.588642565520921</v>
      </c>
    </row>
    <row r="2017" ht="13.85" spans="1:15">
      <c r="A2017" s="43">
        <v>39088</v>
      </c>
      <c r="B2017" s="11">
        <v>16988238</v>
      </c>
      <c r="D2017" s="11">
        <v>40</v>
      </c>
      <c r="E2017">
        <f t="shared" si="414"/>
        <v>40</v>
      </c>
      <c r="H2017">
        <f t="shared" si="416"/>
        <v>40000000</v>
      </c>
      <c r="I2017">
        <f t="shared" si="418"/>
        <v>19200000</v>
      </c>
      <c r="K2017">
        <f t="shared" si="411"/>
        <v>68175165</v>
      </c>
      <c r="M2017">
        <f t="shared" si="415"/>
        <v>16988238</v>
      </c>
      <c r="N2017">
        <f t="shared" si="420"/>
        <v>85163403</v>
      </c>
      <c r="O2017">
        <f t="shared" si="419"/>
        <v>0.841748479942537</v>
      </c>
    </row>
    <row r="2018" ht="13.9" spans="1:15">
      <c r="A2018" s="42" t="s">
        <v>1331</v>
      </c>
      <c r="B2018" s="11">
        <v>14256040</v>
      </c>
      <c r="D2018" s="11">
        <v>28</v>
      </c>
      <c r="E2018">
        <f t="shared" si="414"/>
        <v>28</v>
      </c>
      <c r="H2018">
        <f t="shared" si="416"/>
        <v>28000000</v>
      </c>
      <c r="I2018">
        <f t="shared" si="418"/>
        <v>13440000</v>
      </c>
      <c r="K2018">
        <f t="shared" si="411"/>
        <v>53919125</v>
      </c>
      <c r="M2018">
        <f t="shared" si="415"/>
        <v>14256040</v>
      </c>
      <c r="N2018">
        <f t="shared" si="420"/>
        <v>68175165</v>
      </c>
      <c r="O2018">
        <f t="shared" si="419"/>
        <v>0.51863144571368</v>
      </c>
    </row>
    <row r="2019" ht="13.9" spans="1:15">
      <c r="A2019" s="42" t="s">
        <v>1332</v>
      </c>
      <c r="B2019" s="11">
        <v>15425212</v>
      </c>
      <c r="D2019" s="11">
        <v>20</v>
      </c>
      <c r="E2019">
        <f t="shared" si="414"/>
        <v>20</v>
      </c>
      <c r="H2019">
        <f t="shared" si="416"/>
        <v>20000000</v>
      </c>
      <c r="I2019">
        <f t="shared" si="418"/>
        <v>9600000</v>
      </c>
      <c r="K2019">
        <f t="shared" si="411"/>
        <v>38493913</v>
      </c>
      <c r="M2019">
        <f t="shared" si="415"/>
        <v>15425212</v>
      </c>
      <c r="N2019">
        <f t="shared" si="420"/>
        <v>53919125</v>
      </c>
      <c r="O2019">
        <f t="shared" si="419"/>
        <v>0.358405031662576</v>
      </c>
    </row>
    <row r="2020" ht="13.9" spans="1:15">
      <c r="A2020" s="42" t="s">
        <v>1333</v>
      </c>
      <c r="B2020" s="11">
        <v>13950697</v>
      </c>
      <c r="D2020" s="11">
        <v>15</v>
      </c>
      <c r="E2020">
        <f t="shared" si="414"/>
        <v>15</v>
      </c>
      <c r="H2020">
        <f t="shared" si="416"/>
        <v>15000000</v>
      </c>
      <c r="I2020">
        <f t="shared" si="418"/>
        <v>7200000</v>
      </c>
      <c r="K2020">
        <f t="shared" si="411"/>
        <v>24543216</v>
      </c>
      <c r="M2020">
        <f t="shared" si="415"/>
        <v>13950697</v>
      </c>
      <c r="N2020">
        <f t="shared" si="420"/>
        <v>38493913</v>
      </c>
      <c r="O2020">
        <f t="shared" si="419"/>
        <v>0</v>
      </c>
    </row>
    <row r="2021" ht="13.9" spans="1:15">
      <c r="A2021" s="42" t="s">
        <v>1334</v>
      </c>
      <c r="B2021" s="11">
        <v>24543216</v>
      </c>
      <c r="D2021" s="11">
        <v>100</v>
      </c>
      <c r="E2021">
        <f t="shared" si="414"/>
        <v>100</v>
      </c>
      <c r="H2021">
        <f t="shared" si="416"/>
        <v>100000000</v>
      </c>
      <c r="I2021">
        <f t="shared" si="418"/>
        <v>48000000</v>
      </c>
      <c r="K2021">
        <f t="shared" si="411"/>
        <v>153755473</v>
      </c>
      <c r="M2021">
        <f t="shared" si="415"/>
        <v>24543216</v>
      </c>
      <c r="N2021">
        <f t="shared" si="420"/>
        <v>178298689</v>
      </c>
      <c r="O2021">
        <f t="shared" si="419"/>
        <v>0.729155121710573</v>
      </c>
    </row>
    <row r="2022" ht="13.9" spans="1:15">
      <c r="A2022" s="42" t="s">
        <v>1335</v>
      </c>
      <c r="B2022" s="11">
        <v>19200304</v>
      </c>
      <c r="D2022" s="11">
        <v>86</v>
      </c>
      <c r="E2022">
        <f t="shared" si="414"/>
        <v>86</v>
      </c>
      <c r="H2022">
        <f t="shared" si="416"/>
        <v>86000000</v>
      </c>
      <c r="I2022">
        <f t="shared" si="418"/>
        <v>41280000</v>
      </c>
      <c r="K2022">
        <f t="shared" si="411"/>
        <v>134555169</v>
      </c>
      <c r="M2022">
        <f t="shared" si="415"/>
        <v>19200304</v>
      </c>
      <c r="N2022">
        <f t="shared" si="420"/>
        <v>153755473</v>
      </c>
      <c r="O2022">
        <f t="shared" ref="O2022:O2039" si="421">IF(H2022&gt;H2023,(H2022-H2023)/M2023,0)</f>
        <v>0.652238253402288</v>
      </c>
    </row>
    <row r="2023" ht="13.85" spans="1:15">
      <c r="A2023" s="43">
        <v>38996</v>
      </c>
      <c r="B2023" s="11">
        <v>19931367</v>
      </c>
      <c r="D2023" s="11">
        <v>73</v>
      </c>
      <c r="E2023">
        <f t="shared" si="414"/>
        <v>73</v>
      </c>
      <c r="H2023">
        <f t="shared" si="416"/>
        <v>73000000</v>
      </c>
      <c r="I2023">
        <f t="shared" si="418"/>
        <v>35040000</v>
      </c>
      <c r="K2023">
        <f t="shared" si="411"/>
        <v>114623802</v>
      </c>
      <c r="M2023">
        <f t="shared" si="415"/>
        <v>19931367</v>
      </c>
      <c r="N2023">
        <f t="shared" si="420"/>
        <v>134555169</v>
      </c>
      <c r="O2023">
        <f t="shared" si="421"/>
        <v>0.743039208692964</v>
      </c>
    </row>
    <row r="2024" ht="13.85" spans="1:15">
      <c r="A2024" s="43">
        <v>38904</v>
      </c>
      <c r="B2024" s="11">
        <v>17495712</v>
      </c>
      <c r="D2024" s="11">
        <v>60</v>
      </c>
      <c r="E2024">
        <f t="shared" si="414"/>
        <v>60</v>
      </c>
      <c r="H2024">
        <f t="shared" si="416"/>
        <v>60000000</v>
      </c>
      <c r="I2024">
        <f t="shared" si="418"/>
        <v>28800000</v>
      </c>
      <c r="K2024">
        <f t="shared" si="411"/>
        <v>97128090</v>
      </c>
      <c r="M2024">
        <f t="shared" si="415"/>
        <v>17495712</v>
      </c>
      <c r="N2024">
        <f t="shared" si="420"/>
        <v>114623802</v>
      </c>
      <c r="O2024">
        <f t="shared" si="421"/>
        <v>0.670679566070321</v>
      </c>
    </row>
    <row r="2025" ht="13.85" spans="1:15">
      <c r="A2025" s="43">
        <v>38782</v>
      </c>
      <c r="B2025" s="11">
        <v>17892300</v>
      </c>
      <c r="D2025" s="11">
        <v>48</v>
      </c>
      <c r="E2025">
        <f t="shared" si="414"/>
        <v>48</v>
      </c>
      <c r="H2025">
        <f t="shared" si="416"/>
        <v>48000000</v>
      </c>
      <c r="I2025">
        <f t="shared" si="418"/>
        <v>23040000</v>
      </c>
      <c r="K2025">
        <f t="shared" si="411"/>
        <v>79235790</v>
      </c>
      <c r="M2025">
        <f t="shared" si="415"/>
        <v>17892300</v>
      </c>
      <c r="N2025">
        <f t="shared" si="420"/>
        <v>97128090</v>
      </c>
      <c r="O2025">
        <f t="shared" si="421"/>
        <v>0.658607592902528</v>
      </c>
    </row>
    <row r="2026" ht="13.9" spans="1:15">
      <c r="A2026" s="42" t="s">
        <v>1336</v>
      </c>
      <c r="B2026" s="11">
        <v>15183548</v>
      </c>
      <c r="D2026" s="11">
        <v>38</v>
      </c>
      <c r="E2026">
        <f t="shared" si="414"/>
        <v>38</v>
      </c>
      <c r="H2026">
        <f t="shared" si="416"/>
        <v>38000000</v>
      </c>
      <c r="I2026">
        <f t="shared" si="418"/>
        <v>18240000</v>
      </c>
      <c r="K2026">
        <f t="shared" ref="K2026:K2089" si="422">IF(E2026&gt;E2027,B2027+K2027,B2027)</f>
        <v>64052242</v>
      </c>
      <c r="M2026">
        <f t="shared" si="415"/>
        <v>15183548</v>
      </c>
      <c r="N2026">
        <f t="shared" si="420"/>
        <v>79235790</v>
      </c>
      <c r="O2026">
        <f t="shared" si="421"/>
        <v>0.690854495818534</v>
      </c>
    </row>
    <row r="2027" ht="13.9" spans="1:15">
      <c r="A2027" s="42" t="s">
        <v>1337</v>
      </c>
      <c r="B2027" s="11">
        <v>14474828</v>
      </c>
      <c r="D2027" s="11">
        <v>28</v>
      </c>
      <c r="E2027">
        <f t="shared" si="414"/>
        <v>28</v>
      </c>
      <c r="H2027">
        <f t="shared" si="416"/>
        <v>28000000</v>
      </c>
      <c r="I2027">
        <f t="shared" si="418"/>
        <v>13440000</v>
      </c>
      <c r="K2027">
        <f t="shared" si="422"/>
        <v>49577414</v>
      </c>
      <c r="M2027">
        <f t="shared" si="415"/>
        <v>14474828</v>
      </c>
      <c r="N2027">
        <f t="shared" si="420"/>
        <v>64052242</v>
      </c>
      <c r="O2027">
        <f t="shared" si="421"/>
        <v>0.624014787902444</v>
      </c>
    </row>
    <row r="2028" ht="13.9" spans="1:15">
      <c r="A2028" s="42" t="s">
        <v>1338</v>
      </c>
      <c r="B2028" s="11">
        <v>12820209</v>
      </c>
      <c r="D2028" s="11">
        <v>20</v>
      </c>
      <c r="E2028">
        <f t="shared" si="414"/>
        <v>20</v>
      </c>
      <c r="H2028">
        <f t="shared" si="416"/>
        <v>20000000</v>
      </c>
      <c r="I2028">
        <f t="shared" si="418"/>
        <v>9600000</v>
      </c>
      <c r="K2028">
        <f t="shared" si="422"/>
        <v>36757205</v>
      </c>
      <c r="M2028">
        <f t="shared" si="415"/>
        <v>12820209</v>
      </c>
      <c r="N2028">
        <f t="shared" si="420"/>
        <v>49577414</v>
      </c>
      <c r="O2028">
        <f t="shared" si="421"/>
        <v>0.344762224044559</v>
      </c>
    </row>
    <row r="2029" ht="13.9" spans="1:15">
      <c r="A2029" s="42" t="s">
        <v>1339</v>
      </c>
      <c r="B2029" s="11">
        <v>14502749</v>
      </c>
      <c r="D2029" s="11">
        <v>15</v>
      </c>
      <c r="E2029">
        <f t="shared" si="414"/>
        <v>15</v>
      </c>
      <c r="H2029">
        <f t="shared" si="416"/>
        <v>15000000</v>
      </c>
      <c r="I2029">
        <f t="shared" si="418"/>
        <v>7200000</v>
      </c>
      <c r="K2029">
        <f t="shared" si="422"/>
        <v>22254456</v>
      </c>
      <c r="M2029">
        <f t="shared" si="415"/>
        <v>14502749</v>
      </c>
      <c r="N2029">
        <f t="shared" si="420"/>
        <v>36757205</v>
      </c>
      <c r="O2029">
        <f t="shared" si="421"/>
        <v>0</v>
      </c>
    </row>
    <row r="2030" ht="13.9" spans="1:15">
      <c r="A2030" s="42" t="s">
        <v>1340</v>
      </c>
      <c r="B2030" s="11">
        <v>22254456</v>
      </c>
      <c r="D2030" s="11">
        <v>114</v>
      </c>
      <c r="E2030">
        <f t="shared" si="414"/>
        <v>114</v>
      </c>
      <c r="H2030">
        <f t="shared" si="416"/>
        <v>114000000</v>
      </c>
      <c r="I2030">
        <f t="shared" si="418"/>
        <v>54720000</v>
      </c>
      <c r="K2030">
        <f t="shared" si="422"/>
        <v>192196638</v>
      </c>
      <c r="M2030">
        <f t="shared" si="415"/>
        <v>22254456</v>
      </c>
      <c r="N2030">
        <f t="shared" si="420"/>
        <v>214451094</v>
      </c>
      <c r="O2030">
        <f t="shared" si="421"/>
        <v>0.615579381995235</v>
      </c>
    </row>
    <row r="2031" ht="13.9" spans="1:15">
      <c r="A2031" s="42" t="s">
        <v>1341</v>
      </c>
      <c r="B2031" s="11">
        <v>22742802</v>
      </c>
      <c r="D2031" s="11">
        <v>100</v>
      </c>
      <c r="E2031">
        <f t="shared" si="414"/>
        <v>100</v>
      </c>
      <c r="H2031">
        <f t="shared" si="416"/>
        <v>100000000</v>
      </c>
      <c r="I2031">
        <f t="shared" si="418"/>
        <v>48000000</v>
      </c>
      <c r="K2031">
        <f t="shared" si="422"/>
        <v>169453836</v>
      </c>
      <c r="M2031">
        <f t="shared" si="415"/>
        <v>22742802</v>
      </c>
      <c r="N2031">
        <f t="shared" si="420"/>
        <v>192196638</v>
      </c>
      <c r="O2031">
        <f t="shared" si="421"/>
        <v>0.833009107677312</v>
      </c>
    </row>
    <row r="2032" ht="13.85" spans="1:15">
      <c r="A2032" s="43">
        <v>38631</v>
      </c>
      <c r="B2032" s="11">
        <v>18007006</v>
      </c>
      <c r="D2032" s="11">
        <v>85</v>
      </c>
      <c r="E2032">
        <f t="shared" si="414"/>
        <v>85</v>
      </c>
      <c r="H2032">
        <f t="shared" si="416"/>
        <v>85000000</v>
      </c>
      <c r="I2032">
        <f t="shared" si="418"/>
        <v>40800000</v>
      </c>
      <c r="K2032">
        <f t="shared" si="422"/>
        <v>151446830</v>
      </c>
      <c r="M2032">
        <f t="shared" si="415"/>
        <v>18007006</v>
      </c>
      <c r="N2032">
        <f t="shared" si="420"/>
        <v>169453836</v>
      </c>
      <c r="O2032">
        <f t="shared" si="421"/>
        <v>0.640255145944026</v>
      </c>
    </row>
    <row r="2033" ht="13.85" spans="1:15">
      <c r="A2033" s="43">
        <v>38509</v>
      </c>
      <c r="B2033" s="11">
        <v>18742528</v>
      </c>
      <c r="D2033" s="11">
        <v>73</v>
      </c>
      <c r="E2033">
        <f t="shared" si="414"/>
        <v>73</v>
      </c>
      <c r="H2033">
        <f t="shared" si="416"/>
        <v>73000000</v>
      </c>
      <c r="I2033">
        <f t="shared" si="418"/>
        <v>35040000</v>
      </c>
      <c r="K2033">
        <f t="shared" si="422"/>
        <v>132704302</v>
      </c>
      <c r="M2033">
        <f t="shared" si="415"/>
        <v>18742528</v>
      </c>
      <c r="N2033">
        <f t="shared" si="420"/>
        <v>151446830</v>
      </c>
      <c r="O2033">
        <f t="shared" si="421"/>
        <v>0.727856909639658</v>
      </c>
    </row>
    <row r="2034" ht="13.85" spans="1:15">
      <c r="A2034" s="43">
        <v>38417</v>
      </c>
      <c r="B2034" s="11">
        <v>16486757</v>
      </c>
      <c r="D2034" s="11">
        <v>61</v>
      </c>
      <c r="E2034">
        <f t="shared" si="414"/>
        <v>61</v>
      </c>
      <c r="H2034">
        <f t="shared" si="416"/>
        <v>61000000</v>
      </c>
      <c r="I2034">
        <f t="shared" si="418"/>
        <v>29280000</v>
      </c>
      <c r="K2034">
        <f t="shared" si="422"/>
        <v>116217545</v>
      </c>
      <c r="M2034">
        <f t="shared" si="415"/>
        <v>16486757</v>
      </c>
      <c r="N2034">
        <f t="shared" si="420"/>
        <v>132704302</v>
      </c>
      <c r="O2034">
        <f t="shared" si="421"/>
        <v>0.71417743988456</v>
      </c>
    </row>
    <row r="2035" ht="13.9" spans="1:15">
      <c r="A2035" s="42" t="s">
        <v>1342</v>
      </c>
      <c r="B2035" s="11">
        <v>16802547</v>
      </c>
      <c r="D2035" s="11">
        <v>49</v>
      </c>
      <c r="E2035">
        <f t="shared" si="414"/>
        <v>49</v>
      </c>
      <c r="H2035">
        <f t="shared" si="416"/>
        <v>49000000</v>
      </c>
      <c r="I2035">
        <f t="shared" si="418"/>
        <v>23520000</v>
      </c>
      <c r="K2035">
        <f t="shared" si="422"/>
        <v>99414998</v>
      </c>
      <c r="M2035">
        <f t="shared" si="415"/>
        <v>16802547</v>
      </c>
      <c r="N2035">
        <f t="shared" si="420"/>
        <v>116217545</v>
      </c>
      <c r="O2035">
        <f t="shared" si="421"/>
        <v>0.824987155981215</v>
      </c>
    </row>
    <row r="2036" ht="13.9" spans="1:15">
      <c r="A2036" s="42" t="s">
        <v>1343</v>
      </c>
      <c r="B2036" s="11">
        <v>14545681</v>
      </c>
      <c r="D2036" s="11">
        <v>37</v>
      </c>
      <c r="E2036">
        <f t="shared" si="414"/>
        <v>37</v>
      </c>
      <c r="H2036">
        <f t="shared" si="416"/>
        <v>37000000</v>
      </c>
      <c r="I2036">
        <f t="shared" ref="I2036:I2077" si="423">H2036*0.48</f>
        <v>17760000</v>
      </c>
      <c r="K2036">
        <f t="shared" si="422"/>
        <v>84869317</v>
      </c>
      <c r="M2036">
        <f t="shared" si="415"/>
        <v>14545681</v>
      </c>
      <c r="N2036">
        <f t="shared" si="420"/>
        <v>99414998</v>
      </c>
      <c r="O2036">
        <f t="shared" si="421"/>
        <v>0.586042995369935</v>
      </c>
    </row>
    <row r="2037" ht="13.9" spans="1:15">
      <c r="A2037" s="42" t="s">
        <v>1344</v>
      </c>
      <c r="B2037" s="11">
        <v>15357235</v>
      </c>
      <c r="D2037" s="11">
        <v>28</v>
      </c>
      <c r="E2037">
        <f t="shared" si="414"/>
        <v>28</v>
      </c>
      <c r="H2037">
        <f t="shared" si="416"/>
        <v>28000000</v>
      </c>
      <c r="I2037">
        <f t="shared" si="423"/>
        <v>13440000</v>
      </c>
      <c r="K2037">
        <f t="shared" si="422"/>
        <v>69512082</v>
      </c>
      <c r="M2037">
        <f t="shared" si="415"/>
        <v>15357235</v>
      </c>
      <c r="N2037">
        <f t="shared" si="420"/>
        <v>84869317</v>
      </c>
      <c r="O2037">
        <f t="shared" si="421"/>
        <v>0.596487479094046</v>
      </c>
    </row>
    <row r="2038" ht="13.9" spans="1:15">
      <c r="A2038" s="42" t="s">
        <v>1345</v>
      </c>
      <c r="B2038" s="11">
        <v>13411849</v>
      </c>
      <c r="D2038" s="11">
        <v>20</v>
      </c>
      <c r="E2038">
        <f t="shared" si="414"/>
        <v>20</v>
      </c>
      <c r="H2038">
        <f t="shared" si="416"/>
        <v>20000000</v>
      </c>
      <c r="I2038">
        <f t="shared" si="423"/>
        <v>9600000</v>
      </c>
      <c r="K2038">
        <f t="shared" si="422"/>
        <v>56100233</v>
      </c>
      <c r="M2038">
        <f t="shared" si="415"/>
        <v>13411849</v>
      </c>
      <c r="N2038">
        <f t="shared" si="420"/>
        <v>69512082</v>
      </c>
      <c r="O2038">
        <f t="shared" si="421"/>
        <v>0.322875357455308</v>
      </c>
    </row>
    <row r="2039" ht="13.9" spans="1:15">
      <c r="A2039" s="42" t="s">
        <v>1346</v>
      </c>
      <c r="B2039" s="11">
        <v>15485852</v>
      </c>
      <c r="D2039" s="11">
        <v>15</v>
      </c>
      <c r="E2039">
        <f t="shared" si="414"/>
        <v>15</v>
      </c>
      <c r="H2039">
        <f t="shared" si="416"/>
        <v>15000000</v>
      </c>
      <c r="I2039">
        <f t="shared" si="423"/>
        <v>7200000</v>
      </c>
      <c r="K2039">
        <f t="shared" si="422"/>
        <v>40614381</v>
      </c>
      <c r="M2039">
        <f t="shared" si="415"/>
        <v>15485852</v>
      </c>
      <c r="N2039">
        <f t="shared" si="420"/>
        <v>56100233</v>
      </c>
      <c r="O2039">
        <f t="shared" si="421"/>
        <v>0</v>
      </c>
    </row>
    <row r="2040" ht="13.85" spans="1:15">
      <c r="A2040" s="43">
        <v>38327</v>
      </c>
      <c r="B2040" s="11">
        <v>40614381</v>
      </c>
      <c r="D2040" s="11">
        <v>220</v>
      </c>
      <c r="E2040">
        <f t="shared" si="414"/>
        <v>220</v>
      </c>
      <c r="H2040">
        <f t="shared" si="416"/>
        <v>220000000</v>
      </c>
      <c r="I2040">
        <f t="shared" si="423"/>
        <v>105600000</v>
      </c>
      <c r="K2040">
        <f t="shared" si="422"/>
        <v>475036484</v>
      </c>
      <c r="M2040">
        <f t="shared" si="415"/>
        <v>40614381</v>
      </c>
      <c r="N2040">
        <f t="shared" si="420"/>
        <v>515650865</v>
      </c>
      <c r="O2040">
        <f t="shared" ref="O2040:O2051" si="424">IF(H2040&gt;H2041,(H2040-H2041)/M2041,0)</f>
        <v>0.705182274527065</v>
      </c>
    </row>
    <row r="2041" ht="13.85" spans="1:15">
      <c r="A2041" s="43">
        <v>38205</v>
      </c>
      <c r="B2041" s="11">
        <v>35451827</v>
      </c>
      <c r="D2041" s="11">
        <v>195</v>
      </c>
      <c r="E2041">
        <f t="shared" si="414"/>
        <v>195</v>
      </c>
      <c r="H2041">
        <f t="shared" si="416"/>
        <v>195000000</v>
      </c>
      <c r="I2041">
        <f t="shared" si="423"/>
        <v>93600000</v>
      </c>
      <c r="K2041">
        <f t="shared" si="422"/>
        <v>439584657</v>
      </c>
      <c r="M2041">
        <f t="shared" si="415"/>
        <v>35451827</v>
      </c>
      <c r="N2041">
        <f t="shared" si="420"/>
        <v>475036484</v>
      </c>
      <c r="O2041">
        <f t="shared" si="424"/>
        <v>0.700115192286304</v>
      </c>
    </row>
    <row r="2042" ht="13.85" spans="1:15">
      <c r="A2042" s="43">
        <v>38113</v>
      </c>
      <c r="B2042" s="11">
        <v>29995064</v>
      </c>
      <c r="D2042" s="11">
        <v>174</v>
      </c>
      <c r="E2042">
        <f t="shared" si="414"/>
        <v>174</v>
      </c>
      <c r="H2042">
        <f t="shared" si="416"/>
        <v>174000000</v>
      </c>
      <c r="I2042">
        <f t="shared" si="423"/>
        <v>83520000</v>
      </c>
      <c r="K2042">
        <f t="shared" si="422"/>
        <v>409589593</v>
      </c>
      <c r="M2042">
        <f t="shared" si="415"/>
        <v>29995064</v>
      </c>
      <c r="N2042">
        <f t="shared" si="420"/>
        <v>439584657</v>
      </c>
      <c r="O2042">
        <f t="shared" si="424"/>
        <v>0.734790226408241</v>
      </c>
    </row>
    <row r="2043" ht="13.85" spans="1:15">
      <c r="A2043" s="43">
        <v>37992</v>
      </c>
      <c r="B2043" s="11">
        <v>29940518</v>
      </c>
      <c r="D2043" s="11">
        <v>152</v>
      </c>
      <c r="E2043">
        <f t="shared" si="414"/>
        <v>152</v>
      </c>
      <c r="H2043">
        <f t="shared" si="416"/>
        <v>152000000</v>
      </c>
      <c r="I2043">
        <f t="shared" si="423"/>
        <v>72960000</v>
      </c>
      <c r="K2043">
        <f t="shared" si="422"/>
        <v>379649075</v>
      </c>
      <c r="M2043">
        <f t="shared" si="415"/>
        <v>29940518</v>
      </c>
      <c r="N2043">
        <f t="shared" si="420"/>
        <v>409589593</v>
      </c>
      <c r="O2043">
        <f t="shared" si="424"/>
        <v>0.662858583098447</v>
      </c>
    </row>
    <row r="2044" ht="13.9" spans="1:15">
      <c r="A2044" s="42" t="s">
        <v>1347</v>
      </c>
      <c r="B2044" s="11">
        <v>25646496</v>
      </c>
      <c r="D2044" s="11">
        <v>135</v>
      </c>
      <c r="E2044">
        <f t="shared" si="414"/>
        <v>135</v>
      </c>
      <c r="H2044">
        <f t="shared" si="416"/>
        <v>135000000</v>
      </c>
      <c r="I2044">
        <f t="shared" si="423"/>
        <v>64800000</v>
      </c>
      <c r="K2044">
        <f t="shared" si="422"/>
        <v>354002579</v>
      </c>
      <c r="M2044">
        <f t="shared" si="415"/>
        <v>25646496</v>
      </c>
      <c r="N2044">
        <f t="shared" si="420"/>
        <v>379649075</v>
      </c>
      <c r="O2044">
        <f t="shared" si="424"/>
        <v>0.709912988331397</v>
      </c>
    </row>
    <row r="2045" ht="13.9" spans="1:15">
      <c r="A2045" s="42" t="s">
        <v>1348</v>
      </c>
      <c r="B2045" s="11">
        <v>25355220</v>
      </c>
      <c r="D2045" s="11">
        <v>117</v>
      </c>
      <c r="E2045">
        <f t="shared" si="414"/>
        <v>117</v>
      </c>
      <c r="H2045">
        <f t="shared" si="416"/>
        <v>117000000</v>
      </c>
      <c r="I2045">
        <f t="shared" si="423"/>
        <v>56160000</v>
      </c>
      <c r="K2045">
        <f t="shared" si="422"/>
        <v>328647359</v>
      </c>
      <c r="M2045">
        <f t="shared" si="415"/>
        <v>25355220</v>
      </c>
      <c r="N2045">
        <f t="shared" si="420"/>
        <v>354002579</v>
      </c>
      <c r="O2045">
        <f t="shared" si="424"/>
        <v>0.699063604302037</v>
      </c>
    </row>
    <row r="2046" ht="13.9" spans="1:15">
      <c r="A2046" s="42" t="s">
        <v>1349</v>
      </c>
      <c r="B2046" s="11">
        <v>22887760</v>
      </c>
      <c r="D2046" s="11">
        <v>101</v>
      </c>
      <c r="E2046">
        <f t="shared" si="414"/>
        <v>101</v>
      </c>
      <c r="H2046">
        <f t="shared" si="416"/>
        <v>101000000</v>
      </c>
      <c r="I2046">
        <f t="shared" si="423"/>
        <v>48480000</v>
      </c>
      <c r="K2046">
        <f t="shared" si="422"/>
        <v>305759599</v>
      </c>
      <c r="M2046">
        <f t="shared" si="415"/>
        <v>22887760</v>
      </c>
      <c r="N2046">
        <f t="shared" si="420"/>
        <v>328647359</v>
      </c>
      <c r="O2046">
        <f t="shared" si="424"/>
        <v>0.590119296701269</v>
      </c>
    </row>
    <row r="2047" ht="13.9" spans="1:15">
      <c r="A2047" s="42" t="s">
        <v>1350</v>
      </c>
      <c r="B2047" s="11">
        <v>22029444</v>
      </c>
      <c r="D2047" s="11">
        <v>88</v>
      </c>
      <c r="E2047">
        <f t="shared" si="414"/>
        <v>88</v>
      </c>
      <c r="H2047">
        <f t="shared" si="416"/>
        <v>88000000</v>
      </c>
      <c r="I2047">
        <f t="shared" si="423"/>
        <v>42240000</v>
      </c>
      <c r="K2047">
        <f t="shared" si="422"/>
        <v>283730155</v>
      </c>
      <c r="M2047">
        <f t="shared" si="415"/>
        <v>22029444</v>
      </c>
      <c r="N2047">
        <f t="shared" si="420"/>
        <v>305759599</v>
      </c>
      <c r="O2047">
        <f t="shared" si="424"/>
        <v>0.68050902284296</v>
      </c>
    </row>
    <row r="2048" ht="13.9" spans="1:15">
      <c r="A2048" s="42" t="s">
        <v>1351</v>
      </c>
      <c r="B2048" s="11">
        <v>19103347</v>
      </c>
      <c r="D2048" s="11">
        <v>75</v>
      </c>
      <c r="E2048">
        <f t="shared" ref="E2048:E2111" si="425">IF(RIGHT(D2048,1)="B",VALUE(LEFT(D2048,LEN(D2048)-1))*1000,D2048)</f>
        <v>75</v>
      </c>
      <c r="H2048">
        <f t="shared" si="416"/>
        <v>75000000</v>
      </c>
      <c r="I2048">
        <f t="shared" si="423"/>
        <v>36000000</v>
      </c>
      <c r="K2048">
        <f t="shared" si="422"/>
        <v>264626808</v>
      </c>
      <c r="M2048">
        <f t="shared" si="415"/>
        <v>19103347</v>
      </c>
      <c r="N2048">
        <f t="shared" si="420"/>
        <v>283730155</v>
      </c>
      <c r="O2048">
        <f t="shared" si="424"/>
        <v>0.651802298535681</v>
      </c>
    </row>
    <row r="2049" ht="13.85" spans="1:15">
      <c r="A2049" s="43">
        <v>37931</v>
      </c>
      <c r="B2049" s="11">
        <v>19944698</v>
      </c>
      <c r="D2049" s="11">
        <v>62</v>
      </c>
      <c r="E2049">
        <f t="shared" si="425"/>
        <v>62</v>
      </c>
      <c r="H2049">
        <f t="shared" si="416"/>
        <v>62000000</v>
      </c>
      <c r="I2049">
        <f t="shared" si="423"/>
        <v>29760000</v>
      </c>
      <c r="K2049">
        <f t="shared" si="422"/>
        <v>244682110</v>
      </c>
      <c r="M2049">
        <f t="shared" si="415"/>
        <v>19944698</v>
      </c>
      <c r="N2049">
        <f t="shared" si="420"/>
        <v>264626808</v>
      </c>
      <c r="O2049">
        <f t="shared" si="424"/>
        <v>0.689721290523712</v>
      </c>
    </row>
    <row r="2050" ht="13.85" spans="1:15">
      <c r="A2050" s="43">
        <v>37839</v>
      </c>
      <c r="B2050" s="11">
        <v>17398332</v>
      </c>
      <c r="D2050" s="11">
        <v>50</v>
      </c>
      <c r="E2050">
        <f t="shared" si="425"/>
        <v>50</v>
      </c>
      <c r="H2050">
        <f t="shared" si="416"/>
        <v>50000000</v>
      </c>
      <c r="I2050">
        <f t="shared" si="423"/>
        <v>24000000</v>
      </c>
      <c r="K2050">
        <f t="shared" si="422"/>
        <v>227283778</v>
      </c>
      <c r="M2050">
        <f t="shared" si="415"/>
        <v>17398332</v>
      </c>
      <c r="N2050">
        <f t="shared" si="420"/>
        <v>244682110</v>
      </c>
      <c r="O2050">
        <f t="shared" si="424"/>
        <v>0.650742774070894</v>
      </c>
    </row>
    <row r="2051" ht="13.85" spans="1:15">
      <c r="A2051" s="43">
        <v>37717</v>
      </c>
      <c r="B2051" s="11">
        <v>18440466</v>
      </c>
      <c r="D2051" s="11">
        <v>38</v>
      </c>
      <c r="E2051">
        <f t="shared" si="425"/>
        <v>38</v>
      </c>
      <c r="H2051">
        <f t="shared" si="416"/>
        <v>38000000</v>
      </c>
      <c r="I2051">
        <f t="shared" si="423"/>
        <v>18240000</v>
      </c>
      <c r="K2051">
        <f t="shared" si="422"/>
        <v>208843312</v>
      </c>
      <c r="M2051">
        <f t="shared" si="415"/>
        <v>18440466</v>
      </c>
      <c r="N2051">
        <f t="shared" si="420"/>
        <v>227283778</v>
      </c>
      <c r="O2051">
        <f t="shared" si="424"/>
        <v>0.703100840895822</v>
      </c>
    </row>
    <row r="2052" ht="13.85" spans="1:14">
      <c r="A2052" s="43">
        <v>37627</v>
      </c>
      <c r="B2052" s="11">
        <v>15644982</v>
      </c>
      <c r="D2052" s="11">
        <v>27</v>
      </c>
      <c r="E2052">
        <f t="shared" si="425"/>
        <v>27</v>
      </c>
      <c r="H2052">
        <f t="shared" si="416"/>
        <v>27000000</v>
      </c>
      <c r="I2052">
        <f t="shared" si="423"/>
        <v>12960000</v>
      </c>
      <c r="K2052">
        <f t="shared" si="422"/>
        <v>193198330</v>
      </c>
      <c r="M2052">
        <f t="shared" si="415"/>
        <v>15644982</v>
      </c>
      <c r="N2052">
        <f t="shared" si="420"/>
        <v>208843312</v>
      </c>
    </row>
    <row r="2053" ht="13.9" spans="1:14">
      <c r="A2053" s="42" t="s">
        <v>1352</v>
      </c>
      <c r="B2053" s="11">
        <v>16777423</v>
      </c>
      <c r="D2053" s="11">
        <v>20</v>
      </c>
      <c r="E2053">
        <f t="shared" si="425"/>
        <v>20</v>
      </c>
      <c r="H2053">
        <f t="shared" si="416"/>
        <v>20000000</v>
      </c>
      <c r="I2053">
        <f t="shared" si="423"/>
        <v>9600000</v>
      </c>
      <c r="K2053">
        <f t="shared" si="422"/>
        <v>176420907</v>
      </c>
      <c r="M2053">
        <f t="shared" si="415"/>
        <v>16777423</v>
      </c>
      <c r="N2053">
        <f t="shared" si="420"/>
        <v>193198330</v>
      </c>
    </row>
    <row r="2054" ht="13.9" spans="1:14">
      <c r="A2054" s="42" t="s">
        <v>1353</v>
      </c>
      <c r="B2054" s="11">
        <v>15351541</v>
      </c>
      <c r="D2054" s="11">
        <v>15</v>
      </c>
      <c r="E2054">
        <f t="shared" si="425"/>
        <v>15</v>
      </c>
      <c r="H2054">
        <f t="shared" si="416"/>
        <v>15000000</v>
      </c>
      <c r="I2054">
        <f t="shared" si="423"/>
        <v>7200000</v>
      </c>
      <c r="K2054">
        <f t="shared" si="422"/>
        <v>161069366</v>
      </c>
      <c r="M2054">
        <f t="shared" ref="M2054:M2117" si="426">B2054+C2054</f>
        <v>15351541</v>
      </c>
      <c r="N2054">
        <f t="shared" si="420"/>
        <v>176420907</v>
      </c>
    </row>
    <row r="2055" ht="13.9" spans="1:14">
      <c r="A2055" s="42" t="s">
        <v>1354</v>
      </c>
      <c r="B2055" s="11">
        <v>161069366</v>
      </c>
      <c r="D2055" s="11">
        <v>365</v>
      </c>
      <c r="E2055">
        <f t="shared" si="425"/>
        <v>365</v>
      </c>
      <c r="H2055">
        <f t="shared" si="416"/>
        <v>365000000</v>
      </c>
      <c r="I2055">
        <f t="shared" si="423"/>
        <v>175200000</v>
      </c>
      <c r="K2055">
        <f t="shared" si="422"/>
        <v>526059052</v>
      </c>
      <c r="M2055">
        <f t="shared" si="426"/>
        <v>161069366</v>
      </c>
      <c r="N2055">
        <f t="shared" si="420"/>
        <v>687128418</v>
      </c>
    </row>
    <row r="2056" ht="13.9" spans="1:14">
      <c r="A2056" s="42" t="s">
        <v>1355</v>
      </c>
      <c r="B2056" s="11">
        <v>92537801</v>
      </c>
      <c r="D2056" s="11">
        <v>300</v>
      </c>
      <c r="E2056">
        <f t="shared" si="425"/>
        <v>300</v>
      </c>
      <c r="H2056">
        <f t="shared" si="416"/>
        <v>300000000</v>
      </c>
      <c r="I2056">
        <f t="shared" si="423"/>
        <v>144000000</v>
      </c>
      <c r="K2056">
        <f t="shared" si="422"/>
        <v>433521251</v>
      </c>
      <c r="M2056">
        <f t="shared" si="426"/>
        <v>92537801</v>
      </c>
      <c r="N2056">
        <f t="shared" si="420"/>
        <v>526059052</v>
      </c>
    </row>
    <row r="2057" ht="13.85" spans="1:14">
      <c r="A2057" s="43">
        <v>37566</v>
      </c>
      <c r="B2057" s="11">
        <v>65377755</v>
      </c>
      <c r="D2057" s="11">
        <v>250</v>
      </c>
      <c r="E2057">
        <f t="shared" si="425"/>
        <v>250</v>
      </c>
      <c r="H2057">
        <f t="shared" si="416"/>
        <v>250000000</v>
      </c>
      <c r="I2057">
        <f t="shared" si="423"/>
        <v>120000000</v>
      </c>
      <c r="K2057">
        <f t="shared" si="422"/>
        <v>368143496</v>
      </c>
      <c r="M2057">
        <f t="shared" si="426"/>
        <v>65377755</v>
      </c>
      <c r="N2057">
        <f t="shared" si="420"/>
        <v>433521251</v>
      </c>
    </row>
    <row r="2058" ht="13.85" spans="1:14">
      <c r="A2058" s="43">
        <v>37474</v>
      </c>
      <c r="B2058" s="11">
        <v>47884166</v>
      </c>
      <c r="D2058" s="11">
        <v>210</v>
      </c>
      <c r="E2058">
        <f t="shared" si="425"/>
        <v>210</v>
      </c>
      <c r="H2058">
        <f t="shared" si="416"/>
        <v>210000000</v>
      </c>
      <c r="I2058">
        <f t="shared" si="423"/>
        <v>100800000</v>
      </c>
      <c r="K2058">
        <f t="shared" si="422"/>
        <v>320259330</v>
      </c>
      <c r="M2058">
        <f t="shared" si="426"/>
        <v>47884166</v>
      </c>
      <c r="N2058">
        <f t="shared" si="420"/>
        <v>368143496</v>
      </c>
    </row>
    <row r="2059" ht="13.85" spans="1:14">
      <c r="A2059" s="43">
        <v>37352</v>
      </c>
      <c r="B2059" s="11">
        <v>39646973</v>
      </c>
      <c r="D2059" s="11">
        <v>180</v>
      </c>
      <c r="E2059">
        <f t="shared" si="425"/>
        <v>180</v>
      </c>
      <c r="H2059">
        <f t="shared" si="416"/>
        <v>180000000</v>
      </c>
      <c r="I2059">
        <f t="shared" si="423"/>
        <v>86400000</v>
      </c>
      <c r="K2059">
        <f t="shared" si="422"/>
        <v>280612357</v>
      </c>
      <c r="M2059">
        <f t="shared" si="426"/>
        <v>39646973</v>
      </c>
      <c r="N2059">
        <f t="shared" si="420"/>
        <v>320259330</v>
      </c>
    </row>
    <row r="2060" ht="13.85" spans="1:14">
      <c r="A2060" s="43">
        <v>37262</v>
      </c>
      <c r="B2060" s="11">
        <v>31813429</v>
      </c>
      <c r="D2060" s="11">
        <v>156</v>
      </c>
      <c r="E2060">
        <f t="shared" si="425"/>
        <v>156</v>
      </c>
      <c r="H2060">
        <f t="shared" si="416"/>
        <v>156000000</v>
      </c>
      <c r="I2060">
        <f t="shared" si="423"/>
        <v>74880000</v>
      </c>
      <c r="K2060">
        <f t="shared" si="422"/>
        <v>248798928</v>
      </c>
      <c r="M2060">
        <f t="shared" si="426"/>
        <v>31813429</v>
      </c>
      <c r="N2060">
        <f t="shared" si="420"/>
        <v>280612357</v>
      </c>
    </row>
    <row r="2061" ht="13.9" spans="1:14">
      <c r="A2061" s="42" t="s">
        <v>1356</v>
      </c>
      <c r="B2061" s="11">
        <v>28842967</v>
      </c>
      <c r="D2061" s="11">
        <v>135</v>
      </c>
      <c r="E2061">
        <f t="shared" si="425"/>
        <v>135</v>
      </c>
      <c r="H2061">
        <f t="shared" si="416"/>
        <v>135000000</v>
      </c>
      <c r="I2061">
        <f t="shared" si="423"/>
        <v>64800000</v>
      </c>
      <c r="K2061">
        <f t="shared" si="422"/>
        <v>219955961</v>
      </c>
      <c r="M2061">
        <f t="shared" si="426"/>
        <v>28842967</v>
      </c>
      <c r="N2061">
        <f t="shared" si="420"/>
        <v>248798928</v>
      </c>
    </row>
    <row r="2062" ht="13.9" spans="1:14">
      <c r="A2062" s="42" t="s">
        <v>1357</v>
      </c>
      <c r="B2062" s="11">
        <v>24014709</v>
      </c>
      <c r="D2062" s="11">
        <v>115</v>
      </c>
      <c r="E2062">
        <f t="shared" si="425"/>
        <v>115</v>
      </c>
      <c r="H2062">
        <f t="shared" si="416"/>
        <v>115000000</v>
      </c>
      <c r="I2062">
        <f t="shared" si="423"/>
        <v>55200000</v>
      </c>
      <c r="K2062">
        <f t="shared" si="422"/>
        <v>195941252</v>
      </c>
      <c r="M2062">
        <f t="shared" si="426"/>
        <v>24014709</v>
      </c>
      <c r="N2062">
        <f t="shared" si="420"/>
        <v>219955961</v>
      </c>
    </row>
    <row r="2063" ht="13.9" spans="1:14">
      <c r="A2063" s="42" t="s">
        <v>1358</v>
      </c>
      <c r="B2063" s="11">
        <v>24175034</v>
      </c>
      <c r="D2063" s="11">
        <v>101</v>
      </c>
      <c r="E2063">
        <f t="shared" si="425"/>
        <v>101</v>
      </c>
      <c r="H2063">
        <f t="shared" ref="H2063:H2126" si="427">E2063*1000000</f>
        <v>101000000</v>
      </c>
      <c r="I2063">
        <f t="shared" si="423"/>
        <v>48480000</v>
      </c>
      <c r="K2063">
        <f t="shared" si="422"/>
        <v>171766218</v>
      </c>
      <c r="M2063">
        <f t="shared" si="426"/>
        <v>24175034</v>
      </c>
      <c r="N2063">
        <f t="shared" si="420"/>
        <v>195941252</v>
      </c>
    </row>
    <row r="2064" ht="13.9" spans="1:14">
      <c r="A2064" s="42" t="s">
        <v>1359</v>
      </c>
      <c r="B2064" s="11">
        <v>17773187</v>
      </c>
      <c r="D2064" s="11">
        <v>87</v>
      </c>
      <c r="E2064">
        <f t="shared" si="425"/>
        <v>87</v>
      </c>
      <c r="H2064">
        <f t="shared" si="427"/>
        <v>87000000</v>
      </c>
      <c r="I2064">
        <f t="shared" si="423"/>
        <v>41760000</v>
      </c>
      <c r="K2064">
        <f t="shared" si="422"/>
        <v>153993031</v>
      </c>
      <c r="M2064">
        <f t="shared" si="426"/>
        <v>17773187</v>
      </c>
      <c r="N2064">
        <f t="shared" si="420"/>
        <v>171766218</v>
      </c>
    </row>
    <row r="2065" ht="13.9" spans="1:14">
      <c r="A2065" s="42" t="s">
        <v>1360</v>
      </c>
      <c r="B2065" s="11">
        <v>19012144</v>
      </c>
      <c r="D2065" s="11">
        <v>76</v>
      </c>
      <c r="E2065">
        <f t="shared" si="425"/>
        <v>76</v>
      </c>
      <c r="H2065">
        <f t="shared" si="427"/>
        <v>76000000</v>
      </c>
      <c r="I2065">
        <f t="shared" si="423"/>
        <v>36480000</v>
      </c>
      <c r="K2065">
        <f t="shared" si="422"/>
        <v>134980887</v>
      </c>
      <c r="M2065">
        <f t="shared" si="426"/>
        <v>19012144</v>
      </c>
      <c r="N2065">
        <f t="shared" si="420"/>
        <v>153993031</v>
      </c>
    </row>
    <row r="2066" ht="13.85" spans="1:14">
      <c r="A2066" s="43">
        <v>37201</v>
      </c>
      <c r="B2066" s="11">
        <v>15031147</v>
      </c>
      <c r="D2066" s="11">
        <v>65</v>
      </c>
      <c r="E2066">
        <f t="shared" si="425"/>
        <v>65</v>
      </c>
      <c r="H2066">
        <f t="shared" si="427"/>
        <v>65000000</v>
      </c>
      <c r="I2066">
        <f t="shared" si="423"/>
        <v>31200000</v>
      </c>
      <c r="K2066">
        <f t="shared" si="422"/>
        <v>119949740</v>
      </c>
      <c r="M2066">
        <f t="shared" si="426"/>
        <v>15031147</v>
      </c>
      <c r="N2066">
        <f t="shared" si="420"/>
        <v>134980887</v>
      </c>
    </row>
    <row r="2067" ht="13.85" spans="1:14">
      <c r="A2067" s="43">
        <v>37078</v>
      </c>
      <c r="B2067" s="11">
        <v>15610665</v>
      </c>
      <c r="D2067" s="11">
        <v>57</v>
      </c>
      <c r="E2067">
        <f t="shared" si="425"/>
        <v>57</v>
      </c>
      <c r="H2067">
        <f t="shared" si="427"/>
        <v>57000000</v>
      </c>
      <c r="I2067">
        <f t="shared" si="423"/>
        <v>27360000</v>
      </c>
      <c r="K2067">
        <f t="shared" si="422"/>
        <v>104339075</v>
      </c>
      <c r="M2067">
        <f t="shared" si="426"/>
        <v>15610665</v>
      </c>
      <c r="N2067">
        <f t="shared" si="420"/>
        <v>119949740</v>
      </c>
    </row>
    <row r="2068" ht="13.85" spans="1:14">
      <c r="A2068" s="44">
        <v>36987</v>
      </c>
      <c r="B2068" s="15">
        <v>13299646</v>
      </c>
      <c r="D2068" s="15">
        <v>47</v>
      </c>
      <c r="E2068">
        <f t="shared" si="425"/>
        <v>47</v>
      </c>
      <c r="H2068">
        <f t="shared" si="427"/>
        <v>47000000</v>
      </c>
      <c r="I2068">
        <f t="shared" si="423"/>
        <v>22560000</v>
      </c>
      <c r="K2068">
        <f t="shared" si="422"/>
        <v>91039429</v>
      </c>
      <c r="M2068">
        <f t="shared" si="426"/>
        <v>13299646</v>
      </c>
      <c r="N2068">
        <f t="shared" si="420"/>
        <v>104339075</v>
      </c>
    </row>
    <row r="2069" ht="13.9" spans="1:14">
      <c r="A2069" s="41" t="s">
        <v>1361</v>
      </c>
      <c r="B2069" s="13">
        <v>16237995</v>
      </c>
      <c r="D2069" s="13">
        <v>41</v>
      </c>
      <c r="E2069">
        <f t="shared" si="425"/>
        <v>41</v>
      </c>
      <c r="H2069">
        <f t="shared" si="427"/>
        <v>41000000</v>
      </c>
      <c r="I2069">
        <f t="shared" si="423"/>
        <v>19680000</v>
      </c>
      <c r="K2069">
        <f t="shared" si="422"/>
        <v>74801434</v>
      </c>
      <c r="M2069">
        <f t="shared" si="426"/>
        <v>16237995</v>
      </c>
      <c r="N2069">
        <f t="shared" si="420"/>
        <v>91039429</v>
      </c>
    </row>
    <row r="2070" ht="13.9" spans="1:14">
      <c r="A2070" s="42" t="s">
        <v>1362</v>
      </c>
      <c r="B2070" s="11">
        <v>12056489</v>
      </c>
      <c r="D2070" s="11">
        <v>30</v>
      </c>
      <c r="E2070">
        <f t="shared" si="425"/>
        <v>30</v>
      </c>
      <c r="H2070">
        <f t="shared" si="427"/>
        <v>30000000</v>
      </c>
      <c r="I2070">
        <f t="shared" si="423"/>
        <v>14400000</v>
      </c>
      <c r="K2070">
        <f t="shared" si="422"/>
        <v>62744945</v>
      </c>
      <c r="M2070">
        <f t="shared" si="426"/>
        <v>12056489</v>
      </c>
      <c r="N2070">
        <f t="shared" si="420"/>
        <v>74801434</v>
      </c>
    </row>
    <row r="2071" ht="13.9" spans="1:14">
      <c r="A2071" s="42" t="s">
        <v>1363</v>
      </c>
      <c r="B2071" s="11">
        <v>15923761</v>
      </c>
      <c r="D2071" s="11">
        <v>25</v>
      </c>
      <c r="E2071">
        <f t="shared" si="425"/>
        <v>25</v>
      </c>
      <c r="H2071">
        <f t="shared" si="427"/>
        <v>25000000</v>
      </c>
      <c r="I2071">
        <f t="shared" si="423"/>
        <v>12000000</v>
      </c>
      <c r="K2071">
        <f t="shared" si="422"/>
        <v>46821184</v>
      </c>
      <c r="M2071">
        <f t="shared" si="426"/>
        <v>15923761</v>
      </c>
      <c r="N2071">
        <f t="shared" si="420"/>
        <v>62744945</v>
      </c>
    </row>
    <row r="2072" ht="13.9" spans="1:14">
      <c r="A2072" s="42" t="s">
        <v>1364</v>
      </c>
      <c r="B2072" s="11">
        <v>12146846</v>
      </c>
      <c r="D2072" s="11">
        <v>20</v>
      </c>
      <c r="E2072">
        <f t="shared" si="425"/>
        <v>20</v>
      </c>
      <c r="H2072">
        <f t="shared" si="427"/>
        <v>20000000</v>
      </c>
      <c r="I2072">
        <f t="shared" si="423"/>
        <v>9600000</v>
      </c>
      <c r="K2072">
        <f t="shared" si="422"/>
        <v>34674338</v>
      </c>
      <c r="M2072">
        <f t="shared" si="426"/>
        <v>12146846</v>
      </c>
      <c r="N2072">
        <f t="shared" si="420"/>
        <v>46821184</v>
      </c>
    </row>
    <row r="2073" ht="13.9" spans="1:14">
      <c r="A2073" s="42" t="s">
        <v>1365</v>
      </c>
      <c r="B2073" s="11">
        <v>13220611</v>
      </c>
      <c r="D2073" s="11">
        <v>15</v>
      </c>
      <c r="E2073">
        <f t="shared" si="425"/>
        <v>15</v>
      </c>
      <c r="H2073">
        <f t="shared" si="427"/>
        <v>15000000</v>
      </c>
      <c r="I2073">
        <f t="shared" si="423"/>
        <v>7200000</v>
      </c>
      <c r="K2073">
        <f t="shared" si="422"/>
        <v>21453727</v>
      </c>
      <c r="M2073">
        <f t="shared" si="426"/>
        <v>13220611</v>
      </c>
      <c r="N2073">
        <f t="shared" si="420"/>
        <v>34674338</v>
      </c>
    </row>
    <row r="2074" ht="13.9" spans="1:14">
      <c r="A2074" s="42" t="s">
        <v>1366</v>
      </c>
      <c r="B2074" s="11">
        <v>21453727</v>
      </c>
      <c r="D2074" s="11">
        <v>112</v>
      </c>
      <c r="E2074">
        <f t="shared" si="425"/>
        <v>112</v>
      </c>
      <c r="H2074">
        <f t="shared" si="427"/>
        <v>112000000</v>
      </c>
      <c r="I2074">
        <f t="shared" si="423"/>
        <v>53760000</v>
      </c>
      <c r="K2074">
        <f t="shared" si="422"/>
        <v>178955312</v>
      </c>
      <c r="M2074">
        <f t="shared" si="426"/>
        <v>21453727</v>
      </c>
      <c r="N2074">
        <f t="shared" si="420"/>
        <v>200409039</v>
      </c>
    </row>
    <row r="2075" ht="13.85" spans="1:14">
      <c r="A2075" s="43">
        <v>41187</v>
      </c>
      <c r="B2075" s="11">
        <v>20698844</v>
      </c>
      <c r="D2075" s="11">
        <v>100</v>
      </c>
      <c r="E2075">
        <f t="shared" si="425"/>
        <v>100</v>
      </c>
      <c r="H2075">
        <f t="shared" si="427"/>
        <v>100000000</v>
      </c>
      <c r="I2075">
        <f t="shared" si="423"/>
        <v>48000000</v>
      </c>
      <c r="K2075">
        <f t="shared" si="422"/>
        <v>158256468</v>
      </c>
      <c r="M2075">
        <f t="shared" si="426"/>
        <v>20698844</v>
      </c>
      <c r="N2075">
        <f t="shared" si="420"/>
        <v>178955312</v>
      </c>
    </row>
    <row r="2076" ht="13.85" spans="1:14">
      <c r="A2076" s="43">
        <v>41095</v>
      </c>
      <c r="B2076" s="11">
        <v>16651726</v>
      </c>
      <c r="D2076" s="11">
        <v>87</v>
      </c>
      <c r="E2076">
        <f t="shared" si="425"/>
        <v>87</v>
      </c>
      <c r="H2076">
        <f t="shared" si="427"/>
        <v>87000000</v>
      </c>
      <c r="I2076">
        <f t="shared" si="423"/>
        <v>41760000</v>
      </c>
      <c r="K2076">
        <f t="shared" si="422"/>
        <v>141604742</v>
      </c>
      <c r="M2076">
        <f t="shared" si="426"/>
        <v>16651726</v>
      </c>
      <c r="N2076">
        <f t="shared" si="420"/>
        <v>158256468</v>
      </c>
    </row>
    <row r="2077" ht="13.85" spans="1:14">
      <c r="A2077" s="43">
        <v>40973</v>
      </c>
      <c r="B2077" s="11">
        <v>17092457</v>
      </c>
      <c r="D2077" s="11">
        <v>75</v>
      </c>
      <c r="E2077">
        <f t="shared" si="425"/>
        <v>75</v>
      </c>
      <c r="H2077">
        <f t="shared" si="427"/>
        <v>75000000</v>
      </c>
      <c r="I2077">
        <f t="shared" si="423"/>
        <v>36000000</v>
      </c>
      <c r="K2077">
        <f t="shared" si="422"/>
        <v>124512285</v>
      </c>
      <c r="M2077">
        <f t="shared" si="426"/>
        <v>17092457</v>
      </c>
      <c r="N2077">
        <f t="shared" si="420"/>
        <v>141604742</v>
      </c>
    </row>
    <row r="2078" ht="13.9" spans="1:14">
      <c r="A2078" s="42" t="s">
        <v>1367</v>
      </c>
      <c r="B2078" s="11">
        <v>14769688</v>
      </c>
      <c r="D2078" s="11">
        <v>66</v>
      </c>
      <c r="E2078">
        <f t="shared" si="425"/>
        <v>66</v>
      </c>
      <c r="H2078">
        <f t="shared" si="427"/>
        <v>66000000</v>
      </c>
      <c r="I2078">
        <f t="shared" ref="I2078:I2141" si="428">H2078*0.48</f>
        <v>31680000</v>
      </c>
      <c r="K2078">
        <f t="shared" si="422"/>
        <v>109742597</v>
      </c>
      <c r="M2078">
        <f t="shared" si="426"/>
        <v>14769688</v>
      </c>
      <c r="N2078">
        <f t="shared" si="420"/>
        <v>124512285</v>
      </c>
    </row>
    <row r="2079" ht="13.9" spans="1:14">
      <c r="A2079" s="42" t="s">
        <v>1368</v>
      </c>
      <c r="B2079" s="11">
        <v>14276944</v>
      </c>
      <c r="D2079" s="11">
        <v>57</v>
      </c>
      <c r="E2079">
        <f t="shared" si="425"/>
        <v>57</v>
      </c>
      <c r="H2079">
        <f t="shared" si="427"/>
        <v>57000000</v>
      </c>
      <c r="I2079">
        <f t="shared" si="428"/>
        <v>27360000</v>
      </c>
      <c r="K2079">
        <f t="shared" si="422"/>
        <v>95465653</v>
      </c>
      <c r="M2079">
        <f t="shared" si="426"/>
        <v>14276944</v>
      </c>
      <c r="N2079">
        <f t="shared" ref="N2079:N2142" si="429">IF(H2079&lt;H2080,M2079+M2080,M2079+N2080)</f>
        <v>109742597</v>
      </c>
    </row>
    <row r="2080" ht="13.9" spans="1:14">
      <c r="A2080" s="42" t="s">
        <v>1369</v>
      </c>
      <c r="B2080" s="11">
        <v>14277178</v>
      </c>
      <c r="D2080" s="11">
        <v>47</v>
      </c>
      <c r="E2080">
        <f t="shared" si="425"/>
        <v>47</v>
      </c>
      <c r="H2080">
        <f t="shared" si="427"/>
        <v>47000000</v>
      </c>
      <c r="I2080">
        <f t="shared" si="428"/>
        <v>22560000</v>
      </c>
      <c r="K2080">
        <f t="shared" si="422"/>
        <v>81188475</v>
      </c>
      <c r="M2080">
        <f t="shared" si="426"/>
        <v>14277178</v>
      </c>
      <c r="N2080">
        <f t="shared" si="429"/>
        <v>95465653</v>
      </c>
    </row>
    <row r="2081" ht="13.9" spans="1:14">
      <c r="A2081" s="42" t="s">
        <v>1370</v>
      </c>
      <c r="B2081" s="11">
        <v>14362530</v>
      </c>
      <c r="D2081" s="11">
        <v>40</v>
      </c>
      <c r="E2081">
        <f t="shared" si="425"/>
        <v>40</v>
      </c>
      <c r="H2081">
        <f t="shared" si="427"/>
        <v>40000000</v>
      </c>
      <c r="I2081">
        <f t="shared" si="428"/>
        <v>19200000</v>
      </c>
      <c r="K2081">
        <f t="shared" si="422"/>
        <v>66825945</v>
      </c>
      <c r="M2081">
        <f t="shared" si="426"/>
        <v>14362530</v>
      </c>
      <c r="N2081">
        <f t="shared" si="429"/>
        <v>81188475</v>
      </c>
    </row>
    <row r="2082" ht="13.9" spans="1:14">
      <c r="A2082" s="42" t="s">
        <v>1371</v>
      </c>
      <c r="B2082" s="11">
        <v>12695626</v>
      </c>
      <c r="D2082" s="11">
        <v>31</v>
      </c>
      <c r="E2082">
        <f t="shared" si="425"/>
        <v>31</v>
      </c>
      <c r="H2082">
        <f t="shared" si="427"/>
        <v>31000000</v>
      </c>
      <c r="I2082">
        <f t="shared" si="428"/>
        <v>14880000</v>
      </c>
      <c r="K2082">
        <f t="shared" si="422"/>
        <v>54130319</v>
      </c>
      <c r="M2082">
        <f t="shared" si="426"/>
        <v>12695626</v>
      </c>
      <c r="N2082">
        <f t="shared" si="429"/>
        <v>66825945</v>
      </c>
    </row>
    <row r="2083" ht="13.85" spans="1:14">
      <c r="A2083" s="43">
        <v>40882</v>
      </c>
      <c r="B2083" s="11">
        <v>13766232</v>
      </c>
      <c r="D2083" s="11">
        <v>25</v>
      </c>
      <c r="E2083">
        <f t="shared" si="425"/>
        <v>25</v>
      </c>
      <c r="H2083">
        <f t="shared" si="427"/>
        <v>25000000</v>
      </c>
      <c r="I2083">
        <f t="shared" si="428"/>
        <v>12000000</v>
      </c>
      <c r="K2083">
        <f t="shared" si="422"/>
        <v>40364087</v>
      </c>
      <c r="M2083">
        <f t="shared" si="426"/>
        <v>13766232</v>
      </c>
      <c r="N2083">
        <f t="shared" si="429"/>
        <v>54130319</v>
      </c>
    </row>
    <row r="2084" ht="13.85" spans="1:14">
      <c r="A2084" s="43">
        <v>40791</v>
      </c>
      <c r="B2084" s="11">
        <v>12588482</v>
      </c>
      <c r="D2084" s="11">
        <v>20</v>
      </c>
      <c r="E2084">
        <f t="shared" si="425"/>
        <v>20</v>
      </c>
      <c r="H2084">
        <f t="shared" si="427"/>
        <v>20000000</v>
      </c>
      <c r="I2084">
        <f t="shared" si="428"/>
        <v>9600000</v>
      </c>
      <c r="K2084">
        <f t="shared" si="422"/>
        <v>27775605</v>
      </c>
      <c r="M2084">
        <f t="shared" si="426"/>
        <v>12588482</v>
      </c>
      <c r="N2084">
        <f t="shared" si="429"/>
        <v>40364087</v>
      </c>
    </row>
    <row r="2085" ht="13.85" spans="1:14">
      <c r="A2085" s="43">
        <v>40668</v>
      </c>
      <c r="B2085" s="11">
        <v>13639702</v>
      </c>
      <c r="D2085" s="11">
        <v>15</v>
      </c>
      <c r="E2085">
        <f t="shared" si="425"/>
        <v>15</v>
      </c>
      <c r="H2085">
        <f t="shared" si="427"/>
        <v>15000000</v>
      </c>
      <c r="I2085">
        <f t="shared" si="428"/>
        <v>7200000</v>
      </c>
      <c r="K2085">
        <f t="shared" si="422"/>
        <v>14135903</v>
      </c>
      <c r="M2085">
        <f t="shared" si="426"/>
        <v>13639702</v>
      </c>
      <c r="N2085">
        <f t="shared" si="429"/>
        <v>27775605</v>
      </c>
    </row>
    <row r="2086" ht="13.85" spans="1:14">
      <c r="A2086" s="43">
        <v>40579</v>
      </c>
      <c r="B2086" s="11">
        <v>14135903</v>
      </c>
      <c r="D2086" s="11">
        <v>36</v>
      </c>
      <c r="E2086">
        <f t="shared" si="425"/>
        <v>36</v>
      </c>
      <c r="H2086">
        <f t="shared" si="427"/>
        <v>36000000</v>
      </c>
      <c r="I2086">
        <f t="shared" si="428"/>
        <v>17280000</v>
      </c>
      <c r="K2086">
        <f t="shared" si="422"/>
        <v>209559403</v>
      </c>
      <c r="M2086">
        <f t="shared" si="426"/>
        <v>14135903</v>
      </c>
      <c r="N2086">
        <f t="shared" si="429"/>
        <v>223695306</v>
      </c>
    </row>
    <row r="2087" ht="13.9" spans="1:14">
      <c r="A2087" s="42" t="s">
        <v>1372</v>
      </c>
      <c r="B2087" s="11">
        <v>14695200</v>
      </c>
      <c r="D2087" s="11">
        <v>27</v>
      </c>
      <c r="E2087">
        <f t="shared" si="425"/>
        <v>27</v>
      </c>
      <c r="H2087">
        <f t="shared" si="427"/>
        <v>27000000</v>
      </c>
      <c r="I2087">
        <f t="shared" si="428"/>
        <v>12960000</v>
      </c>
      <c r="K2087">
        <f t="shared" si="422"/>
        <v>194864203</v>
      </c>
      <c r="M2087">
        <f t="shared" si="426"/>
        <v>14695200</v>
      </c>
      <c r="N2087">
        <f t="shared" si="429"/>
        <v>209559403</v>
      </c>
    </row>
    <row r="2088" ht="13.9" spans="1:14">
      <c r="A2088" s="42" t="s">
        <v>1373</v>
      </c>
      <c r="B2088" s="11">
        <v>13491525</v>
      </c>
      <c r="D2088" s="11">
        <v>20</v>
      </c>
      <c r="E2088">
        <f t="shared" si="425"/>
        <v>20</v>
      </c>
      <c r="H2088">
        <f t="shared" si="427"/>
        <v>20000000</v>
      </c>
      <c r="I2088">
        <f t="shared" si="428"/>
        <v>9600000</v>
      </c>
      <c r="K2088">
        <f t="shared" si="422"/>
        <v>181372678</v>
      </c>
      <c r="M2088">
        <f t="shared" si="426"/>
        <v>13491525</v>
      </c>
      <c r="N2088">
        <f t="shared" si="429"/>
        <v>194864203</v>
      </c>
    </row>
    <row r="2089" s="9" customFormat="1" ht="13.9" spans="1:14">
      <c r="A2089" s="47" t="s">
        <v>1374</v>
      </c>
      <c r="B2089" s="20">
        <v>15670623</v>
      </c>
      <c r="C2089" s="51"/>
      <c r="D2089" s="20">
        <v>15</v>
      </c>
      <c r="E2089" s="9">
        <f t="shared" si="425"/>
        <v>15</v>
      </c>
      <c r="H2089" s="9">
        <f t="shared" si="427"/>
        <v>15000000</v>
      </c>
      <c r="I2089">
        <f t="shared" si="428"/>
        <v>7200000</v>
      </c>
      <c r="K2089" s="9">
        <f t="shared" si="422"/>
        <v>165702055</v>
      </c>
      <c r="M2089" s="9">
        <f t="shared" si="426"/>
        <v>15670623</v>
      </c>
      <c r="N2089" s="9">
        <f t="shared" si="429"/>
        <v>181372678</v>
      </c>
    </row>
    <row r="2090" ht="13.9" spans="1:14">
      <c r="A2090" s="42" t="s">
        <v>1375</v>
      </c>
      <c r="B2090" s="11">
        <v>165702055</v>
      </c>
      <c r="D2090" s="11">
        <v>340</v>
      </c>
      <c r="E2090">
        <f t="shared" si="425"/>
        <v>340</v>
      </c>
      <c r="H2090">
        <f t="shared" si="427"/>
        <v>340000000</v>
      </c>
      <c r="I2090">
        <f t="shared" si="428"/>
        <v>163200000</v>
      </c>
      <c r="K2090">
        <f t="shared" ref="K2090:K2153" si="430">IF(E2090&gt;E2091,B2091+K2091,B2091)</f>
        <v>521618118</v>
      </c>
      <c r="M2090">
        <f t="shared" si="426"/>
        <v>165702055</v>
      </c>
      <c r="N2090">
        <f t="shared" si="429"/>
        <v>687320173</v>
      </c>
    </row>
    <row r="2091" ht="13.9" spans="1:14">
      <c r="A2091" s="42" t="s">
        <v>1376</v>
      </c>
      <c r="B2091" s="11">
        <v>93711624</v>
      </c>
      <c r="D2091" s="11">
        <v>300</v>
      </c>
      <c r="E2091">
        <f t="shared" si="425"/>
        <v>300</v>
      </c>
      <c r="H2091">
        <f t="shared" si="427"/>
        <v>300000000</v>
      </c>
      <c r="I2091">
        <f t="shared" si="428"/>
        <v>144000000</v>
      </c>
      <c r="K2091">
        <f t="shared" si="430"/>
        <v>427906494</v>
      </c>
      <c r="M2091">
        <f t="shared" si="426"/>
        <v>93711624</v>
      </c>
      <c r="N2091">
        <f t="shared" si="429"/>
        <v>521618118</v>
      </c>
    </row>
    <row r="2092" ht="13.85" spans="1:14">
      <c r="A2092" s="43">
        <v>40517</v>
      </c>
      <c r="B2092" s="11">
        <v>63285429</v>
      </c>
      <c r="D2092" s="11">
        <v>240</v>
      </c>
      <c r="E2092">
        <f t="shared" si="425"/>
        <v>240</v>
      </c>
      <c r="H2092">
        <f t="shared" si="427"/>
        <v>240000000</v>
      </c>
      <c r="I2092">
        <f t="shared" si="428"/>
        <v>115200000</v>
      </c>
      <c r="K2092">
        <f t="shared" si="430"/>
        <v>364621065</v>
      </c>
      <c r="M2092">
        <f t="shared" si="426"/>
        <v>63285429</v>
      </c>
      <c r="N2092">
        <f t="shared" si="429"/>
        <v>427906494</v>
      </c>
    </row>
    <row r="2093" ht="13.85" spans="1:14">
      <c r="A2093" s="43">
        <v>40395</v>
      </c>
      <c r="B2093" s="11">
        <v>50064288</v>
      </c>
      <c r="D2093" s="11">
        <v>205</v>
      </c>
      <c r="E2093">
        <f t="shared" si="425"/>
        <v>205</v>
      </c>
      <c r="H2093">
        <f t="shared" si="427"/>
        <v>205000000</v>
      </c>
      <c r="I2093">
        <f t="shared" si="428"/>
        <v>98400000</v>
      </c>
      <c r="K2093">
        <f t="shared" si="430"/>
        <v>314556777</v>
      </c>
      <c r="M2093">
        <f t="shared" si="426"/>
        <v>50064288</v>
      </c>
      <c r="N2093">
        <f t="shared" si="429"/>
        <v>364621065</v>
      </c>
    </row>
    <row r="2094" ht="13.85" spans="1:14">
      <c r="A2094" s="43">
        <v>40303</v>
      </c>
      <c r="B2094" s="11">
        <v>36688866</v>
      </c>
      <c r="D2094" s="11">
        <v>180</v>
      </c>
      <c r="E2094">
        <f t="shared" si="425"/>
        <v>180</v>
      </c>
      <c r="H2094">
        <f t="shared" si="427"/>
        <v>180000000</v>
      </c>
      <c r="I2094">
        <f t="shared" si="428"/>
        <v>86400000</v>
      </c>
      <c r="K2094">
        <f t="shared" si="430"/>
        <v>277867911</v>
      </c>
      <c r="M2094">
        <f t="shared" si="426"/>
        <v>36688866</v>
      </c>
      <c r="N2094">
        <f t="shared" si="429"/>
        <v>314556777</v>
      </c>
    </row>
    <row r="2095" ht="13.85" spans="1:14">
      <c r="A2095" s="43">
        <v>40183</v>
      </c>
      <c r="B2095" s="11">
        <v>33384475</v>
      </c>
      <c r="D2095" s="11">
        <v>167</v>
      </c>
      <c r="E2095">
        <f t="shared" si="425"/>
        <v>167</v>
      </c>
      <c r="H2095">
        <f t="shared" si="427"/>
        <v>167000000</v>
      </c>
      <c r="I2095">
        <f t="shared" si="428"/>
        <v>80160000</v>
      </c>
      <c r="K2095">
        <f t="shared" si="430"/>
        <v>244483436</v>
      </c>
      <c r="M2095">
        <f t="shared" si="426"/>
        <v>33384475</v>
      </c>
      <c r="N2095">
        <f t="shared" si="429"/>
        <v>277867911</v>
      </c>
    </row>
    <row r="2096" ht="13.9" spans="1:14">
      <c r="A2096" s="42" t="s">
        <v>1377</v>
      </c>
      <c r="B2096" s="11">
        <v>27917824</v>
      </c>
      <c r="D2096" s="11">
        <v>148</v>
      </c>
      <c r="E2096">
        <f t="shared" si="425"/>
        <v>148</v>
      </c>
      <c r="H2096">
        <f t="shared" si="427"/>
        <v>148000000</v>
      </c>
      <c r="I2096">
        <f t="shared" si="428"/>
        <v>71040000</v>
      </c>
      <c r="K2096">
        <f t="shared" si="430"/>
        <v>216565612</v>
      </c>
      <c r="M2096">
        <f t="shared" si="426"/>
        <v>27917824</v>
      </c>
      <c r="N2096">
        <f t="shared" si="429"/>
        <v>244483436</v>
      </c>
    </row>
    <row r="2097" ht="13.9" spans="1:14">
      <c r="A2097" s="42" t="s">
        <v>1378</v>
      </c>
      <c r="B2097" s="11">
        <v>25826780</v>
      </c>
      <c r="D2097" s="11">
        <v>126</v>
      </c>
      <c r="E2097">
        <f t="shared" si="425"/>
        <v>126</v>
      </c>
      <c r="H2097">
        <f t="shared" si="427"/>
        <v>126000000</v>
      </c>
      <c r="I2097">
        <f t="shared" si="428"/>
        <v>60480000</v>
      </c>
      <c r="K2097">
        <f t="shared" si="430"/>
        <v>190738832</v>
      </c>
      <c r="M2097">
        <f t="shared" si="426"/>
        <v>25826780</v>
      </c>
      <c r="N2097">
        <f t="shared" si="429"/>
        <v>216565612</v>
      </c>
    </row>
    <row r="2098" ht="13.9" spans="1:14">
      <c r="A2098" s="42" t="s">
        <v>1379</v>
      </c>
      <c r="B2098" s="11">
        <v>21843529</v>
      </c>
      <c r="D2098" s="11">
        <v>108</v>
      </c>
      <c r="E2098">
        <f t="shared" si="425"/>
        <v>108</v>
      </c>
      <c r="H2098">
        <f t="shared" si="427"/>
        <v>108000000</v>
      </c>
      <c r="I2098">
        <f t="shared" si="428"/>
        <v>51840000</v>
      </c>
      <c r="K2098">
        <f t="shared" si="430"/>
        <v>168895303</v>
      </c>
      <c r="M2098">
        <f t="shared" si="426"/>
        <v>21843529</v>
      </c>
      <c r="N2098">
        <f t="shared" si="429"/>
        <v>190738832</v>
      </c>
    </row>
    <row r="2099" ht="13.9" spans="1:14">
      <c r="A2099" s="42" t="s">
        <v>1380</v>
      </c>
      <c r="B2099" s="11">
        <v>19369471</v>
      </c>
      <c r="D2099" s="11">
        <v>92</v>
      </c>
      <c r="E2099">
        <f t="shared" si="425"/>
        <v>92</v>
      </c>
      <c r="H2099">
        <f t="shared" si="427"/>
        <v>92000000</v>
      </c>
      <c r="I2099">
        <f t="shared" si="428"/>
        <v>44160000</v>
      </c>
      <c r="K2099">
        <f t="shared" si="430"/>
        <v>149525832</v>
      </c>
      <c r="M2099">
        <f t="shared" si="426"/>
        <v>19369471</v>
      </c>
      <c r="N2099">
        <f t="shared" si="429"/>
        <v>168895303</v>
      </c>
    </row>
    <row r="2100" ht="13.9" spans="1:14">
      <c r="A2100" s="42" t="s">
        <v>1381</v>
      </c>
      <c r="B2100" s="11">
        <v>15733224</v>
      </c>
      <c r="D2100" s="11">
        <v>80</v>
      </c>
      <c r="E2100">
        <f t="shared" si="425"/>
        <v>80</v>
      </c>
      <c r="H2100">
        <f t="shared" si="427"/>
        <v>80000000</v>
      </c>
      <c r="I2100">
        <f t="shared" si="428"/>
        <v>38400000</v>
      </c>
      <c r="K2100">
        <f t="shared" si="430"/>
        <v>133792608</v>
      </c>
      <c r="M2100">
        <f t="shared" si="426"/>
        <v>15733224</v>
      </c>
      <c r="N2100">
        <f t="shared" si="429"/>
        <v>149525832</v>
      </c>
    </row>
    <row r="2101" ht="13.85" spans="1:14">
      <c r="A2101" s="43">
        <v>40091</v>
      </c>
      <c r="B2101" s="11">
        <v>15751153</v>
      </c>
      <c r="D2101" s="11">
        <v>70</v>
      </c>
      <c r="E2101">
        <f t="shared" si="425"/>
        <v>70</v>
      </c>
      <c r="H2101">
        <f t="shared" si="427"/>
        <v>70000000</v>
      </c>
      <c r="I2101">
        <f t="shared" si="428"/>
        <v>33600000</v>
      </c>
      <c r="K2101">
        <f t="shared" si="430"/>
        <v>118041455</v>
      </c>
      <c r="M2101">
        <f t="shared" si="426"/>
        <v>15751153</v>
      </c>
      <c r="N2101">
        <f t="shared" si="429"/>
        <v>133792608</v>
      </c>
    </row>
    <row r="2102" ht="13.85" spans="1:14">
      <c r="A2102" s="43">
        <v>39999</v>
      </c>
      <c r="B2102" s="11">
        <v>12903742</v>
      </c>
      <c r="D2102" s="11">
        <v>60</v>
      </c>
      <c r="E2102">
        <f t="shared" si="425"/>
        <v>60</v>
      </c>
      <c r="H2102">
        <f t="shared" si="427"/>
        <v>60000000</v>
      </c>
      <c r="I2102">
        <f t="shared" si="428"/>
        <v>28800000</v>
      </c>
      <c r="K2102">
        <f t="shared" si="430"/>
        <v>105137713</v>
      </c>
      <c r="M2102">
        <f t="shared" si="426"/>
        <v>12903742</v>
      </c>
      <c r="N2102">
        <f t="shared" si="429"/>
        <v>118041455</v>
      </c>
    </row>
    <row r="2103" ht="13.85" spans="1:14">
      <c r="A2103" s="43">
        <v>39877</v>
      </c>
      <c r="B2103" s="11">
        <v>14073885</v>
      </c>
      <c r="D2103" s="11">
        <v>53</v>
      </c>
      <c r="E2103">
        <f t="shared" si="425"/>
        <v>53</v>
      </c>
      <c r="H2103">
        <f t="shared" si="427"/>
        <v>53000000</v>
      </c>
      <c r="I2103">
        <f t="shared" si="428"/>
        <v>25440000</v>
      </c>
      <c r="K2103">
        <f t="shared" si="430"/>
        <v>91063828</v>
      </c>
      <c r="M2103">
        <f t="shared" si="426"/>
        <v>14073885</v>
      </c>
      <c r="N2103">
        <f t="shared" si="429"/>
        <v>105137713</v>
      </c>
    </row>
    <row r="2104" ht="13.9" spans="1:14">
      <c r="A2104" s="42" t="s">
        <v>1382</v>
      </c>
      <c r="B2104" s="11">
        <v>11661808</v>
      </c>
      <c r="D2104" s="11">
        <v>44</v>
      </c>
      <c r="E2104">
        <f t="shared" si="425"/>
        <v>44</v>
      </c>
      <c r="H2104">
        <f t="shared" si="427"/>
        <v>44000000</v>
      </c>
      <c r="I2104">
        <f t="shared" si="428"/>
        <v>21120000</v>
      </c>
      <c r="K2104">
        <f t="shared" si="430"/>
        <v>79402020</v>
      </c>
      <c r="M2104">
        <f t="shared" si="426"/>
        <v>11661808</v>
      </c>
      <c r="N2104">
        <f t="shared" si="429"/>
        <v>91063828</v>
      </c>
    </row>
    <row r="2105" ht="13.9" spans="1:14">
      <c r="A2105" s="42" t="s">
        <v>1383</v>
      </c>
      <c r="B2105" s="11">
        <v>13194206</v>
      </c>
      <c r="D2105" s="11">
        <v>32</v>
      </c>
      <c r="E2105">
        <f t="shared" si="425"/>
        <v>32</v>
      </c>
      <c r="H2105">
        <f t="shared" si="427"/>
        <v>32000000</v>
      </c>
      <c r="I2105">
        <f t="shared" si="428"/>
        <v>15360000</v>
      </c>
      <c r="K2105">
        <f t="shared" si="430"/>
        <v>66207814</v>
      </c>
      <c r="M2105">
        <f t="shared" si="426"/>
        <v>13194206</v>
      </c>
      <c r="N2105">
        <f t="shared" si="429"/>
        <v>79402020</v>
      </c>
    </row>
    <row r="2106" ht="13.9" spans="1:14">
      <c r="A2106" s="42" t="s">
        <v>1384</v>
      </c>
      <c r="B2106" s="11">
        <v>11362334</v>
      </c>
      <c r="D2106" s="11">
        <v>25</v>
      </c>
      <c r="E2106">
        <f t="shared" si="425"/>
        <v>25</v>
      </c>
      <c r="H2106">
        <f t="shared" si="427"/>
        <v>25000000</v>
      </c>
      <c r="I2106">
        <f t="shared" si="428"/>
        <v>12000000</v>
      </c>
      <c r="K2106">
        <f t="shared" si="430"/>
        <v>54845480</v>
      </c>
      <c r="M2106">
        <f t="shared" si="426"/>
        <v>11362334</v>
      </c>
      <c r="N2106">
        <f t="shared" si="429"/>
        <v>66207814</v>
      </c>
    </row>
    <row r="2107" ht="13.9" spans="1:14">
      <c r="A2107" s="42" t="s">
        <v>1385</v>
      </c>
      <c r="B2107" s="11">
        <v>12228118</v>
      </c>
      <c r="D2107" s="11">
        <v>19</v>
      </c>
      <c r="E2107">
        <f t="shared" si="425"/>
        <v>19</v>
      </c>
      <c r="H2107">
        <f t="shared" si="427"/>
        <v>19000000</v>
      </c>
      <c r="I2107">
        <f t="shared" si="428"/>
        <v>9120000</v>
      </c>
      <c r="K2107">
        <f t="shared" si="430"/>
        <v>42617362</v>
      </c>
      <c r="M2107">
        <f t="shared" si="426"/>
        <v>12228118</v>
      </c>
      <c r="N2107">
        <f t="shared" si="429"/>
        <v>54845480</v>
      </c>
    </row>
    <row r="2108" ht="13.9" spans="1:14">
      <c r="A2108" s="42" t="s">
        <v>1386</v>
      </c>
      <c r="B2108" s="11">
        <v>10452591</v>
      </c>
      <c r="D2108" s="11">
        <v>13</v>
      </c>
      <c r="E2108">
        <f t="shared" si="425"/>
        <v>13</v>
      </c>
      <c r="H2108">
        <f t="shared" si="427"/>
        <v>13000000</v>
      </c>
      <c r="I2108">
        <f t="shared" si="428"/>
        <v>6240000</v>
      </c>
      <c r="K2108">
        <f t="shared" si="430"/>
        <v>32164771</v>
      </c>
      <c r="M2108">
        <f t="shared" si="426"/>
        <v>10452591</v>
      </c>
      <c r="N2108">
        <f t="shared" si="429"/>
        <v>42617362</v>
      </c>
    </row>
    <row r="2109" s="18" customFormat="1" ht="13.9" spans="1:14">
      <c r="A2109" s="48" t="s">
        <v>1387</v>
      </c>
      <c r="B2109" s="17">
        <v>12118475</v>
      </c>
      <c r="C2109" s="54"/>
      <c r="D2109" s="17">
        <v>10</v>
      </c>
      <c r="E2109" s="18">
        <f t="shared" si="425"/>
        <v>10</v>
      </c>
      <c r="H2109" s="18">
        <f t="shared" si="427"/>
        <v>10000000</v>
      </c>
      <c r="I2109">
        <f t="shared" si="428"/>
        <v>4800000</v>
      </c>
      <c r="K2109" s="18">
        <f t="shared" si="430"/>
        <v>20046296</v>
      </c>
      <c r="M2109" s="18">
        <f t="shared" si="426"/>
        <v>12118475</v>
      </c>
      <c r="N2109" s="18">
        <f t="shared" si="429"/>
        <v>32164771</v>
      </c>
    </row>
    <row r="2110" ht="13.85" spans="1:14">
      <c r="A2110" s="43">
        <v>39726</v>
      </c>
      <c r="B2110" s="11">
        <v>20046296</v>
      </c>
      <c r="D2110" s="11">
        <v>92</v>
      </c>
      <c r="E2110">
        <f t="shared" si="425"/>
        <v>92</v>
      </c>
      <c r="H2110">
        <f t="shared" si="427"/>
        <v>92000000</v>
      </c>
      <c r="I2110">
        <f t="shared" si="428"/>
        <v>44160000</v>
      </c>
      <c r="K2110">
        <f t="shared" si="430"/>
        <v>160176640</v>
      </c>
      <c r="M2110">
        <f t="shared" si="426"/>
        <v>20046296</v>
      </c>
      <c r="N2110">
        <f t="shared" si="429"/>
        <v>197092879</v>
      </c>
    </row>
    <row r="2111" ht="13.85" spans="1:14">
      <c r="A2111" s="43">
        <v>39604</v>
      </c>
      <c r="B2111" s="11">
        <v>19410200</v>
      </c>
      <c r="D2111" s="11">
        <v>82</v>
      </c>
      <c r="E2111">
        <f t="shared" si="425"/>
        <v>82</v>
      </c>
      <c r="H2111">
        <f t="shared" si="427"/>
        <v>82000000</v>
      </c>
      <c r="I2111">
        <f t="shared" si="428"/>
        <v>39360000</v>
      </c>
      <c r="K2111">
        <f t="shared" si="430"/>
        <v>140766440</v>
      </c>
      <c r="M2111">
        <f t="shared" si="426"/>
        <v>19410200</v>
      </c>
      <c r="N2111">
        <f t="shared" si="429"/>
        <v>177046583</v>
      </c>
    </row>
    <row r="2112" ht="13.85" spans="1:14">
      <c r="A2112" s="43">
        <v>39512</v>
      </c>
      <c r="B2112" s="11">
        <v>16214682</v>
      </c>
      <c r="D2112" s="11">
        <v>70</v>
      </c>
      <c r="E2112">
        <f t="shared" ref="E2112:E2175" si="431">IF(RIGHT(D2112,1)="B",VALUE(LEFT(D2112,LEN(D2112)-1))*1000,D2112)</f>
        <v>70</v>
      </c>
      <c r="H2112">
        <f t="shared" si="427"/>
        <v>70000000</v>
      </c>
      <c r="I2112">
        <f t="shared" si="428"/>
        <v>33600000</v>
      </c>
      <c r="K2112">
        <f t="shared" si="430"/>
        <v>124551758</v>
      </c>
      <c r="M2112">
        <f t="shared" si="426"/>
        <v>16214682</v>
      </c>
      <c r="N2112">
        <f t="shared" si="429"/>
        <v>157636383</v>
      </c>
    </row>
    <row r="2113" ht="13.9" spans="1:14">
      <c r="A2113" s="42" t="s">
        <v>1388</v>
      </c>
      <c r="B2113" s="11">
        <v>16274295</v>
      </c>
      <c r="D2113" s="11">
        <v>62</v>
      </c>
      <c r="E2113">
        <f t="shared" si="431"/>
        <v>62</v>
      </c>
      <c r="H2113">
        <f t="shared" si="427"/>
        <v>62000000</v>
      </c>
      <c r="I2113">
        <f t="shared" si="428"/>
        <v>29760000</v>
      </c>
      <c r="K2113">
        <f t="shared" si="430"/>
        <v>108277463</v>
      </c>
      <c r="M2113">
        <f t="shared" si="426"/>
        <v>16274295</v>
      </c>
      <c r="N2113">
        <f t="shared" si="429"/>
        <v>141421701</v>
      </c>
    </row>
    <row r="2114" ht="13.9" spans="1:14">
      <c r="A2114" s="42" t="s">
        <v>1389</v>
      </c>
      <c r="B2114" s="11">
        <v>13218975</v>
      </c>
      <c r="D2114" s="11">
        <v>53</v>
      </c>
      <c r="E2114">
        <f t="shared" si="431"/>
        <v>53</v>
      </c>
      <c r="H2114">
        <f t="shared" si="427"/>
        <v>53000000</v>
      </c>
      <c r="I2114">
        <f t="shared" si="428"/>
        <v>25440000</v>
      </c>
      <c r="K2114">
        <f t="shared" si="430"/>
        <v>95058488</v>
      </c>
      <c r="M2114">
        <f t="shared" si="426"/>
        <v>13218975</v>
      </c>
      <c r="N2114">
        <f t="shared" si="429"/>
        <v>125147406</v>
      </c>
    </row>
    <row r="2115" ht="13.9" spans="1:14">
      <c r="A2115" s="42" t="s">
        <v>1390</v>
      </c>
      <c r="B2115" s="11">
        <v>14155392</v>
      </c>
      <c r="D2115" s="11">
        <v>46</v>
      </c>
      <c r="E2115">
        <f t="shared" si="431"/>
        <v>46</v>
      </c>
      <c r="H2115">
        <f t="shared" si="427"/>
        <v>46000000</v>
      </c>
      <c r="I2115">
        <f t="shared" si="428"/>
        <v>22080000</v>
      </c>
      <c r="K2115">
        <f t="shared" si="430"/>
        <v>80903096</v>
      </c>
      <c r="M2115">
        <f t="shared" si="426"/>
        <v>14155392</v>
      </c>
      <c r="N2115">
        <f t="shared" si="429"/>
        <v>111928431</v>
      </c>
    </row>
    <row r="2116" ht="13.9" spans="1:14">
      <c r="A2116" s="42" t="s">
        <v>1391</v>
      </c>
      <c r="B2116" s="11">
        <v>12028493</v>
      </c>
      <c r="D2116" s="11">
        <v>38</v>
      </c>
      <c r="E2116">
        <f t="shared" si="431"/>
        <v>38</v>
      </c>
      <c r="H2116">
        <f t="shared" si="427"/>
        <v>38000000</v>
      </c>
      <c r="I2116">
        <f t="shared" si="428"/>
        <v>18240000</v>
      </c>
      <c r="K2116">
        <f t="shared" si="430"/>
        <v>68874603</v>
      </c>
      <c r="M2116">
        <f t="shared" si="426"/>
        <v>12028493</v>
      </c>
      <c r="N2116">
        <f t="shared" si="429"/>
        <v>97773039</v>
      </c>
    </row>
    <row r="2117" ht="13.9" spans="1:14">
      <c r="A2117" s="42" t="s">
        <v>1392</v>
      </c>
      <c r="B2117" s="11">
        <v>13179163</v>
      </c>
      <c r="D2117" s="11">
        <v>31</v>
      </c>
      <c r="E2117">
        <f t="shared" si="431"/>
        <v>31</v>
      </c>
      <c r="H2117">
        <f t="shared" si="427"/>
        <v>31000000</v>
      </c>
      <c r="I2117">
        <f t="shared" si="428"/>
        <v>14880000</v>
      </c>
      <c r="K2117">
        <f t="shared" si="430"/>
        <v>55695440</v>
      </c>
      <c r="M2117">
        <f t="shared" si="426"/>
        <v>13179163</v>
      </c>
      <c r="N2117">
        <f t="shared" si="429"/>
        <v>85744546</v>
      </c>
    </row>
    <row r="2118" ht="13.9" spans="1:14">
      <c r="A2118" s="42" t="s">
        <v>1393</v>
      </c>
      <c r="B2118" s="11">
        <v>11293239</v>
      </c>
      <c r="D2118" s="11">
        <v>23</v>
      </c>
      <c r="E2118">
        <f t="shared" si="431"/>
        <v>23</v>
      </c>
      <c r="H2118">
        <f t="shared" si="427"/>
        <v>23000000</v>
      </c>
      <c r="I2118">
        <f t="shared" si="428"/>
        <v>11040000</v>
      </c>
      <c r="K2118">
        <f t="shared" si="430"/>
        <v>44402201</v>
      </c>
      <c r="M2118">
        <f t="shared" ref="M2118:M2181" si="432">B2118+C2118</f>
        <v>11293239</v>
      </c>
      <c r="N2118">
        <f t="shared" si="429"/>
        <v>72565383</v>
      </c>
    </row>
    <row r="2119" ht="13.85" spans="1:14">
      <c r="A2119" s="43">
        <v>39330</v>
      </c>
      <c r="B2119" s="11">
        <v>12084933</v>
      </c>
      <c r="D2119" s="11">
        <v>18</v>
      </c>
      <c r="E2119">
        <f t="shared" si="431"/>
        <v>18</v>
      </c>
      <c r="H2119">
        <f t="shared" si="427"/>
        <v>18000000</v>
      </c>
      <c r="I2119">
        <f t="shared" si="428"/>
        <v>8640000</v>
      </c>
      <c r="K2119">
        <f t="shared" si="430"/>
        <v>32317268</v>
      </c>
      <c r="M2119">
        <f t="shared" si="432"/>
        <v>12084933</v>
      </c>
      <c r="N2119">
        <f t="shared" si="429"/>
        <v>61272144</v>
      </c>
    </row>
    <row r="2120" ht="13.85" spans="1:14">
      <c r="A2120" s="43">
        <v>39238</v>
      </c>
      <c r="B2120" s="11">
        <v>10092153</v>
      </c>
      <c r="D2120" s="11">
        <v>13</v>
      </c>
      <c r="E2120">
        <f t="shared" si="431"/>
        <v>13</v>
      </c>
      <c r="H2120">
        <f t="shared" si="427"/>
        <v>13000000</v>
      </c>
      <c r="I2120">
        <f t="shared" si="428"/>
        <v>6240000</v>
      </c>
      <c r="K2120">
        <f t="shared" si="430"/>
        <v>22225115</v>
      </c>
      <c r="M2120">
        <f t="shared" si="432"/>
        <v>10092153</v>
      </c>
      <c r="N2120">
        <f t="shared" si="429"/>
        <v>49187211</v>
      </c>
    </row>
    <row r="2121" ht="13.85" spans="1:14">
      <c r="A2121" s="43">
        <v>39118</v>
      </c>
      <c r="B2121" s="11">
        <v>11841643</v>
      </c>
      <c r="D2121" s="11">
        <v>10</v>
      </c>
      <c r="E2121">
        <f t="shared" si="431"/>
        <v>10</v>
      </c>
      <c r="H2121">
        <f t="shared" si="427"/>
        <v>10000000</v>
      </c>
      <c r="I2121">
        <f t="shared" si="428"/>
        <v>4800000</v>
      </c>
      <c r="K2121">
        <f t="shared" si="430"/>
        <v>10383472</v>
      </c>
      <c r="M2121">
        <f t="shared" si="432"/>
        <v>11841643</v>
      </c>
      <c r="N2121">
        <f t="shared" si="429"/>
        <v>39095058</v>
      </c>
    </row>
    <row r="2122" ht="13.9" spans="1:14">
      <c r="A2122" s="42" t="s">
        <v>1394</v>
      </c>
      <c r="B2122" s="11">
        <v>10383472</v>
      </c>
      <c r="D2122" s="11">
        <v>10</v>
      </c>
      <c r="E2122">
        <f t="shared" si="431"/>
        <v>10</v>
      </c>
      <c r="H2122">
        <f t="shared" si="427"/>
        <v>10000000</v>
      </c>
      <c r="I2122">
        <f t="shared" si="428"/>
        <v>4800000</v>
      </c>
      <c r="K2122">
        <f t="shared" si="430"/>
        <v>16869943</v>
      </c>
      <c r="M2122">
        <f t="shared" si="432"/>
        <v>10383472</v>
      </c>
      <c r="N2122">
        <f t="shared" si="429"/>
        <v>27253415</v>
      </c>
    </row>
    <row r="2123" ht="13.9" spans="1:14">
      <c r="A2123" s="42" t="s">
        <v>1395</v>
      </c>
      <c r="B2123" s="11">
        <v>16869943</v>
      </c>
      <c r="D2123" s="11">
        <v>62</v>
      </c>
      <c r="E2123">
        <f t="shared" si="431"/>
        <v>62</v>
      </c>
      <c r="H2123">
        <f t="shared" si="427"/>
        <v>62000000</v>
      </c>
      <c r="I2123">
        <f t="shared" si="428"/>
        <v>29760000</v>
      </c>
      <c r="K2123">
        <f t="shared" si="430"/>
        <v>160265503</v>
      </c>
      <c r="M2123">
        <f t="shared" si="432"/>
        <v>16869943</v>
      </c>
      <c r="N2123">
        <f t="shared" si="429"/>
        <v>177135446</v>
      </c>
    </row>
    <row r="2124" ht="13.9" spans="1:14">
      <c r="A2124" s="42" t="s">
        <v>1396</v>
      </c>
      <c r="B2124" s="11">
        <v>14518940</v>
      </c>
      <c r="D2124" s="11">
        <v>52</v>
      </c>
      <c r="E2124">
        <f t="shared" si="431"/>
        <v>52</v>
      </c>
      <c r="H2124">
        <f t="shared" si="427"/>
        <v>52000000</v>
      </c>
      <c r="I2124">
        <f t="shared" si="428"/>
        <v>24960000</v>
      </c>
      <c r="K2124">
        <f t="shared" si="430"/>
        <v>145746563</v>
      </c>
      <c r="M2124">
        <f t="shared" si="432"/>
        <v>14518940</v>
      </c>
      <c r="N2124">
        <f t="shared" si="429"/>
        <v>160265503</v>
      </c>
    </row>
    <row r="2125" ht="13.9" spans="1:14">
      <c r="A2125" s="42" t="s">
        <v>1397</v>
      </c>
      <c r="B2125" s="11">
        <v>15197084</v>
      </c>
      <c r="D2125" s="11">
        <v>43</v>
      </c>
      <c r="E2125">
        <f t="shared" si="431"/>
        <v>43</v>
      </c>
      <c r="H2125">
        <f t="shared" si="427"/>
        <v>43000000</v>
      </c>
      <c r="I2125">
        <f t="shared" si="428"/>
        <v>20640000</v>
      </c>
      <c r="K2125">
        <f t="shared" si="430"/>
        <v>130549479</v>
      </c>
      <c r="M2125">
        <f t="shared" si="432"/>
        <v>15197084</v>
      </c>
      <c r="N2125">
        <f t="shared" si="429"/>
        <v>145746563</v>
      </c>
    </row>
    <row r="2126" ht="13.9" spans="1:14">
      <c r="A2126" s="42" t="s">
        <v>1398</v>
      </c>
      <c r="B2126" s="11">
        <v>12757562</v>
      </c>
      <c r="D2126" s="11">
        <v>34</v>
      </c>
      <c r="E2126">
        <f t="shared" si="431"/>
        <v>34</v>
      </c>
      <c r="H2126">
        <f t="shared" si="427"/>
        <v>34000000</v>
      </c>
      <c r="I2126">
        <f t="shared" si="428"/>
        <v>16320000</v>
      </c>
      <c r="K2126">
        <f t="shared" si="430"/>
        <v>117791917</v>
      </c>
      <c r="M2126">
        <f t="shared" si="432"/>
        <v>12757562</v>
      </c>
      <c r="N2126">
        <f t="shared" si="429"/>
        <v>130549479</v>
      </c>
    </row>
    <row r="2127" ht="13.85" spans="1:14">
      <c r="A2127" s="43">
        <v>39026</v>
      </c>
      <c r="B2127" s="11">
        <v>13679770</v>
      </c>
      <c r="D2127" s="11">
        <v>28</v>
      </c>
      <c r="E2127">
        <f t="shared" si="431"/>
        <v>28</v>
      </c>
      <c r="H2127">
        <f t="shared" ref="H2127:H2190" si="433">E2127*1000000</f>
        <v>28000000</v>
      </c>
      <c r="I2127">
        <f t="shared" si="428"/>
        <v>13440000</v>
      </c>
      <c r="K2127">
        <f t="shared" si="430"/>
        <v>104112147</v>
      </c>
      <c r="M2127">
        <f t="shared" si="432"/>
        <v>13679770</v>
      </c>
      <c r="N2127">
        <f t="shared" si="429"/>
        <v>117791917</v>
      </c>
    </row>
    <row r="2128" ht="13.85" spans="1:14">
      <c r="A2128" s="43">
        <v>38934</v>
      </c>
      <c r="B2128" s="11">
        <v>11734970</v>
      </c>
      <c r="D2128" s="11">
        <v>20</v>
      </c>
      <c r="E2128">
        <f t="shared" si="431"/>
        <v>20</v>
      </c>
      <c r="H2128">
        <f t="shared" si="433"/>
        <v>20000000</v>
      </c>
      <c r="I2128">
        <f t="shared" si="428"/>
        <v>9600000</v>
      </c>
      <c r="K2128">
        <f t="shared" si="430"/>
        <v>92377177</v>
      </c>
      <c r="M2128">
        <f t="shared" si="432"/>
        <v>11734970</v>
      </c>
      <c r="N2128">
        <f t="shared" si="429"/>
        <v>104112147</v>
      </c>
    </row>
    <row r="2129" ht="13.85" spans="1:14">
      <c r="A2129" s="43">
        <v>38812</v>
      </c>
      <c r="B2129" s="11">
        <v>12711301</v>
      </c>
      <c r="D2129" s="11">
        <v>13</v>
      </c>
      <c r="E2129">
        <f t="shared" si="431"/>
        <v>13</v>
      </c>
      <c r="H2129">
        <f t="shared" si="433"/>
        <v>13000000</v>
      </c>
      <c r="I2129">
        <f t="shared" si="428"/>
        <v>6240000</v>
      </c>
      <c r="K2129">
        <f t="shared" si="430"/>
        <v>79665876</v>
      </c>
      <c r="M2129">
        <f t="shared" si="432"/>
        <v>12711301</v>
      </c>
      <c r="N2129">
        <f t="shared" si="429"/>
        <v>92377177</v>
      </c>
    </row>
    <row r="2130" ht="13.85" spans="1:14">
      <c r="A2130" s="43">
        <v>38722</v>
      </c>
      <c r="B2130" s="11">
        <v>11421109</v>
      </c>
      <c r="D2130" s="11">
        <v>10</v>
      </c>
      <c r="E2130">
        <f t="shared" si="431"/>
        <v>10</v>
      </c>
      <c r="H2130">
        <f t="shared" si="433"/>
        <v>10000000</v>
      </c>
      <c r="I2130">
        <f t="shared" si="428"/>
        <v>4800000</v>
      </c>
      <c r="K2130">
        <f t="shared" si="430"/>
        <v>68244767</v>
      </c>
      <c r="M2130">
        <f t="shared" si="432"/>
        <v>11421109</v>
      </c>
      <c r="N2130">
        <f t="shared" si="429"/>
        <v>79665876</v>
      </c>
    </row>
    <row r="2131" ht="13.9" spans="1:14">
      <c r="A2131" s="42" t="s">
        <v>1399</v>
      </c>
      <c r="B2131" s="11">
        <v>68244767</v>
      </c>
      <c r="D2131" s="11">
        <v>220</v>
      </c>
      <c r="E2131">
        <f t="shared" si="431"/>
        <v>220</v>
      </c>
      <c r="H2131">
        <f t="shared" si="433"/>
        <v>220000000</v>
      </c>
      <c r="I2131">
        <f t="shared" si="428"/>
        <v>105600000</v>
      </c>
      <c r="K2131">
        <f t="shared" si="430"/>
        <v>333304474</v>
      </c>
      <c r="M2131">
        <f t="shared" si="432"/>
        <v>68244767</v>
      </c>
      <c r="N2131">
        <f t="shared" si="429"/>
        <v>401549241</v>
      </c>
    </row>
    <row r="2132" ht="13.9" spans="1:14">
      <c r="A2132" s="42" t="s">
        <v>1400</v>
      </c>
      <c r="B2132" s="11">
        <v>50606867</v>
      </c>
      <c r="D2132" s="11">
        <v>180</v>
      </c>
      <c r="E2132">
        <f t="shared" si="431"/>
        <v>180</v>
      </c>
      <c r="H2132">
        <f t="shared" si="433"/>
        <v>180000000</v>
      </c>
      <c r="I2132">
        <f t="shared" si="428"/>
        <v>86400000</v>
      </c>
      <c r="K2132">
        <f t="shared" si="430"/>
        <v>282697607</v>
      </c>
      <c r="M2132">
        <f t="shared" si="432"/>
        <v>50606867</v>
      </c>
      <c r="N2132">
        <f t="shared" si="429"/>
        <v>333304474</v>
      </c>
    </row>
    <row r="2133" ht="13.9" spans="1:14">
      <c r="A2133" s="42" t="s">
        <v>1401</v>
      </c>
      <c r="B2133" s="11">
        <v>40387916</v>
      </c>
      <c r="D2133" s="11">
        <v>155</v>
      </c>
      <c r="E2133">
        <f t="shared" si="431"/>
        <v>155</v>
      </c>
      <c r="H2133">
        <f t="shared" si="433"/>
        <v>155000000</v>
      </c>
      <c r="I2133">
        <f t="shared" si="428"/>
        <v>74400000</v>
      </c>
      <c r="K2133">
        <f t="shared" si="430"/>
        <v>242309691</v>
      </c>
      <c r="M2133">
        <f t="shared" si="432"/>
        <v>40387916</v>
      </c>
      <c r="N2133">
        <f t="shared" si="429"/>
        <v>282697607</v>
      </c>
    </row>
    <row r="2134" ht="13.9" spans="1:14">
      <c r="A2134" s="42" t="s">
        <v>1402</v>
      </c>
      <c r="B2134" s="11">
        <v>32778247</v>
      </c>
      <c r="D2134" s="11">
        <v>129</v>
      </c>
      <c r="E2134">
        <f t="shared" si="431"/>
        <v>129</v>
      </c>
      <c r="H2134">
        <f t="shared" si="433"/>
        <v>129000000</v>
      </c>
      <c r="I2134">
        <f t="shared" si="428"/>
        <v>61920000</v>
      </c>
      <c r="K2134">
        <f t="shared" si="430"/>
        <v>209531444</v>
      </c>
      <c r="M2134">
        <f t="shared" si="432"/>
        <v>32778247</v>
      </c>
      <c r="N2134">
        <f t="shared" si="429"/>
        <v>242309691</v>
      </c>
    </row>
    <row r="2135" ht="13.9" spans="1:14">
      <c r="A2135" s="42" t="s">
        <v>1403</v>
      </c>
      <c r="B2135" s="11">
        <v>29487024</v>
      </c>
      <c r="D2135" s="11">
        <v>111</v>
      </c>
      <c r="E2135">
        <f t="shared" si="431"/>
        <v>111</v>
      </c>
      <c r="H2135">
        <f t="shared" si="433"/>
        <v>111000000</v>
      </c>
      <c r="I2135">
        <f t="shared" si="428"/>
        <v>53280000</v>
      </c>
      <c r="K2135">
        <f t="shared" si="430"/>
        <v>180044420</v>
      </c>
      <c r="M2135">
        <f t="shared" si="432"/>
        <v>29487024</v>
      </c>
      <c r="N2135">
        <f t="shared" si="429"/>
        <v>209531444</v>
      </c>
    </row>
    <row r="2136" ht="13.85" spans="1:14">
      <c r="A2136" s="43">
        <v>38661</v>
      </c>
      <c r="B2136" s="11">
        <v>21747095</v>
      </c>
      <c r="D2136" s="11">
        <v>96</v>
      </c>
      <c r="E2136">
        <f t="shared" si="431"/>
        <v>96</v>
      </c>
      <c r="H2136">
        <f t="shared" si="433"/>
        <v>96000000</v>
      </c>
      <c r="I2136">
        <f t="shared" si="428"/>
        <v>46080000</v>
      </c>
      <c r="K2136">
        <f t="shared" si="430"/>
        <v>158297325</v>
      </c>
      <c r="M2136">
        <f t="shared" si="432"/>
        <v>21747095</v>
      </c>
      <c r="N2136">
        <f t="shared" si="429"/>
        <v>180044420</v>
      </c>
    </row>
    <row r="2137" ht="13.85" spans="1:14">
      <c r="A2137" s="43">
        <v>38538</v>
      </c>
      <c r="B2137" s="11">
        <v>19960545</v>
      </c>
      <c r="D2137" s="11">
        <v>83</v>
      </c>
      <c r="E2137">
        <f t="shared" si="431"/>
        <v>83</v>
      </c>
      <c r="H2137">
        <f t="shared" si="433"/>
        <v>83000000</v>
      </c>
      <c r="I2137">
        <f t="shared" si="428"/>
        <v>39840000</v>
      </c>
      <c r="K2137">
        <f t="shared" si="430"/>
        <v>138336780</v>
      </c>
      <c r="M2137">
        <f t="shared" si="432"/>
        <v>19960545</v>
      </c>
      <c r="N2137">
        <f t="shared" si="429"/>
        <v>158297325</v>
      </c>
    </row>
    <row r="2138" ht="13.85" spans="1:14">
      <c r="A2138" s="43">
        <v>38447</v>
      </c>
      <c r="B2138" s="11">
        <v>16782647</v>
      </c>
      <c r="D2138" s="11">
        <v>72</v>
      </c>
      <c r="E2138">
        <f t="shared" si="431"/>
        <v>72</v>
      </c>
      <c r="H2138">
        <f t="shared" si="433"/>
        <v>72000000</v>
      </c>
      <c r="I2138">
        <f t="shared" si="428"/>
        <v>34560000</v>
      </c>
      <c r="K2138">
        <f t="shared" si="430"/>
        <v>121554133</v>
      </c>
      <c r="M2138">
        <f t="shared" si="432"/>
        <v>16782647</v>
      </c>
      <c r="N2138">
        <f t="shared" si="429"/>
        <v>138336780</v>
      </c>
    </row>
    <row r="2139" ht="13.9" spans="1:14">
      <c r="A2139" s="42" t="s">
        <v>1404</v>
      </c>
      <c r="B2139" s="11">
        <v>16495834</v>
      </c>
      <c r="D2139" s="11">
        <v>63</v>
      </c>
      <c r="E2139">
        <f t="shared" si="431"/>
        <v>63</v>
      </c>
      <c r="H2139">
        <f t="shared" si="433"/>
        <v>63000000</v>
      </c>
      <c r="I2139">
        <f t="shared" si="428"/>
        <v>30240000</v>
      </c>
      <c r="K2139">
        <f t="shared" si="430"/>
        <v>105058299</v>
      </c>
      <c r="M2139">
        <f t="shared" si="432"/>
        <v>16495834</v>
      </c>
      <c r="N2139">
        <f t="shared" si="429"/>
        <v>121554133</v>
      </c>
    </row>
    <row r="2140" ht="13.9" spans="1:14">
      <c r="A2140" s="42" t="s">
        <v>1405</v>
      </c>
      <c r="B2140" s="11">
        <v>13703921</v>
      </c>
      <c r="D2140" s="11">
        <v>54</v>
      </c>
      <c r="E2140">
        <f t="shared" si="431"/>
        <v>54</v>
      </c>
      <c r="H2140">
        <f t="shared" si="433"/>
        <v>54000000</v>
      </c>
      <c r="I2140">
        <f t="shared" si="428"/>
        <v>25920000</v>
      </c>
      <c r="K2140">
        <f t="shared" si="430"/>
        <v>91354378</v>
      </c>
      <c r="M2140">
        <f t="shared" si="432"/>
        <v>13703921</v>
      </c>
      <c r="N2140">
        <f t="shared" si="429"/>
        <v>105058299</v>
      </c>
    </row>
    <row r="2141" ht="13.9" spans="1:14">
      <c r="A2141" s="42" t="s">
        <v>1406</v>
      </c>
      <c r="B2141" s="11">
        <v>14073610</v>
      </c>
      <c r="D2141" s="11">
        <v>47</v>
      </c>
      <c r="E2141">
        <f t="shared" si="431"/>
        <v>47</v>
      </c>
      <c r="H2141">
        <f t="shared" si="433"/>
        <v>47000000</v>
      </c>
      <c r="I2141">
        <f t="shared" si="428"/>
        <v>22560000</v>
      </c>
      <c r="K2141">
        <f t="shared" si="430"/>
        <v>77280768</v>
      </c>
      <c r="M2141">
        <f t="shared" si="432"/>
        <v>14073610</v>
      </c>
      <c r="N2141">
        <f t="shared" si="429"/>
        <v>91354378</v>
      </c>
    </row>
    <row r="2142" ht="13.9" spans="1:14">
      <c r="A2142" s="42" t="s">
        <v>1407</v>
      </c>
      <c r="B2142" s="11">
        <v>11534775</v>
      </c>
      <c r="D2142" s="11">
        <v>39</v>
      </c>
      <c r="E2142">
        <f t="shared" si="431"/>
        <v>39</v>
      </c>
      <c r="H2142">
        <f t="shared" si="433"/>
        <v>39000000</v>
      </c>
      <c r="I2142">
        <f t="shared" ref="I2142:I2205" si="434">H2142*0.48</f>
        <v>18720000</v>
      </c>
      <c r="K2142">
        <f t="shared" si="430"/>
        <v>65745993</v>
      </c>
      <c r="M2142">
        <f t="shared" si="432"/>
        <v>11534775</v>
      </c>
      <c r="N2142">
        <f t="shared" si="429"/>
        <v>77280768</v>
      </c>
    </row>
    <row r="2143" ht="13.9" spans="1:14">
      <c r="A2143" s="42" t="s">
        <v>1408</v>
      </c>
      <c r="B2143" s="11">
        <v>12481646</v>
      </c>
      <c r="D2143" s="11">
        <v>32</v>
      </c>
      <c r="E2143">
        <f t="shared" si="431"/>
        <v>32</v>
      </c>
      <c r="H2143">
        <f t="shared" si="433"/>
        <v>32000000</v>
      </c>
      <c r="I2143">
        <f t="shared" si="434"/>
        <v>15360000</v>
      </c>
      <c r="K2143">
        <f t="shared" si="430"/>
        <v>53264347</v>
      </c>
      <c r="M2143">
        <f t="shared" si="432"/>
        <v>12481646</v>
      </c>
      <c r="N2143">
        <f t="shared" ref="N2143:N2206" si="435">IF(H2143&lt;H2144,M2143+M2144,M2143+N2144)</f>
        <v>65745993</v>
      </c>
    </row>
    <row r="2144" ht="13.9" spans="1:14">
      <c r="A2144" s="42" t="s">
        <v>1409</v>
      </c>
      <c r="B2144" s="11">
        <v>10607067</v>
      </c>
      <c r="D2144" s="11">
        <v>25</v>
      </c>
      <c r="E2144">
        <f t="shared" si="431"/>
        <v>25</v>
      </c>
      <c r="H2144">
        <f t="shared" si="433"/>
        <v>25000000</v>
      </c>
      <c r="I2144">
        <f t="shared" si="434"/>
        <v>12000000</v>
      </c>
      <c r="K2144">
        <f t="shared" si="430"/>
        <v>42657280</v>
      </c>
      <c r="M2144">
        <f t="shared" si="432"/>
        <v>10607067</v>
      </c>
      <c r="N2144">
        <f t="shared" si="435"/>
        <v>53264347</v>
      </c>
    </row>
    <row r="2145" ht="13.85" spans="1:14">
      <c r="A2145" s="43">
        <v>38235</v>
      </c>
      <c r="B2145" s="11">
        <v>11338636</v>
      </c>
      <c r="D2145" s="11">
        <v>19</v>
      </c>
      <c r="E2145">
        <f t="shared" si="431"/>
        <v>19</v>
      </c>
      <c r="H2145">
        <f t="shared" si="433"/>
        <v>19000000</v>
      </c>
      <c r="I2145">
        <f t="shared" si="434"/>
        <v>9120000</v>
      </c>
      <c r="K2145">
        <f t="shared" si="430"/>
        <v>31318644</v>
      </c>
      <c r="M2145">
        <f t="shared" si="432"/>
        <v>11338636</v>
      </c>
      <c r="N2145">
        <f t="shared" si="435"/>
        <v>42657280</v>
      </c>
    </row>
    <row r="2146" ht="13.85" spans="1:14">
      <c r="A2146" s="43">
        <v>38143</v>
      </c>
      <c r="B2146" s="11">
        <v>9639616</v>
      </c>
      <c r="D2146" s="11">
        <v>12</v>
      </c>
      <c r="E2146">
        <f t="shared" si="431"/>
        <v>12</v>
      </c>
      <c r="H2146">
        <f t="shared" si="433"/>
        <v>12000000</v>
      </c>
      <c r="I2146">
        <f t="shared" si="434"/>
        <v>5760000</v>
      </c>
      <c r="K2146">
        <f t="shared" si="430"/>
        <v>21679028</v>
      </c>
      <c r="M2146">
        <f t="shared" si="432"/>
        <v>9639616</v>
      </c>
      <c r="N2146">
        <f t="shared" si="435"/>
        <v>31318644</v>
      </c>
    </row>
    <row r="2147" ht="13.85" spans="1:14">
      <c r="A2147" s="43">
        <v>38022</v>
      </c>
      <c r="B2147" s="11">
        <v>10939736</v>
      </c>
      <c r="D2147" s="11">
        <v>10</v>
      </c>
      <c r="E2147">
        <f t="shared" si="431"/>
        <v>10</v>
      </c>
      <c r="H2147">
        <f t="shared" si="433"/>
        <v>10000000</v>
      </c>
      <c r="I2147">
        <f t="shared" si="434"/>
        <v>4800000</v>
      </c>
      <c r="K2147">
        <f t="shared" si="430"/>
        <v>10739292</v>
      </c>
      <c r="M2147">
        <f t="shared" si="432"/>
        <v>10939736</v>
      </c>
      <c r="N2147">
        <f t="shared" si="435"/>
        <v>21679028</v>
      </c>
    </row>
    <row r="2148" ht="13.9" spans="1:14">
      <c r="A2148" s="42" t="s">
        <v>1410</v>
      </c>
      <c r="B2148" s="11">
        <v>10739292</v>
      </c>
      <c r="D2148" s="11">
        <v>25</v>
      </c>
      <c r="E2148">
        <f t="shared" si="431"/>
        <v>25</v>
      </c>
      <c r="H2148">
        <f t="shared" si="433"/>
        <v>25000000</v>
      </c>
      <c r="I2148">
        <f t="shared" si="434"/>
        <v>12000000</v>
      </c>
      <c r="K2148">
        <f t="shared" si="430"/>
        <v>43036777</v>
      </c>
      <c r="M2148">
        <f t="shared" si="432"/>
        <v>10739292</v>
      </c>
      <c r="N2148">
        <f t="shared" si="435"/>
        <v>53776069</v>
      </c>
    </row>
    <row r="2149" ht="13.9" spans="1:14">
      <c r="A2149" s="42" t="s">
        <v>1411</v>
      </c>
      <c r="B2149" s="11">
        <v>11844326</v>
      </c>
      <c r="D2149" s="11">
        <v>19</v>
      </c>
      <c r="E2149">
        <f t="shared" si="431"/>
        <v>19</v>
      </c>
      <c r="H2149">
        <f t="shared" si="433"/>
        <v>19000000</v>
      </c>
      <c r="I2149">
        <f t="shared" si="434"/>
        <v>9120000</v>
      </c>
      <c r="K2149">
        <f t="shared" si="430"/>
        <v>31192451</v>
      </c>
      <c r="M2149">
        <f t="shared" si="432"/>
        <v>11844326</v>
      </c>
      <c r="N2149">
        <f t="shared" si="435"/>
        <v>43036777</v>
      </c>
    </row>
    <row r="2150" ht="13.9" spans="1:14">
      <c r="A2150" s="42" t="s">
        <v>1412</v>
      </c>
      <c r="B2150" s="11">
        <v>9684876</v>
      </c>
      <c r="D2150" s="11">
        <v>12</v>
      </c>
      <c r="E2150">
        <f t="shared" si="431"/>
        <v>12</v>
      </c>
      <c r="H2150">
        <f t="shared" si="433"/>
        <v>12000000</v>
      </c>
      <c r="I2150">
        <f t="shared" si="434"/>
        <v>5760000</v>
      </c>
      <c r="K2150">
        <f t="shared" si="430"/>
        <v>21507575</v>
      </c>
      <c r="M2150">
        <f t="shared" si="432"/>
        <v>9684876</v>
      </c>
      <c r="N2150">
        <f t="shared" si="435"/>
        <v>31192451</v>
      </c>
    </row>
    <row r="2151" ht="13.9" spans="1:14">
      <c r="A2151" s="42" t="s">
        <v>1413</v>
      </c>
      <c r="B2151" s="11">
        <v>10925963</v>
      </c>
      <c r="D2151" s="11">
        <v>10</v>
      </c>
      <c r="E2151">
        <f t="shared" si="431"/>
        <v>10</v>
      </c>
      <c r="H2151">
        <f t="shared" si="433"/>
        <v>10000000</v>
      </c>
      <c r="I2151">
        <f t="shared" si="434"/>
        <v>4800000</v>
      </c>
      <c r="K2151">
        <f t="shared" si="430"/>
        <v>10581612</v>
      </c>
      <c r="M2151">
        <f t="shared" si="432"/>
        <v>10925963</v>
      </c>
      <c r="N2151">
        <f t="shared" si="435"/>
        <v>21507575</v>
      </c>
    </row>
    <row r="2152" ht="13.9" spans="1:14">
      <c r="A2152" s="42" t="s">
        <v>1414</v>
      </c>
      <c r="B2152" s="11">
        <v>10581612</v>
      </c>
      <c r="D2152" s="11">
        <v>18</v>
      </c>
      <c r="E2152">
        <f t="shared" si="431"/>
        <v>18</v>
      </c>
      <c r="H2152">
        <f t="shared" si="433"/>
        <v>18000000</v>
      </c>
      <c r="I2152">
        <f t="shared" si="434"/>
        <v>8640000</v>
      </c>
      <c r="K2152">
        <f t="shared" si="430"/>
        <v>34955855</v>
      </c>
      <c r="M2152">
        <f t="shared" si="432"/>
        <v>10581612</v>
      </c>
      <c r="N2152">
        <f t="shared" si="435"/>
        <v>45537467</v>
      </c>
    </row>
    <row r="2153" ht="13.85" spans="1:14">
      <c r="A2153" s="43">
        <v>37960</v>
      </c>
      <c r="B2153" s="11">
        <v>11339686</v>
      </c>
      <c r="D2153" s="11">
        <v>12</v>
      </c>
      <c r="E2153">
        <f t="shared" si="431"/>
        <v>12</v>
      </c>
      <c r="H2153">
        <f t="shared" si="433"/>
        <v>12000000</v>
      </c>
      <c r="I2153">
        <f t="shared" si="434"/>
        <v>5760000</v>
      </c>
      <c r="K2153">
        <f t="shared" si="430"/>
        <v>23616169</v>
      </c>
      <c r="M2153">
        <f t="shared" si="432"/>
        <v>11339686</v>
      </c>
      <c r="N2153">
        <f t="shared" si="435"/>
        <v>34955855</v>
      </c>
    </row>
    <row r="2154" ht="13.85" spans="1:14">
      <c r="A2154" s="43">
        <v>37869</v>
      </c>
      <c r="B2154" s="11">
        <v>11253878</v>
      </c>
      <c r="D2154" s="11">
        <v>10</v>
      </c>
      <c r="E2154">
        <f t="shared" si="431"/>
        <v>10</v>
      </c>
      <c r="H2154">
        <f t="shared" si="433"/>
        <v>10000000</v>
      </c>
      <c r="I2154">
        <f t="shared" si="434"/>
        <v>4800000</v>
      </c>
      <c r="K2154">
        <f t="shared" ref="K2154:K2217" si="436">IF(E2154&gt;E2155,B2155+K2155,B2155)</f>
        <v>12362291</v>
      </c>
      <c r="M2154">
        <f t="shared" si="432"/>
        <v>11253878</v>
      </c>
      <c r="N2154">
        <f t="shared" si="435"/>
        <v>23616169</v>
      </c>
    </row>
    <row r="2155" ht="13.85" spans="1:14">
      <c r="A2155" s="43">
        <v>37746</v>
      </c>
      <c r="B2155" s="11">
        <v>12362291</v>
      </c>
      <c r="D2155" s="11">
        <v>19</v>
      </c>
      <c r="E2155">
        <f t="shared" si="431"/>
        <v>19</v>
      </c>
      <c r="H2155">
        <f t="shared" si="433"/>
        <v>19000000</v>
      </c>
      <c r="I2155">
        <f t="shared" si="434"/>
        <v>9120000</v>
      </c>
      <c r="K2155">
        <f t="shared" si="436"/>
        <v>31976120</v>
      </c>
      <c r="M2155">
        <f t="shared" si="432"/>
        <v>12362291</v>
      </c>
      <c r="N2155">
        <f t="shared" si="435"/>
        <v>44338411</v>
      </c>
    </row>
    <row r="2156" ht="13.85" spans="1:14">
      <c r="A2156" s="43">
        <v>37657</v>
      </c>
      <c r="B2156" s="11">
        <v>10109910</v>
      </c>
      <c r="D2156" s="11">
        <v>12</v>
      </c>
      <c r="E2156">
        <f t="shared" si="431"/>
        <v>12</v>
      </c>
      <c r="H2156">
        <f t="shared" si="433"/>
        <v>12000000</v>
      </c>
      <c r="I2156">
        <f t="shared" si="434"/>
        <v>5760000</v>
      </c>
      <c r="K2156">
        <f t="shared" si="436"/>
        <v>21866210</v>
      </c>
      <c r="M2156">
        <f t="shared" si="432"/>
        <v>10109910</v>
      </c>
      <c r="N2156">
        <f t="shared" si="435"/>
        <v>31976120</v>
      </c>
    </row>
    <row r="2157" ht="13.9" spans="1:14">
      <c r="A2157" s="42" t="s">
        <v>1415</v>
      </c>
      <c r="B2157" s="11">
        <v>11252184</v>
      </c>
      <c r="D2157" s="11">
        <v>10</v>
      </c>
      <c r="E2157">
        <f t="shared" si="431"/>
        <v>10</v>
      </c>
      <c r="H2157">
        <f t="shared" si="433"/>
        <v>10000000</v>
      </c>
      <c r="I2157">
        <f t="shared" si="434"/>
        <v>4800000</v>
      </c>
      <c r="K2157">
        <f t="shared" si="436"/>
        <v>10614026</v>
      </c>
      <c r="M2157">
        <f t="shared" si="432"/>
        <v>11252184</v>
      </c>
      <c r="N2157">
        <f t="shared" si="435"/>
        <v>21866210</v>
      </c>
    </row>
    <row r="2158" ht="13.9" spans="1:14">
      <c r="A2158" s="42" t="s">
        <v>1416</v>
      </c>
      <c r="B2158" s="11">
        <v>10614026</v>
      </c>
      <c r="D2158" s="11">
        <v>18</v>
      </c>
      <c r="E2158">
        <f t="shared" si="431"/>
        <v>18</v>
      </c>
      <c r="H2158">
        <f t="shared" si="433"/>
        <v>18000000</v>
      </c>
      <c r="I2158">
        <f t="shared" si="434"/>
        <v>8640000</v>
      </c>
      <c r="K2158">
        <f t="shared" si="436"/>
        <v>36254791</v>
      </c>
      <c r="M2158">
        <f t="shared" si="432"/>
        <v>10614026</v>
      </c>
      <c r="N2158">
        <f t="shared" si="435"/>
        <v>46868817</v>
      </c>
    </row>
    <row r="2159" ht="13.9" spans="1:14">
      <c r="A2159" s="42" t="s">
        <v>1417</v>
      </c>
      <c r="B2159" s="11">
        <v>11726815</v>
      </c>
      <c r="D2159" s="11">
        <v>12</v>
      </c>
      <c r="E2159">
        <f t="shared" si="431"/>
        <v>12</v>
      </c>
      <c r="H2159">
        <f t="shared" si="433"/>
        <v>12000000</v>
      </c>
      <c r="I2159">
        <f t="shared" si="434"/>
        <v>5760000</v>
      </c>
      <c r="K2159">
        <f t="shared" si="436"/>
        <v>24527976</v>
      </c>
      <c r="M2159">
        <f t="shared" si="432"/>
        <v>11726815</v>
      </c>
      <c r="N2159">
        <f t="shared" si="435"/>
        <v>36254791</v>
      </c>
    </row>
    <row r="2160" ht="13.9" spans="1:14">
      <c r="A2160" s="42" t="s">
        <v>1418</v>
      </c>
      <c r="B2160" s="11">
        <v>10096589</v>
      </c>
      <c r="D2160" s="11">
        <v>10</v>
      </c>
      <c r="E2160">
        <f t="shared" si="431"/>
        <v>10</v>
      </c>
      <c r="H2160">
        <f t="shared" si="433"/>
        <v>10000000</v>
      </c>
      <c r="I2160">
        <f t="shared" si="434"/>
        <v>4800000</v>
      </c>
      <c r="K2160">
        <f t="shared" si="436"/>
        <v>14431387</v>
      </c>
      <c r="M2160">
        <f t="shared" si="432"/>
        <v>10096589</v>
      </c>
      <c r="N2160">
        <f t="shared" si="435"/>
        <v>24527976</v>
      </c>
    </row>
    <row r="2161" ht="13.85" spans="1:14">
      <c r="A2161" s="43">
        <v>37595</v>
      </c>
      <c r="B2161" s="11">
        <v>14431387</v>
      </c>
      <c r="D2161" s="11">
        <v>41</v>
      </c>
      <c r="E2161">
        <f t="shared" si="431"/>
        <v>41</v>
      </c>
      <c r="H2161">
        <f t="shared" si="433"/>
        <v>41000000</v>
      </c>
      <c r="I2161">
        <f t="shared" si="434"/>
        <v>19680000</v>
      </c>
      <c r="K2161">
        <f t="shared" si="436"/>
        <v>70223806</v>
      </c>
      <c r="M2161">
        <f t="shared" si="432"/>
        <v>14431387</v>
      </c>
      <c r="N2161">
        <f t="shared" si="435"/>
        <v>84655193</v>
      </c>
    </row>
    <row r="2162" ht="13.85" spans="1:14">
      <c r="A2162" s="43">
        <v>37504</v>
      </c>
      <c r="B2162" s="11">
        <v>12082713</v>
      </c>
      <c r="D2162" s="11">
        <v>32</v>
      </c>
      <c r="E2162">
        <f t="shared" si="431"/>
        <v>32</v>
      </c>
      <c r="H2162">
        <f t="shared" si="433"/>
        <v>32000000</v>
      </c>
      <c r="I2162">
        <f t="shared" si="434"/>
        <v>15360000</v>
      </c>
      <c r="K2162">
        <f t="shared" si="436"/>
        <v>58141093</v>
      </c>
      <c r="M2162">
        <f t="shared" si="432"/>
        <v>12082713</v>
      </c>
      <c r="N2162">
        <f t="shared" si="435"/>
        <v>70223806</v>
      </c>
    </row>
    <row r="2163" ht="13.85" spans="1:14">
      <c r="A2163" s="43">
        <v>37381</v>
      </c>
      <c r="B2163" s="11">
        <v>13141349</v>
      </c>
      <c r="D2163" s="11">
        <v>25</v>
      </c>
      <c r="E2163">
        <f t="shared" si="431"/>
        <v>25</v>
      </c>
      <c r="H2163">
        <f t="shared" si="433"/>
        <v>25000000</v>
      </c>
      <c r="I2163">
        <f t="shared" si="434"/>
        <v>12000000</v>
      </c>
      <c r="K2163">
        <f t="shared" si="436"/>
        <v>44999744</v>
      </c>
      <c r="M2163">
        <f t="shared" si="432"/>
        <v>13141349</v>
      </c>
      <c r="N2163">
        <f t="shared" si="435"/>
        <v>58141093</v>
      </c>
    </row>
    <row r="2164" ht="13.85" spans="1:14">
      <c r="A2164" s="43">
        <v>37292</v>
      </c>
      <c r="B2164" s="11">
        <v>10905341</v>
      </c>
      <c r="D2164" s="11">
        <v>18</v>
      </c>
      <c r="E2164">
        <f t="shared" si="431"/>
        <v>18</v>
      </c>
      <c r="H2164">
        <f t="shared" si="433"/>
        <v>18000000</v>
      </c>
      <c r="I2164">
        <f t="shared" si="434"/>
        <v>8640000</v>
      </c>
      <c r="K2164">
        <f t="shared" si="436"/>
        <v>34094403</v>
      </c>
      <c r="M2164">
        <f t="shared" si="432"/>
        <v>10905341</v>
      </c>
      <c r="N2164">
        <f t="shared" si="435"/>
        <v>44999744</v>
      </c>
    </row>
    <row r="2165" ht="13.9" spans="1:14">
      <c r="A2165" s="42" t="s">
        <v>1419</v>
      </c>
      <c r="B2165" s="11">
        <v>11445462</v>
      </c>
      <c r="D2165" s="11">
        <v>12</v>
      </c>
      <c r="E2165">
        <f t="shared" si="431"/>
        <v>12</v>
      </c>
      <c r="H2165">
        <f t="shared" si="433"/>
        <v>12000000</v>
      </c>
      <c r="I2165">
        <f t="shared" si="434"/>
        <v>5760000</v>
      </c>
      <c r="K2165">
        <f t="shared" si="436"/>
        <v>22648941</v>
      </c>
      <c r="M2165">
        <f t="shared" si="432"/>
        <v>11445462</v>
      </c>
      <c r="N2165">
        <f t="shared" si="435"/>
        <v>34094403</v>
      </c>
    </row>
    <row r="2166" ht="13.9" spans="1:14">
      <c r="A2166" s="42" t="s">
        <v>1420</v>
      </c>
      <c r="B2166" s="11">
        <v>9888417</v>
      </c>
      <c r="D2166" s="11">
        <v>10</v>
      </c>
      <c r="E2166">
        <f t="shared" si="431"/>
        <v>10</v>
      </c>
      <c r="H2166">
        <f t="shared" si="433"/>
        <v>10000000</v>
      </c>
      <c r="I2166">
        <f t="shared" si="434"/>
        <v>4800000</v>
      </c>
      <c r="K2166">
        <f t="shared" si="436"/>
        <v>12760524</v>
      </c>
      <c r="M2166">
        <f t="shared" si="432"/>
        <v>9888417</v>
      </c>
      <c r="N2166">
        <f t="shared" si="435"/>
        <v>22648941</v>
      </c>
    </row>
    <row r="2167" ht="13.9" spans="1:14">
      <c r="A2167" s="42" t="s">
        <v>1421</v>
      </c>
      <c r="B2167" s="11">
        <v>12760524</v>
      </c>
      <c r="D2167" s="11">
        <v>26</v>
      </c>
      <c r="E2167">
        <f t="shared" si="431"/>
        <v>26</v>
      </c>
      <c r="H2167">
        <f t="shared" si="433"/>
        <v>26000000</v>
      </c>
      <c r="I2167">
        <f t="shared" si="434"/>
        <v>12480000</v>
      </c>
      <c r="K2167">
        <f t="shared" si="436"/>
        <v>47168063</v>
      </c>
      <c r="M2167">
        <f t="shared" si="432"/>
        <v>12760524</v>
      </c>
      <c r="N2167">
        <f t="shared" si="435"/>
        <v>59928587</v>
      </c>
    </row>
    <row r="2168" ht="13.9" spans="1:14">
      <c r="A2168" s="42" t="s">
        <v>1422</v>
      </c>
      <c r="B2168" s="11">
        <v>10788815</v>
      </c>
      <c r="D2168" s="11">
        <v>19</v>
      </c>
      <c r="E2168">
        <f t="shared" si="431"/>
        <v>19</v>
      </c>
      <c r="H2168">
        <f t="shared" si="433"/>
        <v>19000000</v>
      </c>
      <c r="I2168">
        <f t="shared" si="434"/>
        <v>9120000</v>
      </c>
      <c r="K2168">
        <f t="shared" si="436"/>
        <v>36379248</v>
      </c>
      <c r="M2168">
        <f t="shared" si="432"/>
        <v>10788815</v>
      </c>
      <c r="N2168">
        <f t="shared" si="435"/>
        <v>47168063</v>
      </c>
    </row>
    <row r="2169" ht="13.9" spans="1:14">
      <c r="A2169" s="42" t="s">
        <v>1423</v>
      </c>
      <c r="B2169" s="11">
        <v>11981740</v>
      </c>
      <c r="D2169" s="11">
        <v>14</v>
      </c>
      <c r="E2169">
        <f t="shared" si="431"/>
        <v>14</v>
      </c>
      <c r="H2169">
        <f t="shared" si="433"/>
        <v>14000000</v>
      </c>
      <c r="I2169">
        <f t="shared" si="434"/>
        <v>6720000</v>
      </c>
      <c r="K2169">
        <f t="shared" si="436"/>
        <v>24397508</v>
      </c>
      <c r="M2169">
        <f t="shared" si="432"/>
        <v>11981740</v>
      </c>
      <c r="N2169">
        <f t="shared" si="435"/>
        <v>36379248</v>
      </c>
    </row>
    <row r="2170" ht="13.85" spans="1:14">
      <c r="A2170" s="43">
        <v>37230</v>
      </c>
      <c r="B2170" s="11">
        <v>10449723</v>
      </c>
      <c r="D2170" s="11">
        <v>10</v>
      </c>
      <c r="E2170">
        <f t="shared" si="431"/>
        <v>10</v>
      </c>
      <c r="H2170">
        <f t="shared" si="433"/>
        <v>10000000</v>
      </c>
      <c r="I2170">
        <f t="shared" si="434"/>
        <v>4800000</v>
      </c>
      <c r="K2170">
        <f t="shared" si="436"/>
        <v>13947785</v>
      </c>
      <c r="M2170">
        <f t="shared" si="432"/>
        <v>10449723</v>
      </c>
      <c r="N2170">
        <f t="shared" si="435"/>
        <v>24397508</v>
      </c>
    </row>
    <row r="2171" ht="13.85" spans="1:14">
      <c r="A2171" s="43">
        <v>37108</v>
      </c>
      <c r="B2171" s="11">
        <v>13947785</v>
      </c>
      <c r="D2171" s="11">
        <v>37</v>
      </c>
      <c r="E2171">
        <f t="shared" si="431"/>
        <v>37</v>
      </c>
      <c r="H2171">
        <f t="shared" si="433"/>
        <v>37000000</v>
      </c>
      <c r="I2171">
        <f t="shared" si="434"/>
        <v>17760000</v>
      </c>
      <c r="K2171">
        <f t="shared" si="436"/>
        <v>62842371</v>
      </c>
      <c r="M2171">
        <f t="shared" si="432"/>
        <v>13947785</v>
      </c>
      <c r="N2171">
        <f t="shared" si="435"/>
        <v>76790156</v>
      </c>
    </row>
    <row r="2172" ht="13.85" spans="1:14">
      <c r="A2172" s="43">
        <v>37016</v>
      </c>
      <c r="B2172" s="11">
        <v>12233136</v>
      </c>
      <c r="D2172" s="11">
        <v>28</v>
      </c>
      <c r="E2172">
        <f t="shared" si="431"/>
        <v>28</v>
      </c>
      <c r="H2172">
        <f t="shared" si="433"/>
        <v>28000000</v>
      </c>
      <c r="I2172">
        <f t="shared" si="434"/>
        <v>13440000</v>
      </c>
      <c r="K2172">
        <f t="shared" si="436"/>
        <v>50609235</v>
      </c>
      <c r="M2172">
        <f t="shared" si="432"/>
        <v>12233136</v>
      </c>
      <c r="N2172">
        <f t="shared" si="435"/>
        <v>62842371</v>
      </c>
    </row>
    <row r="2173" ht="13.85" spans="1:14">
      <c r="A2173" s="44">
        <v>36896</v>
      </c>
      <c r="B2173" s="15">
        <v>13249138</v>
      </c>
      <c r="D2173" s="15">
        <v>21</v>
      </c>
      <c r="E2173">
        <f t="shared" si="431"/>
        <v>21</v>
      </c>
      <c r="H2173">
        <f t="shared" si="433"/>
        <v>21000000</v>
      </c>
      <c r="I2173">
        <f t="shared" si="434"/>
        <v>10080000</v>
      </c>
      <c r="K2173">
        <f t="shared" si="436"/>
        <v>37360097</v>
      </c>
      <c r="M2173">
        <f t="shared" si="432"/>
        <v>13249138</v>
      </c>
      <c r="N2173">
        <f t="shared" si="435"/>
        <v>50609235</v>
      </c>
    </row>
    <row r="2174" ht="13.9" spans="1:14">
      <c r="A2174" s="41" t="s">
        <v>1424</v>
      </c>
      <c r="B2174" s="13">
        <v>11359177</v>
      </c>
      <c r="D2174" s="13">
        <v>13</v>
      </c>
      <c r="E2174">
        <f t="shared" si="431"/>
        <v>13</v>
      </c>
      <c r="H2174">
        <f t="shared" si="433"/>
        <v>13000000</v>
      </c>
      <c r="I2174">
        <f t="shared" si="434"/>
        <v>6240000</v>
      </c>
      <c r="K2174">
        <f t="shared" si="436"/>
        <v>26000920</v>
      </c>
      <c r="M2174">
        <f t="shared" si="432"/>
        <v>11359177</v>
      </c>
      <c r="N2174">
        <f t="shared" si="435"/>
        <v>37360097</v>
      </c>
    </row>
    <row r="2175" ht="13.9" spans="1:14">
      <c r="A2175" s="42" t="s">
        <v>1425</v>
      </c>
      <c r="B2175" s="11">
        <v>12320437</v>
      </c>
      <c r="D2175" s="11">
        <v>10</v>
      </c>
      <c r="E2175">
        <f t="shared" si="431"/>
        <v>10</v>
      </c>
      <c r="H2175">
        <f t="shared" si="433"/>
        <v>10000000</v>
      </c>
      <c r="I2175">
        <f t="shared" si="434"/>
        <v>4800000</v>
      </c>
      <c r="K2175">
        <f t="shared" si="436"/>
        <v>13680483</v>
      </c>
      <c r="M2175">
        <f t="shared" si="432"/>
        <v>12320437</v>
      </c>
      <c r="N2175">
        <f t="shared" si="435"/>
        <v>26000920</v>
      </c>
    </row>
    <row r="2176" ht="13.9" spans="1:14">
      <c r="A2176" s="42" t="s">
        <v>1426</v>
      </c>
      <c r="B2176" s="11">
        <v>13680483</v>
      </c>
      <c r="D2176" s="11">
        <v>30</v>
      </c>
      <c r="E2176">
        <f t="shared" ref="E2176:E2239" si="437">IF(RIGHT(D2176,1)="B",VALUE(LEFT(D2176,LEN(D2176)-1))*1000,D2176)</f>
        <v>30</v>
      </c>
      <c r="H2176">
        <f t="shared" si="433"/>
        <v>30000000</v>
      </c>
      <c r="I2176">
        <f t="shared" si="434"/>
        <v>14400000</v>
      </c>
      <c r="K2176">
        <f t="shared" si="436"/>
        <v>80259673</v>
      </c>
      <c r="M2176">
        <f t="shared" si="432"/>
        <v>13680483</v>
      </c>
      <c r="N2176">
        <f t="shared" si="435"/>
        <v>93940156</v>
      </c>
    </row>
    <row r="2177" ht="13.9" spans="1:14">
      <c r="A2177" s="42" t="s">
        <v>1427</v>
      </c>
      <c r="B2177" s="11">
        <v>13986752</v>
      </c>
      <c r="D2177" s="11">
        <v>23</v>
      </c>
      <c r="E2177">
        <f t="shared" si="437"/>
        <v>23</v>
      </c>
      <c r="H2177">
        <f t="shared" si="433"/>
        <v>23000000</v>
      </c>
      <c r="I2177">
        <f t="shared" si="434"/>
        <v>11040000</v>
      </c>
      <c r="K2177">
        <f t="shared" si="436"/>
        <v>66272921</v>
      </c>
      <c r="M2177">
        <f t="shared" si="432"/>
        <v>13986752</v>
      </c>
      <c r="N2177">
        <f t="shared" si="435"/>
        <v>80259673</v>
      </c>
    </row>
    <row r="2178" ht="13.9" spans="1:14">
      <c r="A2178" s="42" t="s">
        <v>1428</v>
      </c>
      <c r="B2178" s="11">
        <v>11718337</v>
      </c>
      <c r="D2178" s="11">
        <v>14</v>
      </c>
      <c r="E2178">
        <f t="shared" si="437"/>
        <v>14</v>
      </c>
      <c r="H2178">
        <f t="shared" si="433"/>
        <v>14000000</v>
      </c>
      <c r="I2178">
        <f t="shared" si="434"/>
        <v>6720000</v>
      </c>
      <c r="K2178">
        <f t="shared" si="436"/>
        <v>54554584</v>
      </c>
      <c r="M2178">
        <f t="shared" si="432"/>
        <v>11718337</v>
      </c>
      <c r="N2178">
        <f t="shared" si="435"/>
        <v>66272921</v>
      </c>
    </row>
    <row r="2179" ht="13.85" spans="1:14">
      <c r="A2179" s="43">
        <v>41217</v>
      </c>
      <c r="B2179" s="11">
        <v>13610711</v>
      </c>
      <c r="D2179" s="11">
        <v>10</v>
      </c>
      <c r="E2179">
        <f t="shared" si="437"/>
        <v>10</v>
      </c>
      <c r="H2179">
        <f t="shared" si="433"/>
        <v>10000000</v>
      </c>
      <c r="I2179">
        <f t="shared" si="434"/>
        <v>4800000</v>
      </c>
      <c r="K2179">
        <f t="shared" si="436"/>
        <v>40943873</v>
      </c>
      <c r="M2179">
        <f t="shared" si="432"/>
        <v>13610711</v>
      </c>
      <c r="N2179">
        <f t="shared" si="435"/>
        <v>54554584</v>
      </c>
    </row>
    <row r="2180" ht="13.85" spans="1:14">
      <c r="A2180" s="43">
        <v>41125</v>
      </c>
      <c r="B2180" s="11">
        <v>40943873</v>
      </c>
      <c r="D2180" s="11">
        <v>171</v>
      </c>
      <c r="E2180">
        <f t="shared" si="437"/>
        <v>171</v>
      </c>
      <c r="H2180">
        <f t="shared" si="433"/>
        <v>171000000</v>
      </c>
      <c r="I2180">
        <f t="shared" si="434"/>
        <v>82080000</v>
      </c>
      <c r="K2180">
        <f t="shared" si="436"/>
        <v>265974325</v>
      </c>
      <c r="M2180">
        <f t="shared" si="432"/>
        <v>40943873</v>
      </c>
      <c r="N2180">
        <f t="shared" si="435"/>
        <v>306918198</v>
      </c>
    </row>
    <row r="2181" ht="13.85" spans="1:14">
      <c r="A2181" s="43">
        <v>41003</v>
      </c>
      <c r="B2181" s="11">
        <v>34831278</v>
      </c>
      <c r="D2181" s="11">
        <v>145</v>
      </c>
      <c r="E2181">
        <f t="shared" si="437"/>
        <v>145</v>
      </c>
      <c r="H2181">
        <f t="shared" si="433"/>
        <v>145000000</v>
      </c>
      <c r="I2181">
        <f t="shared" si="434"/>
        <v>69600000</v>
      </c>
      <c r="K2181">
        <f t="shared" si="436"/>
        <v>231143047</v>
      </c>
      <c r="M2181">
        <f t="shared" si="432"/>
        <v>34831278</v>
      </c>
      <c r="N2181">
        <f t="shared" si="435"/>
        <v>265974325</v>
      </c>
    </row>
    <row r="2182" ht="13.85" spans="1:14">
      <c r="A2182" s="43">
        <v>40912</v>
      </c>
      <c r="B2182" s="11">
        <v>28462523</v>
      </c>
      <c r="D2182" s="11">
        <v>127</v>
      </c>
      <c r="E2182">
        <f t="shared" si="437"/>
        <v>127</v>
      </c>
      <c r="H2182">
        <f t="shared" si="433"/>
        <v>127000000</v>
      </c>
      <c r="I2182">
        <f t="shared" si="434"/>
        <v>60960000</v>
      </c>
      <c r="K2182">
        <f t="shared" si="436"/>
        <v>202680524</v>
      </c>
      <c r="M2182">
        <f t="shared" ref="M2182:M2245" si="438">B2182+C2182</f>
        <v>28462523</v>
      </c>
      <c r="N2182">
        <f t="shared" si="435"/>
        <v>231143047</v>
      </c>
    </row>
    <row r="2183" ht="13.9" spans="1:14">
      <c r="A2183" s="42" t="s">
        <v>1429</v>
      </c>
      <c r="B2183" s="11">
        <v>23228915</v>
      </c>
      <c r="D2183" s="11">
        <v>110</v>
      </c>
      <c r="E2183">
        <f t="shared" si="437"/>
        <v>110</v>
      </c>
      <c r="H2183">
        <f t="shared" si="433"/>
        <v>110000000</v>
      </c>
      <c r="I2183">
        <f t="shared" si="434"/>
        <v>52800000</v>
      </c>
      <c r="K2183">
        <f t="shared" si="436"/>
        <v>179451609</v>
      </c>
      <c r="M2183">
        <f t="shared" si="438"/>
        <v>23228915</v>
      </c>
      <c r="N2183">
        <f t="shared" si="435"/>
        <v>202680524</v>
      </c>
    </row>
    <row r="2184" ht="13.9" spans="1:14">
      <c r="A2184" s="42" t="s">
        <v>1430</v>
      </c>
      <c r="B2184" s="11">
        <v>24095321</v>
      </c>
      <c r="D2184" s="11">
        <v>95</v>
      </c>
      <c r="E2184">
        <f t="shared" si="437"/>
        <v>95</v>
      </c>
      <c r="H2184">
        <f t="shared" si="433"/>
        <v>95000000</v>
      </c>
      <c r="I2184">
        <f t="shared" si="434"/>
        <v>45600000</v>
      </c>
      <c r="K2184">
        <f t="shared" si="436"/>
        <v>155356288</v>
      </c>
      <c r="M2184">
        <f t="shared" si="438"/>
        <v>24095321</v>
      </c>
      <c r="N2184">
        <f t="shared" si="435"/>
        <v>179451609</v>
      </c>
    </row>
    <row r="2185" ht="13.9" spans="1:14">
      <c r="A2185" s="42" t="s">
        <v>1431</v>
      </c>
      <c r="B2185" s="11">
        <v>19557182</v>
      </c>
      <c r="D2185" s="11">
        <v>83</v>
      </c>
      <c r="E2185">
        <f t="shared" si="437"/>
        <v>83</v>
      </c>
      <c r="H2185">
        <f t="shared" si="433"/>
        <v>83000000</v>
      </c>
      <c r="I2185">
        <f t="shared" si="434"/>
        <v>39840000</v>
      </c>
      <c r="K2185">
        <f t="shared" si="436"/>
        <v>135799106</v>
      </c>
      <c r="M2185">
        <f t="shared" si="438"/>
        <v>19557182</v>
      </c>
      <c r="N2185">
        <f t="shared" si="435"/>
        <v>155356288</v>
      </c>
    </row>
    <row r="2186" ht="13.9" spans="1:14">
      <c r="A2186" s="42" t="s">
        <v>1432</v>
      </c>
      <c r="B2186" s="11">
        <v>16554479</v>
      </c>
      <c r="D2186" s="11">
        <v>72</v>
      </c>
      <c r="E2186">
        <f t="shared" si="437"/>
        <v>72</v>
      </c>
      <c r="H2186">
        <f t="shared" si="433"/>
        <v>72000000</v>
      </c>
      <c r="I2186">
        <f t="shared" si="434"/>
        <v>34560000</v>
      </c>
      <c r="K2186">
        <f t="shared" si="436"/>
        <v>119244627</v>
      </c>
      <c r="M2186">
        <f t="shared" si="438"/>
        <v>16554479</v>
      </c>
      <c r="N2186">
        <f t="shared" si="435"/>
        <v>135799106</v>
      </c>
    </row>
    <row r="2187" ht="13.9" spans="1:14">
      <c r="A2187" s="42" t="s">
        <v>1433</v>
      </c>
      <c r="B2187" s="11">
        <v>16523227</v>
      </c>
      <c r="D2187" s="11">
        <v>63</v>
      </c>
      <c r="E2187">
        <f t="shared" si="437"/>
        <v>63</v>
      </c>
      <c r="H2187">
        <f t="shared" si="433"/>
        <v>63000000</v>
      </c>
      <c r="I2187">
        <f t="shared" si="434"/>
        <v>30240000</v>
      </c>
      <c r="K2187">
        <f t="shared" si="436"/>
        <v>102721400</v>
      </c>
      <c r="M2187">
        <f t="shared" si="438"/>
        <v>16523227</v>
      </c>
      <c r="N2187">
        <f t="shared" si="435"/>
        <v>119244627</v>
      </c>
    </row>
    <row r="2188" ht="13.85" spans="1:14">
      <c r="A2188" s="43">
        <v>40820</v>
      </c>
      <c r="B2188" s="11">
        <v>14187049</v>
      </c>
      <c r="D2188" s="11">
        <v>52</v>
      </c>
      <c r="E2188">
        <f t="shared" si="437"/>
        <v>52</v>
      </c>
      <c r="H2188">
        <f t="shared" si="433"/>
        <v>52000000</v>
      </c>
      <c r="I2188">
        <f t="shared" si="434"/>
        <v>24960000</v>
      </c>
      <c r="K2188">
        <f t="shared" si="436"/>
        <v>88534351</v>
      </c>
      <c r="M2188">
        <f t="shared" si="438"/>
        <v>14187049</v>
      </c>
      <c r="N2188">
        <f t="shared" si="435"/>
        <v>102721400</v>
      </c>
    </row>
    <row r="2189" ht="13.85" spans="1:14">
      <c r="A2189" s="43">
        <v>40698</v>
      </c>
      <c r="B2189" s="11">
        <v>14852616</v>
      </c>
      <c r="D2189" s="11">
        <v>44</v>
      </c>
      <c r="E2189">
        <f t="shared" si="437"/>
        <v>44</v>
      </c>
      <c r="H2189">
        <f t="shared" si="433"/>
        <v>44000000</v>
      </c>
      <c r="I2189">
        <f t="shared" si="434"/>
        <v>21120000</v>
      </c>
      <c r="K2189">
        <f t="shared" si="436"/>
        <v>73681735</v>
      </c>
      <c r="M2189">
        <f t="shared" si="438"/>
        <v>14852616</v>
      </c>
      <c r="N2189">
        <f t="shared" si="435"/>
        <v>88534351</v>
      </c>
    </row>
    <row r="2190" ht="13.85" spans="1:14">
      <c r="A2190" s="43">
        <v>40606</v>
      </c>
      <c r="B2190" s="11">
        <v>12349232</v>
      </c>
      <c r="D2190" s="11">
        <v>35</v>
      </c>
      <c r="E2190">
        <f t="shared" si="437"/>
        <v>35</v>
      </c>
      <c r="H2190">
        <f t="shared" si="433"/>
        <v>35000000</v>
      </c>
      <c r="I2190">
        <f t="shared" si="434"/>
        <v>16800000</v>
      </c>
      <c r="K2190">
        <f t="shared" si="436"/>
        <v>61332503</v>
      </c>
      <c r="M2190">
        <f t="shared" si="438"/>
        <v>12349232</v>
      </c>
      <c r="N2190">
        <f t="shared" si="435"/>
        <v>73681735</v>
      </c>
    </row>
    <row r="2191" ht="13.9" spans="1:14">
      <c r="A2191" s="42" t="s">
        <v>1434</v>
      </c>
      <c r="B2191" s="11">
        <v>13539488</v>
      </c>
      <c r="D2191" s="11">
        <v>28</v>
      </c>
      <c r="E2191">
        <f t="shared" si="437"/>
        <v>28</v>
      </c>
      <c r="H2191">
        <f t="shared" ref="H2191:H2254" si="439">E2191*1000000</f>
        <v>28000000</v>
      </c>
      <c r="I2191">
        <f t="shared" si="434"/>
        <v>13440000</v>
      </c>
      <c r="K2191">
        <f t="shared" si="436"/>
        <v>47793015</v>
      </c>
      <c r="M2191">
        <f t="shared" si="438"/>
        <v>13539488</v>
      </c>
      <c r="N2191">
        <f t="shared" si="435"/>
        <v>61332503</v>
      </c>
    </row>
    <row r="2192" ht="13.9" spans="1:14">
      <c r="A2192" s="42" t="s">
        <v>1435</v>
      </c>
      <c r="B2192" s="11">
        <v>11497921</v>
      </c>
      <c r="D2192" s="11">
        <v>20</v>
      </c>
      <c r="E2192">
        <f t="shared" si="437"/>
        <v>20</v>
      </c>
      <c r="H2192">
        <f t="shared" si="439"/>
        <v>20000000</v>
      </c>
      <c r="I2192">
        <f t="shared" si="434"/>
        <v>9600000</v>
      </c>
      <c r="K2192">
        <f t="shared" si="436"/>
        <v>36295094</v>
      </c>
      <c r="M2192">
        <f t="shared" si="438"/>
        <v>11497921</v>
      </c>
      <c r="N2192">
        <f t="shared" si="435"/>
        <v>47793015</v>
      </c>
    </row>
    <row r="2193" ht="13.9" spans="1:14">
      <c r="A2193" s="42" t="s">
        <v>1436</v>
      </c>
      <c r="B2193" s="11">
        <v>12615047</v>
      </c>
      <c r="D2193" s="11">
        <v>13</v>
      </c>
      <c r="E2193">
        <f t="shared" si="437"/>
        <v>13</v>
      </c>
      <c r="H2193">
        <f t="shared" si="439"/>
        <v>13000000</v>
      </c>
      <c r="I2193">
        <f t="shared" si="434"/>
        <v>6240000</v>
      </c>
      <c r="K2193">
        <f t="shared" si="436"/>
        <v>23680047</v>
      </c>
      <c r="M2193">
        <f t="shared" si="438"/>
        <v>12615047</v>
      </c>
      <c r="N2193">
        <f t="shared" si="435"/>
        <v>36295094</v>
      </c>
    </row>
    <row r="2194" ht="13.9" spans="1:14">
      <c r="A2194" s="42" t="s">
        <v>1437</v>
      </c>
      <c r="B2194" s="11">
        <v>10763447</v>
      </c>
      <c r="D2194" s="11">
        <v>10</v>
      </c>
      <c r="E2194">
        <f t="shared" si="437"/>
        <v>10</v>
      </c>
      <c r="H2194">
        <f t="shared" si="439"/>
        <v>10000000</v>
      </c>
      <c r="I2194">
        <f t="shared" si="434"/>
        <v>4800000</v>
      </c>
      <c r="K2194">
        <f t="shared" si="436"/>
        <v>12916600</v>
      </c>
      <c r="M2194">
        <f t="shared" si="438"/>
        <v>10763447</v>
      </c>
      <c r="N2194">
        <f t="shared" si="435"/>
        <v>23680047</v>
      </c>
    </row>
    <row r="2195" ht="13.9" spans="1:14">
      <c r="A2195" s="42" t="s">
        <v>1438</v>
      </c>
      <c r="B2195" s="11">
        <v>12916600</v>
      </c>
      <c r="D2195" s="11">
        <v>15</v>
      </c>
      <c r="E2195">
        <f t="shared" si="437"/>
        <v>15</v>
      </c>
      <c r="H2195">
        <f t="shared" si="439"/>
        <v>15000000</v>
      </c>
      <c r="I2195">
        <f t="shared" si="434"/>
        <v>7200000</v>
      </c>
      <c r="K2195">
        <f t="shared" si="436"/>
        <v>74829762</v>
      </c>
      <c r="M2195">
        <f t="shared" si="438"/>
        <v>12916600</v>
      </c>
      <c r="N2195">
        <f t="shared" si="435"/>
        <v>87746362</v>
      </c>
    </row>
    <row r="2196" ht="13.9" spans="1:14">
      <c r="A2196" s="42" t="s">
        <v>1439</v>
      </c>
      <c r="B2196" s="11">
        <v>11796809</v>
      </c>
      <c r="D2196" s="11">
        <v>10</v>
      </c>
      <c r="E2196">
        <f t="shared" si="437"/>
        <v>10</v>
      </c>
      <c r="H2196">
        <f t="shared" si="439"/>
        <v>10000000</v>
      </c>
      <c r="I2196">
        <f t="shared" si="434"/>
        <v>4800000</v>
      </c>
      <c r="K2196">
        <f t="shared" si="436"/>
        <v>63032953</v>
      </c>
      <c r="M2196">
        <f t="shared" si="438"/>
        <v>11796809</v>
      </c>
      <c r="N2196">
        <f t="shared" si="435"/>
        <v>74829762</v>
      </c>
    </row>
    <row r="2197" ht="13.85" spans="1:14">
      <c r="A2197" s="43">
        <v>40425</v>
      </c>
      <c r="B2197" s="11">
        <v>63032953</v>
      </c>
      <c r="D2197" s="11">
        <v>215</v>
      </c>
      <c r="E2197">
        <f t="shared" si="437"/>
        <v>215</v>
      </c>
      <c r="H2197">
        <f t="shared" si="439"/>
        <v>215000000</v>
      </c>
      <c r="I2197">
        <f t="shared" si="434"/>
        <v>103200000</v>
      </c>
      <c r="K2197">
        <f t="shared" si="436"/>
        <v>326051646</v>
      </c>
      <c r="M2197">
        <f t="shared" si="438"/>
        <v>63032953</v>
      </c>
      <c r="N2197">
        <f t="shared" si="435"/>
        <v>389084599</v>
      </c>
    </row>
    <row r="2198" ht="13.85" spans="1:14">
      <c r="A2198" s="43">
        <v>40333</v>
      </c>
      <c r="B2198" s="11">
        <v>43361601</v>
      </c>
      <c r="D2198" s="11">
        <v>177</v>
      </c>
      <c r="E2198">
        <f t="shared" si="437"/>
        <v>177</v>
      </c>
      <c r="H2198">
        <f t="shared" si="439"/>
        <v>177000000</v>
      </c>
      <c r="I2198">
        <f t="shared" si="434"/>
        <v>84960000</v>
      </c>
      <c r="K2198">
        <f t="shared" si="436"/>
        <v>282690045</v>
      </c>
      <c r="M2198">
        <f t="shared" si="438"/>
        <v>43361601</v>
      </c>
      <c r="N2198">
        <f t="shared" si="435"/>
        <v>326051646</v>
      </c>
    </row>
    <row r="2199" ht="13.85" spans="1:14">
      <c r="A2199" s="43">
        <v>40213</v>
      </c>
      <c r="B2199" s="11">
        <v>37384497</v>
      </c>
      <c r="D2199" s="11">
        <v>151</v>
      </c>
      <c r="E2199">
        <f t="shared" si="437"/>
        <v>151</v>
      </c>
      <c r="H2199">
        <f t="shared" si="439"/>
        <v>151000000</v>
      </c>
      <c r="I2199">
        <f t="shared" si="434"/>
        <v>72480000</v>
      </c>
      <c r="K2199">
        <f t="shared" si="436"/>
        <v>245305548</v>
      </c>
      <c r="M2199">
        <f t="shared" si="438"/>
        <v>37384497</v>
      </c>
      <c r="N2199">
        <f t="shared" si="435"/>
        <v>282690045</v>
      </c>
    </row>
    <row r="2200" ht="13.9" spans="1:14">
      <c r="A2200" s="42" t="s">
        <v>1440</v>
      </c>
      <c r="B2200" s="11">
        <v>29896354</v>
      </c>
      <c r="D2200" s="11">
        <v>128</v>
      </c>
      <c r="E2200">
        <f t="shared" si="437"/>
        <v>128</v>
      </c>
      <c r="H2200">
        <f t="shared" si="439"/>
        <v>128000000</v>
      </c>
      <c r="I2200">
        <f t="shared" si="434"/>
        <v>61440000</v>
      </c>
      <c r="K2200">
        <f t="shared" si="436"/>
        <v>215409194</v>
      </c>
      <c r="M2200">
        <f t="shared" si="438"/>
        <v>29896354</v>
      </c>
      <c r="N2200">
        <f t="shared" si="435"/>
        <v>245305548</v>
      </c>
    </row>
    <row r="2201" ht="13.9" spans="1:14">
      <c r="A2201" s="42" t="s">
        <v>1441</v>
      </c>
      <c r="B2201" s="11">
        <v>27476141</v>
      </c>
      <c r="D2201" s="11">
        <v>110</v>
      </c>
      <c r="E2201">
        <f t="shared" si="437"/>
        <v>110</v>
      </c>
      <c r="H2201">
        <f t="shared" si="439"/>
        <v>110000000</v>
      </c>
      <c r="I2201">
        <f t="shared" si="434"/>
        <v>52800000</v>
      </c>
      <c r="K2201">
        <f t="shared" si="436"/>
        <v>187933053</v>
      </c>
      <c r="M2201">
        <f t="shared" si="438"/>
        <v>27476141</v>
      </c>
      <c r="N2201">
        <f t="shared" si="435"/>
        <v>215409194</v>
      </c>
    </row>
    <row r="2202" ht="13.9" spans="1:14">
      <c r="A2202" s="42" t="s">
        <v>1442</v>
      </c>
      <c r="B2202" s="11">
        <v>21145819</v>
      </c>
      <c r="D2202" s="11">
        <v>95</v>
      </c>
      <c r="E2202">
        <f t="shared" si="437"/>
        <v>95</v>
      </c>
      <c r="H2202">
        <f t="shared" si="439"/>
        <v>95000000</v>
      </c>
      <c r="I2202">
        <f t="shared" si="434"/>
        <v>45600000</v>
      </c>
      <c r="K2202">
        <f t="shared" si="436"/>
        <v>166787234</v>
      </c>
      <c r="M2202">
        <f t="shared" si="438"/>
        <v>21145819</v>
      </c>
      <c r="N2202">
        <f t="shared" si="435"/>
        <v>187933053</v>
      </c>
    </row>
    <row r="2203" ht="13.9" spans="1:14">
      <c r="A2203" s="42" t="s">
        <v>1443</v>
      </c>
      <c r="B2203" s="11">
        <v>19493522</v>
      </c>
      <c r="D2203" s="11">
        <v>84</v>
      </c>
      <c r="E2203">
        <f t="shared" si="437"/>
        <v>84</v>
      </c>
      <c r="H2203">
        <f t="shared" si="439"/>
        <v>84000000</v>
      </c>
      <c r="I2203">
        <f t="shared" si="434"/>
        <v>40320000</v>
      </c>
      <c r="K2203">
        <f t="shared" si="436"/>
        <v>147293712</v>
      </c>
      <c r="M2203">
        <f t="shared" si="438"/>
        <v>19493522</v>
      </c>
      <c r="N2203">
        <f t="shared" si="435"/>
        <v>166787234</v>
      </c>
    </row>
    <row r="2204" ht="13.9" spans="1:14">
      <c r="A2204" s="42" t="s">
        <v>1444</v>
      </c>
      <c r="B2204" s="11">
        <v>16587844</v>
      </c>
      <c r="D2204" s="11">
        <v>72</v>
      </c>
      <c r="E2204">
        <f t="shared" si="437"/>
        <v>72</v>
      </c>
      <c r="H2204">
        <f t="shared" si="439"/>
        <v>72000000</v>
      </c>
      <c r="I2204">
        <f t="shared" si="434"/>
        <v>34560000</v>
      </c>
      <c r="K2204">
        <f t="shared" si="436"/>
        <v>130705868</v>
      </c>
      <c r="M2204">
        <f t="shared" si="438"/>
        <v>16587844</v>
      </c>
      <c r="N2204">
        <f t="shared" si="435"/>
        <v>147293712</v>
      </c>
    </row>
    <row r="2205" ht="13.85" spans="1:14">
      <c r="A2205" s="43">
        <v>40121</v>
      </c>
      <c r="B2205" s="11">
        <v>16635119</v>
      </c>
      <c r="D2205" s="11">
        <v>64</v>
      </c>
      <c r="E2205">
        <f t="shared" si="437"/>
        <v>64</v>
      </c>
      <c r="H2205">
        <f t="shared" si="439"/>
        <v>64000000</v>
      </c>
      <c r="I2205">
        <f t="shared" si="434"/>
        <v>30720000</v>
      </c>
      <c r="K2205">
        <f t="shared" si="436"/>
        <v>114070749</v>
      </c>
      <c r="M2205">
        <f t="shared" si="438"/>
        <v>16635119</v>
      </c>
      <c r="N2205">
        <f t="shared" si="435"/>
        <v>130705868</v>
      </c>
    </row>
    <row r="2206" ht="13.85" spans="1:14">
      <c r="A2206" s="43">
        <v>40029</v>
      </c>
      <c r="B2206" s="11">
        <v>13654144</v>
      </c>
      <c r="D2206" s="11">
        <v>54</v>
      </c>
      <c r="E2206">
        <f t="shared" si="437"/>
        <v>54</v>
      </c>
      <c r="H2206">
        <f t="shared" si="439"/>
        <v>54000000</v>
      </c>
      <c r="I2206">
        <f t="shared" ref="I2206:I2269" si="440">H2206*0.48</f>
        <v>25920000</v>
      </c>
      <c r="K2206">
        <f t="shared" si="436"/>
        <v>100416605</v>
      </c>
      <c r="M2206">
        <f t="shared" si="438"/>
        <v>13654144</v>
      </c>
      <c r="N2206">
        <f t="shared" si="435"/>
        <v>114070749</v>
      </c>
    </row>
    <row r="2207" ht="13.85" spans="1:14">
      <c r="A2207" s="43">
        <v>39907</v>
      </c>
      <c r="B2207" s="11">
        <v>15231116</v>
      </c>
      <c r="D2207" s="11">
        <v>45</v>
      </c>
      <c r="E2207">
        <f t="shared" si="437"/>
        <v>45</v>
      </c>
      <c r="H2207">
        <f t="shared" si="439"/>
        <v>45000000</v>
      </c>
      <c r="I2207">
        <f t="shared" si="440"/>
        <v>21600000</v>
      </c>
      <c r="K2207">
        <f t="shared" si="436"/>
        <v>85185489</v>
      </c>
      <c r="M2207">
        <f t="shared" si="438"/>
        <v>15231116</v>
      </c>
      <c r="N2207">
        <f t="shared" ref="N2207:N2270" si="441">IF(H2207&lt;H2208,M2207+M2208,M2207+N2208)</f>
        <v>100416605</v>
      </c>
    </row>
    <row r="2208" ht="13.85" spans="1:14">
      <c r="A2208" s="43">
        <v>39817</v>
      </c>
      <c r="B2208" s="11">
        <v>12652438</v>
      </c>
      <c r="D2208" s="11">
        <v>36</v>
      </c>
      <c r="E2208">
        <f t="shared" si="437"/>
        <v>36</v>
      </c>
      <c r="H2208">
        <f t="shared" si="439"/>
        <v>36000000</v>
      </c>
      <c r="I2208">
        <f t="shared" si="440"/>
        <v>17280000</v>
      </c>
      <c r="K2208">
        <f t="shared" si="436"/>
        <v>72533051</v>
      </c>
      <c r="M2208">
        <f t="shared" si="438"/>
        <v>12652438</v>
      </c>
      <c r="N2208">
        <f t="shared" si="441"/>
        <v>85185489</v>
      </c>
    </row>
    <row r="2209" ht="13.9" spans="1:14">
      <c r="A2209" s="42" t="s">
        <v>1445</v>
      </c>
      <c r="B2209" s="11">
        <v>13548423</v>
      </c>
      <c r="D2209" s="11">
        <v>28</v>
      </c>
      <c r="E2209">
        <f t="shared" si="437"/>
        <v>28</v>
      </c>
      <c r="H2209">
        <f t="shared" si="439"/>
        <v>28000000</v>
      </c>
      <c r="I2209">
        <f t="shared" si="440"/>
        <v>13440000</v>
      </c>
      <c r="K2209">
        <f t="shared" si="436"/>
        <v>58984628</v>
      </c>
      <c r="M2209">
        <f t="shared" si="438"/>
        <v>13548423</v>
      </c>
      <c r="N2209">
        <f t="shared" si="441"/>
        <v>72533051</v>
      </c>
    </row>
    <row r="2210" ht="13.9" spans="1:14">
      <c r="A2210" s="42" t="s">
        <v>1446</v>
      </c>
      <c r="B2210" s="11">
        <v>11582226</v>
      </c>
      <c r="D2210" s="11">
        <v>21</v>
      </c>
      <c r="E2210">
        <f t="shared" si="437"/>
        <v>21</v>
      </c>
      <c r="H2210">
        <f t="shared" si="439"/>
        <v>21000000</v>
      </c>
      <c r="I2210">
        <f t="shared" si="440"/>
        <v>10080000</v>
      </c>
      <c r="K2210">
        <f t="shared" si="436"/>
        <v>47402402</v>
      </c>
      <c r="M2210">
        <f t="shared" si="438"/>
        <v>11582226</v>
      </c>
      <c r="N2210">
        <f t="shared" si="441"/>
        <v>58984628</v>
      </c>
    </row>
    <row r="2211" ht="13.9" spans="1:14">
      <c r="A2211" s="42" t="s">
        <v>1447</v>
      </c>
      <c r="B2211" s="11">
        <v>12422337</v>
      </c>
      <c r="D2211" s="11">
        <v>14</v>
      </c>
      <c r="E2211">
        <f t="shared" si="437"/>
        <v>14</v>
      </c>
      <c r="H2211">
        <f t="shared" si="439"/>
        <v>14000000</v>
      </c>
      <c r="I2211">
        <f t="shared" si="440"/>
        <v>6720000</v>
      </c>
      <c r="K2211">
        <f t="shared" si="436"/>
        <v>34980065</v>
      </c>
      <c r="M2211">
        <f t="shared" si="438"/>
        <v>12422337</v>
      </c>
      <c r="N2211">
        <f t="shared" si="441"/>
        <v>47402402</v>
      </c>
    </row>
    <row r="2212" ht="13.9" spans="1:14">
      <c r="A2212" s="42" t="s">
        <v>1448</v>
      </c>
      <c r="B2212" s="11">
        <v>11028375</v>
      </c>
      <c r="D2212" s="11">
        <v>10</v>
      </c>
      <c r="E2212">
        <f t="shared" si="437"/>
        <v>10</v>
      </c>
      <c r="H2212">
        <f t="shared" si="439"/>
        <v>10000000</v>
      </c>
      <c r="I2212">
        <f t="shared" si="440"/>
        <v>4800000</v>
      </c>
      <c r="K2212">
        <f t="shared" si="436"/>
        <v>23951690</v>
      </c>
      <c r="M2212">
        <f t="shared" si="438"/>
        <v>11028375</v>
      </c>
      <c r="N2212">
        <f t="shared" si="441"/>
        <v>34980065</v>
      </c>
    </row>
    <row r="2213" ht="13.9" spans="1:14">
      <c r="A2213" s="42" t="s">
        <v>1449</v>
      </c>
      <c r="B2213" s="11">
        <v>23951690</v>
      </c>
      <c r="D2213" s="11">
        <v>97</v>
      </c>
      <c r="E2213">
        <f t="shared" si="437"/>
        <v>97</v>
      </c>
      <c r="H2213">
        <f t="shared" si="439"/>
        <v>97000000</v>
      </c>
      <c r="I2213">
        <f t="shared" si="440"/>
        <v>46560000</v>
      </c>
      <c r="K2213">
        <f t="shared" si="436"/>
        <v>153252334</v>
      </c>
      <c r="M2213">
        <f t="shared" si="438"/>
        <v>23951690</v>
      </c>
      <c r="N2213">
        <f t="shared" si="441"/>
        <v>177204024</v>
      </c>
    </row>
    <row r="2214" ht="13.85" spans="1:14">
      <c r="A2214" s="43">
        <v>39756</v>
      </c>
      <c r="B2214" s="11">
        <v>18835239</v>
      </c>
      <c r="D2214" s="11">
        <v>84</v>
      </c>
      <c r="E2214">
        <f t="shared" si="437"/>
        <v>84</v>
      </c>
      <c r="H2214">
        <f t="shared" si="439"/>
        <v>84000000</v>
      </c>
      <c r="I2214">
        <f t="shared" si="440"/>
        <v>40320000</v>
      </c>
      <c r="K2214">
        <f t="shared" si="436"/>
        <v>134417095</v>
      </c>
      <c r="M2214">
        <f t="shared" si="438"/>
        <v>18835239</v>
      </c>
      <c r="N2214">
        <f t="shared" si="441"/>
        <v>153252334</v>
      </c>
    </row>
    <row r="2215" ht="13.85" spans="1:14">
      <c r="A2215" s="43">
        <v>39633</v>
      </c>
      <c r="B2215" s="11">
        <v>18681545</v>
      </c>
      <c r="D2215" s="11">
        <v>76</v>
      </c>
      <c r="E2215">
        <f t="shared" si="437"/>
        <v>76</v>
      </c>
      <c r="H2215">
        <f t="shared" si="439"/>
        <v>76000000</v>
      </c>
      <c r="I2215">
        <f t="shared" si="440"/>
        <v>36480000</v>
      </c>
      <c r="K2215">
        <f t="shared" si="436"/>
        <v>115735550</v>
      </c>
      <c r="M2215">
        <f t="shared" si="438"/>
        <v>18681545</v>
      </c>
      <c r="N2215">
        <f t="shared" si="441"/>
        <v>134417095</v>
      </c>
    </row>
    <row r="2216" ht="13.85" spans="1:14">
      <c r="A2216" s="43">
        <v>39542</v>
      </c>
      <c r="B2216" s="11">
        <v>15639279</v>
      </c>
      <c r="D2216" s="11">
        <v>63</v>
      </c>
      <c r="E2216">
        <f t="shared" si="437"/>
        <v>63</v>
      </c>
      <c r="H2216">
        <f t="shared" si="439"/>
        <v>63000000</v>
      </c>
      <c r="I2216">
        <f t="shared" si="440"/>
        <v>30240000</v>
      </c>
      <c r="K2216">
        <f t="shared" si="436"/>
        <v>100096271</v>
      </c>
      <c r="M2216">
        <f t="shared" si="438"/>
        <v>15639279</v>
      </c>
      <c r="N2216">
        <f t="shared" si="441"/>
        <v>115735550</v>
      </c>
    </row>
    <row r="2217" ht="13.9" spans="1:14">
      <c r="A2217" s="42" t="s">
        <v>1450</v>
      </c>
      <c r="B2217" s="11">
        <v>16147018</v>
      </c>
      <c r="D2217" s="11">
        <v>54</v>
      </c>
      <c r="E2217">
        <f t="shared" si="437"/>
        <v>54</v>
      </c>
      <c r="H2217">
        <f t="shared" si="439"/>
        <v>54000000</v>
      </c>
      <c r="I2217">
        <f t="shared" si="440"/>
        <v>25920000</v>
      </c>
      <c r="K2217">
        <f t="shared" si="436"/>
        <v>83949253</v>
      </c>
      <c r="M2217">
        <f t="shared" si="438"/>
        <v>16147018</v>
      </c>
      <c r="N2217">
        <f t="shared" si="441"/>
        <v>100096271</v>
      </c>
    </row>
    <row r="2218" ht="13.9" spans="1:14">
      <c r="A2218" s="42" t="s">
        <v>1451</v>
      </c>
      <c r="B2218" s="11">
        <v>12950821</v>
      </c>
      <c r="D2218" s="11">
        <v>44</v>
      </c>
      <c r="E2218">
        <f t="shared" si="437"/>
        <v>44</v>
      </c>
      <c r="H2218">
        <f t="shared" si="439"/>
        <v>44000000</v>
      </c>
      <c r="I2218">
        <f t="shared" si="440"/>
        <v>21120000</v>
      </c>
      <c r="K2218">
        <f t="shared" ref="K2218:K2281" si="442">IF(E2218&gt;E2219,B2219+K2219,B2219)</f>
        <v>70998432</v>
      </c>
      <c r="M2218">
        <f t="shared" si="438"/>
        <v>12950821</v>
      </c>
      <c r="N2218">
        <f t="shared" si="441"/>
        <v>83949253</v>
      </c>
    </row>
    <row r="2219" ht="13.9" spans="1:14">
      <c r="A2219" s="42" t="s">
        <v>1452</v>
      </c>
      <c r="B2219" s="11">
        <v>13580987</v>
      </c>
      <c r="D2219" s="11">
        <v>36</v>
      </c>
      <c r="E2219">
        <f t="shared" si="437"/>
        <v>36</v>
      </c>
      <c r="H2219">
        <f t="shared" si="439"/>
        <v>36000000</v>
      </c>
      <c r="I2219">
        <f t="shared" si="440"/>
        <v>17280000</v>
      </c>
      <c r="K2219">
        <f t="shared" si="442"/>
        <v>57417445</v>
      </c>
      <c r="M2219">
        <f t="shared" si="438"/>
        <v>13580987</v>
      </c>
      <c r="N2219">
        <f t="shared" si="441"/>
        <v>70998432</v>
      </c>
    </row>
    <row r="2220" ht="13.9" spans="1:14">
      <c r="A2220" s="42" t="s">
        <v>1453</v>
      </c>
      <c r="B2220" s="11">
        <v>11582105</v>
      </c>
      <c r="D2220" s="11">
        <v>27</v>
      </c>
      <c r="E2220">
        <f t="shared" si="437"/>
        <v>27</v>
      </c>
      <c r="H2220">
        <f t="shared" si="439"/>
        <v>27000000</v>
      </c>
      <c r="I2220">
        <f t="shared" si="440"/>
        <v>12960000</v>
      </c>
      <c r="K2220">
        <f t="shared" si="442"/>
        <v>45835340</v>
      </c>
      <c r="M2220">
        <f t="shared" si="438"/>
        <v>11582105</v>
      </c>
      <c r="N2220">
        <f t="shared" si="441"/>
        <v>57417445</v>
      </c>
    </row>
    <row r="2221" ht="13.9" spans="1:14">
      <c r="A2221" s="42" t="s">
        <v>1454</v>
      </c>
      <c r="B2221" s="11">
        <v>12613814</v>
      </c>
      <c r="D2221" s="11">
        <v>21</v>
      </c>
      <c r="E2221">
        <f t="shared" si="437"/>
        <v>21</v>
      </c>
      <c r="H2221">
        <f t="shared" si="439"/>
        <v>21000000</v>
      </c>
      <c r="I2221">
        <f t="shared" si="440"/>
        <v>10080000</v>
      </c>
      <c r="K2221">
        <f t="shared" si="442"/>
        <v>33221526</v>
      </c>
      <c r="M2221">
        <f t="shared" si="438"/>
        <v>12613814</v>
      </c>
      <c r="N2221">
        <f t="shared" si="441"/>
        <v>45835340</v>
      </c>
    </row>
    <row r="2222" ht="13.9" spans="1:14">
      <c r="A2222" s="42" t="s">
        <v>1455</v>
      </c>
      <c r="B2222" s="11">
        <v>10530161</v>
      </c>
      <c r="D2222" s="11">
        <v>13</v>
      </c>
      <c r="E2222">
        <f t="shared" si="437"/>
        <v>13</v>
      </c>
      <c r="H2222">
        <f t="shared" si="439"/>
        <v>13000000</v>
      </c>
      <c r="I2222">
        <f t="shared" si="440"/>
        <v>6240000</v>
      </c>
      <c r="K2222">
        <f t="shared" si="442"/>
        <v>22691365</v>
      </c>
      <c r="M2222">
        <f t="shared" si="438"/>
        <v>10530161</v>
      </c>
      <c r="N2222">
        <f t="shared" si="441"/>
        <v>33221526</v>
      </c>
    </row>
    <row r="2223" ht="13.85" spans="1:14">
      <c r="A2223" s="43">
        <v>39359</v>
      </c>
      <c r="B2223" s="11">
        <v>11620775</v>
      </c>
      <c r="D2223" s="11">
        <v>10</v>
      </c>
      <c r="E2223">
        <f t="shared" si="437"/>
        <v>10</v>
      </c>
      <c r="H2223">
        <f t="shared" si="439"/>
        <v>10000000</v>
      </c>
      <c r="I2223">
        <f t="shared" si="440"/>
        <v>4800000</v>
      </c>
      <c r="K2223">
        <f t="shared" si="442"/>
        <v>11070590</v>
      </c>
      <c r="M2223">
        <f t="shared" si="438"/>
        <v>11620775</v>
      </c>
      <c r="N2223">
        <f t="shared" si="441"/>
        <v>22691365</v>
      </c>
    </row>
    <row r="2224" ht="13.9" spans="1:14">
      <c r="A2224" s="42" t="s">
        <v>1456</v>
      </c>
      <c r="B2224" s="11">
        <v>11070590</v>
      </c>
      <c r="D2224" s="11">
        <v>21</v>
      </c>
      <c r="E2224">
        <f t="shared" si="437"/>
        <v>21</v>
      </c>
      <c r="H2224">
        <f t="shared" si="439"/>
        <v>21000000</v>
      </c>
      <c r="I2224">
        <f t="shared" si="440"/>
        <v>10080000</v>
      </c>
      <c r="K2224">
        <f t="shared" si="442"/>
        <v>40424491</v>
      </c>
      <c r="M2224">
        <f t="shared" si="438"/>
        <v>11070590</v>
      </c>
      <c r="N2224">
        <f t="shared" si="441"/>
        <v>51495081</v>
      </c>
    </row>
    <row r="2225" ht="13.85" spans="1:14">
      <c r="A2225" s="43">
        <v>39145</v>
      </c>
      <c r="B2225" s="11">
        <v>12992696</v>
      </c>
      <c r="D2225" s="11">
        <v>13</v>
      </c>
      <c r="E2225">
        <f t="shared" si="437"/>
        <v>13</v>
      </c>
      <c r="H2225">
        <f t="shared" si="439"/>
        <v>13000000</v>
      </c>
      <c r="I2225">
        <f t="shared" si="440"/>
        <v>6240000</v>
      </c>
      <c r="K2225">
        <f t="shared" si="442"/>
        <v>27431795</v>
      </c>
      <c r="M2225">
        <f t="shared" si="438"/>
        <v>12992696</v>
      </c>
      <c r="N2225">
        <f t="shared" si="441"/>
        <v>40424491</v>
      </c>
    </row>
    <row r="2226" ht="13.9" spans="1:14">
      <c r="A2226" s="42" t="s">
        <v>1457</v>
      </c>
      <c r="B2226" s="11">
        <v>10770005</v>
      </c>
      <c r="D2226" s="11">
        <v>10</v>
      </c>
      <c r="E2226">
        <f t="shared" si="437"/>
        <v>10</v>
      </c>
      <c r="H2226">
        <f t="shared" si="439"/>
        <v>10000000</v>
      </c>
      <c r="I2226">
        <f t="shared" si="440"/>
        <v>4800000</v>
      </c>
      <c r="K2226">
        <f t="shared" si="442"/>
        <v>16661790</v>
      </c>
      <c r="M2226">
        <f t="shared" si="438"/>
        <v>10770005</v>
      </c>
      <c r="N2226">
        <f t="shared" si="441"/>
        <v>27431795</v>
      </c>
    </row>
    <row r="2227" ht="13.9" spans="1:14">
      <c r="A2227" s="42" t="s">
        <v>1458</v>
      </c>
      <c r="B2227" s="11">
        <v>16661790</v>
      </c>
      <c r="D2227" s="11">
        <v>67</v>
      </c>
      <c r="E2227">
        <f t="shared" si="437"/>
        <v>67</v>
      </c>
      <c r="H2227">
        <f t="shared" si="439"/>
        <v>67000000</v>
      </c>
      <c r="I2227">
        <f t="shared" si="440"/>
        <v>32160000</v>
      </c>
      <c r="K2227">
        <f t="shared" si="442"/>
        <v>107166783</v>
      </c>
      <c r="M2227">
        <f t="shared" si="438"/>
        <v>16661790</v>
      </c>
      <c r="N2227">
        <f t="shared" si="441"/>
        <v>123828573</v>
      </c>
    </row>
    <row r="2228" ht="13.9" spans="1:14">
      <c r="A2228" s="42" t="s">
        <v>1459</v>
      </c>
      <c r="B2228" s="11">
        <v>14138812</v>
      </c>
      <c r="D2228" s="11">
        <v>55</v>
      </c>
      <c r="E2228">
        <f t="shared" si="437"/>
        <v>55</v>
      </c>
      <c r="H2228">
        <f t="shared" si="439"/>
        <v>55000000</v>
      </c>
      <c r="I2228">
        <f t="shared" si="440"/>
        <v>26400000</v>
      </c>
      <c r="K2228">
        <f t="shared" si="442"/>
        <v>93027971</v>
      </c>
      <c r="M2228">
        <f t="shared" si="438"/>
        <v>14138812</v>
      </c>
      <c r="N2228">
        <f t="shared" si="441"/>
        <v>107166783</v>
      </c>
    </row>
    <row r="2229" ht="13.9" spans="1:14">
      <c r="A2229" s="42" t="s">
        <v>1460</v>
      </c>
      <c r="B2229" s="11">
        <v>14958705</v>
      </c>
      <c r="D2229" s="11">
        <v>47</v>
      </c>
      <c r="E2229">
        <f t="shared" si="437"/>
        <v>47</v>
      </c>
      <c r="H2229">
        <f t="shared" si="439"/>
        <v>47000000</v>
      </c>
      <c r="I2229">
        <f t="shared" si="440"/>
        <v>22560000</v>
      </c>
      <c r="K2229">
        <f t="shared" si="442"/>
        <v>78069266</v>
      </c>
      <c r="M2229">
        <f t="shared" si="438"/>
        <v>14958705</v>
      </c>
      <c r="N2229">
        <f t="shared" si="441"/>
        <v>93027971</v>
      </c>
    </row>
    <row r="2230" ht="13.9" spans="1:14">
      <c r="A2230" s="42" t="s">
        <v>1461</v>
      </c>
      <c r="B2230" s="11">
        <v>12649299</v>
      </c>
      <c r="D2230" s="11">
        <v>38</v>
      </c>
      <c r="E2230">
        <f t="shared" si="437"/>
        <v>38</v>
      </c>
      <c r="H2230">
        <f t="shared" si="439"/>
        <v>38000000</v>
      </c>
      <c r="I2230">
        <f t="shared" si="440"/>
        <v>18240000</v>
      </c>
      <c r="K2230">
        <f t="shared" si="442"/>
        <v>65419967</v>
      </c>
      <c r="M2230">
        <f t="shared" si="438"/>
        <v>12649299</v>
      </c>
      <c r="N2230">
        <f t="shared" si="441"/>
        <v>78069266</v>
      </c>
    </row>
    <row r="2231" ht="13.85" spans="1:14">
      <c r="A2231" s="43">
        <v>39055</v>
      </c>
      <c r="B2231" s="11">
        <v>13550652</v>
      </c>
      <c r="D2231" s="11">
        <v>30</v>
      </c>
      <c r="E2231">
        <f t="shared" si="437"/>
        <v>30</v>
      </c>
      <c r="H2231">
        <f t="shared" si="439"/>
        <v>30000000</v>
      </c>
      <c r="I2231">
        <f t="shared" si="440"/>
        <v>14400000</v>
      </c>
      <c r="K2231">
        <f t="shared" si="442"/>
        <v>51869315</v>
      </c>
      <c r="M2231">
        <f t="shared" si="438"/>
        <v>13550652</v>
      </c>
      <c r="N2231">
        <f t="shared" si="441"/>
        <v>65419967</v>
      </c>
    </row>
    <row r="2232" ht="13.85" spans="1:14">
      <c r="A2232" s="43">
        <v>38964</v>
      </c>
      <c r="B2232" s="11">
        <v>11580793</v>
      </c>
      <c r="D2232" s="11">
        <v>21</v>
      </c>
      <c r="E2232">
        <f t="shared" si="437"/>
        <v>21</v>
      </c>
      <c r="H2232">
        <f t="shared" si="439"/>
        <v>21000000</v>
      </c>
      <c r="I2232">
        <f t="shared" si="440"/>
        <v>10080000</v>
      </c>
      <c r="K2232">
        <f t="shared" si="442"/>
        <v>40288522</v>
      </c>
      <c r="M2232">
        <f t="shared" si="438"/>
        <v>11580793</v>
      </c>
      <c r="N2232">
        <f t="shared" si="441"/>
        <v>51869315</v>
      </c>
    </row>
    <row r="2233" ht="13.85" spans="1:14">
      <c r="A2233" s="43">
        <v>38841</v>
      </c>
      <c r="B2233" s="11">
        <v>12783328</v>
      </c>
      <c r="D2233" s="11">
        <v>14</v>
      </c>
      <c r="E2233">
        <f t="shared" si="437"/>
        <v>14</v>
      </c>
      <c r="H2233">
        <f t="shared" si="439"/>
        <v>14000000</v>
      </c>
      <c r="I2233">
        <f t="shared" si="440"/>
        <v>6720000</v>
      </c>
      <c r="K2233">
        <f t="shared" si="442"/>
        <v>27505194</v>
      </c>
      <c r="M2233">
        <f t="shared" si="438"/>
        <v>12783328</v>
      </c>
      <c r="N2233">
        <f t="shared" si="441"/>
        <v>40288522</v>
      </c>
    </row>
    <row r="2234" ht="13.85" spans="1:14">
      <c r="A2234" s="43">
        <v>38752</v>
      </c>
      <c r="B2234" s="11">
        <v>10678573</v>
      </c>
      <c r="D2234" s="11">
        <v>10</v>
      </c>
      <c r="E2234">
        <f t="shared" si="437"/>
        <v>10</v>
      </c>
      <c r="H2234">
        <f t="shared" si="439"/>
        <v>10000000</v>
      </c>
      <c r="I2234">
        <f t="shared" si="440"/>
        <v>4800000</v>
      </c>
      <c r="K2234">
        <f t="shared" si="442"/>
        <v>16826621</v>
      </c>
      <c r="M2234">
        <f t="shared" si="438"/>
        <v>10678573</v>
      </c>
      <c r="N2234">
        <f t="shared" si="441"/>
        <v>27505194</v>
      </c>
    </row>
    <row r="2235" ht="13.9" spans="1:14">
      <c r="A2235" s="42" t="s">
        <v>1462</v>
      </c>
      <c r="B2235" s="11">
        <v>16826621</v>
      </c>
      <c r="D2235" s="11">
        <v>51</v>
      </c>
      <c r="E2235">
        <f t="shared" si="437"/>
        <v>51</v>
      </c>
      <c r="H2235">
        <f t="shared" si="439"/>
        <v>51000000</v>
      </c>
      <c r="I2235">
        <f t="shared" si="440"/>
        <v>24480000</v>
      </c>
      <c r="K2235">
        <f t="shared" si="442"/>
        <v>130582312</v>
      </c>
      <c r="M2235">
        <f t="shared" si="438"/>
        <v>16826621</v>
      </c>
      <c r="N2235">
        <f t="shared" si="441"/>
        <v>147408933</v>
      </c>
    </row>
    <row r="2236" ht="13.9" spans="1:14">
      <c r="A2236" s="42" t="s">
        <v>1463</v>
      </c>
      <c r="B2236" s="11">
        <v>14006896</v>
      </c>
      <c r="D2236" s="11">
        <v>41</v>
      </c>
      <c r="E2236">
        <f t="shared" si="437"/>
        <v>41</v>
      </c>
      <c r="H2236">
        <f t="shared" si="439"/>
        <v>41000000</v>
      </c>
      <c r="I2236">
        <f t="shared" si="440"/>
        <v>19680000</v>
      </c>
      <c r="K2236">
        <f t="shared" si="442"/>
        <v>116575416</v>
      </c>
      <c r="M2236">
        <f t="shared" si="438"/>
        <v>14006896</v>
      </c>
      <c r="N2236">
        <f t="shared" si="441"/>
        <v>130582312</v>
      </c>
    </row>
    <row r="2237" ht="13.9" spans="1:14">
      <c r="A2237" s="42" t="s">
        <v>1464</v>
      </c>
      <c r="B2237" s="11">
        <v>14893992</v>
      </c>
      <c r="D2237" s="11">
        <v>33</v>
      </c>
      <c r="E2237">
        <f t="shared" si="437"/>
        <v>33</v>
      </c>
      <c r="H2237">
        <f t="shared" si="439"/>
        <v>33000000</v>
      </c>
      <c r="I2237">
        <f t="shared" si="440"/>
        <v>15840000</v>
      </c>
      <c r="K2237">
        <f t="shared" si="442"/>
        <v>101681424</v>
      </c>
      <c r="M2237">
        <f t="shared" si="438"/>
        <v>14893992</v>
      </c>
      <c r="N2237">
        <f t="shared" si="441"/>
        <v>116575416</v>
      </c>
    </row>
    <row r="2238" ht="13.9" spans="1:14">
      <c r="A2238" s="42" t="s">
        <v>1465</v>
      </c>
      <c r="B2238" s="11">
        <v>12691270</v>
      </c>
      <c r="D2238" s="11">
        <v>24</v>
      </c>
      <c r="E2238">
        <f t="shared" si="437"/>
        <v>24</v>
      </c>
      <c r="H2238">
        <f t="shared" si="439"/>
        <v>24000000</v>
      </c>
      <c r="I2238">
        <f t="shared" si="440"/>
        <v>11520000</v>
      </c>
      <c r="K2238">
        <f t="shared" si="442"/>
        <v>88990154</v>
      </c>
      <c r="M2238">
        <f t="shared" si="438"/>
        <v>12691270</v>
      </c>
      <c r="N2238">
        <f t="shared" si="441"/>
        <v>101681424</v>
      </c>
    </row>
    <row r="2239" ht="13.9" spans="1:14">
      <c r="A2239" s="42" t="s">
        <v>1466</v>
      </c>
      <c r="B2239" s="11">
        <v>13491136</v>
      </c>
      <c r="D2239" s="11">
        <v>15</v>
      </c>
      <c r="E2239">
        <f t="shared" si="437"/>
        <v>15</v>
      </c>
      <c r="H2239">
        <f t="shared" si="439"/>
        <v>15000000</v>
      </c>
      <c r="I2239">
        <f t="shared" si="440"/>
        <v>7200000</v>
      </c>
      <c r="K2239">
        <f t="shared" si="442"/>
        <v>75499018</v>
      </c>
      <c r="M2239">
        <f t="shared" si="438"/>
        <v>13491136</v>
      </c>
      <c r="N2239">
        <f t="shared" si="441"/>
        <v>88990154</v>
      </c>
    </row>
    <row r="2240" ht="13.85" spans="1:14">
      <c r="A2240" s="43">
        <v>38690</v>
      </c>
      <c r="B2240" s="11">
        <v>12319414</v>
      </c>
      <c r="D2240" s="11">
        <v>10</v>
      </c>
      <c r="E2240">
        <f t="shared" ref="E2240:E2303" si="443">IF(RIGHT(D2240,1)="B",VALUE(LEFT(D2240,LEN(D2240)-1))*1000,D2240)</f>
        <v>10</v>
      </c>
      <c r="H2240">
        <f t="shared" si="439"/>
        <v>10000000</v>
      </c>
      <c r="I2240">
        <f t="shared" si="440"/>
        <v>4800000</v>
      </c>
      <c r="K2240">
        <f t="shared" si="442"/>
        <v>63179604</v>
      </c>
      <c r="M2240">
        <f t="shared" si="438"/>
        <v>12319414</v>
      </c>
      <c r="N2240">
        <f t="shared" si="441"/>
        <v>75499018</v>
      </c>
    </row>
    <row r="2241" ht="13.85" spans="1:14">
      <c r="A2241" s="43">
        <v>38568</v>
      </c>
      <c r="B2241" s="11">
        <v>63179604</v>
      </c>
      <c r="D2241" s="11">
        <v>212</v>
      </c>
      <c r="E2241">
        <f t="shared" si="443"/>
        <v>212</v>
      </c>
      <c r="H2241">
        <f t="shared" si="439"/>
        <v>212000000</v>
      </c>
      <c r="I2241">
        <f t="shared" si="440"/>
        <v>101760000</v>
      </c>
      <c r="K2241">
        <f t="shared" si="442"/>
        <v>303763379</v>
      </c>
      <c r="M2241">
        <f t="shared" si="438"/>
        <v>63179604</v>
      </c>
      <c r="N2241">
        <f t="shared" si="441"/>
        <v>366942983</v>
      </c>
    </row>
    <row r="2242" ht="13.85" spans="1:14">
      <c r="A2242" s="43">
        <v>38476</v>
      </c>
      <c r="B2242" s="11">
        <v>44047942</v>
      </c>
      <c r="D2242" s="11">
        <v>170</v>
      </c>
      <c r="E2242">
        <f t="shared" si="443"/>
        <v>170</v>
      </c>
      <c r="H2242">
        <f t="shared" si="439"/>
        <v>170000000</v>
      </c>
      <c r="I2242">
        <f t="shared" si="440"/>
        <v>81600000</v>
      </c>
      <c r="K2242">
        <f t="shared" si="442"/>
        <v>259715437</v>
      </c>
      <c r="M2242">
        <f t="shared" si="438"/>
        <v>44047942</v>
      </c>
      <c r="N2242">
        <f t="shared" si="441"/>
        <v>303763379</v>
      </c>
    </row>
    <row r="2243" ht="13.85" spans="1:14">
      <c r="A2243" s="43">
        <v>38356</v>
      </c>
      <c r="B2243" s="11">
        <v>35100877</v>
      </c>
      <c r="D2243" s="11">
        <v>145</v>
      </c>
      <c r="E2243">
        <f t="shared" si="443"/>
        <v>145</v>
      </c>
      <c r="H2243">
        <f t="shared" si="439"/>
        <v>145000000</v>
      </c>
      <c r="I2243">
        <f t="shared" si="440"/>
        <v>69600000</v>
      </c>
      <c r="K2243">
        <f t="shared" si="442"/>
        <v>224614560</v>
      </c>
      <c r="M2243">
        <f t="shared" si="438"/>
        <v>35100877</v>
      </c>
      <c r="N2243">
        <f t="shared" si="441"/>
        <v>259715437</v>
      </c>
    </row>
    <row r="2244" ht="13.9" spans="1:14">
      <c r="A2244" s="42" t="s">
        <v>1467</v>
      </c>
      <c r="B2244" s="11">
        <v>27648713</v>
      </c>
      <c r="D2244" s="11">
        <v>120</v>
      </c>
      <c r="E2244">
        <f t="shared" si="443"/>
        <v>120</v>
      </c>
      <c r="H2244">
        <f t="shared" si="439"/>
        <v>120000000</v>
      </c>
      <c r="I2244">
        <f t="shared" si="440"/>
        <v>57600000</v>
      </c>
      <c r="K2244">
        <f t="shared" si="442"/>
        <v>196965847</v>
      </c>
      <c r="M2244">
        <f t="shared" si="438"/>
        <v>27648713</v>
      </c>
      <c r="N2244">
        <f t="shared" si="441"/>
        <v>224614560</v>
      </c>
    </row>
    <row r="2245" ht="13.9" spans="1:14">
      <c r="A2245" s="42" t="s">
        <v>1468</v>
      </c>
      <c r="B2245" s="11">
        <v>25697832</v>
      </c>
      <c r="D2245" s="11">
        <v>103</v>
      </c>
      <c r="E2245">
        <f t="shared" si="443"/>
        <v>103</v>
      </c>
      <c r="H2245">
        <f t="shared" si="439"/>
        <v>103000000</v>
      </c>
      <c r="I2245">
        <f t="shared" si="440"/>
        <v>49440000</v>
      </c>
      <c r="K2245">
        <f t="shared" si="442"/>
        <v>171268015</v>
      </c>
      <c r="M2245">
        <f t="shared" si="438"/>
        <v>25697832</v>
      </c>
      <c r="N2245">
        <f t="shared" si="441"/>
        <v>196965847</v>
      </c>
    </row>
    <row r="2246" ht="13.9" spans="1:14">
      <c r="A2246" s="42" t="s">
        <v>1469</v>
      </c>
      <c r="B2246" s="11">
        <v>20230405</v>
      </c>
      <c r="D2246" s="11">
        <v>90</v>
      </c>
      <c r="E2246">
        <f t="shared" si="443"/>
        <v>90</v>
      </c>
      <c r="H2246">
        <f t="shared" si="439"/>
        <v>90000000</v>
      </c>
      <c r="I2246">
        <f t="shared" si="440"/>
        <v>43200000</v>
      </c>
      <c r="K2246">
        <f t="shared" si="442"/>
        <v>151037610</v>
      </c>
      <c r="M2246">
        <f t="shared" ref="M2246:M2309" si="444">B2246+C2246</f>
        <v>20230405</v>
      </c>
      <c r="N2246">
        <f t="shared" si="441"/>
        <v>171268015</v>
      </c>
    </row>
    <row r="2247" ht="13.9" spans="1:14">
      <c r="A2247" s="42" t="s">
        <v>1470</v>
      </c>
      <c r="B2247" s="11">
        <v>17057381</v>
      </c>
      <c r="D2247" s="11">
        <v>75</v>
      </c>
      <c r="E2247">
        <f t="shared" si="443"/>
        <v>75</v>
      </c>
      <c r="H2247">
        <f t="shared" si="439"/>
        <v>75000000</v>
      </c>
      <c r="I2247">
        <f t="shared" si="440"/>
        <v>36000000</v>
      </c>
      <c r="K2247">
        <f t="shared" si="442"/>
        <v>133980229</v>
      </c>
      <c r="M2247">
        <f t="shared" si="444"/>
        <v>17057381</v>
      </c>
      <c r="N2247">
        <f t="shared" si="441"/>
        <v>151037610</v>
      </c>
    </row>
    <row r="2248" ht="13.9" spans="1:14">
      <c r="A2248" s="42" t="s">
        <v>1471</v>
      </c>
      <c r="B2248" s="11">
        <v>14400037</v>
      </c>
      <c r="D2248" s="11">
        <v>65</v>
      </c>
      <c r="E2248">
        <f t="shared" si="443"/>
        <v>65</v>
      </c>
      <c r="H2248">
        <f t="shared" si="439"/>
        <v>65000000</v>
      </c>
      <c r="I2248">
        <f t="shared" si="440"/>
        <v>31200000</v>
      </c>
      <c r="K2248">
        <f t="shared" si="442"/>
        <v>119580192</v>
      </c>
      <c r="M2248">
        <f t="shared" si="444"/>
        <v>14400037</v>
      </c>
      <c r="N2248">
        <f t="shared" si="441"/>
        <v>133980229</v>
      </c>
    </row>
    <row r="2249" ht="13.85" spans="1:14">
      <c r="A2249" s="43">
        <v>38264</v>
      </c>
      <c r="B2249" s="11">
        <v>15487351</v>
      </c>
      <c r="D2249" s="11">
        <v>57</v>
      </c>
      <c r="E2249">
        <f t="shared" si="443"/>
        <v>57</v>
      </c>
      <c r="H2249">
        <f t="shared" si="439"/>
        <v>57000000</v>
      </c>
      <c r="I2249">
        <f t="shared" si="440"/>
        <v>27360000</v>
      </c>
      <c r="K2249">
        <f t="shared" si="442"/>
        <v>104092841</v>
      </c>
      <c r="M2249">
        <f t="shared" si="444"/>
        <v>15487351</v>
      </c>
      <c r="N2249">
        <f t="shared" si="441"/>
        <v>119580192</v>
      </c>
    </row>
    <row r="2250" ht="13.85" spans="1:14">
      <c r="A2250" s="43">
        <v>38172</v>
      </c>
      <c r="B2250" s="11">
        <v>12832161</v>
      </c>
      <c r="D2250" s="11">
        <v>47</v>
      </c>
      <c r="E2250">
        <f t="shared" si="443"/>
        <v>47</v>
      </c>
      <c r="H2250">
        <f t="shared" si="439"/>
        <v>47000000</v>
      </c>
      <c r="I2250">
        <f t="shared" si="440"/>
        <v>22560000</v>
      </c>
      <c r="K2250">
        <f t="shared" si="442"/>
        <v>91260680</v>
      </c>
      <c r="M2250">
        <f t="shared" si="444"/>
        <v>12832161</v>
      </c>
      <c r="N2250">
        <f t="shared" si="441"/>
        <v>104092841</v>
      </c>
    </row>
    <row r="2251" ht="13.85" spans="1:14">
      <c r="A2251" s="43">
        <v>38050</v>
      </c>
      <c r="B2251" s="11">
        <v>13886966</v>
      </c>
      <c r="D2251" s="11">
        <v>39</v>
      </c>
      <c r="E2251">
        <f t="shared" si="443"/>
        <v>39</v>
      </c>
      <c r="H2251">
        <f t="shared" si="439"/>
        <v>39000000</v>
      </c>
      <c r="I2251">
        <f t="shared" si="440"/>
        <v>18720000</v>
      </c>
      <c r="K2251">
        <f t="shared" si="442"/>
        <v>77373714</v>
      </c>
      <c r="M2251">
        <f t="shared" si="444"/>
        <v>13886966</v>
      </c>
      <c r="N2251">
        <f t="shared" si="441"/>
        <v>91260680</v>
      </c>
    </row>
    <row r="2252" ht="13.9" spans="1:14">
      <c r="A2252" s="42" t="s">
        <v>1472</v>
      </c>
      <c r="B2252" s="11">
        <v>11690087</v>
      </c>
      <c r="D2252" s="11">
        <v>31</v>
      </c>
      <c r="E2252">
        <f t="shared" si="443"/>
        <v>31</v>
      </c>
      <c r="H2252">
        <f t="shared" si="439"/>
        <v>31000000</v>
      </c>
      <c r="I2252">
        <f t="shared" si="440"/>
        <v>14880000</v>
      </c>
      <c r="K2252">
        <f t="shared" si="442"/>
        <v>65683627</v>
      </c>
      <c r="M2252">
        <f t="shared" si="444"/>
        <v>11690087</v>
      </c>
      <c r="N2252">
        <f t="shared" si="441"/>
        <v>77373714</v>
      </c>
    </row>
    <row r="2253" ht="13.9" spans="1:14">
      <c r="A2253" s="42" t="s">
        <v>1473</v>
      </c>
      <c r="B2253" s="11">
        <v>12583802</v>
      </c>
      <c r="D2253" s="11">
        <v>25</v>
      </c>
      <c r="E2253">
        <f t="shared" si="443"/>
        <v>25</v>
      </c>
      <c r="H2253">
        <f t="shared" si="439"/>
        <v>25000000</v>
      </c>
      <c r="I2253">
        <f t="shared" si="440"/>
        <v>12000000</v>
      </c>
      <c r="K2253">
        <f t="shared" si="442"/>
        <v>53099825</v>
      </c>
      <c r="M2253">
        <f t="shared" si="444"/>
        <v>12583802</v>
      </c>
      <c r="N2253">
        <f t="shared" si="441"/>
        <v>65683627</v>
      </c>
    </row>
    <row r="2254" ht="13.9" spans="1:14">
      <c r="A2254" s="42" t="s">
        <v>1474</v>
      </c>
      <c r="B2254" s="11">
        <v>10561323</v>
      </c>
      <c r="D2254" s="11">
        <v>18</v>
      </c>
      <c r="E2254">
        <f t="shared" si="443"/>
        <v>18</v>
      </c>
      <c r="H2254">
        <f t="shared" si="439"/>
        <v>18000000</v>
      </c>
      <c r="I2254">
        <f t="shared" si="440"/>
        <v>8640000</v>
      </c>
      <c r="K2254">
        <f t="shared" si="442"/>
        <v>42538502</v>
      </c>
      <c r="M2254">
        <f t="shared" si="444"/>
        <v>10561323</v>
      </c>
      <c r="N2254">
        <f t="shared" si="441"/>
        <v>53099825</v>
      </c>
    </row>
    <row r="2255" ht="13.9" spans="1:14">
      <c r="A2255" s="42" t="s">
        <v>1475</v>
      </c>
      <c r="B2255" s="11">
        <v>11534390</v>
      </c>
      <c r="D2255" s="11">
        <v>12</v>
      </c>
      <c r="E2255">
        <f t="shared" si="443"/>
        <v>12</v>
      </c>
      <c r="H2255">
        <f t="shared" ref="H2255:H2318" si="445">E2255*1000000</f>
        <v>12000000</v>
      </c>
      <c r="I2255">
        <f t="shared" si="440"/>
        <v>5760000</v>
      </c>
      <c r="K2255">
        <f t="shared" si="442"/>
        <v>31004112</v>
      </c>
      <c r="M2255">
        <f t="shared" si="444"/>
        <v>11534390</v>
      </c>
      <c r="N2255">
        <f t="shared" si="441"/>
        <v>42538502</v>
      </c>
    </row>
    <row r="2256" ht="13.9" spans="1:14">
      <c r="A2256" s="42" t="s">
        <v>1476</v>
      </c>
      <c r="B2256" s="11">
        <v>10323150</v>
      </c>
      <c r="D2256" s="11">
        <v>10</v>
      </c>
      <c r="E2256">
        <f t="shared" si="443"/>
        <v>10</v>
      </c>
      <c r="H2256">
        <f t="shared" si="445"/>
        <v>10000000</v>
      </c>
      <c r="I2256">
        <f t="shared" si="440"/>
        <v>4800000</v>
      </c>
      <c r="K2256">
        <f t="shared" si="442"/>
        <v>20680962</v>
      </c>
      <c r="M2256">
        <f t="shared" si="444"/>
        <v>10323150</v>
      </c>
      <c r="N2256">
        <f t="shared" si="441"/>
        <v>31004112</v>
      </c>
    </row>
    <row r="2257" ht="13.9" spans="1:14">
      <c r="A2257" s="42" t="s">
        <v>1477</v>
      </c>
      <c r="B2257" s="11">
        <v>20680962</v>
      </c>
      <c r="D2257" s="11">
        <v>90</v>
      </c>
      <c r="E2257">
        <f t="shared" si="443"/>
        <v>90</v>
      </c>
      <c r="H2257">
        <f t="shared" si="445"/>
        <v>90000000</v>
      </c>
      <c r="I2257">
        <f t="shared" si="440"/>
        <v>43200000</v>
      </c>
      <c r="K2257">
        <f t="shared" si="442"/>
        <v>156800882</v>
      </c>
      <c r="M2257">
        <f t="shared" si="444"/>
        <v>20680962</v>
      </c>
      <c r="N2257">
        <f t="shared" si="441"/>
        <v>177481844</v>
      </c>
    </row>
    <row r="2258" ht="13.85" spans="1:14">
      <c r="A2258" s="43">
        <v>37898</v>
      </c>
      <c r="B2258" s="11">
        <v>16751327</v>
      </c>
      <c r="D2258" s="11">
        <v>79</v>
      </c>
      <c r="E2258">
        <f t="shared" si="443"/>
        <v>79</v>
      </c>
      <c r="H2258">
        <f t="shared" si="445"/>
        <v>79000000</v>
      </c>
      <c r="I2258">
        <f t="shared" si="440"/>
        <v>37920000</v>
      </c>
      <c r="K2258">
        <f t="shared" si="442"/>
        <v>140049555</v>
      </c>
      <c r="M2258">
        <f t="shared" si="444"/>
        <v>16751327</v>
      </c>
      <c r="N2258">
        <f t="shared" si="441"/>
        <v>156800882</v>
      </c>
    </row>
    <row r="2259" ht="13.85" spans="1:14">
      <c r="A2259" s="43">
        <v>37776</v>
      </c>
      <c r="B2259" s="11">
        <v>17488092</v>
      </c>
      <c r="D2259" s="11">
        <v>70</v>
      </c>
      <c r="E2259">
        <f t="shared" si="443"/>
        <v>70</v>
      </c>
      <c r="H2259">
        <f t="shared" si="445"/>
        <v>70000000</v>
      </c>
      <c r="I2259">
        <f t="shared" si="440"/>
        <v>33600000</v>
      </c>
      <c r="K2259">
        <f t="shared" si="442"/>
        <v>122561463</v>
      </c>
      <c r="M2259">
        <f t="shared" si="444"/>
        <v>17488092</v>
      </c>
      <c r="N2259">
        <f t="shared" si="441"/>
        <v>140049555</v>
      </c>
    </row>
    <row r="2260" ht="13.85" spans="1:14">
      <c r="A2260" s="43">
        <v>37684</v>
      </c>
      <c r="B2260" s="11">
        <v>14895330</v>
      </c>
      <c r="D2260" s="11">
        <v>61</v>
      </c>
      <c r="E2260">
        <f t="shared" si="443"/>
        <v>61</v>
      </c>
      <c r="H2260">
        <f t="shared" si="445"/>
        <v>61000000</v>
      </c>
      <c r="I2260">
        <f t="shared" si="440"/>
        <v>29280000</v>
      </c>
      <c r="K2260">
        <f t="shared" si="442"/>
        <v>107666133</v>
      </c>
      <c r="M2260">
        <f t="shared" si="444"/>
        <v>14895330</v>
      </c>
      <c r="N2260">
        <f t="shared" si="441"/>
        <v>122561463</v>
      </c>
    </row>
    <row r="2261" ht="13.9" spans="1:14">
      <c r="A2261" s="42" t="s">
        <v>1478</v>
      </c>
      <c r="B2261" s="11">
        <v>15345737</v>
      </c>
      <c r="D2261" s="11">
        <v>52</v>
      </c>
      <c r="E2261">
        <f t="shared" si="443"/>
        <v>52</v>
      </c>
      <c r="H2261">
        <f t="shared" si="445"/>
        <v>52000000</v>
      </c>
      <c r="I2261">
        <f t="shared" si="440"/>
        <v>24960000</v>
      </c>
      <c r="K2261">
        <f t="shared" si="442"/>
        <v>92320396</v>
      </c>
      <c r="M2261">
        <f t="shared" si="444"/>
        <v>15345737</v>
      </c>
      <c r="N2261">
        <f t="shared" si="441"/>
        <v>107666133</v>
      </c>
    </row>
    <row r="2262" ht="13.9" spans="1:14">
      <c r="A2262" s="42" t="s">
        <v>1479</v>
      </c>
      <c r="B2262" s="11">
        <v>12903650</v>
      </c>
      <c r="D2262" s="11">
        <v>43</v>
      </c>
      <c r="E2262">
        <f t="shared" si="443"/>
        <v>43</v>
      </c>
      <c r="H2262">
        <f t="shared" si="445"/>
        <v>43000000</v>
      </c>
      <c r="I2262">
        <f t="shared" si="440"/>
        <v>20640000</v>
      </c>
      <c r="K2262">
        <f t="shared" si="442"/>
        <v>79416746</v>
      </c>
      <c r="M2262">
        <f t="shared" si="444"/>
        <v>12903650</v>
      </c>
      <c r="N2262">
        <f t="shared" si="441"/>
        <v>92320396</v>
      </c>
    </row>
    <row r="2263" ht="13.9" spans="1:14">
      <c r="A2263" s="42" t="s">
        <v>1480</v>
      </c>
      <c r="B2263" s="11">
        <v>13970427</v>
      </c>
      <c r="D2263" s="11">
        <v>35</v>
      </c>
      <c r="E2263">
        <f t="shared" si="443"/>
        <v>35</v>
      </c>
      <c r="H2263">
        <f t="shared" si="445"/>
        <v>35000000</v>
      </c>
      <c r="I2263">
        <f t="shared" si="440"/>
        <v>16800000</v>
      </c>
      <c r="K2263">
        <f t="shared" si="442"/>
        <v>65446319</v>
      </c>
      <c r="M2263">
        <f t="shared" si="444"/>
        <v>13970427</v>
      </c>
      <c r="N2263">
        <f t="shared" si="441"/>
        <v>79416746</v>
      </c>
    </row>
    <row r="2264" ht="13.9" spans="1:14">
      <c r="A2264" s="42" t="s">
        <v>1481</v>
      </c>
      <c r="B2264" s="11">
        <v>11623342</v>
      </c>
      <c r="D2264" s="11">
        <v>26</v>
      </c>
      <c r="E2264">
        <f t="shared" si="443"/>
        <v>26</v>
      </c>
      <c r="H2264">
        <f t="shared" si="445"/>
        <v>26000000</v>
      </c>
      <c r="I2264">
        <f t="shared" si="440"/>
        <v>12480000</v>
      </c>
      <c r="K2264">
        <f t="shared" si="442"/>
        <v>53822977</v>
      </c>
      <c r="M2264">
        <f t="shared" si="444"/>
        <v>11623342</v>
      </c>
      <c r="N2264">
        <f t="shared" si="441"/>
        <v>65446319</v>
      </c>
    </row>
    <row r="2265" ht="13.9" spans="1:14">
      <c r="A2265" s="42" t="s">
        <v>1482</v>
      </c>
      <c r="B2265" s="11">
        <v>12911556</v>
      </c>
      <c r="D2265" s="11">
        <v>20</v>
      </c>
      <c r="E2265">
        <f t="shared" si="443"/>
        <v>20</v>
      </c>
      <c r="H2265">
        <f t="shared" si="445"/>
        <v>20000000</v>
      </c>
      <c r="I2265">
        <f t="shared" si="440"/>
        <v>9600000</v>
      </c>
      <c r="K2265">
        <f t="shared" si="442"/>
        <v>40911421</v>
      </c>
      <c r="M2265">
        <f t="shared" si="444"/>
        <v>12911556</v>
      </c>
      <c r="N2265">
        <f t="shared" si="441"/>
        <v>53822977</v>
      </c>
    </row>
    <row r="2266" ht="13.85" spans="1:14">
      <c r="A2266" s="43">
        <v>37564</v>
      </c>
      <c r="B2266" s="11">
        <v>10765848</v>
      </c>
      <c r="D2266" s="11">
        <v>13</v>
      </c>
      <c r="E2266">
        <f t="shared" si="443"/>
        <v>13</v>
      </c>
      <c r="H2266">
        <f t="shared" si="445"/>
        <v>13000000</v>
      </c>
      <c r="I2266">
        <f t="shared" si="440"/>
        <v>6240000</v>
      </c>
      <c r="K2266">
        <f t="shared" si="442"/>
        <v>30145573</v>
      </c>
      <c r="M2266">
        <f t="shared" si="444"/>
        <v>10765848</v>
      </c>
      <c r="N2266">
        <f t="shared" si="441"/>
        <v>40911421</v>
      </c>
    </row>
    <row r="2267" ht="13.85" spans="1:14">
      <c r="A2267" s="43">
        <v>37441</v>
      </c>
      <c r="B2267" s="11">
        <v>12350207</v>
      </c>
      <c r="D2267" s="11">
        <v>10</v>
      </c>
      <c r="E2267">
        <f t="shared" si="443"/>
        <v>10</v>
      </c>
      <c r="H2267">
        <f t="shared" si="445"/>
        <v>10000000</v>
      </c>
      <c r="I2267">
        <f t="shared" si="440"/>
        <v>4800000</v>
      </c>
      <c r="K2267">
        <f t="shared" si="442"/>
        <v>17795366</v>
      </c>
      <c r="M2267">
        <f t="shared" si="444"/>
        <v>12350207</v>
      </c>
      <c r="N2267">
        <f t="shared" si="441"/>
        <v>30145573</v>
      </c>
    </row>
    <row r="2268" ht="13.85" spans="1:14">
      <c r="A2268" s="43">
        <v>37350</v>
      </c>
      <c r="B2268" s="11">
        <v>17795366</v>
      </c>
      <c r="D2268" s="11">
        <v>85</v>
      </c>
      <c r="E2268">
        <f t="shared" si="443"/>
        <v>85</v>
      </c>
      <c r="H2268">
        <f t="shared" si="445"/>
        <v>85000000</v>
      </c>
      <c r="I2268">
        <f t="shared" si="440"/>
        <v>40800000</v>
      </c>
      <c r="K2268">
        <f t="shared" si="442"/>
        <v>216567501</v>
      </c>
      <c r="M2268">
        <f t="shared" si="444"/>
        <v>17795366</v>
      </c>
      <c r="N2268">
        <f t="shared" si="441"/>
        <v>234362867</v>
      </c>
    </row>
    <row r="2269" ht="13.9" spans="1:14">
      <c r="A2269" s="42" t="s">
        <v>1483</v>
      </c>
      <c r="B2269" s="11">
        <v>18353679</v>
      </c>
      <c r="D2269" s="11">
        <v>74</v>
      </c>
      <c r="E2269">
        <f t="shared" si="443"/>
        <v>74</v>
      </c>
      <c r="H2269">
        <f t="shared" si="445"/>
        <v>74000000</v>
      </c>
      <c r="I2269">
        <f t="shared" si="440"/>
        <v>35520000</v>
      </c>
      <c r="K2269">
        <f t="shared" si="442"/>
        <v>198213822</v>
      </c>
      <c r="M2269">
        <f t="shared" si="444"/>
        <v>18353679</v>
      </c>
      <c r="N2269">
        <f t="shared" si="441"/>
        <v>216567501</v>
      </c>
    </row>
    <row r="2270" ht="13.9" spans="1:14">
      <c r="A2270" s="42" t="s">
        <v>1484</v>
      </c>
      <c r="B2270" s="11">
        <v>14377550</v>
      </c>
      <c r="D2270" s="11">
        <v>64</v>
      </c>
      <c r="E2270">
        <f t="shared" si="443"/>
        <v>64</v>
      </c>
      <c r="H2270">
        <f t="shared" si="445"/>
        <v>64000000</v>
      </c>
      <c r="I2270">
        <f t="shared" ref="I2270:I2333" si="446">H2270*0.48</f>
        <v>30720000</v>
      </c>
      <c r="K2270">
        <f t="shared" si="442"/>
        <v>183836272</v>
      </c>
      <c r="M2270">
        <f t="shared" si="444"/>
        <v>14377550</v>
      </c>
      <c r="N2270">
        <f t="shared" si="441"/>
        <v>198213822</v>
      </c>
    </row>
    <row r="2271" ht="13.9" spans="1:14">
      <c r="A2271" s="42" t="s">
        <v>1485</v>
      </c>
      <c r="B2271" s="11">
        <v>16319807</v>
      </c>
      <c r="D2271" s="11">
        <v>55</v>
      </c>
      <c r="E2271">
        <f t="shared" si="443"/>
        <v>55</v>
      </c>
      <c r="H2271">
        <f t="shared" si="445"/>
        <v>55000000</v>
      </c>
      <c r="I2271">
        <f t="shared" si="446"/>
        <v>26400000</v>
      </c>
      <c r="K2271">
        <f t="shared" si="442"/>
        <v>167516465</v>
      </c>
      <c r="M2271">
        <f t="shared" si="444"/>
        <v>16319807</v>
      </c>
      <c r="N2271">
        <f t="shared" ref="N2271:N2334" si="447">IF(H2271&lt;H2272,M2271+M2272,M2271+N2272)</f>
        <v>183836272</v>
      </c>
    </row>
    <row r="2272" ht="13.9" spans="1:14">
      <c r="A2272" s="42" t="s">
        <v>1486</v>
      </c>
      <c r="B2272" s="11">
        <v>13807439</v>
      </c>
      <c r="D2272" s="11">
        <v>46</v>
      </c>
      <c r="E2272">
        <f t="shared" si="443"/>
        <v>46</v>
      </c>
      <c r="H2272">
        <f t="shared" si="445"/>
        <v>46000000</v>
      </c>
      <c r="I2272">
        <f t="shared" si="446"/>
        <v>22080000</v>
      </c>
      <c r="K2272">
        <f t="shared" si="442"/>
        <v>153709026</v>
      </c>
      <c r="M2272">
        <f t="shared" si="444"/>
        <v>13807439</v>
      </c>
      <c r="N2272">
        <f t="shared" si="447"/>
        <v>167516465</v>
      </c>
    </row>
    <row r="2273" ht="13.9" spans="1:14">
      <c r="A2273" s="42" t="s">
        <v>1487</v>
      </c>
      <c r="B2273" s="11">
        <v>14585882</v>
      </c>
      <c r="D2273" s="11">
        <v>37</v>
      </c>
      <c r="E2273">
        <f t="shared" si="443"/>
        <v>37</v>
      </c>
      <c r="H2273">
        <f t="shared" si="445"/>
        <v>37000000</v>
      </c>
      <c r="I2273">
        <f t="shared" si="446"/>
        <v>17760000</v>
      </c>
      <c r="K2273">
        <f t="shared" si="442"/>
        <v>139123144</v>
      </c>
      <c r="M2273">
        <f t="shared" si="444"/>
        <v>14585882</v>
      </c>
      <c r="N2273">
        <f t="shared" si="447"/>
        <v>153709026</v>
      </c>
    </row>
    <row r="2274" ht="13.9" spans="1:14">
      <c r="A2274" s="42" t="s">
        <v>1488</v>
      </c>
      <c r="B2274" s="11">
        <v>12549931</v>
      </c>
      <c r="D2274" s="11">
        <v>29</v>
      </c>
      <c r="E2274">
        <f t="shared" si="443"/>
        <v>29</v>
      </c>
      <c r="H2274">
        <f t="shared" si="445"/>
        <v>29000000</v>
      </c>
      <c r="I2274">
        <f t="shared" si="446"/>
        <v>13920000</v>
      </c>
      <c r="K2274">
        <f t="shared" si="442"/>
        <v>126573213</v>
      </c>
      <c r="M2274">
        <f t="shared" si="444"/>
        <v>12549931</v>
      </c>
      <c r="N2274">
        <f t="shared" si="447"/>
        <v>139123144</v>
      </c>
    </row>
    <row r="2275" ht="13.85" spans="1:14">
      <c r="A2275" s="43">
        <v>37168</v>
      </c>
      <c r="B2275" s="11">
        <v>13141066</v>
      </c>
      <c r="D2275" s="11">
        <v>21</v>
      </c>
      <c r="E2275">
        <f t="shared" si="443"/>
        <v>21</v>
      </c>
      <c r="H2275">
        <f t="shared" si="445"/>
        <v>21000000</v>
      </c>
      <c r="I2275">
        <f t="shared" si="446"/>
        <v>10080000</v>
      </c>
      <c r="K2275">
        <f t="shared" si="442"/>
        <v>113432147</v>
      </c>
      <c r="M2275">
        <f t="shared" si="444"/>
        <v>13141066</v>
      </c>
      <c r="N2275">
        <f t="shared" si="447"/>
        <v>126573213</v>
      </c>
    </row>
    <row r="2276" ht="13.85" spans="1:14">
      <c r="A2276" s="43">
        <v>37076</v>
      </c>
      <c r="B2276" s="11">
        <v>11131869</v>
      </c>
      <c r="D2276" s="11">
        <v>13</v>
      </c>
      <c r="E2276">
        <f t="shared" si="443"/>
        <v>13</v>
      </c>
      <c r="H2276">
        <f t="shared" si="445"/>
        <v>13000000</v>
      </c>
      <c r="I2276">
        <f t="shared" si="446"/>
        <v>6240000</v>
      </c>
      <c r="K2276">
        <f t="shared" si="442"/>
        <v>102300278</v>
      </c>
      <c r="M2276">
        <f t="shared" si="444"/>
        <v>11131869</v>
      </c>
      <c r="N2276">
        <f t="shared" si="447"/>
        <v>113432147</v>
      </c>
    </row>
    <row r="2277" ht="13.85" spans="1:14">
      <c r="A2277" s="44">
        <v>36954</v>
      </c>
      <c r="B2277" s="15">
        <v>12714617</v>
      </c>
      <c r="D2277" s="15">
        <v>10</v>
      </c>
      <c r="E2277">
        <f t="shared" si="443"/>
        <v>10</v>
      </c>
      <c r="H2277">
        <f t="shared" si="445"/>
        <v>10000000</v>
      </c>
      <c r="I2277">
        <f t="shared" si="446"/>
        <v>4800000</v>
      </c>
      <c r="K2277">
        <f t="shared" si="442"/>
        <v>89585661</v>
      </c>
      <c r="M2277">
        <f t="shared" si="444"/>
        <v>12714617</v>
      </c>
      <c r="N2277">
        <f t="shared" si="447"/>
        <v>102300278</v>
      </c>
    </row>
    <row r="2278" ht="13.9" spans="1:14">
      <c r="A2278" s="41" t="s">
        <v>1489</v>
      </c>
      <c r="B2278" s="13">
        <v>89585661</v>
      </c>
      <c r="D2278" s="13">
        <v>210</v>
      </c>
      <c r="E2278">
        <f t="shared" si="443"/>
        <v>210</v>
      </c>
      <c r="H2278">
        <f t="shared" si="445"/>
        <v>210000000</v>
      </c>
      <c r="I2278">
        <f t="shared" si="446"/>
        <v>100800000</v>
      </c>
      <c r="K2278">
        <f t="shared" si="442"/>
        <v>299893004</v>
      </c>
      <c r="M2278">
        <f t="shared" si="444"/>
        <v>89585661</v>
      </c>
      <c r="N2278">
        <f t="shared" si="447"/>
        <v>389478665</v>
      </c>
    </row>
    <row r="2279" ht="13.9" spans="1:14">
      <c r="A2279" s="42" t="s">
        <v>1490</v>
      </c>
      <c r="B2279" s="11">
        <v>43544359</v>
      </c>
      <c r="D2279" s="11">
        <v>170</v>
      </c>
      <c r="E2279">
        <f t="shared" si="443"/>
        <v>170</v>
      </c>
      <c r="H2279">
        <f t="shared" si="445"/>
        <v>170000000</v>
      </c>
      <c r="I2279">
        <f t="shared" si="446"/>
        <v>81600000</v>
      </c>
      <c r="K2279">
        <f t="shared" si="442"/>
        <v>256348645</v>
      </c>
      <c r="M2279">
        <f t="shared" si="444"/>
        <v>43544359</v>
      </c>
      <c r="N2279">
        <f t="shared" si="447"/>
        <v>299893004</v>
      </c>
    </row>
    <row r="2280" ht="13.9" spans="1:14">
      <c r="A2280" s="42" t="s">
        <v>1491</v>
      </c>
      <c r="B2280" s="11">
        <v>44797436</v>
      </c>
      <c r="D2280" s="11">
        <v>137</v>
      </c>
      <c r="E2280">
        <f t="shared" si="443"/>
        <v>137</v>
      </c>
      <c r="H2280">
        <f t="shared" si="445"/>
        <v>137000000</v>
      </c>
      <c r="I2280">
        <f t="shared" si="446"/>
        <v>65760000</v>
      </c>
      <c r="K2280">
        <f t="shared" si="442"/>
        <v>211551209</v>
      </c>
      <c r="M2280">
        <f t="shared" si="444"/>
        <v>44797436</v>
      </c>
      <c r="N2280">
        <f t="shared" si="447"/>
        <v>256348645</v>
      </c>
    </row>
    <row r="2281" ht="13.9" spans="1:14">
      <c r="A2281" s="42" t="s">
        <v>1492</v>
      </c>
      <c r="B2281" s="11">
        <v>29088897</v>
      </c>
      <c r="D2281" s="11">
        <v>116</v>
      </c>
      <c r="E2281">
        <f t="shared" si="443"/>
        <v>116</v>
      </c>
      <c r="H2281">
        <f t="shared" si="445"/>
        <v>116000000</v>
      </c>
      <c r="I2281">
        <f t="shared" si="446"/>
        <v>55680000</v>
      </c>
      <c r="K2281">
        <f t="shared" si="442"/>
        <v>182462312</v>
      </c>
      <c r="M2281">
        <f t="shared" si="444"/>
        <v>29088897</v>
      </c>
      <c r="N2281">
        <f t="shared" si="447"/>
        <v>211551209</v>
      </c>
    </row>
    <row r="2282" ht="13.9" spans="1:14">
      <c r="A2282" s="42" t="s">
        <v>1493</v>
      </c>
      <c r="B2282" s="11">
        <v>23555449</v>
      </c>
      <c r="D2282" s="11">
        <v>100</v>
      </c>
      <c r="E2282">
        <f t="shared" si="443"/>
        <v>100</v>
      </c>
      <c r="H2282">
        <f t="shared" si="445"/>
        <v>100000000</v>
      </c>
      <c r="I2282">
        <f t="shared" si="446"/>
        <v>48000000</v>
      </c>
      <c r="K2282">
        <f t="shared" ref="K2282:K2345" si="448">IF(E2282&gt;E2283,B2283+K2283,B2283)</f>
        <v>158906863</v>
      </c>
      <c r="M2282">
        <f t="shared" si="444"/>
        <v>23555449</v>
      </c>
      <c r="N2282">
        <f t="shared" si="447"/>
        <v>182462312</v>
      </c>
    </row>
    <row r="2283" ht="13.9" spans="1:14">
      <c r="A2283" s="42" t="s">
        <v>1494</v>
      </c>
      <c r="B2283" s="11">
        <v>19066752</v>
      </c>
      <c r="D2283" s="11">
        <v>88</v>
      </c>
      <c r="E2283">
        <f t="shared" si="443"/>
        <v>88</v>
      </c>
      <c r="H2283">
        <f t="shared" si="445"/>
        <v>88000000</v>
      </c>
      <c r="I2283">
        <f t="shared" si="446"/>
        <v>42240000</v>
      </c>
      <c r="K2283">
        <f t="shared" si="448"/>
        <v>139840111</v>
      </c>
      <c r="M2283">
        <f t="shared" si="444"/>
        <v>19066752</v>
      </c>
      <c r="N2283">
        <f t="shared" si="447"/>
        <v>158906863</v>
      </c>
    </row>
    <row r="2284" ht="13.85" spans="1:14">
      <c r="A2284" s="43">
        <v>41185</v>
      </c>
      <c r="B2284" s="11">
        <v>15838304</v>
      </c>
      <c r="D2284" s="11">
        <v>76</v>
      </c>
      <c r="E2284">
        <f t="shared" si="443"/>
        <v>76</v>
      </c>
      <c r="H2284">
        <f t="shared" si="445"/>
        <v>76000000</v>
      </c>
      <c r="I2284">
        <f t="shared" si="446"/>
        <v>36480000</v>
      </c>
      <c r="K2284">
        <f t="shared" si="448"/>
        <v>124001807</v>
      </c>
      <c r="M2284">
        <f t="shared" si="444"/>
        <v>15838304</v>
      </c>
      <c r="N2284">
        <f t="shared" si="447"/>
        <v>139840111</v>
      </c>
    </row>
    <row r="2285" ht="13.85" spans="1:14">
      <c r="A2285" s="43">
        <v>41063</v>
      </c>
      <c r="B2285" s="11">
        <v>15573292</v>
      </c>
      <c r="D2285" s="11">
        <v>66</v>
      </c>
      <c r="E2285">
        <f t="shared" si="443"/>
        <v>66</v>
      </c>
      <c r="H2285">
        <f t="shared" si="445"/>
        <v>66000000</v>
      </c>
      <c r="I2285">
        <f t="shared" si="446"/>
        <v>31680000</v>
      </c>
      <c r="K2285">
        <f t="shared" si="448"/>
        <v>108428515</v>
      </c>
      <c r="M2285">
        <f t="shared" si="444"/>
        <v>15573292</v>
      </c>
      <c r="N2285">
        <f t="shared" si="447"/>
        <v>124001807</v>
      </c>
    </row>
    <row r="2286" ht="13.85" spans="1:14">
      <c r="A2286" s="43">
        <v>40971</v>
      </c>
      <c r="B2286" s="11">
        <v>14049942</v>
      </c>
      <c r="D2286" s="11">
        <v>57</v>
      </c>
      <c r="E2286">
        <f t="shared" si="443"/>
        <v>57</v>
      </c>
      <c r="H2286">
        <f t="shared" si="445"/>
        <v>57000000</v>
      </c>
      <c r="I2286">
        <f t="shared" si="446"/>
        <v>27360000</v>
      </c>
      <c r="K2286">
        <f t="shared" si="448"/>
        <v>94378573</v>
      </c>
      <c r="M2286">
        <f t="shared" si="444"/>
        <v>14049942</v>
      </c>
      <c r="N2286">
        <f t="shared" si="447"/>
        <v>108428515</v>
      </c>
    </row>
    <row r="2287" ht="13.9" spans="1:14">
      <c r="A2287" s="42" t="s">
        <v>1495</v>
      </c>
      <c r="B2287" s="11">
        <v>13418021</v>
      </c>
      <c r="D2287" s="11">
        <v>48</v>
      </c>
      <c r="E2287">
        <f t="shared" si="443"/>
        <v>48</v>
      </c>
      <c r="H2287">
        <f t="shared" si="445"/>
        <v>48000000</v>
      </c>
      <c r="I2287">
        <f t="shared" si="446"/>
        <v>23040000</v>
      </c>
      <c r="K2287">
        <f t="shared" si="448"/>
        <v>80960552</v>
      </c>
      <c r="M2287">
        <f t="shared" si="444"/>
        <v>13418021</v>
      </c>
      <c r="N2287">
        <f t="shared" si="447"/>
        <v>94378573</v>
      </c>
    </row>
    <row r="2288" ht="13.9" spans="1:14">
      <c r="A2288" s="42" t="s">
        <v>1496</v>
      </c>
      <c r="B2288" s="11">
        <v>12986217</v>
      </c>
      <c r="D2288" s="11">
        <v>40</v>
      </c>
      <c r="E2288">
        <f t="shared" si="443"/>
        <v>40</v>
      </c>
      <c r="H2288">
        <f t="shared" si="445"/>
        <v>40000000</v>
      </c>
      <c r="I2288">
        <f t="shared" si="446"/>
        <v>19200000</v>
      </c>
      <c r="K2288">
        <f t="shared" si="448"/>
        <v>67974335</v>
      </c>
      <c r="M2288">
        <f t="shared" si="444"/>
        <v>12986217</v>
      </c>
      <c r="N2288">
        <f t="shared" si="447"/>
        <v>80960552</v>
      </c>
    </row>
    <row r="2289" ht="13.9" spans="1:14">
      <c r="A2289" s="42" t="s">
        <v>1497</v>
      </c>
      <c r="B2289" s="11">
        <v>13040858</v>
      </c>
      <c r="D2289" s="11">
        <v>33</v>
      </c>
      <c r="E2289">
        <f t="shared" si="443"/>
        <v>33</v>
      </c>
      <c r="H2289">
        <f t="shared" si="445"/>
        <v>33000000</v>
      </c>
      <c r="I2289">
        <f t="shared" si="446"/>
        <v>15840000</v>
      </c>
      <c r="K2289">
        <f t="shared" si="448"/>
        <v>54933477</v>
      </c>
      <c r="M2289">
        <f t="shared" si="444"/>
        <v>13040858</v>
      </c>
      <c r="N2289">
        <f t="shared" si="447"/>
        <v>67974335</v>
      </c>
    </row>
    <row r="2290" ht="13.9" spans="1:14">
      <c r="A2290" s="42" t="s">
        <v>1498</v>
      </c>
      <c r="B2290" s="11">
        <v>11068653</v>
      </c>
      <c r="D2290" s="11">
        <v>25</v>
      </c>
      <c r="E2290">
        <f t="shared" si="443"/>
        <v>25</v>
      </c>
      <c r="H2290">
        <f t="shared" si="445"/>
        <v>25000000</v>
      </c>
      <c r="I2290">
        <f t="shared" si="446"/>
        <v>12000000</v>
      </c>
      <c r="K2290">
        <f t="shared" si="448"/>
        <v>43864824</v>
      </c>
      <c r="M2290">
        <f t="shared" si="444"/>
        <v>11068653</v>
      </c>
      <c r="N2290">
        <f t="shared" si="447"/>
        <v>54933477</v>
      </c>
    </row>
    <row r="2291" ht="13.9" spans="1:14">
      <c r="A2291" s="42" t="s">
        <v>1499</v>
      </c>
      <c r="B2291" s="11">
        <v>12016165</v>
      </c>
      <c r="D2291" s="11">
        <v>19</v>
      </c>
      <c r="E2291">
        <f t="shared" si="443"/>
        <v>19</v>
      </c>
      <c r="H2291">
        <f t="shared" si="445"/>
        <v>19000000</v>
      </c>
      <c r="I2291">
        <f t="shared" si="446"/>
        <v>9120000</v>
      </c>
      <c r="K2291">
        <f t="shared" si="448"/>
        <v>31848659</v>
      </c>
      <c r="M2291">
        <f t="shared" si="444"/>
        <v>12016165</v>
      </c>
      <c r="N2291">
        <f t="shared" si="447"/>
        <v>43864824</v>
      </c>
    </row>
    <row r="2292" ht="13.85" spans="1:14">
      <c r="A2292" s="43">
        <v>40880</v>
      </c>
      <c r="B2292" s="11">
        <v>10055876</v>
      </c>
      <c r="D2292" s="11">
        <v>12</v>
      </c>
      <c r="E2292">
        <f t="shared" si="443"/>
        <v>12</v>
      </c>
      <c r="H2292">
        <f t="shared" si="445"/>
        <v>12000000</v>
      </c>
      <c r="I2292">
        <f t="shared" si="446"/>
        <v>5760000</v>
      </c>
      <c r="K2292">
        <f t="shared" si="448"/>
        <v>21792783</v>
      </c>
      <c r="M2292">
        <f t="shared" si="444"/>
        <v>10055876</v>
      </c>
      <c r="N2292">
        <f t="shared" si="447"/>
        <v>31848659</v>
      </c>
    </row>
    <row r="2293" ht="13.85" spans="1:14">
      <c r="A2293" s="43">
        <v>40758</v>
      </c>
      <c r="B2293" s="11">
        <v>11369548</v>
      </c>
      <c r="D2293" s="11">
        <v>10</v>
      </c>
      <c r="E2293">
        <f t="shared" si="443"/>
        <v>10</v>
      </c>
      <c r="H2293">
        <f t="shared" si="445"/>
        <v>10000000</v>
      </c>
      <c r="I2293">
        <f t="shared" si="446"/>
        <v>4800000</v>
      </c>
      <c r="K2293">
        <f t="shared" si="448"/>
        <v>10423235</v>
      </c>
      <c r="M2293">
        <f t="shared" si="444"/>
        <v>11369548</v>
      </c>
      <c r="N2293">
        <f t="shared" si="447"/>
        <v>21792783</v>
      </c>
    </row>
    <row r="2294" ht="13.85" spans="1:14">
      <c r="A2294" s="43">
        <v>40666</v>
      </c>
      <c r="B2294" s="11">
        <v>10423235</v>
      </c>
      <c r="D2294" s="11">
        <v>12</v>
      </c>
      <c r="E2294">
        <f t="shared" si="443"/>
        <v>12</v>
      </c>
      <c r="H2294">
        <f t="shared" si="445"/>
        <v>12000000</v>
      </c>
      <c r="I2294">
        <f t="shared" si="446"/>
        <v>5760000</v>
      </c>
      <c r="K2294">
        <f t="shared" si="448"/>
        <v>21983961</v>
      </c>
      <c r="M2294">
        <f t="shared" si="444"/>
        <v>10423235</v>
      </c>
      <c r="N2294">
        <f t="shared" si="447"/>
        <v>79560138</v>
      </c>
    </row>
    <row r="2295" ht="13.85" spans="1:14">
      <c r="A2295" s="43">
        <v>40546</v>
      </c>
      <c r="B2295" s="11">
        <v>11396987</v>
      </c>
      <c r="D2295" s="11">
        <v>10</v>
      </c>
      <c r="E2295">
        <f t="shared" si="443"/>
        <v>10</v>
      </c>
      <c r="H2295">
        <f t="shared" si="445"/>
        <v>10000000</v>
      </c>
      <c r="I2295">
        <f t="shared" si="446"/>
        <v>4800000</v>
      </c>
      <c r="K2295">
        <f t="shared" si="448"/>
        <v>10586974</v>
      </c>
      <c r="M2295">
        <f t="shared" si="444"/>
        <v>11396987</v>
      </c>
      <c r="N2295">
        <f t="shared" si="447"/>
        <v>69136903</v>
      </c>
    </row>
    <row r="2296" ht="13.9" spans="1:14">
      <c r="A2296" s="42" t="s">
        <v>1500</v>
      </c>
      <c r="B2296" s="11">
        <v>10586974</v>
      </c>
      <c r="D2296" s="11">
        <v>10</v>
      </c>
      <c r="E2296">
        <f t="shared" si="443"/>
        <v>10</v>
      </c>
      <c r="H2296">
        <f t="shared" si="445"/>
        <v>10000000</v>
      </c>
      <c r="I2296">
        <f t="shared" si="446"/>
        <v>4800000</v>
      </c>
      <c r="K2296">
        <f t="shared" si="448"/>
        <v>47152942</v>
      </c>
      <c r="M2296">
        <f t="shared" si="444"/>
        <v>10586974</v>
      </c>
      <c r="N2296">
        <f t="shared" si="447"/>
        <v>57739916</v>
      </c>
    </row>
    <row r="2297" ht="13.9" spans="1:14">
      <c r="A2297" s="42" t="s">
        <v>1501</v>
      </c>
      <c r="B2297" s="11">
        <v>47152942</v>
      </c>
      <c r="D2297" s="11">
        <v>190</v>
      </c>
      <c r="E2297">
        <f t="shared" si="443"/>
        <v>190</v>
      </c>
      <c r="H2297">
        <f t="shared" si="445"/>
        <v>190000000</v>
      </c>
      <c r="I2297">
        <f t="shared" si="446"/>
        <v>91200000</v>
      </c>
      <c r="K2297">
        <f t="shared" si="448"/>
        <v>297719692</v>
      </c>
      <c r="M2297">
        <f t="shared" si="444"/>
        <v>47152942</v>
      </c>
      <c r="N2297">
        <f t="shared" si="447"/>
        <v>344872634</v>
      </c>
    </row>
    <row r="2298" ht="13.9" spans="1:14">
      <c r="A2298" s="42" t="s">
        <v>1502</v>
      </c>
      <c r="B2298" s="11">
        <v>35252267</v>
      </c>
      <c r="D2298" s="11">
        <v>162</v>
      </c>
      <c r="E2298">
        <f t="shared" si="443"/>
        <v>162</v>
      </c>
      <c r="H2298">
        <f t="shared" si="445"/>
        <v>162000000</v>
      </c>
      <c r="I2298">
        <f t="shared" si="446"/>
        <v>77760000</v>
      </c>
      <c r="K2298">
        <f t="shared" si="448"/>
        <v>262467425</v>
      </c>
      <c r="M2298">
        <f t="shared" si="444"/>
        <v>35252267</v>
      </c>
      <c r="N2298">
        <f t="shared" si="447"/>
        <v>297719692</v>
      </c>
    </row>
    <row r="2299" ht="13.9" spans="1:14">
      <c r="A2299" s="42" t="s">
        <v>1503</v>
      </c>
      <c r="B2299" s="11">
        <v>30579569</v>
      </c>
      <c r="D2299" s="11">
        <v>140</v>
      </c>
      <c r="E2299">
        <f t="shared" si="443"/>
        <v>140</v>
      </c>
      <c r="H2299">
        <f t="shared" si="445"/>
        <v>140000000</v>
      </c>
      <c r="I2299">
        <f t="shared" si="446"/>
        <v>67200000</v>
      </c>
      <c r="K2299">
        <f t="shared" si="448"/>
        <v>231887856</v>
      </c>
      <c r="M2299">
        <f t="shared" si="444"/>
        <v>30579569</v>
      </c>
      <c r="N2299">
        <f t="shared" si="447"/>
        <v>262467425</v>
      </c>
    </row>
    <row r="2300" ht="13.9" spans="1:14">
      <c r="A2300" s="42" t="s">
        <v>1504</v>
      </c>
      <c r="B2300" s="11">
        <v>24965814</v>
      </c>
      <c r="D2300" s="11">
        <v>117</v>
      </c>
      <c r="E2300">
        <f t="shared" si="443"/>
        <v>117</v>
      </c>
      <c r="H2300">
        <f t="shared" si="445"/>
        <v>117000000</v>
      </c>
      <c r="I2300">
        <f t="shared" si="446"/>
        <v>56160000</v>
      </c>
      <c r="K2300">
        <f t="shared" si="448"/>
        <v>206922042</v>
      </c>
      <c r="M2300">
        <f t="shared" si="444"/>
        <v>24965814</v>
      </c>
      <c r="N2300">
        <f t="shared" si="447"/>
        <v>231887856</v>
      </c>
    </row>
    <row r="2301" ht="13.85" spans="1:14">
      <c r="A2301" s="43">
        <v>40485</v>
      </c>
      <c r="B2301" s="11">
        <v>23518073</v>
      </c>
      <c r="D2301" s="11">
        <v>102</v>
      </c>
      <c r="E2301">
        <f t="shared" si="443"/>
        <v>102</v>
      </c>
      <c r="H2301">
        <f t="shared" si="445"/>
        <v>102000000</v>
      </c>
      <c r="I2301">
        <f t="shared" si="446"/>
        <v>48960000</v>
      </c>
      <c r="K2301">
        <f t="shared" si="448"/>
        <v>183403969</v>
      </c>
      <c r="M2301">
        <f t="shared" si="444"/>
        <v>23518073</v>
      </c>
      <c r="N2301">
        <f t="shared" si="447"/>
        <v>206922042</v>
      </c>
    </row>
    <row r="2302" ht="13.85" spans="1:14">
      <c r="A2302" s="43">
        <v>40393</v>
      </c>
      <c r="B2302" s="11">
        <v>17621426</v>
      </c>
      <c r="D2302" s="11">
        <v>88</v>
      </c>
      <c r="E2302">
        <f t="shared" si="443"/>
        <v>88</v>
      </c>
      <c r="H2302">
        <f t="shared" si="445"/>
        <v>88000000</v>
      </c>
      <c r="I2302">
        <f t="shared" si="446"/>
        <v>42240000</v>
      </c>
      <c r="K2302">
        <f t="shared" si="448"/>
        <v>165782543</v>
      </c>
      <c r="M2302">
        <f t="shared" si="444"/>
        <v>17621426</v>
      </c>
      <c r="N2302">
        <f t="shared" si="447"/>
        <v>183403969</v>
      </c>
    </row>
    <row r="2303" ht="13.85" spans="1:14">
      <c r="A2303" s="43">
        <v>40271</v>
      </c>
      <c r="B2303" s="11">
        <v>17724648</v>
      </c>
      <c r="D2303" s="11">
        <v>79</v>
      </c>
      <c r="E2303">
        <f t="shared" si="443"/>
        <v>79</v>
      </c>
      <c r="H2303">
        <f t="shared" si="445"/>
        <v>79000000</v>
      </c>
      <c r="I2303">
        <f t="shared" si="446"/>
        <v>37920000</v>
      </c>
      <c r="K2303">
        <f t="shared" si="448"/>
        <v>148057895</v>
      </c>
      <c r="M2303">
        <f t="shared" si="444"/>
        <v>17724648</v>
      </c>
      <c r="N2303">
        <f t="shared" si="447"/>
        <v>165782543</v>
      </c>
    </row>
    <row r="2304" ht="13.85" spans="1:14">
      <c r="A2304" s="43">
        <v>40181</v>
      </c>
      <c r="B2304" s="11">
        <v>14783816</v>
      </c>
      <c r="D2304" s="11">
        <v>69</v>
      </c>
      <c r="E2304">
        <f t="shared" ref="E2304:E2367" si="449">IF(RIGHT(D2304,1)="B",VALUE(LEFT(D2304,LEN(D2304)-1))*1000,D2304)</f>
        <v>69</v>
      </c>
      <c r="H2304">
        <f t="shared" si="445"/>
        <v>69000000</v>
      </c>
      <c r="I2304">
        <f t="shared" si="446"/>
        <v>33120000</v>
      </c>
      <c r="K2304">
        <f t="shared" si="448"/>
        <v>133274079</v>
      </c>
      <c r="M2304">
        <f t="shared" si="444"/>
        <v>14783816</v>
      </c>
      <c r="N2304">
        <f t="shared" si="447"/>
        <v>148057895</v>
      </c>
    </row>
    <row r="2305" ht="13.9" spans="1:14">
      <c r="A2305" s="42" t="s">
        <v>1505</v>
      </c>
      <c r="B2305" s="11">
        <v>15322778</v>
      </c>
      <c r="D2305" s="11">
        <v>60</v>
      </c>
      <c r="E2305">
        <f t="shared" si="449"/>
        <v>60</v>
      </c>
      <c r="H2305">
        <f t="shared" si="445"/>
        <v>60000000</v>
      </c>
      <c r="I2305">
        <f t="shared" si="446"/>
        <v>28800000</v>
      </c>
      <c r="K2305">
        <f t="shared" si="448"/>
        <v>117951301</v>
      </c>
      <c r="M2305">
        <f t="shared" si="444"/>
        <v>15322778</v>
      </c>
      <c r="N2305">
        <f t="shared" si="447"/>
        <v>133274079</v>
      </c>
    </row>
    <row r="2306" ht="13.9" spans="1:14">
      <c r="A2306" s="42" t="s">
        <v>1506</v>
      </c>
      <c r="B2306" s="11">
        <v>13194791</v>
      </c>
      <c r="D2306" s="11">
        <v>50</v>
      </c>
      <c r="E2306">
        <f t="shared" si="449"/>
        <v>50</v>
      </c>
      <c r="H2306">
        <f t="shared" si="445"/>
        <v>50000000</v>
      </c>
      <c r="I2306">
        <f t="shared" si="446"/>
        <v>24000000</v>
      </c>
      <c r="K2306">
        <f t="shared" si="448"/>
        <v>104756510</v>
      </c>
      <c r="M2306">
        <f t="shared" si="444"/>
        <v>13194791</v>
      </c>
      <c r="N2306">
        <f t="shared" si="447"/>
        <v>117951301</v>
      </c>
    </row>
    <row r="2307" ht="13.9" spans="1:14">
      <c r="A2307" s="42" t="s">
        <v>1507</v>
      </c>
      <c r="B2307" s="11">
        <v>13533164</v>
      </c>
      <c r="D2307" s="11">
        <v>43</v>
      </c>
      <c r="E2307">
        <f t="shared" si="449"/>
        <v>43</v>
      </c>
      <c r="H2307">
        <f t="shared" si="445"/>
        <v>43000000</v>
      </c>
      <c r="I2307">
        <f t="shared" si="446"/>
        <v>20640000</v>
      </c>
      <c r="K2307">
        <f t="shared" si="448"/>
        <v>91223346</v>
      </c>
      <c r="M2307">
        <f t="shared" si="444"/>
        <v>13533164</v>
      </c>
      <c r="N2307">
        <f t="shared" si="447"/>
        <v>104756510</v>
      </c>
    </row>
    <row r="2308" ht="13.9" spans="1:14">
      <c r="A2308" s="42" t="s">
        <v>1508</v>
      </c>
      <c r="B2308" s="11">
        <v>11863748</v>
      </c>
      <c r="D2308" s="11">
        <v>35</v>
      </c>
      <c r="E2308">
        <f t="shared" si="449"/>
        <v>35</v>
      </c>
      <c r="H2308">
        <f t="shared" si="445"/>
        <v>35000000</v>
      </c>
      <c r="I2308">
        <f t="shared" si="446"/>
        <v>16800000</v>
      </c>
      <c r="K2308">
        <f t="shared" si="448"/>
        <v>79359598</v>
      </c>
      <c r="M2308">
        <f t="shared" si="444"/>
        <v>11863748</v>
      </c>
      <c r="N2308">
        <f t="shared" si="447"/>
        <v>91223346</v>
      </c>
    </row>
    <row r="2309" ht="13.9" spans="1:14">
      <c r="A2309" s="42" t="s">
        <v>1509</v>
      </c>
      <c r="B2309" s="11">
        <v>12618246</v>
      </c>
      <c r="D2309" s="11">
        <v>28</v>
      </c>
      <c r="E2309">
        <f t="shared" si="449"/>
        <v>28</v>
      </c>
      <c r="H2309">
        <f t="shared" si="445"/>
        <v>28000000</v>
      </c>
      <c r="I2309">
        <f t="shared" si="446"/>
        <v>13440000</v>
      </c>
      <c r="K2309">
        <f t="shared" si="448"/>
        <v>66741352</v>
      </c>
      <c r="M2309">
        <f t="shared" si="444"/>
        <v>12618246</v>
      </c>
      <c r="N2309">
        <f t="shared" si="447"/>
        <v>79359598</v>
      </c>
    </row>
    <row r="2310" ht="13.85" spans="1:14">
      <c r="A2310" s="43">
        <v>40089</v>
      </c>
      <c r="B2310" s="11">
        <v>10940370</v>
      </c>
      <c r="D2310" s="11">
        <v>20</v>
      </c>
      <c r="E2310">
        <f t="shared" si="449"/>
        <v>20</v>
      </c>
      <c r="H2310">
        <f t="shared" si="445"/>
        <v>20000000</v>
      </c>
      <c r="I2310">
        <f t="shared" si="446"/>
        <v>9600000</v>
      </c>
      <c r="K2310">
        <f t="shared" si="448"/>
        <v>55800982</v>
      </c>
      <c r="M2310">
        <f t="shared" ref="M2310:M2373" si="450">B2310+C2310</f>
        <v>10940370</v>
      </c>
      <c r="N2310">
        <f t="shared" si="447"/>
        <v>66741352</v>
      </c>
    </row>
    <row r="2311" ht="13.85" spans="1:14">
      <c r="A2311" s="43">
        <v>39967</v>
      </c>
      <c r="B2311" s="11">
        <v>11626184</v>
      </c>
      <c r="D2311" s="11">
        <v>12</v>
      </c>
      <c r="E2311">
        <f t="shared" si="449"/>
        <v>12</v>
      </c>
      <c r="H2311">
        <f t="shared" si="445"/>
        <v>12000000</v>
      </c>
      <c r="I2311">
        <f t="shared" si="446"/>
        <v>5760000</v>
      </c>
      <c r="K2311">
        <f t="shared" si="448"/>
        <v>44174798</v>
      </c>
      <c r="M2311">
        <f t="shared" si="450"/>
        <v>11626184</v>
      </c>
      <c r="N2311">
        <f t="shared" si="447"/>
        <v>55800982</v>
      </c>
    </row>
    <row r="2312" ht="13.85" spans="1:14">
      <c r="A2312" s="43">
        <v>39875</v>
      </c>
      <c r="B2312" s="11">
        <v>10909344</v>
      </c>
      <c r="D2312" s="11">
        <v>10</v>
      </c>
      <c r="E2312">
        <f t="shared" si="449"/>
        <v>10</v>
      </c>
      <c r="H2312">
        <f t="shared" si="445"/>
        <v>10000000</v>
      </c>
      <c r="I2312">
        <f t="shared" si="446"/>
        <v>4800000</v>
      </c>
      <c r="K2312">
        <f t="shared" si="448"/>
        <v>33265454</v>
      </c>
      <c r="M2312">
        <f t="shared" si="450"/>
        <v>10909344</v>
      </c>
      <c r="N2312">
        <f t="shared" si="447"/>
        <v>44174798</v>
      </c>
    </row>
    <row r="2313" ht="13.9" spans="1:14">
      <c r="A2313" s="42" t="s">
        <v>1510</v>
      </c>
      <c r="B2313" s="11">
        <v>33265454</v>
      </c>
      <c r="D2313" s="11">
        <v>140</v>
      </c>
      <c r="E2313">
        <f t="shared" si="449"/>
        <v>140</v>
      </c>
      <c r="H2313">
        <f t="shared" si="445"/>
        <v>140000000</v>
      </c>
      <c r="I2313">
        <f t="shared" si="446"/>
        <v>67200000</v>
      </c>
      <c r="K2313">
        <f t="shared" si="448"/>
        <v>200533114</v>
      </c>
      <c r="M2313">
        <f t="shared" si="450"/>
        <v>33265454</v>
      </c>
      <c r="N2313">
        <f t="shared" si="447"/>
        <v>233798568</v>
      </c>
    </row>
    <row r="2314" ht="13.9" spans="1:14">
      <c r="A2314" s="42" t="s">
        <v>1511</v>
      </c>
      <c r="B2314" s="11">
        <v>27159453</v>
      </c>
      <c r="D2314" s="11">
        <v>115</v>
      </c>
      <c r="E2314">
        <f t="shared" si="449"/>
        <v>115</v>
      </c>
      <c r="H2314">
        <f t="shared" si="445"/>
        <v>115000000</v>
      </c>
      <c r="I2314">
        <f t="shared" si="446"/>
        <v>55200000</v>
      </c>
      <c r="K2314">
        <f t="shared" si="448"/>
        <v>173373661</v>
      </c>
      <c r="M2314">
        <f t="shared" si="450"/>
        <v>27159453</v>
      </c>
      <c r="N2314">
        <f t="shared" si="447"/>
        <v>200533114</v>
      </c>
    </row>
    <row r="2315" ht="13.9" spans="1:14">
      <c r="A2315" s="42" t="s">
        <v>1512</v>
      </c>
      <c r="B2315" s="11">
        <v>25332808</v>
      </c>
      <c r="D2315" s="11">
        <v>100</v>
      </c>
      <c r="E2315">
        <f t="shared" si="449"/>
        <v>100</v>
      </c>
      <c r="H2315">
        <f t="shared" si="445"/>
        <v>100000000</v>
      </c>
      <c r="I2315">
        <f t="shared" si="446"/>
        <v>48000000</v>
      </c>
      <c r="K2315">
        <f t="shared" si="448"/>
        <v>148040853</v>
      </c>
      <c r="M2315">
        <f t="shared" si="450"/>
        <v>25332808</v>
      </c>
      <c r="N2315">
        <f t="shared" si="447"/>
        <v>173373661</v>
      </c>
    </row>
    <row r="2316" ht="13.9" spans="1:14">
      <c r="A2316" s="42" t="s">
        <v>1513</v>
      </c>
      <c r="B2316" s="11">
        <v>18505672</v>
      </c>
      <c r="D2316" s="11">
        <v>85</v>
      </c>
      <c r="E2316">
        <f t="shared" si="449"/>
        <v>85</v>
      </c>
      <c r="H2316">
        <f t="shared" si="445"/>
        <v>85000000</v>
      </c>
      <c r="I2316">
        <f t="shared" si="446"/>
        <v>40800000</v>
      </c>
      <c r="K2316">
        <f t="shared" si="448"/>
        <v>129535181</v>
      </c>
      <c r="M2316">
        <f t="shared" si="450"/>
        <v>18505672</v>
      </c>
      <c r="N2316">
        <f t="shared" si="447"/>
        <v>148040853</v>
      </c>
    </row>
    <row r="2317" ht="13.9" spans="1:14">
      <c r="A2317" s="42" t="s">
        <v>1514</v>
      </c>
      <c r="B2317" s="11">
        <v>17765663</v>
      </c>
      <c r="D2317" s="11">
        <v>72</v>
      </c>
      <c r="E2317">
        <f t="shared" si="449"/>
        <v>72</v>
      </c>
      <c r="H2317">
        <f t="shared" si="445"/>
        <v>72000000</v>
      </c>
      <c r="I2317">
        <f t="shared" si="446"/>
        <v>34560000</v>
      </c>
      <c r="K2317">
        <f t="shared" si="448"/>
        <v>111769518</v>
      </c>
      <c r="M2317">
        <f t="shared" si="450"/>
        <v>17765663</v>
      </c>
      <c r="N2317">
        <f t="shared" si="447"/>
        <v>129535181</v>
      </c>
    </row>
    <row r="2318" ht="13.9" spans="1:14">
      <c r="A2318" s="42" t="s">
        <v>1515</v>
      </c>
      <c r="B2318" s="11">
        <v>15051984</v>
      </c>
      <c r="D2318" s="11">
        <v>61</v>
      </c>
      <c r="E2318">
        <f t="shared" si="449"/>
        <v>61</v>
      </c>
      <c r="H2318">
        <f t="shared" si="445"/>
        <v>61000000</v>
      </c>
      <c r="I2318">
        <f t="shared" si="446"/>
        <v>29280000</v>
      </c>
      <c r="K2318">
        <f t="shared" si="448"/>
        <v>96717534</v>
      </c>
      <c r="M2318">
        <f t="shared" si="450"/>
        <v>15051984</v>
      </c>
      <c r="N2318">
        <f t="shared" si="447"/>
        <v>111769518</v>
      </c>
    </row>
    <row r="2319" ht="13.85" spans="1:14">
      <c r="A2319" s="43">
        <v>39694</v>
      </c>
      <c r="B2319" s="11">
        <v>15006513</v>
      </c>
      <c r="D2319" s="11">
        <v>53</v>
      </c>
      <c r="E2319">
        <f t="shared" si="449"/>
        <v>53</v>
      </c>
      <c r="H2319">
        <f t="shared" ref="H2319:H2382" si="451">E2319*1000000</f>
        <v>53000000</v>
      </c>
      <c r="I2319">
        <f t="shared" si="446"/>
        <v>25440000</v>
      </c>
      <c r="K2319">
        <f t="shared" si="448"/>
        <v>81711021</v>
      </c>
      <c r="M2319">
        <f t="shared" si="450"/>
        <v>15006513</v>
      </c>
      <c r="N2319">
        <f t="shared" si="447"/>
        <v>96717534</v>
      </c>
    </row>
    <row r="2320" ht="13.85" spans="1:14">
      <c r="A2320" s="43">
        <v>39602</v>
      </c>
      <c r="B2320" s="11">
        <v>12844765</v>
      </c>
      <c r="D2320" s="11">
        <v>42</v>
      </c>
      <c r="E2320">
        <f t="shared" si="449"/>
        <v>42</v>
      </c>
      <c r="H2320">
        <f t="shared" si="451"/>
        <v>42000000</v>
      </c>
      <c r="I2320">
        <f t="shared" si="446"/>
        <v>20160000</v>
      </c>
      <c r="K2320">
        <f t="shared" si="448"/>
        <v>68866256</v>
      </c>
      <c r="M2320">
        <f t="shared" si="450"/>
        <v>12844765</v>
      </c>
      <c r="N2320">
        <f t="shared" si="447"/>
        <v>81711021</v>
      </c>
    </row>
    <row r="2321" ht="13.85" spans="1:14">
      <c r="A2321" s="43">
        <v>39481</v>
      </c>
      <c r="B2321" s="11">
        <v>13241179</v>
      </c>
      <c r="D2321" s="11">
        <v>33</v>
      </c>
      <c r="E2321">
        <f t="shared" si="449"/>
        <v>33</v>
      </c>
      <c r="H2321">
        <f t="shared" si="451"/>
        <v>33000000</v>
      </c>
      <c r="I2321">
        <f t="shared" si="446"/>
        <v>15840000</v>
      </c>
      <c r="K2321">
        <f t="shared" si="448"/>
        <v>55625077</v>
      </c>
      <c r="M2321">
        <f t="shared" si="450"/>
        <v>13241179</v>
      </c>
      <c r="N2321">
        <f t="shared" si="447"/>
        <v>68866256</v>
      </c>
    </row>
    <row r="2322" ht="13.9" spans="1:14">
      <c r="A2322" s="42" t="s">
        <v>1516</v>
      </c>
      <c r="B2322" s="11">
        <v>11224665</v>
      </c>
      <c r="D2322" s="11">
        <v>25</v>
      </c>
      <c r="E2322">
        <f t="shared" si="449"/>
        <v>25</v>
      </c>
      <c r="H2322">
        <f t="shared" si="451"/>
        <v>25000000</v>
      </c>
      <c r="I2322">
        <f t="shared" si="446"/>
        <v>12000000</v>
      </c>
      <c r="K2322">
        <f t="shared" si="448"/>
        <v>44400412</v>
      </c>
      <c r="M2322">
        <f t="shared" si="450"/>
        <v>11224665</v>
      </c>
      <c r="N2322">
        <f t="shared" si="447"/>
        <v>55625077</v>
      </c>
    </row>
    <row r="2323" ht="13.9" spans="1:14">
      <c r="A2323" s="42" t="s">
        <v>1517</v>
      </c>
      <c r="B2323" s="11">
        <v>11720425</v>
      </c>
      <c r="D2323" s="11">
        <v>18</v>
      </c>
      <c r="E2323">
        <f t="shared" si="449"/>
        <v>18</v>
      </c>
      <c r="H2323">
        <f t="shared" si="451"/>
        <v>18000000</v>
      </c>
      <c r="I2323">
        <f t="shared" si="446"/>
        <v>8640000</v>
      </c>
      <c r="K2323">
        <f t="shared" si="448"/>
        <v>32679987</v>
      </c>
      <c r="M2323">
        <f t="shared" si="450"/>
        <v>11720425</v>
      </c>
      <c r="N2323">
        <f t="shared" si="447"/>
        <v>44400412</v>
      </c>
    </row>
    <row r="2324" ht="13.9" spans="1:14">
      <c r="A2324" s="42" t="s">
        <v>1518</v>
      </c>
      <c r="B2324" s="11">
        <v>10392274</v>
      </c>
      <c r="D2324" s="11">
        <v>12</v>
      </c>
      <c r="E2324">
        <f t="shared" si="449"/>
        <v>12</v>
      </c>
      <c r="H2324">
        <f t="shared" si="451"/>
        <v>12000000</v>
      </c>
      <c r="I2324">
        <f t="shared" si="446"/>
        <v>5760000</v>
      </c>
      <c r="K2324">
        <f t="shared" si="448"/>
        <v>22287713</v>
      </c>
      <c r="M2324">
        <f t="shared" si="450"/>
        <v>10392274</v>
      </c>
      <c r="N2324">
        <f t="shared" si="447"/>
        <v>32679987</v>
      </c>
    </row>
    <row r="2325" ht="13.9" spans="1:14">
      <c r="A2325" s="42" t="s">
        <v>1519</v>
      </c>
      <c r="B2325" s="11">
        <v>11283606</v>
      </c>
      <c r="D2325" s="11">
        <v>10</v>
      </c>
      <c r="E2325">
        <f t="shared" si="449"/>
        <v>10</v>
      </c>
      <c r="H2325">
        <f t="shared" si="451"/>
        <v>10000000</v>
      </c>
      <c r="I2325">
        <f t="shared" si="446"/>
        <v>4800000</v>
      </c>
      <c r="K2325">
        <f t="shared" si="448"/>
        <v>11004107</v>
      </c>
      <c r="M2325">
        <f t="shared" si="450"/>
        <v>11283606</v>
      </c>
      <c r="N2325">
        <f t="shared" si="447"/>
        <v>22287713</v>
      </c>
    </row>
    <row r="2326" ht="13.9" spans="1:14">
      <c r="A2326" s="42" t="s">
        <v>1520</v>
      </c>
      <c r="B2326" s="11">
        <v>11004107</v>
      </c>
      <c r="D2326" s="11">
        <v>14</v>
      </c>
      <c r="E2326">
        <f t="shared" si="449"/>
        <v>14</v>
      </c>
      <c r="H2326">
        <f t="shared" si="451"/>
        <v>14000000</v>
      </c>
      <c r="I2326">
        <f t="shared" si="446"/>
        <v>6720000</v>
      </c>
      <c r="K2326">
        <f t="shared" si="448"/>
        <v>122765997</v>
      </c>
      <c r="M2326">
        <f t="shared" si="450"/>
        <v>11004107</v>
      </c>
      <c r="N2326">
        <f t="shared" si="447"/>
        <v>133770104</v>
      </c>
    </row>
    <row r="2327" ht="13.85" spans="1:14">
      <c r="A2327" s="43">
        <v>39419</v>
      </c>
      <c r="B2327" s="11">
        <v>12710139</v>
      </c>
      <c r="D2327" s="11">
        <v>10</v>
      </c>
      <c r="E2327">
        <f t="shared" si="449"/>
        <v>10</v>
      </c>
      <c r="H2327">
        <f t="shared" si="451"/>
        <v>10000000</v>
      </c>
      <c r="I2327">
        <f t="shared" si="446"/>
        <v>4800000</v>
      </c>
      <c r="K2327">
        <f t="shared" si="448"/>
        <v>110055858</v>
      </c>
      <c r="M2327">
        <f t="shared" si="450"/>
        <v>12710139</v>
      </c>
      <c r="N2327">
        <f t="shared" si="447"/>
        <v>122765997</v>
      </c>
    </row>
    <row r="2328" ht="13.85" spans="1:14">
      <c r="A2328" s="43">
        <v>39328</v>
      </c>
      <c r="B2328" s="11">
        <v>110055858</v>
      </c>
      <c r="D2328" s="11">
        <v>240</v>
      </c>
      <c r="E2328">
        <f t="shared" si="449"/>
        <v>240</v>
      </c>
      <c r="H2328">
        <f t="shared" si="451"/>
        <v>240000000</v>
      </c>
      <c r="I2328">
        <f t="shared" si="446"/>
        <v>115200000</v>
      </c>
      <c r="K2328">
        <f t="shared" si="448"/>
        <v>373286581</v>
      </c>
      <c r="M2328">
        <f t="shared" si="450"/>
        <v>110055858</v>
      </c>
      <c r="N2328">
        <f t="shared" si="447"/>
        <v>483342439</v>
      </c>
    </row>
    <row r="2329" ht="13.85" spans="1:14">
      <c r="A2329" s="43">
        <v>39205</v>
      </c>
      <c r="B2329" s="11">
        <v>65180563</v>
      </c>
      <c r="D2329" s="11">
        <v>200</v>
      </c>
      <c r="E2329">
        <f t="shared" si="449"/>
        <v>200</v>
      </c>
      <c r="H2329">
        <f t="shared" si="451"/>
        <v>200000000</v>
      </c>
      <c r="I2329">
        <f t="shared" si="446"/>
        <v>96000000</v>
      </c>
      <c r="K2329">
        <f t="shared" si="448"/>
        <v>308106018</v>
      </c>
      <c r="M2329">
        <f t="shared" si="450"/>
        <v>65180563</v>
      </c>
      <c r="N2329">
        <f t="shared" si="447"/>
        <v>373286581</v>
      </c>
    </row>
    <row r="2330" ht="13.85" spans="1:14">
      <c r="A2330" s="43">
        <v>39116</v>
      </c>
      <c r="B2330" s="11">
        <v>48521684</v>
      </c>
      <c r="D2330" s="11">
        <v>165</v>
      </c>
      <c r="E2330">
        <f t="shared" si="449"/>
        <v>165</v>
      </c>
      <c r="H2330">
        <f t="shared" si="451"/>
        <v>165000000</v>
      </c>
      <c r="I2330">
        <f t="shared" si="446"/>
        <v>79200000</v>
      </c>
      <c r="K2330">
        <f t="shared" si="448"/>
        <v>259584334</v>
      </c>
      <c r="M2330">
        <f t="shared" si="450"/>
        <v>48521684</v>
      </c>
      <c r="N2330">
        <f t="shared" si="447"/>
        <v>308106018</v>
      </c>
    </row>
    <row r="2331" ht="13.9" spans="1:14">
      <c r="A2331" s="42" t="s">
        <v>1521</v>
      </c>
      <c r="B2331" s="11">
        <v>36749985</v>
      </c>
      <c r="D2331" s="11">
        <v>135</v>
      </c>
      <c r="E2331">
        <f t="shared" si="449"/>
        <v>135</v>
      </c>
      <c r="H2331">
        <f t="shared" si="451"/>
        <v>135000000</v>
      </c>
      <c r="I2331">
        <f t="shared" si="446"/>
        <v>64800000</v>
      </c>
      <c r="K2331">
        <f t="shared" si="448"/>
        <v>222834349</v>
      </c>
      <c r="M2331">
        <f t="shared" si="450"/>
        <v>36749985</v>
      </c>
      <c r="N2331">
        <f t="shared" si="447"/>
        <v>259584334</v>
      </c>
    </row>
    <row r="2332" ht="13.9" spans="1:14">
      <c r="A2332" s="42" t="s">
        <v>1522</v>
      </c>
      <c r="B2332" s="11">
        <v>28800559</v>
      </c>
      <c r="D2332" s="11">
        <v>110</v>
      </c>
      <c r="E2332">
        <f t="shared" si="449"/>
        <v>110</v>
      </c>
      <c r="H2332">
        <f t="shared" si="451"/>
        <v>110000000</v>
      </c>
      <c r="I2332">
        <f t="shared" si="446"/>
        <v>52800000</v>
      </c>
      <c r="K2332">
        <f t="shared" si="448"/>
        <v>194033790</v>
      </c>
      <c r="M2332">
        <f t="shared" si="450"/>
        <v>28800559</v>
      </c>
      <c r="N2332">
        <f t="shared" si="447"/>
        <v>222834349</v>
      </c>
    </row>
    <row r="2333" ht="13.9" spans="1:14">
      <c r="A2333" s="42" t="s">
        <v>1523</v>
      </c>
      <c r="B2333" s="11">
        <v>23475972</v>
      </c>
      <c r="D2333" s="11">
        <v>95</v>
      </c>
      <c r="E2333">
        <f t="shared" si="449"/>
        <v>95</v>
      </c>
      <c r="H2333">
        <f t="shared" si="451"/>
        <v>95000000</v>
      </c>
      <c r="I2333">
        <f t="shared" si="446"/>
        <v>45600000</v>
      </c>
      <c r="K2333">
        <f t="shared" si="448"/>
        <v>170557818</v>
      </c>
      <c r="M2333">
        <f t="shared" si="450"/>
        <v>23475972</v>
      </c>
      <c r="N2333">
        <f t="shared" si="447"/>
        <v>194033790</v>
      </c>
    </row>
    <row r="2334" ht="13.9" spans="1:14">
      <c r="A2334" s="42" t="s">
        <v>1524</v>
      </c>
      <c r="B2334" s="11">
        <v>18209434</v>
      </c>
      <c r="D2334" s="11">
        <v>82</v>
      </c>
      <c r="E2334">
        <f t="shared" si="449"/>
        <v>82</v>
      </c>
      <c r="H2334">
        <f t="shared" si="451"/>
        <v>82000000</v>
      </c>
      <c r="I2334">
        <f t="shared" ref="I2334:I2397" si="452">H2334*0.48</f>
        <v>39360000</v>
      </c>
      <c r="K2334">
        <f t="shared" si="448"/>
        <v>152348384</v>
      </c>
      <c r="M2334">
        <f t="shared" si="450"/>
        <v>18209434</v>
      </c>
      <c r="N2334">
        <f t="shared" si="447"/>
        <v>170557818</v>
      </c>
    </row>
    <row r="2335" ht="13.9" spans="1:14">
      <c r="A2335" s="42" t="s">
        <v>1525</v>
      </c>
      <c r="B2335" s="11">
        <v>17263826</v>
      </c>
      <c r="D2335" s="11">
        <v>75</v>
      </c>
      <c r="E2335">
        <f t="shared" si="449"/>
        <v>75</v>
      </c>
      <c r="H2335">
        <f t="shared" si="451"/>
        <v>75000000</v>
      </c>
      <c r="I2335">
        <f t="shared" si="452"/>
        <v>36000000</v>
      </c>
      <c r="K2335">
        <f t="shared" si="448"/>
        <v>135084558</v>
      </c>
      <c r="M2335">
        <f t="shared" si="450"/>
        <v>17263826</v>
      </c>
      <c r="N2335">
        <f t="shared" ref="N2335:N2398" si="453">IF(H2335&lt;H2336,M2335+M2336,M2335+N2336)</f>
        <v>152348384</v>
      </c>
    </row>
    <row r="2336" ht="13.85" spans="1:14">
      <c r="A2336" s="43">
        <v>39024</v>
      </c>
      <c r="B2336" s="11">
        <v>14033722</v>
      </c>
      <c r="D2336" s="11">
        <v>65</v>
      </c>
      <c r="E2336">
        <f t="shared" si="449"/>
        <v>65</v>
      </c>
      <c r="H2336">
        <f t="shared" si="451"/>
        <v>65000000</v>
      </c>
      <c r="I2336">
        <f t="shared" si="452"/>
        <v>31200000</v>
      </c>
      <c r="K2336">
        <f t="shared" si="448"/>
        <v>121050836</v>
      </c>
      <c r="M2336">
        <f t="shared" si="450"/>
        <v>14033722</v>
      </c>
      <c r="N2336">
        <f t="shared" si="453"/>
        <v>135084558</v>
      </c>
    </row>
    <row r="2337" ht="13.85" spans="1:14">
      <c r="A2337" s="43">
        <v>38901</v>
      </c>
      <c r="B2337" s="11">
        <v>14222513</v>
      </c>
      <c r="D2337" s="11">
        <v>57</v>
      </c>
      <c r="E2337">
        <f t="shared" si="449"/>
        <v>57</v>
      </c>
      <c r="H2337">
        <f t="shared" si="451"/>
        <v>57000000</v>
      </c>
      <c r="I2337">
        <f t="shared" si="452"/>
        <v>27360000</v>
      </c>
      <c r="K2337">
        <f t="shared" si="448"/>
        <v>106828323</v>
      </c>
      <c r="M2337">
        <f t="shared" si="450"/>
        <v>14222513</v>
      </c>
      <c r="N2337">
        <f t="shared" si="453"/>
        <v>121050836</v>
      </c>
    </row>
    <row r="2338" ht="13.85" spans="1:14">
      <c r="A2338" s="43">
        <v>38810</v>
      </c>
      <c r="B2338" s="11">
        <v>12149892</v>
      </c>
      <c r="D2338" s="11">
        <v>48</v>
      </c>
      <c r="E2338">
        <f t="shared" si="449"/>
        <v>48</v>
      </c>
      <c r="H2338">
        <f t="shared" si="451"/>
        <v>48000000</v>
      </c>
      <c r="I2338">
        <f t="shared" si="452"/>
        <v>23040000</v>
      </c>
      <c r="K2338">
        <f t="shared" si="448"/>
        <v>94678431</v>
      </c>
      <c r="M2338">
        <f t="shared" si="450"/>
        <v>12149892</v>
      </c>
      <c r="N2338">
        <f t="shared" si="453"/>
        <v>106828323</v>
      </c>
    </row>
    <row r="2339" ht="13.9" spans="1:14">
      <c r="A2339" s="42" t="s">
        <v>1526</v>
      </c>
      <c r="B2339" s="11">
        <v>12911499</v>
      </c>
      <c r="D2339" s="11">
        <v>42</v>
      </c>
      <c r="E2339">
        <f t="shared" si="449"/>
        <v>42</v>
      </c>
      <c r="H2339">
        <f t="shared" si="451"/>
        <v>42000000</v>
      </c>
      <c r="I2339">
        <f t="shared" si="452"/>
        <v>20160000</v>
      </c>
      <c r="K2339">
        <f t="shared" si="448"/>
        <v>81766932</v>
      </c>
      <c r="M2339">
        <f t="shared" si="450"/>
        <v>12911499</v>
      </c>
      <c r="N2339">
        <f t="shared" si="453"/>
        <v>94678431</v>
      </c>
    </row>
    <row r="2340" ht="13.9" spans="1:14">
      <c r="A2340" s="42" t="s">
        <v>1527</v>
      </c>
      <c r="B2340" s="11">
        <v>10371816</v>
      </c>
      <c r="D2340" s="11">
        <v>35</v>
      </c>
      <c r="E2340">
        <f t="shared" si="449"/>
        <v>35</v>
      </c>
      <c r="H2340">
        <f t="shared" si="451"/>
        <v>35000000</v>
      </c>
      <c r="I2340">
        <f t="shared" si="452"/>
        <v>16800000</v>
      </c>
      <c r="K2340">
        <f t="shared" si="448"/>
        <v>71395116</v>
      </c>
      <c r="M2340">
        <f t="shared" si="450"/>
        <v>10371816</v>
      </c>
      <c r="N2340">
        <f t="shared" si="453"/>
        <v>81766932</v>
      </c>
    </row>
    <row r="2341" ht="13.9" spans="1:14">
      <c r="A2341" s="42" t="s">
        <v>1528</v>
      </c>
      <c r="B2341" s="11">
        <v>11643204</v>
      </c>
      <c r="D2341" s="11">
        <v>29</v>
      </c>
      <c r="E2341">
        <f t="shared" si="449"/>
        <v>29</v>
      </c>
      <c r="H2341">
        <f t="shared" si="451"/>
        <v>29000000</v>
      </c>
      <c r="I2341">
        <f t="shared" si="452"/>
        <v>13920000</v>
      </c>
      <c r="K2341">
        <f t="shared" si="448"/>
        <v>59751912</v>
      </c>
      <c r="M2341">
        <f t="shared" si="450"/>
        <v>11643204</v>
      </c>
      <c r="N2341">
        <f t="shared" si="453"/>
        <v>71395116</v>
      </c>
    </row>
    <row r="2342" ht="13.9" spans="1:14">
      <c r="A2342" s="42" t="s">
        <v>1529</v>
      </c>
      <c r="B2342" s="11">
        <v>10032236</v>
      </c>
      <c r="D2342" s="11">
        <v>23</v>
      </c>
      <c r="E2342">
        <f t="shared" si="449"/>
        <v>23</v>
      </c>
      <c r="H2342">
        <f t="shared" si="451"/>
        <v>23000000</v>
      </c>
      <c r="I2342">
        <f t="shared" si="452"/>
        <v>11040000</v>
      </c>
      <c r="K2342">
        <f t="shared" si="448"/>
        <v>49719676</v>
      </c>
      <c r="M2342">
        <f t="shared" si="450"/>
        <v>10032236</v>
      </c>
      <c r="N2342">
        <f t="shared" si="453"/>
        <v>59751912</v>
      </c>
    </row>
    <row r="2343" ht="13.9" spans="1:14">
      <c r="A2343" s="42" t="s">
        <v>1530</v>
      </c>
      <c r="B2343" s="11">
        <v>10672263</v>
      </c>
      <c r="D2343" s="11">
        <v>18</v>
      </c>
      <c r="E2343">
        <f t="shared" si="449"/>
        <v>18</v>
      </c>
      <c r="H2343">
        <f t="shared" si="451"/>
        <v>18000000</v>
      </c>
      <c r="I2343">
        <f t="shared" si="452"/>
        <v>8640000</v>
      </c>
      <c r="K2343">
        <f t="shared" si="448"/>
        <v>39047413</v>
      </c>
      <c r="M2343">
        <f t="shared" si="450"/>
        <v>10672263</v>
      </c>
      <c r="N2343">
        <f t="shared" si="453"/>
        <v>49719676</v>
      </c>
    </row>
    <row r="2344" ht="13.9" spans="1:14">
      <c r="A2344" s="42" t="s">
        <v>1531</v>
      </c>
      <c r="B2344" s="11">
        <v>9098573</v>
      </c>
      <c r="D2344" s="11">
        <v>12</v>
      </c>
      <c r="E2344">
        <f t="shared" si="449"/>
        <v>12</v>
      </c>
      <c r="H2344">
        <f t="shared" si="451"/>
        <v>12000000</v>
      </c>
      <c r="I2344">
        <f t="shared" si="452"/>
        <v>5760000</v>
      </c>
      <c r="K2344">
        <f t="shared" si="448"/>
        <v>29948840</v>
      </c>
      <c r="M2344">
        <f t="shared" si="450"/>
        <v>9098573</v>
      </c>
      <c r="N2344">
        <f t="shared" si="453"/>
        <v>39047413</v>
      </c>
    </row>
    <row r="2345" ht="13.85" spans="1:14">
      <c r="A2345" s="43">
        <v>38628</v>
      </c>
      <c r="B2345" s="11">
        <v>10846519</v>
      </c>
      <c r="D2345" s="11">
        <v>10</v>
      </c>
      <c r="E2345">
        <f t="shared" si="449"/>
        <v>10</v>
      </c>
      <c r="H2345">
        <f t="shared" si="451"/>
        <v>10000000</v>
      </c>
      <c r="I2345">
        <f t="shared" si="452"/>
        <v>4800000</v>
      </c>
      <c r="K2345">
        <f t="shared" si="448"/>
        <v>19102321</v>
      </c>
      <c r="M2345">
        <f t="shared" si="450"/>
        <v>10846519</v>
      </c>
      <c r="N2345">
        <f t="shared" si="453"/>
        <v>29948840</v>
      </c>
    </row>
    <row r="2346" ht="13.85" spans="1:14">
      <c r="A2346" s="43">
        <v>38536</v>
      </c>
      <c r="B2346" s="11">
        <v>19102321</v>
      </c>
      <c r="D2346" s="11">
        <v>87</v>
      </c>
      <c r="E2346">
        <f t="shared" si="449"/>
        <v>87</v>
      </c>
      <c r="H2346">
        <f t="shared" si="451"/>
        <v>87000000</v>
      </c>
      <c r="I2346">
        <f t="shared" si="452"/>
        <v>41760000</v>
      </c>
      <c r="K2346">
        <f t="shared" ref="K2346:K2409" si="454">IF(E2346&gt;E2347,B2347+K2347,B2347)</f>
        <v>148334242</v>
      </c>
      <c r="M2346">
        <f t="shared" si="450"/>
        <v>19102321</v>
      </c>
      <c r="N2346">
        <f t="shared" si="453"/>
        <v>167436563</v>
      </c>
    </row>
    <row r="2347" ht="13.85" spans="1:14">
      <c r="A2347" s="43">
        <v>38414</v>
      </c>
      <c r="B2347" s="11">
        <v>18122579</v>
      </c>
      <c r="D2347" s="11">
        <v>77</v>
      </c>
      <c r="E2347">
        <f t="shared" si="449"/>
        <v>77</v>
      </c>
      <c r="H2347">
        <f t="shared" si="451"/>
        <v>77000000</v>
      </c>
      <c r="I2347">
        <f t="shared" si="452"/>
        <v>36960000</v>
      </c>
      <c r="K2347">
        <f t="shared" si="454"/>
        <v>130211663</v>
      </c>
      <c r="M2347">
        <f t="shared" si="450"/>
        <v>18122579</v>
      </c>
      <c r="N2347">
        <f t="shared" si="453"/>
        <v>148334242</v>
      </c>
    </row>
    <row r="2348" ht="13.9" spans="1:14">
      <c r="A2348" s="42" t="s">
        <v>1532</v>
      </c>
      <c r="B2348" s="11">
        <v>14713597</v>
      </c>
      <c r="D2348" s="11">
        <v>67</v>
      </c>
      <c r="E2348">
        <f t="shared" si="449"/>
        <v>67</v>
      </c>
      <c r="H2348">
        <f t="shared" si="451"/>
        <v>67000000</v>
      </c>
      <c r="I2348">
        <f t="shared" si="452"/>
        <v>32160000</v>
      </c>
      <c r="K2348">
        <f t="shared" si="454"/>
        <v>115498066</v>
      </c>
      <c r="M2348">
        <f t="shared" si="450"/>
        <v>14713597</v>
      </c>
      <c r="N2348">
        <f t="shared" si="453"/>
        <v>130211663</v>
      </c>
    </row>
    <row r="2349" ht="13.9" spans="1:14">
      <c r="A2349" s="42" t="s">
        <v>1533</v>
      </c>
      <c r="B2349" s="11">
        <v>14482077</v>
      </c>
      <c r="D2349" s="11">
        <v>59</v>
      </c>
      <c r="E2349">
        <f t="shared" si="449"/>
        <v>59</v>
      </c>
      <c r="H2349">
        <f t="shared" si="451"/>
        <v>59000000</v>
      </c>
      <c r="I2349">
        <f t="shared" si="452"/>
        <v>28320000</v>
      </c>
      <c r="K2349">
        <f t="shared" si="454"/>
        <v>101015989</v>
      </c>
      <c r="M2349">
        <f t="shared" si="450"/>
        <v>14482077</v>
      </c>
      <c r="N2349">
        <f t="shared" si="453"/>
        <v>115498066</v>
      </c>
    </row>
    <row r="2350" ht="13.9" spans="1:14">
      <c r="A2350" s="42" t="s">
        <v>1534</v>
      </c>
      <c r="B2350" s="11">
        <v>12432086</v>
      </c>
      <c r="D2350" s="11">
        <v>51</v>
      </c>
      <c r="E2350">
        <f t="shared" si="449"/>
        <v>51</v>
      </c>
      <c r="H2350">
        <f t="shared" si="451"/>
        <v>51000000</v>
      </c>
      <c r="I2350">
        <f t="shared" si="452"/>
        <v>24480000</v>
      </c>
      <c r="K2350">
        <f t="shared" si="454"/>
        <v>88583903</v>
      </c>
      <c r="M2350">
        <f t="shared" si="450"/>
        <v>12432086</v>
      </c>
      <c r="N2350">
        <f t="shared" si="453"/>
        <v>101015989</v>
      </c>
    </row>
    <row r="2351" ht="13.9" spans="1:14">
      <c r="A2351" s="42" t="s">
        <v>1535</v>
      </c>
      <c r="B2351" s="11">
        <v>12927602</v>
      </c>
      <c r="D2351" s="11">
        <v>44</v>
      </c>
      <c r="E2351">
        <f t="shared" si="449"/>
        <v>44</v>
      </c>
      <c r="H2351">
        <f t="shared" si="451"/>
        <v>44000000</v>
      </c>
      <c r="I2351">
        <f t="shared" si="452"/>
        <v>21120000</v>
      </c>
      <c r="K2351">
        <f t="shared" si="454"/>
        <v>75656301</v>
      </c>
      <c r="M2351">
        <f t="shared" si="450"/>
        <v>12927602</v>
      </c>
      <c r="N2351">
        <f t="shared" si="453"/>
        <v>88583903</v>
      </c>
    </row>
    <row r="2352" ht="13.9" spans="1:14">
      <c r="A2352" s="42" t="s">
        <v>1536</v>
      </c>
      <c r="B2352" s="11">
        <v>10671517</v>
      </c>
      <c r="D2352" s="11">
        <v>37</v>
      </c>
      <c r="E2352">
        <f t="shared" si="449"/>
        <v>37</v>
      </c>
      <c r="H2352">
        <f t="shared" si="451"/>
        <v>37000000</v>
      </c>
      <c r="I2352">
        <f t="shared" si="452"/>
        <v>17760000</v>
      </c>
      <c r="K2352">
        <f t="shared" si="454"/>
        <v>64984784</v>
      </c>
      <c r="M2352">
        <f t="shared" si="450"/>
        <v>10671517</v>
      </c>
      <c r="N2352">
        <f t="shared" si="453"/>
        <v>75656301</v>
      </c>
    </row>
    <row r="2353" ht="13.85" spans="1:14">
      <c r="A2353" s="43">
        <v>38324</v>
      </c>
      <c r="B2353" s="11">
        <v>11500740</v>
      </c>
      <c r="D2353" s="11">
        <v>30</v>
      </c>
      <c r="E2353">
        <f t="shared" si="449"/>
        <v>30</v>
      </c>
      <c r="H2353">
        <f t="shared" si="451"/>
        <v>30000000</v>
      </c>
      <c r="I2353">
        <f t="shared" si="452"/>
        <v>14400000</v>
      </c>
      <c r="K2353">
        <f t="shared" si="454"/>
        <v>53484044</v>
      </c>
      <c r="M2353">
        <f t="shared" si="450"/>
        <v>11500740</v>
      </c>
      <c r="N2353">
        <f t="shared" si="453"/>
        <v>64984784</v>
      </c>
    </row>
    <row r="2354" ht="13.85" spans="1:14">
      <c r="A2354" s="43">
        <v>38233</v>
      </c>
      <c r="B2354" s="11">
        <v>9821258</v>
      </c>
      <c r="D2354" s="11">
        <v>24</v>
      </c>
      <c r="E2354">
        <f t="shared" si="449"/>
        <v>24</v>
      </c>
      <c r="H2354">
        <f t="shared" si="451"/>
        <v>24000000</v>
      </c>
      <c r="I2354">
        <f t="shared" si="452"/>
        <v>11520000</v>
      </c>
      <c r="K2354">
        <f t="shared" si="454"/>
        <v>43662786</v>
      </c>
      <c r="M2354">
        <f t="shared" si="450"/>
        <v>9821258</v>
      </c>
      <c r="N2354">
        <f t="shared" si="453"/>
        <v>53484044</v>
      </c>
    </row>
    <row r="2355" ht="13.85" spans="1:14">
      <c r="A2355" s="43">
        <v>38110</v>
      </c>
      <c r="B2355" s="11">
        <v>10754887</v>
      </c>
      <c r="D2355" s="11">
        <v>18</v>
      </c>
      <c r="E2355">
        <f t="shared" si="449"/>
        <v>18</v>
      </c>
      <c r="H2355">
        <f t="shared" si="451"/>
        <v>18000000</v>
      </c>
      <c r="I2355">
        <f t="shared" si="452"/>
        <v>8640000</v>
      </c>
      <c r="K2355">
        <f t="shared" si="454"/>
        <v>32907899</v>
      </c>
      <c r="M2355">
        <f t="shared" si="450"/>
        <v>10754887</v>
      </c>
      <c r="N2355">
        <f t="shared" si="453"/>
        <v>43662786</v>
      </c>
    </row>
    <row r="2356" ht="13.85" spans="1:14">
      <c r="A2356" s="43">
        <v>38020</v>
      </c>
      <c r="B2356" s="11">
        <v>9035161</v>
      </c>
      <c r="D2356" s="11">
        <v>12</v>
      </c>
      <c r="E2356">
        <f t="shared" si="449"/>
        <v>12</v>
      </c>
      <c r="H2356">
        <f t="shared" si="451"/>
        <v>12000000</v>
      </c>
      <c r="I2356">
        <f t="shared" si="452"/>
        <v>5760000</v>
      </c>
      <c r="K2356">
        <f t="shared" si="454"/>
        <v>23872738</v>
      </c>
      <c r="M2356">
        <f t="shared" si="450"/>
        <v>9035161</v>
      </c>
      <c r="N2356">
        <f t="shared" si="453"/>
        <v>32907899</v>
      </c>
    </row>
    <row r="2357" ht="13.9" spans="1:14">
      <c r="A2357" s="42" t="s">
        <v>1537</v>
      </c>
      <c r="B2357" s="11">
        <v>10388784</v>
      </c>
      <c r="D2357" s="11">
        <v>10</v>
      </c>
      <c r="E2357">
        <f t="shared" si="449"/>
        <v>10</v>
      </c>
      <c r="H2357">
        <f t="shared" si="451"/>
        <v>10000000</v>
      </c>
      <c r="I2357">
        <f t="shared" si="452"/>
        <v>4800000</v>
      </c>
      <c r="K2357">
        <f t="shared" si="454"/>
        <v>13483954</v>
      </c>
      <c r="M2357">
        <f t="shared" si="450"/>
        <v>10388784</v>
      </c>
      <c r="N2357">
        <f t="shared" si="453"/>
        <v>23872738</v>
      </c>
    </row>
    <row r="2358" ht="13.9" spans="1:14">
      <c r="A2358" s="42" t="s">
        <v>1538</v>
      </c>
      <c r="B2358" s="11">
        <v>13483954</v>
      </c>
      <c r="D2358" s="11">
        <v>62</v>
      </c>
      <c r="E2358">
        <f t="shared" si="449"/>
        <v>62</v>
      </c>
      <c r="H2358">
        <f t="shared" si="451"/>
        <v>62000000</v>
      </c>
      <c r="I2358">
        <f t="shared" si="452"/>
        <v>29760000</v>
      </c>
      <c r="K2358">
        <f t="shared" si="454"/>
        <v>104719917</v>
      </c>
      <c r="M2358">
        <f t="shared" si="450"/>
        <v>13483954</v>
      </c>
      <c r="N2358">
        <f t="shared" si="453"/>
        <v>118203871</v>
      </c>
    </row>
    <row r="2359" ht="13.9" spans="1:14">
      <c r="A2359" s="42" t="s">
        <v>1539</v>
      </c>
      <c r="B2359" s="11">
        <v>13796568</v>
      </c>
      <c r="D2359" s="11">
        <v>53</v>
      </c>
      <c r="E2359">
        <f t="shared" si="449"/>
        <v>53</v>
      </c>
      <c r="H2359">
        <f t="shared" si="451"/>
        <v>53000000</v>
      </c>
      <c r="I2359">
        <f t="shared" si="452"/>
        <v>25440000</v>
      </c>
      <c r="K2359">
        <f t="shared" si="454"/>
        <v>90923349</v>
      </c>
      <c r="M2359">
        <f t="shared" si="450"/>
        <v>13796568</v>
      </c>
      <c r="N2359">
        <f t="shared" si="453"/>
        <v>104719917</v>
      </c>
    </row>
    <row r="2360" ht="13.9" spans="1:14">
      <c r="A2360" s="42" t="s">
        <v>1540</v>
      </c>
      <c r="B2360" s="11">
        <v>11805627</v>
      </c>
      <c r="D2360" s="11">
        <v>45</v>
      </c>
      <c r="E2360">
        <f t="shared" si="449"/>
        <v>45</v>
      </c>
      <c r="H2360">
        <f t="shared" si="451"/>
        <v>45000000</v>
      </c>
      <c r="I2360">
        <f t="shared" si="452"/>
        <v>21600000</v>
      </c>
      <c r="K2360">
        <f t="shared" si="454"/>
        <v>79117722</v>
      </c>
      <c r="M2360">
        <f t="shared" si="450"/>
        <v>11805627</v>
      </c>
      <c r="N2360">
        <f t="shared" si="453"/>
        <v>90923349</v>
      </c>
    </row>
    <row r="2361" ht="13.9" spans="1:14">
      <c r="A2361" s="42" t="s">
        <v>1541</v>
      </c>
      <c r="B2361" s="11">
        <v>12689435</v>
      </c>
      <c r="D2361" s="11">
        <v>38</v>
      </c>
      <c r="E2361">
        <f t="shared" si="449"/>
        <v>38</v>
      </c>
      <c r="H2361">
        <f t="shared" si="451"/>
        <v>38000000</v>
      </c>
      <c r="I2361">
        <f t="shared" si="452"/>
        <v>18240000</v>
      </c>
      <c r="K2361">
        <f t="shared" si="454"/>
        <v>66428287</v>
      </c>
      <c r="M2361">
        <f t="shared" si="450"/>
        <v>12689435</v>
      </c>
      <c r="N2361">
        <f t="shared" si="453"/>
        <v>79117722</v>
      </c>
    </row>
    <row r="2362" ht="13.85" spans="1:14">
      <c r="A2362" s="43">
        <v>37958</v>
      </c>
      <c r="B2362" s="11">
        <v>10803936</v>
      </c>
      <c r="D2362" s="11">
        <v>30</v>
      </c>
      <c r="E2362">
        <f t="shared" si="449"/>
        <v>30</v>
      </c>
      <c r="H2362">
        <f t="shared" si="451"/>
        <v>30000000</v>
      </c>
      <c r="I2362">
        <f t="shared" si="452"/>
        <v>14400000</v>
      </c>
      <c r="K2362">
        <f t="shared" si="454"/>
        <v>55624351</v>
      </c>
      <c r="M2362">
        <f t="shared" si="450"/>
        <v>10803936</v>
      </c>
      <c r="N2362">
        <f t="shared" si="453"/>
        <v>66428287</v>
      </c>
    </row>
    <row r="2363" ht="13.85" spans="1:14">
      <c r="A2363" s="43">
        <v>37836</v>
      </c>
      <c r="B2363" s="11">
        <v>11653655</v>
      </c>
      <c r="D2363" s="11">
        <v>24</v>
      </c>
      <c r="E2363">
        <f t="shared" si="449"/>
        <v>24</v>
      </c>
      <c r="H2363">
        <f t="shared" si="451"/>
        <v>24000000</v>
      </c>
      <c r="I2363">
        <f t="shared" si="452"/>
        <v>11520000</v>
      </c>
      <c r="K2363">
        <f t="shared" si="454"/>
        <v>43970696</v>
      </c>
      <c r="M2363">
        <f t="shared" si="450"/>
        <v>11653655</v>
      </c>
      <c r="N2363">
        <f t="shared" si="453"/>
        <v>55624351</v>
      </c>
    </row>
    <row r="2364" ht="13.85" spans="1:14">
      <c r="A2364" s="43">
        <v>37744</v>
      </c>
      <c r="B2364" s="11">
        <v>9936491</v>
      </c>
      <c r="D2364" s="11">
        <v>17</v>
      </c>
      <c r="E2364">
        <f t="shared" si="449"/>
        <v>17</v>
      </c>
      <c r="H2364">
        <f t="shared" si="451"/>
        <v>17000000</v>
      </c>
      <c r="I2364">
        <f t="shared" si="452"/>
        <v>8160000</v>
      </c>
      <c r="K2364">
        <f t="shared" si="454"/>
        <v>34034205</v>
      </c>
      <c r="M2364">
        <f t="shared" si="450"/>
        <v>9936491</v>
      </c>
      <c r="N2364">
        <f t="shared" si="453"/>
        <v>43970696</v>
      </c>
    </row>
    <row r="2365" ht="13.85" spans="1:14">
      <c r="A2365" s="43">
        <v>37624</v>
      </c>
      <c r="B2365" s="11">
        <v>11031057</v>
      </c>
      <c r="D2365" s="11">
        <v>12</v>
      </c>
      <c r="E2365">
        <f t="shared" si="449"/>
        <v>12</v>
      </c>
      <c r="H2365">
        <f t="shared" si="451"/>
        <v>12000000</v>
      </c>
      <c r="I2365">
        <f t="shared" si="452"/>
        <v>5760000</v>
      </c>
      <c r="K2365">
        <f t="shared" si="454"/>
        <v>23003148</v>
      </c>
      <c r="M2365">
        <f t="shared" si="450"/>
        <v>11031057</v>
      </c>
      <c r="N2365">
        <f t="shared" si="453"/>
        <v>34034205</v>
      </c>
    </row>
    <row r="2366" ht="13.9" spans="1:14">
      <c r="A2366" s="42" t="s">
        <v>1542</v>
      </c>
      <c r="B2366" s="11">
        <v>9315306</v>
      </c>
      <c r="D2366" s="11">
        <v>10</v>
      </c>
      <c r="E2366">
        <f t="shared" si="449"/>
        <v>10</v>
      </c>
      <c r="H2366">
        <f t="shared" si="451"/>
        <v>10000000</v>
      </c>
      <c r="I2366">
        <f t="shared" si="452"/>
        <v>4800000</v>
      </c>
      <c r="K2366">
        <f t="shared" si="454"/>
        <v>13687842</v>
      </c>
      <c r="M2366">
        <f t="shared" si="450"/>
        <v>9315306</v>
      </c>
      <c r="N2366">
        <f t="shared" si="453"/>
        <v>23003148</v>
      </c>
    </row>
    <row r="2367" ht="13.9" spans="1:14">
      <c r="A2367" s="42" t="s">
        <v>1543</v>
      </c>
      <c r="B2367" s="11">
        <v>13687842</v>
      </c>
      <c r="D2367" s="11">
        <v>42</v>
      </c>
      <c r="E2367">
        <f t="shared" si="449"/>
        <v>42</v>
      </c>
      <c r="H2367">
        <f t="shared" si="451"/>
        <v>42000000</v>
      </c>
      <c r="I2367">
        <f t="shared" si="452"/>
        <v>20160000</v>
      </c>
      <c r="K2367">
        <f t="shared" si="454"/>
        <v>82325771</v>
      </c>
      <c r="M2367">
        <f t="shared" si="450"/>
        <v>13687842</v>
      </c>
      <c r="N2367">
        <f t="shared" si="453"/>
        <v>96013613</v>
      </c>
    </row>
    <row r="2368" ht="13.9" spans="1:14">
      <c r="A2368" s="42" t="s">
        <v>1544</v>
      </c>
      <c r="B2368" s="11">
        <v>10990939</v>
      </c>
      <c r="D2368" s="11">
        <v>34</v>
      </c>
      <c r="E2368">
        <f t="shared" ref="E2368:E2431" si="455">IF(RIGHT(D2368,1)="B",VALUE(LEFT(D2368,LEN(D2368)-1))*1000,D2368)</f>
        <v>34</v>
      </c>
      <c r="H2368">
        <f t="shared" si="451"/>
        <v>34000000</v>
      </c>
      <c r="I2368">
        <f t="shared" si="452"/>
        <v>16320000</v>
      </c>
      <c r="K2368">
        <f t="shared" si="454"/>
        <v>71334832</v>
      </c>
      <c r="M2368">
        <f t="shared" si="450"/>
        <v>10990939</v>
      </c>
      <c r="N2368">
        <f t="shared" si="453"/>
        <v>82325771</v>
      </c>
    </row>
    <row r="2369" ht="13.9" spans="1:14">
      <c r="A2369" s="42" t="s">
        <v>1545</v>
      </c>
      <c r="B2369" s="11">
        <v>12492689</v>
      </c>
      <c r="D2369" s="11">
        <v>27</v>
      </c>
      <c r="E2369">
        <f t="shared" si="455"/>
        <v>27</v>
      </c>
      <c r="H2369">
        <f t="shared" si="451"/>
        <v>27000000</v>
      </c>
      <c r="I2369">
        <f t="shared" si="452"/>
        <v>12960000</v>
      </c>
      <c r="K2369">
        <f t="shared" si="454"/>
        <v>58842143</v>
      </c>
      <c r="M2369">
        <f t="shared" si="450"/>
        <v>12492689</v>
      </c>
      <c r="N2369">
        <f t="shared" si="453"/>
        <v>71334832</v>
      </c>
    </row>
    <row r="2370" ht="13.85" spans="1:14">
      <c r="A2370" s="43">
        <v>37593</v>
      </c>
      <c r="B2370" s="11">
        <v>10619758</v>
      </c>
      <c r="D2370" s="11">
        <v>20</v>
      </c>
      <c r="E2370">
        <f t="shared" si="455"/>
        <v>20</v>
      </c>
      <c r="H2370">
        <f t="shared" si="451"/>
        <v>20000000</v>
      </c>
      <c r="I2370">
        <f t="shared" si="452"/>
        <v>9600000</v>
      </c>
      <c r="K2370">
        <f t="shared" si="454"/>
        <v>48222385</v>
      </c>
      <c r="M2370">
        <f t="shared" si="450"/>
        <v>10619758</v>
      </c>
      <c r="N2370">
        <f t="shared" si="453"/>
        <v>58842143</v>
      </c>
    </row>
    <row r="2371" ht="13.85" spans="1:14">
      <c r="A2371" s="43">
        <v>37471</v>
      </c>
      <c r="B2371" s="11">
        <v>11680205</v>
      </c>
      <c r="D2371" s="11">
        <v>12</v>
      </c>
      <c r="E2371">
        <f t="shared" si="455"/>
        <v>12</v>
      </c>
      <c r="H2371">
        <f t="shared" si="451"/>
        <v>12000000</v>
      </c>
      <c r="I2371">
        <f t="shared" si="452"/>
        <v>5760000</v>
      </c>
      <c r="K2371">
        <f t="shared" si="454"/>
        <v>36542180</v>
      </c>
      <c r="M2371">
        <f t="shared" si="450"/>
        <v>11680205</v>
      </c>
      <c r="N2371">
        <f t="shared" si="453"/>
        <v>48222385</v>
      </c>
    </row>
    <row r="2372" ht="13.85" spans="1:14">
      <c r="A2372" s="43">
        <v>37379</v>
      </c>
      <c r="B2372" s="11">
        <v>10890725</v>
      </c>
      <c r="D2372" s="11">
        <v>10</v>
      </c>
      <c r="E2372">
        <f t="shared" si="455"/>
        <v>10</v>
      </c>
      <c r="H2372">
        <f t="shared" si="451"/>
        <v>10000000</v>
      </c>
      <c r="I2372">
        <f t="shared" si="452"/>
        <v>4800000</v>
      </c>
      <c r="K2372">
        <f t="shared" si="454"/>
        <v>25651455</v>
      </c>
      <c r="M2372">
        <f t="shared" si="450"/>
        <v>10890725</v>
      </c>
      <c r="N2372">
        <f t="shared" si="453"/>
        <v>36542180</v>
      </c>
    </row>
    <row r="2373" ht="13.85" spans="1:14">
      <c r="A2373" s="43">
        <v>37259</v>
      </c>
      <c r="B2373" s="11">
        <v>25651455</v>
      </c>
      <c r="D2373" s="11">
        <v>100</v>
      </c>
      <c r="E2373">
        <f t="shared" si="455"/>
        <v>100</v>
      </c>
      <c r="H2373">
        <f t="shared" si="451"/>
        <v>100000000</v>
      </c>
      <c r="I2373">
        <f t="shared" si="452"/>
        <v>48000000</v>
      </c>
      <c r="K2373">
        <f t="shared" si="454"/>
        <v>308406358</v>
      </c>
      <c r="M2373">
        <f t="shared" si="450"/>
        <v>25651455</v>
      </c>
      <c r="N2373">
        <f t="shared" si="453"/>
        <v>334057813</v>
      </c>
    </row>
    <row r="2374" ht="13.9" spans="1:14">
      <c r="A2374" s="42" t="s">
        <v>1546</v>
      </c>
      <c r="B2374" s="11">
        <v>17650662</v>
      </c>
      <c r="D2374" s="11">
        <v>86</v>
      </c>
      <c r="E2374">
        <f t="shared" si="455"/>
        <v>86</v>
      </c>
      <c r="H2374">
        <f t="shared" si="451"/>
        <v>86000000</v>
      </c>
      <c r="I2374">
        <f t="shared" si="452"/>
        <v>41280000</v>
      </c>
      <c r="K2374">
        <f t="shared" si="454"/>
        <v>290755696</v>
      </c>
      <c r="M2374">
        <f t="shared" ref="M2374:M2437" si="456">B2374+C2374</f>
        <v>17650662</v>
      </c>
      <c r="N2374">
        <f t="shared" si="453"/>
        <v>308406358</v>
      </c>
    </row>
    <row r="2375" ht="13.9" spans="1:14">
      <c r="A2375" s="42" t="s">
        <v>1547</v>
      </c>
      <c r="B2375" s="11">
        <v>18049039</v>
      </c>
      <c r="D2375" s="11">
        <v>77</v>
      </c>
      <c r="E2375">
        <f t="shared" si="455"/>
        <v>77</v>
      </c>
      <c r="H2375">
        <f t="shared" si="451"/>
        <v>77000000</v>
      </c>
      <c r="I2375">
        <f t="shared" si="452"/>
        <v>36960000</v>
      </c>
      <c r="K2375">
        <f t="shared" si="454"/>
        <v>272706657</v>
      </c>
      <c r="M2375">
        <f t="shared" si="456"/>
        <v>18049039</v>
      </c>
      <c r="N2375">
        <f t="shared" si="453"/>
        <v>290755696</v>
      </c>
    </row>
    <row r="2376" ht="13.9" spans="1:14">
      <c r="A2376" s="42" t="s">
        <v>1548</v>
      </c>
      <c r="B2376" s="11">
        <v>15134102</v>
      </c>
      <c r="D2376" s="11">
        <v>67</v>
      </c>
      <c r="E2376">
        <f t="shared" si="455"/>
        <v>67</v>
      </c>
      <c r="H2376">
        <f t="shared" si="451"/>
        <v>67000000</v>
      </c>
      <c r="I2376">
        <f t="shared" si="452"/>
        <v>32160000</v>
      </c>
      <c r="K2376">
        <f t="shared" si="454"/>
        <v>257572555</v>
      </c>
      <c r="M2376">
        <f t="shared" si="456"/>
        <v>15134102</v>
      </c>
      <c r="N2376">
        <f t="shared" si="453"/>
        <v>272706657</v>
      </c>
    </row>
    <row r="2377" ht="13.9" spans="1:14">
      <c r="A2377" s="42" t="s">
        <v>1549</v>
      </c>
      <c r="B2377" s="11">
        <v>15852907</v>
      </c>
      <c r="D2377" s="11">
        <v>57</v>
      </c>
      <c r="E2377">
        <f t="shared" si="455"/>
        <v>57</v>
      </c>
      <c r="H2377">
        <f t="shared" si="451"/>
        <v>57000000</v>
      </c>
      <c r="I2377">
        <f t="shared" si="452"/>
        <v>27360000</v>
      </c>
      <c r="K2377">
        <f t="shared" si="454"/>
        <v>241719648</v>
      </c>
      <c r="M2377">
        <f t="shared" si="456"/>
        <v>15852907</v>
      </c>
      <c r="N2377">
        <f t="shared" si="453"/>
        <v>257572555</v>
      </c>
    </row>
    <row r="2378" ht="13.9" spans="1:14">
      <c r="A2378" s="42" t="s">
        <v>1550</v>
      </c>
      <c r="B2378" s="11">
        <v>13783628</v>
      </c>
      <c r="D2378" s="11">
        <v>47</v>
      </c>
      <c r="E2378">
        <f t="shared" si="455"/>
        <v>47</v>
      </c>
      <c r="H2378">
        <f t="shared" si="451"/>
        <v>47000000</v>
      </c>
      <c r="I2378">
        <f t="shared" si="452"/>
        <v>22560000</v>
      </c>
      <c r="K2378">
        <f t="shared" si="454"/>
        <v>227936020</v>
      </c>
      <c r="M2378">
        <f t="shared" si="456"/>
        <v>13783628</v>
      </c>
      <c r="N2378">
        <f t="shared" si="453"/>
        <v>241719648</v>
      </c>
    </row>
    <row r="2379" ht="13.85" spans="1:14">
      <c r="A2379" s="43">
        <v>37198</v>
      </c>
      <c r="B2379" s="11">
        <v>14271083</v>
      </c>
      <c r="D2379" s="11">
        <v>38</v>
      </c>
      <c r="E2379">
        <f t="shared" si="455"/>
        <v>38</v>
      </c>
      <c r="H2379">
        <f t="shared" si="451"/>
        <v>38000000</v>
      </c>
      <c r="I2379">
        <f t="shared" si="452"/>
        <v>18240000</v>
      </c>
      <c r="K2379">
        <f t="shared" si="454"/>
        <v>213664937</v>
      </c>
      <c r="M2379">
        <f t="shared" si="456"/>
        <v>14271083</v>
      </c>
      <c r="N2379">
        <f t="shared" si="453"/>
        <v>227936020</v>
      </c>
    </row>
    <row r="2380" ht="13.85" spans="1:14">
      <c r="A2380" s="43">
        <v>37106</v>
      </c>
      <c r="B2380" s="11">
        <v>12403361</v>
      </c>
      <c r="D2380" s="11">
        <v>29</v>
      </c>
      <c r="E2380">
        <f t="shared" si="455"/>
        <v>29</v>
      </c>
      <c r="H2380">
        <f t="shared" si="451"/>
        <v>29000000</v>
      </c>
      <c r="I2380">
        <f t="shared" si="452"/>
        <v>13920000</v>
      </c>
      <c r="K2380">
        <f t="shared" si="454"/>
        <v>201261576</v>
      </c>
      <c r="M2380">
        <f t="shared" si="456"/>
        <v>12403361</v>
      </c>
      <c r="N2380">
        <f t="shared" si="453"/>
        <v>213664937</v>
      </c>
    </row>
    <row r="2381" ht="13.85" spans="1:14">
      <c r="A2381" s="43">
        <v>36984</v>
      </c>
      <c r="B2381" s="11">
        <v>13128795</v>
      </c>
      <c r="D2381" s="11">
        <v>20</v>
      </c>
      <c r="E2381">
        <f t="shared" si="455"/>
        <v>20</v>
      </c>
      <c r="H2381">
        <f t="shared" si="451"/>
        <v>20000000</v>
      </c>
      <c r="I2381">
        <f t="shared" si="452"/>
        <v>9600000</v>
      </c>
      <c r="K2381">
        <f t="shared" si="454"/>
        <v>188132781</v>
      </c>
      <c r="M2381">
        <f t="shared" si="456"/>
        <v>13128795</v>
      </c>
      <c r="N2381">
        <f t="shared" si="453"/>
        <v>201261576</v>
      </c>
    </row>
    <row r="2382" ht="13.85" spans="1:14">
      <c r="A2382" s="44">
        <v>36894</v>
      </c>
      <c r="B2382" s="15">
        <v>11823212</v>
      </c>
      <c r="D2382" s="15">
        <v>12</v>
      </c>
      <c r="E2382">
        <f t="shared" si="455"/>
        <v>12</v>
      </c>
      <c r="H2382">
        <f t="shared" si="451"/>
        <v>12000000</v>
      </c>
      <c r="I2382">
        <f t="shared" si="452"/>
        <v>5760000</v>
      </c>
      <c r="K2382">
        <f t="shared" si="454"/>
        <v>176309569</v>
      </c>
      <c r="M2382">
        <f t="shared" si="456"/>
        <v>11823212</v>
      </c>
      <c r="N2382">
        <f t="shared" si="453"/>
        <v>188132781</v>
      </c>
    </row>
    <row r="2383" ht="13.9" spans="1:14">
      <c r="A2383" s="41" t="s">
        <v>1551</v>
      </c>
      <c r="B2383" s="13">
        <v>12957198</v>
      </c>
      <c r="D2383" s="13">
        <v>10</v>
      </c>
      <c r="E2383">
        <f t="shared" si="455"/>
        <v>10</v>
      </c>
      <c r="H2383">
        <f t="shared" ref="H2383:H2446" si="457">E2383*1000000</f>
        <v>10000000</v>
      </c>
      <c r="I2383">
        <f t="shared" si="452"/>
        <v>4800000</v>
      </c>
      <c r="K2383">
        <f t="shared" si="454"/>
        <v>163352371</v>
      </c>
      <c r="M2383">
        <f t="shared" si="456"/>
        <v>12957198</v>
      </c>
      <c r="N2383">
        <f t="shared" si="453"/>
        <v>176309569</v>
      </c>
    </row>
    <row r="2384" ht="13.9" spans="1:14">
      <c r="A2384" s="42" t="s">
        <v>1552</v>
      </c>
      <c r="B2384" s="11">
        <v>163352371</v>
      </c>
      <c r="D2384" s="11">
        <v>280</v>
      </c>
      <c r="E2384">
        <f t="shared" si="455"/>
        <v>280</v>
      </c>
      <c r="H2384">
        <f t="shared" si="457"/>
        <v>280000000</v>
      </c>
      <c r="I2384">
        <f t="shared" si="452"/>
        <v>134400000</v>
      </c>
      <c r="K2384">
        <f t="shared" si="454"/>
        <v>385283276</v>
      </c>
      <c r="M2384">
        <f t="shared" si="456"/>
        <v>163352371</v>
      </c>
      <c r="N2384">
        <f t="shared" si="453"/>
        <v>548635647</v>
      </c>
    </row>
    <row r="2385" ht="13.9" spans="1:14">
      <c r="A2385" s="42" t="s">
        <v>1553</v>
      </c>
      <c r="B2385" s="11">
        <v>92060133</v>
      </c>
      <c r="D2385" s="11">
        <v>215</v>
      </c>
      <c r="E2385">
        <f t="shared" si="455"/>
        <v>215</v>
      </c>
      <c r="H2385">
        <f t="shared" si="457"/>
        <v>215000000</v>
      </c>
      <c r="I2385">
        <f t="shared" si="452"/>
        <v>103200000</v>
      </c>
      <c r="K2385">
        <f t="shared" si="454"/>
        <v>293223143</v>
      </c>
      <c r="M2385">
        <f t="shared" si="456"/>
        <v>92060133</v>
      </c>
      <c r="N2385">
        <f t="shared" si="453"/>
        <v>385283276</v>
      </c>
    </row>
    <row r="2386" ht="13.9" spans="1:14">
      <c r="A2386" s="42" t="s">
        <v>1554</v>
      </c>
      <c r="B2386" s="11">
        <v>57359549</v>
      </c>
      <c r="D2386" s="11">
        <v>160</v>
      </c>
      <c r="E2386">
        <f t="shared" si="455"/>
        <v>160</v>
      </c>
      <c r="H2386">
        <f t="shared" si="457"/>
        <v>160000000</v>
      </c>
      <c r="I2386">
        <f t="shared" si="452"/>
        <v>76800000</v>
      </c>
      <c r="K2386">
        <f t="shared" si="454"/>
        <v>235863594</v>
      </c>
      <c r="M2386">
        <f t="shared" si="456"/>
        <v>57359549</v>
      </c>
      <c r="N2386">
        <f t="shared" si="453"/>
        <v>293223143</v>
      </c>
    </row>
    <row r="2387" ht="13.9" spans="1:14">
      <c r="A2387" s="42" t="s">
        <v>1555</v>
      </c>
      <c r="B2387" s="11">
        <v>39344907</v>
      </c>
      <c r="D2387" s="11">
        <v>125</v>
      </c>
      <c r="E2387">
        <f t="shared" si="455"/>
        <v>125</v>
      </c>
      <c r="H2387">
        <f t="shared" si="457"/>
        <v>125000000</v>
      </c>
      <c r="I2387">
        <f t="shared" si="452"/>
        <v>60000000</v>
      </c>
      <c r="K2387">
        <f t="shared" si="454"/>
        <v>196518687</v>
      </c>
      <c r="M2387">
        <f t="shared" si="456"/>
        <v>39344907</v>
      </c>
      <c r="N2387">
        <f t="shared" si="453"/>
        <v>235863594</v>
      </c>
    </row>
    <row r="2388" ht="13.85" spans="1:14">
      <c r="A2388" s="43">
        <v>41215</v>
      </c>
      <c r="B2388" s="11">
        <v>28067936</v>
      </c>
      <c r="D2388" s="11">
        <v>101</v>
      </c>
      <c r="E2388">
        <f t="shared" si="455"/>
        <v>101</v>
      </c>
      <c r="H2388">
        <f t="shared" si="457"/>
        <v>101000000</v>
      </c>
      <c r="I2388">
        <f t="shared" si="452"/>
        <v>48480000</v>
      </c>
      <c r="K2388">
        <f t="shared" si="454"/>
        <v>168450751</v>
      </c>
      <c r="M2388">
        <f t="shared" si="456"/>
        <v>28067936</v>
      </c>
      <c r="N2388">
        <f t="shared" si="453"/>
        <v>196518687</v>
      </c>
    </row>
    <row r="2389" ht="13.85" spans="1:14">
      <c r="A2389" s="43">
        <v>41092</v>
      </c>
      <c r="B2389" s="11">
        <v>20139213</v>
      </c>
      <c r="D2389" s="11">
        <v>90</v>
      </c>
      <c r="E2389">
        <f t="shared" si="455"/>
        <v>90</v>
      </c>
      <c r="H2389">
        <f t="shared" si="457"/>
        <v>90000000</v>
      </c>
      <c r="I2389">
        <f t="shared" si="452"/>
        <v>43200000</v>
      </c>
      <c r="K2389">
        <f t="shared" si="454"/>
        <v>148311538</v>
      </c>
      <c r="M2389">
        <f t="shared" si="456"/>
        <v>20139213</v>
      </c>
      <c r="N2389">
        <f t="shared" si="453"/>
        <v>168450751</v>
      </c>
    </row>
    <row r="2390" ht="13.85" spans="1:14">
      <c r="A2390" s="43">
        <v>41001</v>
      </c>
      <c r="B2390" s="11">
        <v>16316519</v>
      </c>
      <c r="D2390" s="11">
        <v>80</v>
      </c>
      <c r="E2390">
        <f t="shared" si="455"/>
        <v>80</v>
      </c>
      <c r="H2390">
        <f t="shared" si="457"/>
        <v>80000000</v>
      </c>
      <c r="I2390">
        <f t="shared" si="452"/>
        <v>38400000</v>
      </c>
      <c r="K2390">
        <f t="shared" si="454"/>
        <v>131995019</v>
      </c>
      <c r="M2390">
        <f t="shared" si="456"/>
        <v>16316519</v>
      </c>
      <c r="N2390">
        <f t="shared" si="453"/>
        <v>148311538</v>
      </c>
    </row>
    <row r="2391" ht="13.9" spans="1:14">
      <c r="A2391" s="42" t="s">
        <v>1556</v>
      </c>
      <c r="B2391" s="11">
        <v>13997561</v>
      </c>
      <c r="D2391" s="11">
        <v>69</v>
      </c>
      <c r="E2391">
        <f t="shared" si="455"/>
        <v>69</v>
      </c>
      <c r="H2391">
        <f t="shared" si="457"/>
        <v>69000000</v>
      </c>
      <c r="I2391">
        <f t="shared" si="452"/>
        <v>33120000</v>
      </c>
      <c r="K2391">
        <f t="shared" si="454"/>
        <v>117997458</v>
      </c>
      <c r="M2391">
        <f t="shared" si="456"/>
        <v>13997561</v>
      </c>
      <c r="N2391">
        <f t="shared" si="453"/>
        <v>131995019</v>
      </c>
    </row>
    <row r="2392" ht="13.9" spans="1:14">
      <c r="A2392" s="42" t="s">
        <v>1557</v>
      </c>
      <c r="B2392" s="11">
        <v>13591547</v>
      </c>
      <c r="D2392" s="11">
        <v>60</v>
      </c>
      <c r="E2392">
        <f t="shared" si="455"/>
        <v>60</v>
      </c>
      <c r="H2392">
        <f t="shared" si="457"/>
        <v>60000000</v>
      </c>
      <c r="I2392">
        <f t="shared" si="452"/>
        <v>28800000</v>
      </c>
      <c r="K2392">
        <f t="shared" si="454"/>
        <v>104405911</v>
      </c>
      <c r="M2392">
        <f t="shared" si="456"/>
        <v>13591547</v>
      </c>
      <c r="N2392">
        <f t="shared" si="453"/>
        <v>117997458</v>
      </c>
    </row>
    <row r="2393" ht="13.9" spans="1:14">
      <c r="A2393" s="42" t="s">
        <v>1558</v>
      </c>
      <c r="B2393" s="11">
        <v>13310465</v>
      </c>
      <c r="D2393" s="11">
        <v>52</v>
      </c>
      <c r="E2393">
        <f t="shared" si="455"/>
        <v>52</v>
      </c>
      <c r="H2393">
        <f t="shared" si="457"/>
        <v>52000000</v>
      </c>
      <c r="I2393">
        <f t="shared" si="452"/>
        <v>24960000</v>
      </c>
      <c r="K2393">
        <f t="shared" si="454"/>
        <v>91095446</v>
      </c>
      <c r="M2393">
        <f t="shared" si="456"/>
        <v>13310465</v>
      </c>
      <c r="N2393">
        <f t="shared" si="453"/>
        <v>104405911</v>
      </c>
    </row>
    <row r="2394" ht="13.9" spans="1:14">
      <c r="A2394" s="42" t="s">
        <v>1559</v>
      </c>
      <c r="B2394" s="11">
        <v>11100937</v>
      </c>
      <c r="D2394" s="11">
        <v>44</v>
      </c>
      <c r="E2394">
        <f t="shared" si="455"/>
        <v>44</v>
      </c>
      <c r="H2394">
        <f t="shared" si="457"/>
        <v>44000000</v>
      </c>
      <c r="I2394">
        <f t="shared" si="452"/>
        <v>21120000</v>
      </c>
      <c r="K2394">
        <f t="shared" si="454"/>
        <v>79994509</v>
      </c>
      <c r="M2394">
        <f t="shared" si="456"/>
        <v>11100937</v>
      </c>
      <c r="N2394">
        <f t="shared" si="453"/>
        <v>91095446</v>
      </c>
    </row>
    <row r="2395" ht="13.9" spans="1:14">
      <c r="A2395" s="42" t="s">
        <v>1560</v>
      </c>
      <c r="B2395" s="11">
        <v>11845762</v>
      </c>
      <c r="D2395" s="11">
        <v>37</v>
      </c>
      <c r="E2395">
        <f t="shared" si="455"/>
        <v>37</v>
      </c>
      <c r="H2395">
        <f t="shared" si="457"/>
        <v>37000000</v>
      </c>
      <c r="I2395">
        <f t="shared" si="452"/>
        <v>17760000</v>
      </c>
      <c r="K2395">
        <f t="shared" si="454"/>
        <v>68148747</v>
      </c>
      <c r="M2395">
        <f t="shared" si="456"/>
        <v>11845762</v>
      </c>
      <c r="N2395">
        <f t="shared" si="453"/>
        <v>79994509</v>
      </c>
    </row>
    <row r="2396" ht="13.9" spans="1:14">
      <c r="A2396" s="42" t="s">
        <v>1561</v>
      </c>
      <c r="B2396" s="11">
        <v>9924976</v>
      </c>
      <c r="D2396" s="11">
        <v>29</v>
      </c>
      <c r="E2396">
        <f t="shared" si="455"/>
        <v>29</v>
      </c>
      <c r="H2396">
        <f t="shared" si="457"/>
        <v>29000000</v>
      </c>
      <c r="I2396">
        <f t="shared" si="452"/>
        <v>13920000</v>
      </c>
      <c r="K2396">
        <f t="shared" si="454"/>
        <v>58223771</v>
      </c>
      <c r="M2396">
        <f t="shared" si="456"/>
        <v>9924976</v>
      </c>
      <c r="N2396">
        <f t="shared" si="453"/>
        <v>68148747</v>
      </c>
    </row>
    <row r="2397" ht="13.85" spans="1:14">
      <c r="A2397" s="43">
        <v>40788</v>
      </c>
      <c r="B2397" s="11">
        <v>10961475</v>
      </c>
      <c r="D2397" s="11">
        <v>23</v>
      </c>
      <c r="E2397">
        <f t="shared" si="455"/>
        <v>23</v>
      </c>
      <c r="H2397">
        <f t="shared" si="457"/>
        <v>23000000</v>
      </c>
      <c r="I2397">
        <f t="shared" si="452"/>
        <v>11040000</v>
      </c>
      <c r="K2397">
        <f t="shared" si="454"/>
        <v>47262296</v>
      </c>
      <c r="M2397">
        <f t="shared" si="456"/>
        <v>10961475</v>
      </c>
      <c r="N2397">
        <f t="shared" si="453"/>
        <v>58223771</v>
      </c>
    </row>
    <row r="2398" ht="13.85" spans="1:14">
      <c r="A2398" s="43">
        <v>40696</v>
      </c>
      <c r="B2398" s="11">
        <v>9102173</v>
      </c>
      <c r="D2398" s="11">
        <v>17</v>
      </c>
      <c r="E2398">
        <f t="shared" si="455"/>
        <v>17</v>
      </c>
      <c r="H2398">
        <f t="shared" si="457"/>
        <v>17000000</v>
      </c>
      <c r="I2398">
        <f t="shared" ref="I2398:I2461" si="458">H2398*0.48</f>
        <v>8160000</v>
      </c>
      <c r="K2398">
        <f t="shared" si="454"/>
        <v>38160123</v>
      </c>
      <c r="M2398">
        <f t="shared" si="456"/>
        <v>9102173</v>
      </c>
      <c r="N2398">
        <f t="shared" si="453"/>
        <v>47262296</v>
      </c>
    </row>
    <row r="2399" ht="13.85" spans="1:14">
      <c r="A2399" s="43">
        <v>40576</v>
      </c>
      <c r="B2399" s="11">
        <v>10256540</v>
      </c>
      <c r="D2399" s="11">
        <v>12</v>
      </c>
      <c r="E2399">
        <f t="shared" si="455"/>
        <v>12</v>
      </c>
      <c r="H2399">
        <f t="shared" si="457"/>
        <v>12000000</v>
      </c>
      <c r="I2399">
        <f t="shared" si="458"/>
        <v>5760000</v>
      </c>
      <c r="K2399">
        <f t="shared" si="454"/>
        <v>27903583</v>
      </c>
      <c r="M2399">
        <f t="shared" si="456"/>
        <v>10256540</v>
      </c>
      <c r="N2399">
        <f t="shared" ref="N2399:N2462" si="459">IF(H2399&lt;H2400,M2399+M2400,M2399+N2400)</f>
        <v>38160123</v>
      </c>
    </row>
    <row r="2400" ht="13.9" spans="1:14">
      <c r="A2400" s="42" t="s">
        <v>1562</v>
      </c>
      <c r="B2400" s="11">
        <v>9216311</v>
      </c>
      <c r="D2400" s="11">
        <v>10</v>
      </c>
      <c r="E2400">
        <f t="shared" si="455"/>
        <v>10</v>
      </c>
      <c r="H2400">
        <f t="shared" si="457"/>
        <v>10000000</v>
      </c>
      <c r="I2400">
        <f t="shared" si="458"/>
        <v>4800000</v>
      </c>
      <c r="K2400">
        <f t="shared" si="454"/>
        <v>18687272</v>
      </c>
      <c r="M2400">
        <f t="shared" si="456"/>
        <v>9216311</v>
      </c>
      <c r="N2400">
        <f t="shared" si="459"/>
        <v>27903583</v>
      </c>
    </row>
    <row r="2401" ht="13.9" spans="1:14">
      <c r="A2401" s="42" t="s">
        <v>1563</v>
      </c>
      <c r="B2401" s="11">
        <v>18687272</v>
      </c>
      <c r="D2401" s="11">
        <v>84</v>
      </c>
      <c r="E2401">
        <f t="shared" si="455"/>
        <v>84</v>
      </c>
      <c r="H2401">
        <f t="shared" si="457"/>
        <v>84000000</v>
      </c>
      <c r="I2401">
        <f t="shared" si="458"/>
        <v>40320000</v>
      </c>
      <c r="K2401">
        <f t="shared" si="454"/>
        <v>155858170</v>
      </c>
      <c r="M2401">
        <f t="shared" si="456"/>
        <v>18687272</v>
      </c>
      <c r="N2401">
        <f t="shared" si="459"/>
        <v>174545442</v>
      </c>
    </row>
    <row r="2402" ht="13.9" spans="1:14">
      <c r="A2402" s="42" t="s">
        <v>1564</v>
      </c>
      <c r="B2402" s="11">
        <v>15496585</v>
      </c>
      <c r="D2402" s="11">
        <v>72</v>
      </c>
      <c r="E2402">
        <f t="shared" si="455"/>
        <v>72</v>
      </c>
      <c r="H2402">
        <f t="shared" si="457"/>
        <v>72000000</v>
      </c>
      <c r="I2402">
        <f t="shared" si="458"/>
        <v>34560000</v>
      </c>
      <c r="K2402">
        <f t="shared" si="454"/>
        <v>140361585</v>
      </c>
      <c r="M2402">
        <f t="shared" si="456"/>
        <v>15496585</v>
      </c>
      <c r="N2402">
        <f t="shared" si="459"/>
        <v>155858170</v>
      </c>
    </row>
    <row r="2403" ht="13.9" spans="1:14">
      <c r="A2403" s="42" t="s">
        <v>1565</v>
      </c>
      <c r="B2403" s="11">
        <v>15063128</v>
      </c>
      <c r="D2403" s="11">
        <v>60</v>
      </c>
      <c r="E2403">
        <f t="shared" si="455"/>
        <v>60</v>
      </c>
      <c r="H2403">
        <f t="shared" si="457"/>
        <v>60000000</v>
      </c>
      <c r="I2403">
        <f t="shared" si="458"/>
        <v>28800000</v>
      </c>
      <c r="K2403">
        <f t="shared" si="454"/>
        <v>125298457</v>
      </c>
      <c r="M2403">
        <f t="shared" si="456"/>
        <v>15063128</v>
      </c>
      <c r="N2403">
        <f t="shared" si="459"/>
        <v>140361585</v>
      </c>
    </row>
    <row r="2404" ht="13.9" spans="1:14">
      <c r="A2404" s="42" t="s">
        <v>1566</v>
      </c>
      <c r="B2404" s="11">
        <v>12519193</v>
      </c>
      <c r="D2404" s="11">
        <v>51</v>
      </c>
      <c r="E2404">
        <f t="shared" si="455"/>
        <v>51</v>
      </c>
      <c r="H2404">
        <f t="shared" si="457"/>
        <v>51000000</v>
      </c>
      <c r="I2404">
        <f t="shared" si="458"/>
        <v>24480000</v>
      </c>
      <c r="K2404">
        <f t="shared" si="454"/>
        <v>112779264</v>
      </c>
      <c r="M2404">
        <f t="shared" si="456"/>
        <v>12519193</v>
      </c>
      <c r="N2404">
        <f t="shared" si="459"/>
        <v>125298457</v>
      </c>
    </row>
    <row r="2405" ht="13.85" spans="1:14">
      <c r="A2405" s="43">
        <v>40514</v>
      </c>
      <c r="B2405" s="11">
        <v>12883818</v>
      </c>
      <c r="D2405" s="11">
        <v>44</v>
      </c>
      <c r="E2405">
        <f t="shared" si="455"/>
        <v>44</v>
      </c>
      <c r="H2405">
        <f t="shared" si="457"/>
        <v>44000000</v>
      </c>
      <c r="I2405">
        <f t="shared" si="458"/>
        <v>21120000</v>
      </c>
      <c r="K2405">
        <f t="shared" si="454"/>
        <v>99895446</v>
      </c>
      <c r="M2405">
        <f t="shared" si="456"/>
        <v>12883818</v>
      </c>
      <c r="N2405">
        <f t="shared" si="459"/>
        <v>112779264</v>
      </c>
    </row>
    <row r="2406" ht="13.85" spans="1:14">
      <c r="A2406" s="43">
        <v>40423</v>
      </c>
      <c r="B2406" s="11">
        <v>11119216</v>
      </c>
      <c r="D2406" s="11">
        <v>36</v>
      </c>
      <c r="E2406">
        <f t="shared" si="455"/>
        <v>36</v>
      </c>
      <c r="H2406">
        <f t="shared" si="457"/>
        <v>36000000</v>
      </c>
      <c r="I2406">
        <f t="shared" si="458"/>
        <v>17280000</v>
      </c>
      <c r="K2406">
        <f t="shared" si="454"/>
        <v>88776230</v>
      </c>
      <c r="M2406">
        <f t="shared" si="456"/>
        <v>11119216</v>
      </c>
      <c r="N2406">
        <f t="shared" si="459"/>
        <v>99895446</v>
      </c>
    </row>
    <row r="2407" ht="13.85" spans="1:14">
      <c r="A2407" s="43">
        <v>40300</v>
      </c>
      <c r="B2407" s="11">
        <v>10587045</v>
      </c>
      <c r="D2407" s="11">
        <v>27</v>
      </c>
      <c r="E2407">
        <f t="shared" si="455"/>
        <v>27</v>
      </c>
      <c r="H2407">
        <f t="shared" si="457"/>
        <v>27000000</v>
      </c>
      <c r="I2407">
        <f t="shared" si="458"/>
        <v>12960000</v>
      </c>
      <c r="K2407">
        <f t="shared" si="454"/>
        <v>78189185</v>
      </c>
      <c r="M2407">
        <f t="shared" si="456"/>
        <v>10587045</v>
      </c>
      <c r="N2407">
        <f t="shared" si="459"/>
        <v>88776230</v>
      </c>
    </row>
    <row r="2408" ht="13.85" spans="1:14">
      <c r="A2408" s="43">
        <v>40211</v>
      </c>
      <c r="B2408" s="11">
        <v>9209014</v>
      </c>
      <c r="D2408" s="11">
        <v>22</v>
      </c>
      <c r="E2408">
        <f t="shared" si="455"/>
        <v>22</v>
      </c>
      <c r="H2408">
        <f t="shared" si="457"/>
        <v>22000000</v>
      </c>
      <c r="I2408">
        <f t="shared" si="458"/>
        <v>10560000</v>
      </c>
      <c r="K2408">
        <f t="shared" si="454"/>
        <v>68980171</v>
      </c>
      <c r="M2408">
        <f t="shared" si="456"/>
        <v>9209014</v>
      </c>
      <c r="N2408">
        <f t="shared" si="459"/>
        <v>78189185</v>
      </c>
    </row>
    <row r="2409" ht="13.9" spans="1:14">
      <c r="A2409" s="42" t="s">
        <v>1567</v>
      </c>
      <c r="B2409" s="11">
        <v>9962972</v>
      </c>
      <c r="D2409" s="11">
        <v>18</v>
      </c>
      <c r="E2409">
        <f t="shared" si="455"/>
        <v>18</v>
      </c>
      <c r="H2409">
        <f t="shared" si="457"/>
        <v>18000000</v>
      </c>
      <c r="I2409">
        <f t="shared" si="458"/>
        <v>8640000</v>
      </c>
      <c r="K2409">
        <f t="shared" si="454"/>
        <v>59017199</v>
      </c>
      <c r="M2409">
        <f t="shared" si="456"/>
        <v>9962972</v>
      </c>
      <c r="N2409">
        <f t="shared" si="459"/>
        <v>68980171</v>
      </c>
    </row>
    <row r="2410" ht="13.9" spans="1:14">
      <c r="A2410" s="42" t="s">
        <v>1568</v>
      </c>
      <c r="B2410" s="11">
        <v>8575791</v>
      </c>
      <c r="D2410" s="11">
        <v>14</v>
      </c>
      <c r="E2410">
        <f t="shared" si="455"/>
        <v>14</v>
      </c>
      <c r="H2410">
        <f t="shared" si="457"/>
        <v>14000000</v>
      </c>
      <c r="I2410">
        <f t="shared" si="458"/>
        <v>6720000</v>
      </c>
      <c r="K2410">
        <f t="shared" ref="K2410:K2473" si="460">IF(E2410&gt;E2411,B2411+K2411,B2411)</f>
        <v>50441408</v>
      </c>
      <c r="M2410">
        <f t="shared" si="456"/>
        <v>8575791</v>
      </c>
      <c r="N2410">
        <f t="shared" si="459"/>
        <v>59017199</v>
      </c>
    </row>
    <row r="2411" ht="13.9" spans="1:14">
      <c r="A2411" s="42" t="s">
        <v>1569</v>
      </c>
      <c r="B2411" s="11">
        <v>9709325</v>
      </c>
      <c r="D2411" s="11">
        <v>12</v>
      </c>
      <c r="E2411">
        <f t="shared" si="455"/>
        <v>12</v>
      </c>
      <c r="H2411">
        <f t="shared" si="457"/>
        <v>12000000</v>
      </c>
      <c r="I2411">
        <f t="shared" si="458"/>
        <v>5760000</v>
      </c>
      <c r="K2411">
        <f t="shared" si="460"/>
        <v>40732083</v>
      </c>
      <c r="M2411">
        <f t="shared" si="456"/>
        <v>9709325</v>
      </c>
      <c r="N2411">
        <f t="shared" si="459"/>
        <v>50441408</v>
      </c>
    </row>
    <row r="2412" ht="13.9" spans="1:14">
      <c r="A2412" s="42" t="s">
        <v>1570</v>
      </c>
      <c r="B2412" s="11">
        <v>9144776</v>
      </c>
      <c r="D2412" s="11">
        <v>10</v>
      </c>
      <c r="E2412">
        <f t="shared" si="455"/>
        <v>10</v>
      </c>
      <c r="H2412">
        <f t="shared" si="457"/>
        <v>10000000</v>
      </c>
      <c r="I2412">
        <f t="shared" si="458"/>
        <v>4800000</v>
      </c>
      <c r="K2412">
        <f t="shared" si="460"/>
        <v>31587307</v>
      </c>
      <c r="M2412">
        <f t="shared" si="456"/>
        <v>9144776</v>
      </c>
      <c r="N2412">
        <f t="shared" si="459"/>
        <v>40732083</v>
      </c>
    </row>
    <row r="2413" ht="13.9" spans="1:14">
      <c r="A2413" s="42" t="s">
        <v>1571</v>
      </c>
      <c r="B2413" s="11">
        <v>31587307</v>
      </c>
      <c r="D2413" s="11">
        <v>100</v>
      </c>
      <c r="E2413">
        <f t="shared" si="455"/>
        <v>100</v>
      </c>
      <c r="H2413">
        <f t="shared" si="457"/>
        <v>100000000</v>
      </c>
      <c r="I2413">
        <f t="shared" si="458"/>
        <v>48000000</v>
      </c>
      <c r="K2413">
        <f t="shared" si="460"/>
        <v>194112229</v>
      </c>
      <c r="M2413">
        <f t="shared" si="456"/>
        <v>31587307</v>
      </c>
      <c r="N2413">
        <f t="shared" si="459"/>
        <v>225699536</v>
      </c>
    </row>
    <row r="2414" ht="13.85" spans="1:14">
      <c r="A2414" s="43">
        <v>40119</v>
      </c>
      <c r="B2414" s="11">
        <v>20414347</v>
      </c>
      <c r="D2414" s="11">
        <v>88</v>
      </c>
      <c r="E2414">
        <f t="shared" si="455"/>
        <v>88</v>
      </c>
      <c r="H2414">
        <f t="shared" si="457"/>
        <v>88000000</v>
      </c>
      <c r="I2414">
        <f t="shared" si="458"/>
        <v>42240000</v>
      </c>
      <c r="K2414">
        <f t="shared" si="460"/>
        <v>173697882</v>
      </c>
      <c r="M2414">
        <f t="shared" si="456"/>
        <v>20414347</v>
      </c>
      <c r="N2414">
        <f t="shared" si="459"/>
        <v>194112229</v>
      </c>
    </row>
    <row r="2415" ht="13.85" spans="1:14">
      <c r="A2415" s="43">
        <v>39996</v>
      </c>
      <c r="B2415" s="11">
        <v>19725295</v>
      </c>
      <c r="D2415" s="11">
        <v>80</v>
      </c>
      <c r="E2415">
        <f t="shared" si="455"/>
        <v>80</v>
      </c>
      <c r="H2415">
        <f t="shared" si="457"/>
        <v>80000000</v>
      </c>
      <c r="I2415">
        <f t="shared" si="458"/>
        <v>38400000</v>
      </c>
      <c r="K2415">
        <f t="shared" si="460"/>
        <v>153972587</v>
      </c>
      <c r="M2415">
        <f t="shared" si="456"/>
        <v>19725295</v>
      </c>
      <c r="N2415">
        <f t="shared" si="459"/>
        <v>173697882</v>
      </c>
    </row>
    <row r="2416" ht="13.85" spans="1:14">
      <c r="A2416" s="43">
        <v>39905</v>
      </c>
      <c r="B2416" s="11">
        <v>15607394</v>
      </c>
      <c r="D2416" s="11">
        <v>70</v>
      </c>
      <c r="E2416">
        <f t="shared" si="455"/>
        <v>70</v>
      </c>
      <c r="H2416">
        <f t="shared" si="457"/>
        <v>70000000</v>
      </c>
      <c r="I2416">
        <f t="shared" si="458"/>
        <v>33600000</v>
      </c>
      <c r="K2416">
        <f t="shared" si="460"/>
        <v>138365193</v>
      </c>
      <c r="M2416">
        <f t="shared" si="456"/>
        <v>15607394</v>
      </c>
      <c r="N2416">
        <f t="shared" si="459"/>
        <v>153972587</v>
      </c>
    </row>
    <row r="2417" ht="13.9" spans="1:14">
      <c r="A2417" s="42" t="s">
        <v>1572</v>
      </c>
      <c r="B2417" s="11">
        <v>15455980</v>
      </c>
      <c r="D2417" s="11">
        <v>63</v>
      </c>
      <c r="E2417">
        <f t="shared" si="455"/>
        <v>63</v>
      </c>
      <c r="H2417">
        <f t="shared" si="457"/>
        <v>63000000</v>
      </c>
      <c r="I2417">
        <f t="shared" si="458"/>
        <v>30240000</v>
      </c>
      <c r="K2417">
        <f t="shared" si="460"/>
        <v>122909213</v>
      </c>
      <c r="M2417">
        <f t="shared" si="456"/>
        <v>15455980</v>
      </c>
      <c r="N2417">
        <f t="shared" si="459"/>
        <v>138365193</v>
      </c>
    </row>
    <row r="2418" ht="13.9" spans="1:14">
      <c r="A2418" s="42" t="s">
        <v>1573</v>
      </c>
      <c r="B2418" s="11">
        <v>12421171</v>
      </c>
      <c r="D2418" s="11">
        <v>55</v>
      </c>
      <c r="E2418">
        <f t="shared" si="455"/>
        <v>55</v>
      </c>
      <c r="H2418">
        <f t="shared" si="457"/>
        <v>55000000</v>
      </c>
      <c r="I2418">
        <f t="shared" si="458"/>
        <v>26400000</v>
      </c>
      <c r="K2418">
        <f t="shared" si="460"/>
        <v>110488042</v>
      </c>
      <c r="M2418">
        <f t="shared" si="456"/>
        <v>12421171</v>
      </c>
      <c r="N2418">
        <f t="shared" si="459"/>
        <v>122909213</v>
      </c>
    </row>
    <row r="2419" ht="13.9" spans="1:14">
      <c r="A2419" s="42" t="s">
        <v>1574</v>
      </c>
      <c r="B2419" s="11">
        <v>12509416</v>
      </c>
      <c r="D2419" s="11">
        <v>49</v>
      </c>
      <c r="E2419">
        <f t="shared" si="455"/>
        <v>49</v>
      </c>
      <c r="H2419">
        <f t="shared" si="457"/>
        <v>49000000</v>
      </c>
      <c r="I2419">
        <f t="shared" si="458"/>
        <v>23520000</v>
      </c>
      <c r="K2419">
        <f t="shared" si="460"/>
        <v>97978626</v>
      </c>
      <c r="M2419">
        <f t="shared" si="456"/>
        <v>12509416</v>
      </c>
      <c r="N2419">
        <f t="shared" si="459"/>
        <v>110488042</v>
      </c>
    </row>
    <row r="2420" ht="13.9" spans="1:14">
      <c r="A2420" s="42" t="s">
        <v>1575</v>
      </c>
      <c r="B2420" s="11">
        <v>10793249</v>
      </c>
      <c r="D2420" s="11">
        <v>43</v>
      </c>
      <c r="E2420">
        <f t="shared" si="455"/>
        <v>43</v>
      </c>
      <c r="H2420">
        <f t="shared" si="457"/>
        <v>43000000</v>
      </c>
      <c r="I2420">
        <f t="shared" si="458"/>
        <v>20640000</v>
      </c>
      <c r="K2420">
        <f t="shared" si="460"/>
        <v>87185377</v>
      </c>
      <c r="M2420">
        <f t="shared" si="456"/>
        <v>10793249</v>
      </c>
      <c r="N2420">
        <f t="shared" si="459"/>
        <v>97978626</v>
      </c>
    </row>
    <row r="2421" ht="13.9" spans="1:14">
      <c r="A2421" s="42" t="s">
        <v>1576</v>
      </c>
      <c r="B2421" s="11">
        <v>11181957</v>
      </c>
      <c r="D2421" s="11">
        <v>38</v>
      </c>
      <c r="E2421">
        <f t="shared" si="455"/>
        <v>38</v>
      </c>
      <c r="H2421">
        <f t="shared" si="457"/>
        <v>38000000</v>
      </c>
      <c r="I2421">
        <f t="shared" si="458"/>
        <v>18240000</v>
      </c>
      <c r="K2421">
        <f t="shared" si="460"/>
        <v>76003420</v>
      </c>
      <c r="M2421">
        <f t="shared" si="456"/>
        <v>11181957</v>
      </c>
      <c r="N2421">
        <f t="shared" si="459"/>
        <v>87185377</v>
      </c>
    </row>
    <row r="2422" ht="13.9" spans="1:14">
      <c r="A2422" s="42" t="s">
        <v>1577</v>
      </c>
      <c r="B2422" s="11">
        <v>9694844</v>
      </c>
      <c r="D2422" s="11">
        <v>33</v>
      </c>
      <c r="E2422">
        <f t="shared" si="455"/>
        <v>33</v>
      </c>
      <c r="H2422">
        <f t="shared" si="457"/>
        <v>33000000</v>
      </c>
      <c r="I2422">
        <f t="shared" si="458"/>
        <v>15840000</v>
      </c>
      <c r="K2422">
        <f t="shared" si="460"/>
        <v>66308576</v>
      </c>
      <c r="M2422">
        <f t="shared" si="456"/>
        <v>9694844</v>
      </c>
      <c r="N2422">
        <f t="shared" si="459"/>
        <v>76003420</v>
      </c>
    </row>
    <row r="2423" ht="13.85" spans="1:14">
      <c r="A2423" s="43">
        <v>39723</v>
      </c>
      <c r="B2423" s="11">
        <v>10329896</v>
      </c>
      <c r="D2423" s="11">
        <v>28</v>
      </c>
      <c r="E2423">
        <f t="shared" si="455"/>
        <v>28</v>
      </c>
      <c r="H2423">
        <f t="shared" si="457"/>
        <v>28000000</v>
      </c>
      <c r="I2423">
        <f t="shared" si="458"/>
        <v>13440000</v>
      </c>
      <c r="K2423">
        <f t="shared" si="460"/>
        <v>55978680</v>
      </c>
      <c r="M2423">
        <f t="shared" si="456"/>
        <v>10329896</v>
      </c>
      <c r="N2423">
        <f t="shared" si="459"/>
        <v>66308576</v>
      </c>
    </row>
    <row r="2424" ht="13.85" spans="1:14">
      <c r="A2424" s="43">
        <v>39631</v>
      </c>
      <c r="B2424" s="11">
        <v>8944952</v>
      </c>
      <c r="D2424" s="11">
        <v>22</v>
      </c>
      <c r="E2424">
        <f t="shared" si="455"/>
        <v>22</v>
      </c>
      <c r="H2424">
        <f t="shared" si="457"/>
        <v>22000000</v>
      </c>
      <c r="I2424">
        <f t="shared" si="458"/>
        <v>10560000</v>
      </c>
      <c r="K2424">
        <f t="shared" si="460"/>
        <v>47033728</v>
      </c>
      <c r="M2424">
        <f t="shared" si="456"/>
        <v>8944952</v>
      </c>
      <c r="N2424">
        <f t="shared" si="459"/>
        <v>55978680</v>
      </c>
    </row>
    <row r="2425" ht="13.85" spans="1:14">
      <c r="A2425" s="43">
        <v>39509</v>
      </c>
      <c r="B2425" s="11">
        <v>9684770</v>
      </c>
      <c r="D2425" s="11">
        <v>17</v>
      </c>
      <c r="E2425">
        <f t="shared" si="455"/>
        <v>17</v>
      </c>
      <c r="H2425">
        <f t="shared" si="457"/>
        <v>17000000</v>
      </c>
      <c r="I2425">
        <f t="shared" si="458"/>
        <v>8160000</v>
      </c>
      <c r="K2425">
        <f t="shared" si="460"/>
        <v>37348958</v>
      </c>
      <c r="M2425">
        <f t="shared" si="456"/>
        <v>9684770</v>
      </c>
      <c r="N2425">
        <f t="shared" si="459"/>
        <v>47033728</v>
      </c>
    </row>
    <row r="2426" ht="13.9" spans="1:14">
      <c r="A2426" s="42" t="s">
        <v>1578</v>
      </c>
      <c r="B2426" s="11">
        <v>8192740</v>
      </c>
      <c r="D2426" s="11">
        <v>14</v>
      </c>
      <c r="E2426">
        <f t="shared" si="455"/>
        <v>14</v>
      </c>
      <c r="H2426">
        <f t="shared" si="457"/>
        <v>14000000</v>
      </c>
      <c r="I2426">
        <f t="shared" si="458"/>
        <v>6720000</v>
      </c>
      <c r="K2426">
        <f t="shared" si="460"/>
        <v>29156218</v>
      </c>
      <c r="M2426">
        <f t="shared" si="456"/>
        <v>8192740</v>
      </c>
      <c r="N2426">
        <f t="shared" si="459"/>
        <v>37348958</v>
      </c>
    </row>
    <row r="2427" ht="13.9" spans="1:14">
      <c r="A2427" s="42" t="s">
        <v>1579</v>
      </c>
      <c r="B2427" s="11">
        <v>9096908</v>
      </c>
      <c r="D2427" s="11">
        <v>12</v>
      </c>
      <c r="E2427">
        <f t="shared" si="455"/>
        <v>12</v>
      </c>
      <c r="H2427">
        <f t="shared" si="457"/>
        <v>12000000</v>
      </c>
      <c r="I2427">
        <f t="shared" si="458"/>
        <v>5760000</v>
      </c>
      <c r="K2427">
        <f t="shared" si="460"/>
        <v>20059310</v>
      </c>
      <c r="M2427">
        <f t="shared" si="456"/>
        <v>9096908</v>
      </c>
      <c r="N2427">
        <f t="shared" si="459"/>
        <v>29156218</v>
      </c>
    </row>
    <row r="2428" ht="13.9" spans="1:14">
      <c r="A2428" s="42" t="s">
        <v>1580</v>
      </c>
      <c r="B2428" s="11">
        <v>8023250</v>
      </c>
      <c r="D2428" s="11">
        <v>10</v>
      </c>
      <c r="E2428">
        <f t="shared" si="455"/>
        <v>10</v>
      </c>
      <c r="H2428">
        <f t="shared" si="457"/>
        <v>10000000</v>
      </c>
      <c r="I2428">
        <f t="shared" si="458"/>
        <v>4800000</v>
      </c>
      <c r="K2428">
        <f t="shared" si="460"/>
        <v>12036060</v>
      </c>
      <c r="M2428">
        <f t="shared" si="456"/>
        <v>8023250</v>
      </c>
      <c r="N2428">
        <f t="shared" si="459"/>
        <v>20059310</v>
      </c>
    </row>
    <row r="2429" ht="13.9" spans="1:14">
      <c r="A2429" s="42" t="s">
        <v>1581</v>
      </c>
      <c r="B2429" s="11">
        <v>12036060</v>
      </c>
      <c r="D2429" s="11">
        <v>41</v>
      </c>
      <c r="E2429">
        <f t="shared" si="455"/>
        <v>41</v>
      </c>
      <c r="H2429">
        <f t="shared" si="457"/>
        <v>41000000</v>
      </c>
      <c r="I2429">
        <f t="shared" si="458"/>
        <v>19680000</v>
      </c>
      <c r="K2429">
        <f t="shared" si="460"/>
        <v>80648392</v>
      </c>
      <c r="M2429">
        <f t="shared" si="456"/>
        <v>12036060</v>
      </c>
      <c r="N2429">
        <f t="shared" si="459"/>
        <v>92684452</v>
      </c>
    </row>
    <row r="2430" ht="13.9" spans="1:14">
      <c r="A2430" s="42" t="s">
        <v>1582</v>
      </c>
      <c r="B2430" s="11">
        <v>10153277</v>
      </c>
      <c r="D2430" s="11">
        <v>35</v>
      </c>
      <c r="E2430">
        <f t="shared" si="455"/>
        <v>35</v>
      </c>
      <c r="H2430">
        <f t="shared" si="457"/>
        <v>35000000</v>
      </c>
      <c r="I2430">
        <f t="shared" si="458"/>
        <v>16800000</v>
      </c>
      <c r="K2430">
        <f t="shared" si="460"/>
        <v>70495115</v>
      </c>
      <c r="M2430">
        <f t="shared" si="456"/>
        <v>10153277</v>
      </c>
      <c r="N2430">
        <f t="shared" si="459"/>
        <v>80648392</v>
      </c>
    </row>
    <row r="2431" ht="13.9" spans="1:14">
      <c r="A2431" s="42" t="s">
        <v>1583</v>
      </c>
      <c r="B2431" s="11">
        <v>10972635</v>
      </c>
      <c r="D2431" s="11">
        <v>31</v>
      </c>
      <c r="E2431">
        <f t="shared" si="455"/>
        <v>31</v>
      </c>
      <c r="H2431">
        <f t="shared" si="457"/>
        <v>31000000</v>
      </c>
      <c r="I2431">
        <f t="shared" si="458"/>
        <v>14880000</v>
      </c>
      <c r="K2431">
        <f t="shared" si="460"/>
        <v>59522480</v>
      </c>
      <c r="M2431">
        <f t="shared" si="456"/>
        <v>10972635</v>
      </c>
      <c r="N2431">
        <f t="shared" si="459"/>
        <v>70495115</v>
      </c>
    </row>
    <row r="2432" ht="13.85" spans="1:14">
      <c r="A2432" s="43">
        <v>39357</v>
      </c>
      <c r="B2432" s="11">
        <v>9493334</v>
      </c>
      <c r="D2432" s="11">
        <v>27</v>
      </c>
      <c r="E2432">
        <f t="shared" ref="E2432:E2495" si="461">IF(RIGHT(D2432,1)="B",VALUE(LEFT(D2432,LEN(D2432)-1))*1000,D2432)</f>
        <v>27</v>
      </c>
      <c r="H2432">
        <f t="shared" si="457"/>
        <v>27000000</v>
      </c>
      <c r="I2432">
        <f t="shared" si="458"/>
        <v>12960000</v>
      </c>
      <c r="K2432">
        <f t="shared" si="460"/>
        <v>50029146</v>
      </c>
      <c r="M2432">
        <f t="shared" si="456"/>
        <v>9493334</v>
      </c>
      <c r="N2432">
        <f t="shared" si="459"/>
        <v>59522480</v>
      </c>
    </row>
    <row r="2433" ht="13.85" spans="1:14">
      <c r="A2433" s="43">
        <v>39235</v>
      </c>
      <c r="B2433" s="11">
        <v>9711932</v>
      </c>
      <c r="D2433" s="11">
        <v>22</v>
      </c>
      <c r="E2433">
        <f t="shared" si="461"/>
        <v>22</v>
      </c>
      <c r="H2433">
        <f t="shared" si="457"/>
        <v>22000000</v>
      </c>
      <c r="I2433">
        <f t="shared" si="458"/>
        <v>10560000</v>
      </c>
      <c r="K2433">
        <f t="shared" si="460"/>
        <v>40317214</v>
      </c>
      <c r="M2433">
        <f t="shared" si="456"/>
        <v>9711932</v>
      </c>
      <c r="N2433">
        <f t="shared" si="459"/>
        <v>50029146</v>
      </c>
    </row>
    <row r="2434" ht="13.85" spans="1:14">
      <c r="A2434" s="43">
        <v>39143</v>
      </c>
      <c r="B2434" s="11">
        <v>8819730</v>
      </c>
      <c r="D2434" s="11">
        <v>16</v>
      </c>
      <c r="E2434">
        <f t="shared" si="461"/>
        <v>16</v>
      </c>
      <c r="H2434">
        <f t="shared" si="457"/>
        <v>16000000</v>
      </c>
      <c r="I2434">
        <f t="shared" si="458"/>
        <v>7680000</v>
      </c>
      <c r="K2434">
        <f t="shared" si="460"/>
        <v>31497484</v>
      </c>
      <c r="M2434">
        <f t="shared" si="456"/>
        <v>8819730</v>
      </c>
      <c r="N2434">
        <f t="shared" si="459"/>
        <v>40317214</v>
      </c>
    </row>
    <row r="2435" ht="13.9" spans="1:14">
      <c r="A2435" s="42" t="s">
        <v>1584</v>
      </c>
      <c r="B2435" s="11">
        <v>10391229</v>
      </c>
      <c r="D2435" s="11">
        <v>14</v>
      </c>
      <c r="E2435">
        <f t="shared" si="461"/>
        <v>14</v>
      </c>
      <c r="H2435">
        <f t="shared" si="457"/>
        <v>14000000</v>
      </c>
      <c r="I2435">
        <f t="shared" si="458"/>
        <v>6720000</v>
      </c>
      <c r="K2435">
        <f t="shared" si="460"/>
        <v>21106255</v>
      </c>
      <c r="M2435">
        <f t="shared" si="456"/>
        <v>10391229</v>
      </c>
      <c r="N2435">
        <f t="shared" si="459"/>
        <v>31497484</v>
      </c>
    </row>
    <row r="2436" ht="13.9" spans="1:14">
      <c r="A2436" s="42" t="s">
        <v>1585</v>
      </c>
      <c r="B2436" s="11">
        <v>6689286</v>
      </c>
      <c r="D2436" s="11">
        <v>12</v>
      </c>
      <c r="E2436">
        <f t="shared" si="461"/>
        <v>12</v>
      </c>
      <c r="H2436">
        <f t="shared" si="457"/>
        <v>12000000</v>
      </c>
      <c r="I2436">
        <f t="shared" si="458"/>
        <v>5760000</v>
      </c>
      <c r="K2436">
        <f t="shared" si="460"/>
        <v>14416969</v>
      </c>
      <c r="M2436">
        <f t="shared" si="456"/>
        <v>6689286</v>
      </c>
      <c r="N2436">
        <f t="shared" si="459"/>
        <v>21106255</v>
      </c>
    </row>
    <row r="2437" ht="13.9" spans="1:14">
      <c r="A2437" s="42" t="s">
        <v>1586</v>
      </c>
      <c r="B2437" s="11">
        <v>7415382</v>
      </c>
      <c r="D2437" s="11">
        <v>10</v>
      </c>
      <c r="E2437">
        <f t="shared" si="461"/>
        <v>10</v>
      </c>
      <c r="H2437">
        <f t="shared" si="457"/>
        <v>10000000</v>
      </c>
      <c r="I2437">
        <f t="shared" si="458"/>
        <v>4800000</v>
      </c>
      <c r="K2437">
        <f t="shared" si="460"/>
        <v>7001587</v>
      </c>
      <c r="M2437">
        <f t="shared" si="456"/>
        <v>7415382</v>
      </c>
      <c r="N2437">
        <f t="shared" si="459"/>
        <v>14416969</v>
      </c>
    </row>
    <row r="2438" ht="13.9" spans="1:14">
      <c r="A2438" s="42" t="s">
        <v>1587</v>
      </c>
      <c r="B2438" s="11">
        <v>7001587</v>
      </c>
      <c r="D2438" s="11">
        <v>14</v>
      </c>
      <c r="E2438">
        <f t="shared" si="461"/>
        <v>14</v>
      </c>
      <c r="H2438">
        <f t="shared" si="457"/>
        <v>14000000</v>
      </c>
      <c r="I2438">
        <f t="shared" si="458"/>
        <v>6720000</v>
      </c>
      <c r="K2438">
        <f t="shared" si="460"/>
        <v>24042031</v>
      </c>
      <c r="M2438">
        <f t="shared" ref="M2438:M2501" si="462">B2438+C2438</f>
        <v>7001587</v>
      </c>
      <c r="N2438">
        <f t="shared" si="459"/>
        <v>31043618</v>
      </c>
    </row>
    <row r="2439" ht="13.9" spans="1:14">
      <c r="A2439" s="42" t="s">
        <v>1588</v>
      </c>
      <c r="B2439" s="11">
        <v>7733459</v>
      </c>
      <c r="D2439" s="11">
        <v>12</v>
      </c>
      <c r="E2439">
        <f t="shared" si="461"/>
        <v>12</v>
      </c>
      <c r="H2439">
        <f t="shared" si="457"/>
        <v>12000000</v>
      </c>
      <c r="I2439">
        <f t="shared" si="458"/>
        <v>5760000</v>
      </c>
      <c r="K2439">
        <f t="shared" si="460"/>
        <v>16308572</v>
      </c>
      <c r="M2439">
        <f t="shared" si="462"/>
        <v>7733459</v>
      </c>
      <c r="N2439">
        <f t="shared" si="459"/>
        <v>24042031</v>
      </c>
    </row>
    <row r="2440" ht="13.85" spans="1:14">
      <c r="A2440" s="43">
        <v>39053</v>
      </c>
      <c r="B2440" s="11">
        <v>6829068</v>
      </c>
      <c r="D2440" s="11">
        <v>10</v>
      </c>
      <c r="E2440">
        <f t="shared" si="461"/>
        <v>10</v>
      </c>
      <c r="H2440">
        <f t="shared" si="457"/>
        <v>10000000</v>
      </c>
      <c r="I2440">
        <f t="shared" si="458"/>
        <v>4800000</v>
      </c>
      <c r="K2440">
        <f t="shared" si="460"/>
        <v>9479504</v>
      </c>
      <c r="M2440">
        <f t="shared" si="462"/>
        <v>6829068</v>
      </c>
      <c r="N2440">
        <f t="shared" si="459"/>
        <v>16308572</v>
      </c>
    </row>
    <row r="2441" ht="13.85" spans="1:14">
      <c r="A2441" s="43">
        <v>38931</v>
      </c>
      <c r="B2441" s="11">
        <v>9479504</v>
      </c>
      <c r="D2441" s="11">
        <v>31</v>
      </c>
      <c r="E2441">
        <f t="shared" si="461"/>
        <v>31</v>
      </c>
      <c r="H2441">
        <f t="shared" si="457"/>
        <v>31000000</v>
      </c>
      <c r="I2441">
        <f t="shared" si="458"/>
        <v>14880000</v>
      </c>
      <c r="K2441">
        <f t="shared" si="460"/>
        <v>65581143</v>
      </c>
      <c r="M2441">
        <f t="shared" si="462"/>
        <v>9479504</v>
      </c>
      <c r="N2441">
        <f t="shared" si="459"/>
        <v>75060647</v>
      </c>
    </row>
    <row r="2442" ht="13.85" spans="1:14">
      <c r="A2442" s="43">
        <v>38839</v>
      </c>
      <c r="B2442" s="11">
        <v>8271975</v>
      </c>
      <c r="D2442" s="11">
        <v>26</v>
      </c>
      <c r="E2442">
        <f t="shared" si="461"/>
        <v>26</v>
      </c>
      <c r="H2442">
        <f t="shared" si="457"/>
        <v>26000000</v>
      </c>
      <c r="I2442">
        <f t="shared" si="458"/>
        <v>12480000</v>
      </c>
      <c r="K2442">
        <f t="shared" si="460"/>
        <v>57309168</v>
      </c>
      <c r="M2442">
        <f t="shared" si="462"/>
        <v>8271975</v>
      </c>
      <c r="N2442">
        <f t="shared" si="459"/>
        <v>65581143</v>
      </c>
    </row>
    <row r="2443" ht="13.85" spans="1:14">
      <c r="A2443" s="43">
        <v>38719</v>
      </c>
      <c r="B2443" s="11">
        <v>8761872</v>
      </c>
      <c r="D2443" s="11">
        <v>21</v>
      </c>
      <c r="E2443">
        <f t="shared" si="461"/>
        <v>21</v>
      </c>
      <c r="H2443">
        <f t="shared" si="457"/>
        <v>21000000</v>
      </c>
      <c r="I2443">
        <f t="shared" si="458"/>
        <v>10080000</v>
      </c>
      <c r="K2443">
        <f t="shared" si="460"/>
        <v>48547296</v>
      </c>
      <c r="M2443">
        <f t="shared" si="462"/>
        <v>8761872</v>
      </c>
      <c r="N2443">
        <f t="shared" si="459"/>
        <v>57309168</v>
      </c>
    </row>
    <row r="2444" ht="13.9" spans="1:14">
      <c r="A2444" s="42" t="s">
        <v>1589</v>
      </c>
      <c r="B2444" s="11">
        <v>7284821</v>
      </c>
      <c r="D2444" s="11">
        <v>17</v>
      </c>
      <c r="E2444">
        <f t="shared" si="461"/>
        <v>17</v>
      </c>
      <c r="H2444">
        <f t="shared" si="457"/>
        <v>17000000</v>
      </c>
      <c r="I2444">
        <f t="shared" si="458"/>
        <v>8160000</v>
      </c>
      <c r="K2444">
        <f t="shared" si="460"/>
        <v>41262475</v>
      </c>
      <c r="M2444">
        <f t="shared" si="462"/>
        <v>7284821</v>
      </c>
      <c r="N2444">
        <f t="shared" si="459"/>
        <v>48547296</v>
      </c>
    </row>
    <row r="2445" ht="13.9" spans="1:14">
      <c r="A2445" s="42" t="s">
        <v>1590</v>
      </c>
      <c r="B2445" s="11">
        <v>8338655</v>
      </c>
      <c r="D2445" s="11">
        <v>14</v>
      </c>
      <c r="E2445">
        <f t="shared" si="461"/>
        <v>14</v>
      </c>
      <c r="H2445">
        <f t="shared" si="457"/>
        <v>14000000</v>
      </c>
      <c r="I2445">
        <f t="shared" si="458"/>
        <v>6720000</v>
      </c>
      <c r="K2445">
        <f t="shared" si="460"/>
        <v>32923820</v>
      </c>
      <c r="M2445">
        <f t="shared" si="462"/>
        <v>8338655</v>
      </c>
      <c r="N2445">
        <f t="shared" si="459"/>
        <v>41262475</v>
      </c>
    </row>
    <row r="2446" ht="13.9" spans="1:14">
      <c r="A2446" s="42" t="s">
        <v>1591</v>
      </c>
      <c r="B2446" s="11">
        <v>7386141</v>
      </c>
      <c r="D2446" s="11">
        <v>12</v>
      </c>
      <c r="E2446">
        <f t="shared" si="461"/>
        <v>12</v>
      </c>
      <c r="H2446">
        <f t="shared" si="457"/>
        <v>12000000</v>
      </c>
      <c r="I2446">
        <f t="shared" si="458"/>
        <v>5760000</v>
      </c>
      <c r="K2446">
        <f t="shared" si="460"/>
        <v>25537679</v>
      </c>
      <c r="M2446">
        <f t="shared" si="462"/>
        <v>7386141</v>
      </c>
      <c r="N2446">
        <f t="shared" si="459"/>
        <v>32923820</v>
      </c>
    </row>
    <row r="2447" ht="13.9" spans="1:14">
      <c r="A2447" s="42" t="s">
        <v>1592</v>
      </c>
      <c r="B2447" s="11">
        <v>8844819</v>
      </c>
      <c r="D2447" s="11">
        <v>10</v>
      </c>
      <c r="E2447">
        <f t="shared" si="461"/>
        <v>10</v>
      </c>
      <c r="H2447">
        <f t="shared" ref="H2447:H2510" si="463">E2447*1000000</f>
        <v>10000000</v>
      </c>
      <c r="I2447">
        <f t="shared" si="458"/>
        <v>4800000</v>
      </c>
      <c r="K2447">
        <f t="shared" si="460"/>
        <v>16692860</v>
      </c>
      <c r="M2447">
        <f t="shared" si="462"/>
        <v>8844819</v>
      </c>
      <c r="N2447">
        <f t="shared" si="459"/>
        <v>25537679</v>
      </c>
    </row>
    <row r="2448" ht="13.9" spans="1:14">
      <c r="A2448" s="42" t="s">
        <v>1593</v>
      </c>
      <c r="B2448" s="11">
        <v>16692860</v>
      </c>
      <c r="D2448" s="11">
        <v>80</v>
      </c>
      <c r="E2448">
        <f t="shared" si="461"/>
        <v>80</v>
      </c>
      <c r="H2448">
        <f t="shared" si="463"/>
        <v>80000000</v>
      </c>
      <c r="I2448">
        <f t="shared" si="458"/>
        <v>38400000</v>
      </c>
      <c r="K2448">
        <f t="shared" si="460"/>
        <v>141230711</v>
      </c>
      <c r="M2448">
        <f t="shared" si="462"/>
        <v>16692860</v>
      </c>
      <c r="N2448">
        <f t="shared" si="459"/>
        <v>157923571</v>
      </c>
    </row>
    <row r="2449" ht="13.85" spans="1:14">
      <c r="A2449" s="43">
        <v>38658</v>
      </c>
      <c r="B2449" s="11">
        <v>15439843</v>
      </c>
      <c r="D2449" s="11">
        <v>70</v>
      </c>
      <c r="E2449">
        <f t="shared" si="461"/>
        <v>70</v>
      </c>
      <c r="H2449">
        <f t="shared" si="463"/>
        <v>70000000</v>
      </c>
      <c r="I2449">
        <f t="shared" si="458"/>
        <v>33600000</v>
      </c>
      <c r="K2449">
        <f t="shared" si="460"/>
        <v>125790868</v>
      </c>
      <c r="M2449">
        <f t="shared" si="462"/>
        <v>15439843</v>
      </c>
      <c r="N2449">
        <f t="shared" si="459"/>
        <v>141230711</v>
      </c>
    </row>
    <row r="2450" ht="13.85" spans="1:14">
      <c r="A2450" s="43">
        <v>38566</v>
      </c>
      <c r="B2450" s="11">
        <v>12865524</v>
      </c>
      <c r="D2450" s="11">
        <v>61</v>
      </c>
      <c r="E2450">
        <f t="shared" si="461"/>
        <v>61</v>
      </c>
      <c r="H2450">
        <f t="shared" si="463"/>
        <v>61000000</v>
      </c>
      <c r="I2450">
        <f t="shared" si="458"/>
        <v>29280000</v>
      </c>
      <c r="K2450">
        <f t="shared" si="460"/>
        <v>112925344</v>
      </c>
      <c r="M2450">
        <f t="shared" si="462"/>
        <v>12865524</v>
      </c>
      <c r="N2450">
        <f t="shared" si="459"/>
        <v>125790868</v>
      </c>
    </row>
    <row r="2451" ht="13.85" spans="1:14">
      <c r="A2451" s="43">
        <v>38444</v>
      </c>
      <c r="B2451" s="11">
        <v>12597964</v>
      </c>
      <c r="D2451" s="11">
        <v>54</v>
      </c>
      <c r="E2451">
        <f t="shared" si="461"/>
        <v>54</v>
      </c>
      <c r="H2451">
        <f t="shared" si="463"/>
        <v>54000000</v>
      </c>
      <c r="I2451">
        <f t="shared" si="458"/>
        <v>25920000</v>
      </c>
      <c r="K2451">
        <f t="shared" si="460"/>
        <v>100327380</v>
      </c>
      <c r="M2451">
        <f t="shared" si="462"/>
        <v>12597964</v>
      </c>
      <c r="N2451">
        <f t="shared" si="459"/>
        <v>112925344</v>
      </c>
    </row>
    <row r="2452" ht="13.85" spans="1:14">
      <c r="A2452" s="43">
        <v>38354</v>
      </c>
      <c r="B2452" s="11">
        <v>10727233</v>
      </c>
      <c r="D2452" s="11">
        <v>48</v>
      </c>
      <c r="E2452">
        <f t="shared" si="461"/>
        <v>48</v>
      </c>
      <c r="H2452">
        <f t="shared" si="463"/>
        <v>48000000</v>
      </c>
      <c r="I2452">
        <f t="shared" si="458"/>
        <v>23040000</v>
      </c>
      <c r="K2452">
        <f t="shared" si="460"/>
        <v>89600147</v>
      </c>
      <c r="M2452">
        <f t="shared" si="462"/>
        <v>10727233</v>
      </c>
      <c r="N2452">
        <f t="shared" si="459"/>
        <v>100327380</v>
      </c>
    </row>
    <row r="2453" ht="13.9" spans="1:14">
      <c r="A2453" s="42" t="s">
        <v>1594</v>
      </c>
      <c r="B2453" s="11">
        <v>10839433</v>
      </c>
      <c r="D2453" s="11">
        <v>43</v>
      </c>
      <c r="E2453">
        <f t="shared" si="461"/>
        <v>43</v>
      </c>
      <c r="H2453">
        <f t="shared" si="463"/>
        <v>43000000</v>
      </c>
      <c r="I2453">
        <f t="shared" si="458"/>
        <v>20640000</v>
      </c>
      <c r="K2453">
        <f t="shared" si="460"/>
        <v>78760714</v>
      </c>
      <c r="M2453">
        <f t="shared" si="462"/>
        <v>10839433</v>
      </c>
      <c r="N2453">
        <f t="shared" si="459"/>
        <v>89600147</v>
      </c>
    </row>
    <row r="2454" ht="13.9" spans="1:14">
      <c r="A2454" s="42" t="s">
        <v>1595</v>
      </c>
      <c r="B2454" s="11">
        <v>9145098</v>
      </c>
      <c r="D2454" s="11">
        <v>38</v>
      </c>
      <c r="E2454">
        <f t="shared" si="461"/>
        <v>38</v>
      </c>
      <c r="H2454">
        <f t="shared" si="463"/>
        <v>38000000</v>
      </c>
      <c r="I2454">
        <f t="shared" si="458"/>
        <v>18240000</v>
      </c>
      <c r="K2454">
        <f t="shared" si="460"/>
        <v>69615616</v>
      </c>
      <c r="M2454">
        <f t="shared" si="462"/>
        <v>9145098</v>
      </c>
      <c r="N2454">
        <f t="shared" si="459"/>
        <v>78760714</v>
      </c>
    </row>
    <row r="2455" ht="13.9" spans="1:14">
      <c r="A2455" s="42" t="s">
        <v>1596</v>
      </c>
      <c r="B2455" s="11">
        <v>9815131</v>
      </c>
      <c r="D2455" s="11">
        <v>32</v>
      </c>
      <c r="E2455">
        <f t="shared" si="461"/>
        <v>32</v>
      </c>
      <c r="H2455">
        <f t="shared" si="463"/>
        <v>32000000</v>
      </c>
      <c r="I2455">
        <f t="shared" si="458"/>
        <v>15360000</v>
      </c>
      <c r="K2455">
        <f t="shared" si="460"/>
        <v>59800485</v>
      </c>
      <c r="M2455">
        <f t="shared" si="462"/>
        <v>9815131</v>
      </c>
      <c r="N2455">
        <f t="shared" si="459"/>
        <v>69615616</v>
      </c>
    </row>
    <row r="2456" ht="13.9" spans="1:14">
      <c r="A2456" s="42" t="s">
        <v>1597</v>
      </c>
      <c r="B2456" s="11">
        <v>8710721</v>
      </c>
      <c r="D2456" s="11">
        <v>25</v>
      </c>
      <c r="E2456">
        <f t="shared" si="461"/>
        <v>25</v>
      </c>
      <c r="H2456">
        <f t="shared" si="463"/>
        <v>25000000</v>
      </c>
      <c r="I2456">
        <f t="shared" si="458"/>
        <v>12000000</v>
      </c>
      <c r="K2456">
        <f t="shared" si="460"/>
        <v>51089764</v>
      </c>
      <c r="M2456">
        <f t="shared" si="462"/>
        <v>8710721</v>
      </c>
      <c r="N2456">
        <f t="shared" si="459"/>
        <v>59800485</v>
      </c>
    </row>
    <row r="2457" ht="13.9" spans="1:14">
      <c r="A2457" s="42" t="s">
        <v>1598</v>
      </c>
      <c r="B2457" s="11">
        <v>9372464</v>
      </c>
      <c r="D2457" s="11">
        <v>21</v>
      </c>
      <c r="E2457">
        <f t="shared" si="461"/>
        <v>21</v>
      </c>
      <c r="H2457">
        <f t="shared" si="463"/>
        <v>21000000</v>
      </c>
      <c r="I2457">
        <f t="shared" si="458"/>
        <v>10080000</v>
      </c>
      <c r="K2457">
        <f t="shared" si="460"/>
        <v>41717300</v>
      </c>
      <c r="M2457">
        <f t="shared" si="462"/>
        <v>9372464</v>
      </c>
      <c r="N2457">
        <f t="shared" si="459"/>
        <v>51089764</v>
      </c>
    </row>
    <row r="2458" ht="13.85" spans="1:14">
      <c r="A2458" s="43">
        <v>38262</v>
      </c>
      <c r="B2458" s="11">
        <v>7596334</v>
      </c>
      <c r="D2458" s="11">
        <v>17</v>
      </c>
      <c r="E2458">
        <f t="shared" si="461"/>
        <v>17</v>
      </c>
      <c r="H2458">
        <f t="shared" si="463"/>
        <v>17000000</v>
      </c>
      <c r="I2458">
        <f t="shared" si="458"/>
        <v>8160000</v>
      </c>
      <c r="K2458">
        <f t="shared" si="460"/>
        <v>34120966</v>
      </c>
      <c r="M2458">
        <f t="shared" si="462"/>
        <v>7596334</v>
      </c>
      <c r="N2458">
        <f t="shared" si="459"/>
        <v>41717300</v>
      </c>
    </row>
    <row r="2459" ht="13.85" spans="1:14">
      <c r="A2459" s="43">
        <v>38140</v>
      </c>
      <c r="B2459" s="11">
        <v>8273694</v>
      </c>
      <c r="D2459" s="11">
        <v>14</v>
      </c>
      <c r="E2459">
        <f t="shared" si="461"/>
        <v>14</v>
      </c>
      <c r="H2459">
        <f t="shared" si="463"/>
        <v>14000000</v>
      </c>
      <c r="I2459">
        <f t="shared" si="458"/>
        <v>6720000</v>
      </c>
      <c r="K2459">
        <f t="shared" si="460"/>
        <v>25847272</v>
      </c>
      <c r="M2459">
        <f t="shared" si="462"/>
        <v>8273694</v>
      </c>
      <c r="N2459">
        <f t="shared" si="459"/>
        <v>34120966</v>
      </c>
    </row>
    <row r="2460" ht="13.85" spans="1:14">
      <c r="A2460" s="43">
        <v>38048</v>
      </c>
      <c r="B2460" s="11">
        <v>7154957</v>
      </c>
      <c r="D2460" s="11">
        <v>12</v>
      </c>
      <c r="E2460">
        <f t="shared" si="461"/>
        <v>12</v>
      </c>
      <c r="H2460">
        <f t="shared" si="463"/>
        <v>12000000</v>
      </c>
      <c r="I2460">
        <f t="shared" si="458"/>
        <v>5760000</v>
      </c>
      <c r="K2460">
        <f t="shared" si="460"/>
        <v>18692315</v>
      </c>
      <c r="M2460">
        <f t="shared" si="462"/>
        <v>7154957</v>
      </c>
      <c r="N2460">
        <f t="shared" si="459"/>
        <v>25847272</v>
      </c>
    </row>
    <row r="2461" ht="13.9" spans="1:14">
      <c r="A2461" s="42" t="s">
        <v>1599</v>
      </c>
      <c r="B2461" s="11">
        <v>8372596</v>
      </c>
      <c r="D2461" s="11">
        <v>10</v>
      </c>
      <c r="E2461">
        <f t="shared" si="461"/>
        <v>10</v>
      </c>
      <c r="H2461">
        <f t="shared" si="463"/>
        <v>10000000</v>
      </c>
      <c r="I2461">
        <f t="shared" si="458"/>
        <v>4800000</v>
      </c>
      <c r="K2461">
        <f t="shared" si="460"/>
        <v>10319719</v>
      </c>
      <c r="M2461">
        <f t="shared" si="462"/>
        <v>8372596</v>
      </c>
      <c r="N2461">
        <f t="shared" si="459"/>
        <v>18692315</v>
      </c>
    </row>
    <row r="2462" ht="13.9" spans="1:14">
      <c r="A2462" s="42" t="s">
        <v>1600</v>
      </c>
      <c r="B2462" s="11">
        <v>10319719</v>
      </c>
      <c r="D2462" s="11">
        <v>48</v>
      </c>
      <c r="E2462">
        <f t="shared" si="461"/>
        <v>48</v>
      </c>
      <c r="H2462">
        <f t="shared" si="463"/>
        <v>48000000</v>
      </c>
      <c r="I2462">
        <f t="shared" ref="I2462:I2525" si="464">H2462*0.48</f>
        <v>23040000</v>
      </c>
      <c r="K2462">
        <f t="shared" si="460"/>
        <v>88691682</v>
      </c>
      <c r="M2462">
        <f t="shared" si="462"/>
        <v>10319719</v>
      </c>
      <c r="N2462">
        <f t="shared" si="459"/>
        <v>99011401</v>
      </c>
    </row>
    <row r="2463" ht="13.9" spans="1:14">
      <c r="A2463" s="42" t="s">
        <v>1601</v>
      </c>
      <c r="B2463" s="11">
        <v>10893489</v>
      </c>
      <c r="D2463" s="11">
        <v>43</v>
      </c>
      <c r="E2463">
        <f t="shared" si="461"/>
        <v>43</v>
      </c>
      <c r="H2463">
        <f t="shared" si="463"/>
        <v>43000000</v>
      </c>
      <c r="I2463">
        <f t="shared" si="464"/>
        <v>20640000</v>
      </c>
      <c r="K2463">
        <f t="shared" si="460"/>
        <v>77798193</v>
      </c>
      <c r="M2463">
        <f t="shared" si="462"/>
        <v>10893489</v>
      </c>
      <c r="N2463">
        <f t="shared" ref="N2463:N2526" si="465">IF(H2463&lt;H2464,M2463+M2464,M2463+N2464)</f>
        <v>88691682</v>
      </c>
    </row>
    <row r="2464" ht="13.9" spans="1:14">
      <c r="A2464" s="42" t="s">
        <v>1602</v>
      </c>
      <c r="B2464" s="11">
        <v>9136540</v>
      </c>
      <c r="D2464" s="11">
        <v>37</v>
      </c>
      <c r="E2464">
        <f t="shared" si="461"/>
        <v>37</v>
      </c>
      <c r="H2464">
        <f t="shared" si="463"/>
        <v>37000000</v>
      </c>
      <c r="I2464">
        <f t="shared" si="464"/>
        <v>17760000</v>
      </c>
      <c r="K2464">
        <f t="shared" si="460"/>
        <v>68661653</v>
      </c>
      <c r="M2464">
        <f t="shared" si="462"/>
        <v>9136540</v>
      </c>
      <c r="N2464">
        <f t="shared" si="465"/>
        <v>77798193</v>
      </c>
    </row>
    <row r="2465" ht="13.9" spans="1:14">
      <c r="A2465" s="42" t="s">
        <v>1603</v>
      </c>
      <c r="B2465" s="11">
        <v>9810248</v>
      </c>
      <c r="D2465" s="11">
        <v>31</v>
      </c>
      <c r="E2465">
        <f t="shared" si="461"/>
        <v>31</v>
      </c>
      <c r="H2465">
        <f t="shared" si="463"/>
        <v>31000000</v>
      </c>
      <c r="I2465">
        <f t="shared" si="464"/>
        <v>14880000</v>
      </c>
      <c r="K2465">
        <f t="shared" si="460"/>
        <v>58851405</v>
      </c>
      <c r="M2465">
        <f t="shared" si="462"/>
        <v>9810248</v>
      </c>
      <c r="N2465">
        <f t="shared" si="465"/>
        <v>68661653</v>
      </c>
    </row>
    <row r="2466" ht="13.9" spans="1:14">
      <c r="A2466" s="42" t="s">
        <v>1604</v>
      </c>
      <c r="B2466" s="11">
        <v>8433296</v>
      </c>
      <c r="D2466" s="11">
        <v>26</v>
      </c>
      <c r="E2466">
        <f t="shared" si="461"/>
        <v>26</v>
      </c>
      <c r="H2466">
        <f t="shared" si="463"/>
        <v>26000000</v>
      </c>
      <c r="I2466">
        <f t="shared" si="464"/>
        <v>12480000</v>
      </c>
      <c r="K2466">
        <f t="shared" si="460"/>
        <v>50418109</v>
      </c>
      <c r="M2466">
        <f t="shared" si="462"/>
        <v>8433296</v>
      </c>
      <c r="N2466">
        <f t="shared" si="465"/>
        <v>58851405</v>
      </c>
    </row>
    <row r="2467" ht="13.85" spans="1:14">
      <c r="A2467" s="43">
        <v>37866</v>
      </c>
      <c r="B2467" s="11">
        <v>8982077</v>
      </c>
      <c r="D2467" s="11">
        <v>22</v>
      </c>
      <c r="E2467">
        <f t="shared" si="461"/>
        <v>22</v>
      </c>
      <c r="H2467">
        <f t="shared" si="463"/>
        <v>22000000</v>
      </c>
      <c r="I2467">
        <f t="shared" si="464"/>
        <v>10560000</v>
      </c>
      <c r="K2467">
        <f t="shared" si="460"/>
        <v>41436032</v>
      </c>
      <c r="M2467">
        <f t="shared" si="462"/>
        <v>8982077</v>
      </c>
      <c r="N2467">
        <f t="shared" si="465"/>
        <v>50418109</v>
      </c>
    </row>
    <row r="2468" ht="13.85" spans="1:14">
      <c r="A2468" s="43">
        <v>37774</v>
      </c>
      <c r="B2468" s="11">
        <v>7826893</v>
      </c>
      <c r="D2468" s="11">
        <v>17</v>
      </c>
      <c r="E2468">
        <f t="shared" si="461"/>
        <v>17</v>
      </c>
      <c r="H2468">
        <f t="shared" si="463"/>
        <v>17000000</v>
      </c>
      <c r="I2468">
        <f t="shared" si="464"/>
        <v>8160000</v>
      </c>
      <c r="K2468">
        <f t="shared" si="460"/>
        <v>33609139</v>
      </c>
      <c r="M2468">
        <f t="shared" si="462"/>
        <v>7826893</v>
      </c>
      <c r="N2468">
        <f t="shared" si="465"/>
        <v>41436032</v>
      </c>
    </row>
    <row r="2469" ht="13.85" spans="1:14">
      <c r="A2469" s="43">
        <v>37654</v>
      </c>
      <c r="B2469" s="11">
        <v>8516644</v>
      </c>
      <c r="D2469" s="11">
        <v>14</v>
      </c>
      <c r="E2469">
        <f t="shared" si="461"/>
        <v>14</v>
      </c>
      <c r="H2469">
        <f t="shared" si="463"/>
        <v>14000000</v>
      </c>
      <c r="I2469">
        <f t="shared" si="464"/>
        <v>6720000</v>
      </c>
      <c r="K2469">
        <f t="shared" si="460"/>
        <v>25092495</v>
      </c>
      <c r="M2469">
        <f t="shared" si="462"/>
        <v>8516644</v>
      </c>
      <c r="N2469">
        <f t="shared" si="465"/>
        <v>33609139</v>
      </c>
    </row>
    <row r="2470" ht="13.9" spans="1:14">
      <c r="A2470" s="42" t="s">
        <v>1605</v>
      </c>
      <c r="B2470" s="11">
        <v>7278795</v>
      </c>
      <c r="D2470" s="11">
        <v>12</v>
      </c>
      <c r="E2470">
        <f t="shared" si="461"/>
        <v>12</v>
      </c>
      <c r="H2470">
        <f t="shared" si="463"/>
        <v>12000000</v>
      </c>
      <c r="I2470">
        <f t="shared" si="464"/>
        <v>5760000</v>
      </c>
      <c r="K2470">
        <f t="shared" si="460"/>
        <v>17813700</v>
      </c>
      <c r="M2470">
        <f t="shared" si="462"/>
        <v>7278795</v>
      </c>
      <c r="N2470">
        <f t="shared" si="465"/>
        <v>25092495</v>
      </c>
    </row>
    <row r="2471" ht="13.9" spans="1:14">
      <c r="A2471" s="42" t="s">
        <v>1606</v>
      </c>
      <c r="B2471" s="11">
        <v>8432510</v>
      </c>
      <c r="D2471" s="11">
        <v>10</v>
      </c>
      <c r="E2471">
        <f t="shared" si="461"/>
        <v>10</v>
      </c>
      <c r="H2471">
        <f t="shared" si="463"/>
        <v>10000000</v>
      </c>
      <c r="I2471">
        <f t="shared" si="464"/>
        <v>4800000</v>
      </c>
      <c r="K2471">
        <f t="shared" si="460"/>
        <v>9381190</v>
      </c>
      <c r="M2471">
        <f t="shared" si="462"/>
        <v>8432510</v>
      </c>
      <c r="N2471">
        <f t="shared" si="465"/>
        <v>17813700</v>
      </c>
    </row>
    <row r="2472" ht="13.9" spans="1:14">
      <c r="A2472" s="42" t="s">
        <v>1607</v>
      </c>
      <c r="B2472" s="11">
        <v>9381190</v>
      </c>
      <c r="D2472" s="11">
        <v>32</v>
      </c>
      <c r="E2472">
        <f t="shared" si="461"/>
        <v>32</v>
      </c>
      <c r="H2472">
        <f t="shared" si="463"/>
        <v>32000000</v>
      </c>
      <c r="I2472">
        <f t="shared" si="464"/>
        <v>15360000</v>
      </c>
      <c r="K2472">
        <f t="shared" si="460"/>
        <v>77843049</v>
      </c>
      <c r="M2472">
        <f t="shared" si="462"/>
        <v>9381190</v>
      </c>
      <c r="N2472">
        <f t="shared" si="465"/>
        <v>87224239</v>
      </c>
    </row>
    <row r="2473" ht="13.9" spans="1:14">
      <c r="A2473" s="42" t="s">
        <v>1608</v>
      </c>
      <c r="B2473" s="11">
        <v>10036319</v>
      </c>
      <c r="D2473" s="11">
        <v>27</v>
      </c>
      <c r="E2473">
        <f t="shared" si="461"/>
        <v>27</v>
      </c>
      <c r="H2473">
        <f t="shared" si="463"/>
        <v>27000000</v>
      </c>
      <c r="I2473">
        <f t="shared" si="464"/>
        <v>12960000</v>
      </c>
      <c r="K2473">
        <f t="shared" si="460"/>
        <v>67806730</v>
      </c>
      <c r="M2473">
        <f t="shared" si="462"/>
        <v>10036319</v>
      </c>
      <c r="N2473">
        <f t="shared" si="465"/>
        <v>77843049</v>
      </c>
    </row>
    <row r="2474" ht="13.9" spans="1:14">
      <c r="A2474" s="42" t="s">
        <v>1609</v>
      </c>
      <c r="B2474" s="11">
        <v>8429272</v>
      </c>
      <c r="D2474" s="11">
        <v>22</v>
      </c>
      <c r="E2474">
        <f t="shared" si="461"/>
        <v>22</v>
      </c>
      <c r="H2474">
        <f t="shared" si="463"/>
        <v>22000000</v>
      </c>
      <c r="I2474">
        <f t="shared" si="464"/>
        <v>10560000</v>
      </c>
      <c r="K2474">
        <f t="shared" ref="K2474:K2537" si="466">IF(E2474&gt;E2475,B2475+K2475,B2475)</f>
        <v>59377458</v>
      </c>
      <c r="M2474">
        <f t="shared" si="462"/>
        <v>8429272</v>
      </c>
      <c r="N2474">
        <f t="shared" si="465"/>
        <v>67806730</v>
      </c>
    </row>
    <row r="2475" ht="13.85" spans="1:14">
      <c r="A2475" s="43">
        <v>37501</v>
      </c>
      <c r="B2475" s="11">
        <v>9126621</v>
      </c>
      <c r="D2475" s="11">
        <v>18</v>
      </c>
      <c r="E2475">
        <f t="shared" si="461"/>
        <v>18</v>
      </c>
      <c r="H2475">
        <f t="shared" si="463"/>
        <v>18000000</v>
      </c>
      <c r="I2475">
        <f t="shared" si="464"/>
        <v>8640000</v>
      </c>
      <c r="K2475">
        <f t="shared" si="466"/>
        <v>50250837</v>
      </c>
      <c r="M2475">
        <f t="shared" si="462"/>
        <v>9126621</v>
      </c>
      <c r="N2475">
        <f t="shared" si="465"/>
        <v>59377458</v>
      </c>
    </row>
    <row r="2476" ht="13.85" spans="1:14">
      <c r="A2476" s="43">
        <v>37409</v>
      </c>
      <c r="B2476" s="11">
        <v>7737545</v>
      </c>
      <c r="D2476" s="11">
        <v>14</v>
      </c>
      <c r="E2476">
        <f t="shared" si="461"/>
        <v>14</v>
      </c>
      <c r="H2476">
        <f t="shared" si="463"/>
        <v>14000000</v>
      </c>
      <c r="I2476">
        <f t="shared" si="464"/>
        <v>6720000</v>
      </c>
      <c r="K2476">
        <f t="shared" si="466"/>
        <v>42513292</v>
      </c>
      <c r="M2476">
        <f t="shared" si="462"/>
        <v>7737545</v>
      </c>
      <c r="N2476">
        <f t="shared" si="465"/>
        <v>50250837</v>
      </c>
    </row>
    <row r="2477" ht="13.85" spans="1:14">
      <c r="A2477" s="43">
        <v>37289</v>
      </c>
      <c r="B2477" s="11">
        <v>8721797</v>
      </c>
      <c r="D2477" s="11">
        <v>12</v>
      </c>
      <c r="E2477">
        <f t="shared" si="461"/>
        <v>12</v>
      </c>
      <c r="H2477">
        <f t="shared" si="463"/>
        <v>12000000</v>
      </c>
      <c r="I2477">
        <f t="shared" si="464"/>
        <v>5760000</v>
      </c>
      <c r="K2477">
        <f t="shared" si="466"/>
        <v>33791495</v>
      </c>
      <c r="M2477">
        <f t="shared" si="462"/>
        <v>8721797</v>
      </c>
      <c r="N2477">
        <f t="shared" si="465"/>
        <v>42513292</v>
      </c>
    </row>
    <row r="2478" ht="13.9" spans="1:14">
      <c r="A2478" s="42" t="s">
        <v>1610</v>
      </c>
      <c r="B2478" s="11">
        <v>7945529</v>
      </c>
      <c r="D2478" s="11">
        <v>10</v>
      </c>
      <c r="E2478">
        <f t="shared" si="461"/>
        <v>10</v>
      </c>
      <c r="H2478">
        <f t="shared" si="463"/>
        <v>10000000</v>
      </c>
      <c r="I2478">
        <f t="shared" si="464"/>
        <v>4800000</v>
      </c>
      <c r="K2478">
        <f t="shared" si="466"/>
        <v>25845966</v>
      </c>
      <c r="M2478">
        <f t="shared" si="462"/>
        <v>7945529</v>
      </c>
      <c r="N2478">
        <f t="shared" si="465"/>
        <v>33791495</v>
      </c>
    </row>
    <row r="2479" ht="13.9" spans="1:14">
      <c r="A2479" s="42" t="s">
        <v>1611</v>
      </c>
      <c r="B2479" s="11">
        <v>25845966</v>
      </c>
      <c r="D2479" s="11">
        <v>95</v>
      </c>
      <c r="E2479">
        <f t="shared" si="461"/>
        <v>95</v>
      </c>
      <c r="H2479">
        <f t="shared" si="463"/>
        <v>95000000</v>
      </c>
      <c r="I2479">
        <f t="shared" si="464"/>
        <v>45600000</v>
      </c>
      <c r="K2479">
        <f t="shared" si="466"/>
        <v>162110518</v>
      </c>
      <c r="M2479">
        <f t="shared" si="462"/>
        <v>25845966</v>
      </c>
      <c r="N2479">
        <f t="shared" si="465"/>
        <v>187956484</v>
      </c>
    </row>
    <row r="2480" ht="13.9" spans="1:14">
      <c r="A2480" s="42" t="s">
        <v>1612</v>
      </c>
      <c r="B2480" s="11">
        <v>18341699</v>
      </c>
      <c r="D2480" s="11">
        <v>81</v>
      </c>
      <c r="E2480">
        <f t="shared" si="461"/>
        <v>81</v>
      </c>
      <c r="H2480">
        <f t="shared" si="463"/>
        <v>81000000</v>
      </c>
      <c r="I2480">
        <f t="shared" si="464"/>
        <v>38880000</v>
      </c>
      <c r="K2480">
        <f t="shared" si="466"/>
        <v>143768819</v>
      </c>
      <c r="M2480">
        <f t="shared" si="462"/>
        <v>18341699</v>
      </c>
      <c r="N2480">
        <f t="shared" si="465"/>
        <v>162110518</v>
      </c>
    </row>
    <row r="2481" ht="13.9" spans="1:14">
      <c r="A2481" s="42" t="s">
        <v>1613</v>
      </c>
      <c r="B2481" s="11">
        <v>16049476</v>
      </c>
      <c r="D2481" s="11">
        <v>71</v>
      </c>
      <c r="E2481">
        <f t="shared" si="461"/>
        <v>71</v>
      </c>
      <c r="H2481">
        <f t="shared" si="463"/>
        <v>71000000</v>
      </c>
      <c r="I2481">
        <f t="shared" si="464"/>
        <v>34080000</v>
      </c>
      <c r="K2481">
        <f t="shared" si="466"/>
        <v>127719343</v>
      </c>
      <c r="M2481">
        <f t="shared" si="462"/>
        <v>16049476</v>
      </c>
      <c r="N2481">
        <f t="shared" si="465"/>
        <v>143768819</v>
      </c>
    </row>
    <row r="2482" ht="13.9" spans="1:14">
      <c r="A2482" s="42" t="s">
        <v>1614</v>
      </c>
      <c r="B2482" s="11">
        <v>13130535</v>
      </c>
      <c r="D2482" s="11">
        <v>61</v>
      </c>
      <c r="E2482">
        <f t="shared" si="461"/>
        <v>61</v>
      </c>
      <c r="H2482">
        <f t="shared" si="463"/>
        <v>61000000</v>
      </c>
      <c r="I2482">
        <f t="shared" si="464"/>
        <v>29280000</v>
      </c>
      <c r="K2482">
        <f t="shared" si="466"/>
        <v>114588808</v>
      </c>
      <c r="M2482">
        <f t="shared" si="462"/>
        <v>13130535</v>
      </c>
      <c r="N2482">
        <f t="shared" si="465"/>
        <v>127719343</v>
      </c>
    </row>
    <row r="2483" ht="13.85" spans="1:14">
      <c r="A2483" s="43">
        <v>37227</v>
      </c>
      <c r="B2483" s="11">
        <v>12528568</v>
      </c>
      <c r="D2483" s="11">
        <v>55</v>
      </c>
      <c r="E2483">
        <f t="shared" si="461"/>
        <v>55</v>
      </c>
      <c r="H2483">
        <f t="shared" si="463"/>
        <v>55000000</v>
      </c>
      <c r="I2483">
        <f t="shared" si="464"/>
        <v>26400000</v>
      </c>
      <c r="K2483">
        <f t="shared" si="466"/>
        <v>102060240</v>
      </c>
      <c r="M2483">
        <f t="shared" si="462"/>
        <v>12528568</v>
      </c>
      <c r="N2483">
        <f t="shared" si="465"/>
        <v>114588808</v>
      </c>
    </row>
    <row r="2484" ht="13.85" spans="1:14">
      <c r="A2484" s="43">
        <v>37136</v>
      </c>
      <c r="B2484" s="11">
        <v>10322519</v>
      </c>
      <c r="D2484" s="11">
        <v>49</v>
      </c>
      <c r="E2484">
        <f t="shared" si="461"/>
        <v>49</v>
      </c>
      <c r="H2484">
        <f t="shared" si="463"/>
        <v>49000000</v>
      </c>
      <c r="I2484">
        <f t="shared" si="464"/>
        <v>23520000</v>
      </c>
      <c r="K2484">
        <f t="shared" si="466"/>
        <v>91737721</v>
      </c>
      <c r="M2484">
        <f t="shared" si="462"/>
        <v>10322519</v>
      </c>
      <c r="N2484">
        <f t="shared" si="465"/>
        <v>102060240</v>
      </c>
    </row>
    <row r="2485" ht="13.85" spans="1:14">
      <c r="A2485" s="43">
        <v>37013</v>
      </c>
      <c r="B2485" s="11">
        <v>10554870</v>
      </c>
      <c r="D2485" s="11">
        <v>44</v>
      </c>
      <c r="E2485">
        <f t="shared" si="461"/>
        <v>44</v>
      </c>
      <c r="H2485">
        <f t="shared" si="463"/>
        <v>44000000</v>
      </c>
      <c r="I2485">
        <f t="shared" si="464"/>
        <v>21120000</v>
      </c>
      <c r="K2485">
        <f t="shared" si="466"/>
        <v>81182851</v>
      </c>
      <c r="M2485">
        <f t="shared" si="462"/>
        <v>10554870</v>
      </c>
      <c r="N2485">
        <f t="shared" si="465"/>
        <v>91737721</v>
      </c>
    </row>
    <row r="2486" ht="13.85" spans="1:14">
      <c r="A2486" s="44">
        <v>36924</v>
      </c>
      <c r="B2486" s="15">
        <v>8365258</v>
      </c>
      <c r="D2486" s="15">
        <v>38</v>
      </c>
      <c r="E2486">
        <f t="shared" si="461"/>
        <v>38</v>
      </c>
      <c r="H2486">
        <f t="shared" si="463"/>
        <v>38000000</v>
      </c>
      <c r="I2486">
        <f t="shared" si="464"/>
        <v>18240000</v>
      </c>
      <c r="K2486">
        <f t="shared" si="466"/>
        <v>72817593</v>
      </c>
      <c r="M2486">
        <f t="shared" si="462"/>
        <v>8365258</v>
      </c>
      <c r="N2486">
        <f t="shared" si="465"/>
        <v>81182851</v>
      </c>
    </row>
    <row r="2487" ht="13.9" spans="1:14">
      <c r="A2487" s="41" t="s">
        <v>1615</v>
      </c>
      <c r="B2487" s="13">
        <v>9465658</v>
      </c>
      <c r="D2487" s="13">
        <v>33</v>
      </c>
      <c r="E2487">
        <f t="shared" si="461"/>
        <v>33</v>
      </c>
      <c r="H2487">
        <f t="shared" si="463"/>
        <v>33000000</v>
      </c>
      <c r="I2487">
        <f t="shared" si="464"/>
        <v>15840000</v>
      </c>
      <c r="K2487">
        <f t="shared" si="466"/>
        <v>63351935</v>
      </c>
      <c r="M2487">
        <f t="shared" si="462"/>
        <v>9465658</v>
      </c>
      <c r="N2487">
        <f t="shared" si="465"/>
        <v>72817593</v>
      </c>
    </row>
    <row r="2488" ht="13.9" spans="1:14">
      <c r="A2488" s="42" t="s">
        <v>1616</v>
      </c>
      <c r="B2488" s="11">
        <v>7521115</v>
      </c>
      <c r="D2488" s="11">
        <v>28</v>
      </c>
      <c r="E2488">
        <f t="shared" si="461"/>
        <v>28</v>
      </c>
      <c r="H2488">
        <f t="shared" si="463"/>
        <v>28000000</v>
      </c>
      <c r="I2488">
        <f t="shared" si="464"/>
        <v>13440000</v>
      </c>
      <c r="K2488">
        <f t="shared" si="466"/>
        <v>55830820</v>
      </c>
      <c r="M2488">
        <f t="shared" si="462"/>
        <v>7521115</v>
      </c>
      <c r="N2488">
        <f t="shared" si="465"/>
        <v>63351935</v>
      </c>
    </row>
    <row r="2489" ht="13.9" spans="1:14">
      <c r="A2489" s="42" t="s">
        <v>1617</v>
      </c>
      <c r="B2489" s="11">
        <v>9049477</v>
      </c>
      <c r="D2489" s="11">
        <v>24</v>
      </c>
      <c r="E2489">
        <f t="shared" si="461"/>
        <v>24</v>
      </c>
      <c r="H2489">
        <f t="shared" si="463"/>
        <v>24000000</v>
      </c>
      <c r="I2489">
        <f t="shared" si="464"/>
        <v>11520000</v>
      </c>
      <c r="K2489">
        <f t="shared" si="466"/>
        <v>46781343</v>
      </c>
      <c r="M2489">
        <f t="shared" si="462"/>
        <v>9049477</v>
      </c>
      <c r="N2489">
        <f t="shared" si="465"/>
        <v>55830820</v>
      </c>
    </row>
    <row r="2490" ht="13.9" spans="1:14">
      <c r="A2490" s="42" t="s">
        <v>1618</v>
      </c>
      <c r="B2490" s="11">
        <v>7645900</v>
      </c>
      <c r="D2490" s="11">
        <v>20</v>
      </c>
      <c r="E2490">
        <f t="shared" si="461"/>
        <v>20</v>
      </c>
      <c r="H2490">
        <f t="shared" si="463"/>
        <v>20000000</v>
      </c>
      <c r="I2490">
        <f t="shared" si="464"/>
        <v>9600000</v>
      </c>
      <c r="K2490">
        <f t="shared" si="466"/>
        <v>39135443</v>
      </c>
      <c r="M2490">
        <f t="shared" si="462"/>
        <v>7645900</v>
      </c>
      <c r="N2490">
        <f t="shared" si="465"/>
        <v>46781343</v>
      </c>
    </row>
    <row r="2491" ht="13.9" spans="1:14">
      <c r="A2491" s="42" t="s">
        <v>1619</v>
      </c>
      <c r="B2491" s="11">
        <v>8136720</v>
      </c>
      <c r="D2491" s="11">
        <v>16</v>
      </c>
      <c r="E2491">
        <f t="shared" si="461"/>
        <v>16</v>
      </c>
      <c r="H2491">
        <f t="shared" si="463"/>
        <v>16000000</v>
      </c>
      <c r="I2491">
        <f t="shared" si="464"/>
        <v>7680000</v>
      </c>
      <c r="K2491">
        <f t="shared" si="466"/>
        <v>30998723</v>
      </c>
      <c r="M2491">
        <f t="shared" si="462"/>
        <v>8136720</v>
      </c>
      <c r="N2491">
        <f t="shared" si="465"/>
        <v>39135443</v>
      </c>
    </row>
    <row r="2492" ht="13.85" spans="1:14">
      <c r="A2492" s="43">
        <v>41244</v>
      </c>
      <c r="B2492" s="11">
        <v>7097026</v>
      </c>
      <c r="D2492" s="11">
        <v>14</v>
      </c>
      <c r="E2492">
        <f t="shared" si="461"/>
        <v>14</v>
      </c>
      <c r="H2492">
        <f t="shared" si="463"/>
        <v>14000000</v>
      </c>
      <c r="I2492">
        <f t="shared" si="464"/>
        <v>6720000</v>
      </c>
      <c r="K2492">
        <f t="shared" si="466"/>
        <v>23901697</v>
      </c>
      <c r="M2492">
        <f t="shared" si="462"/>
        <v>7097026</v>
      </c>
      <c r="N2492">
        <f t="shared" si="465"/>
        <v>30998723</v>
      </c>
    </row>
    <row r="2493" ht="13.85" spans="1:14">
      <c r="A2493" s="43">
        <v>41122</v>
      </c>
      <c r="B2493" s="11">
        <v>7812322</v>
      </c>
      <c r="D2493" s="11">
        <v>12</v>
      </c>
      <c r="E2493">
        <f t="shared" si="461"/>
        <v>12</v>
      </c>
      <c r="H2493">
        <f t="shared" si="463"/>
        <v>12000000</v>
      </c>
      <c r="I2493">
        <f t="shared" si="464"/>
        <v>5760000</v>
      </c>
      <c r="K2493">
        <f t="shared" si="466"/>
        <v>16089375</v>
      </c>
      <c r="M2493">
        <f t="shared" si="462"/>
        <v>7812322</v>
      </c>
      <c r="N2493">
        <f t="shared" si="465"/>
        <v>23901697</v>
      </c>
    </row>
    <row r="2494" ht="13.85" spans="1:14">
      <c r="A2494" s="43">
        <v>41030</v>
      </c>
      <c r="B2494" s="11">
        <v>6881518</v>
      </c>
      <c r="D2494" s="11">
        <v>10</v>
      </c>
      <c r="E2494">
        <f t="shared" si="461"/>
        <v>10</v>
      </c>
      <c r="H2494">
        <f t="shared" si="463"/>
        <v>10000000</v>
      </c>
      <c r="I2494">
        <f t="shared" si="464"/>
        <v>4800000</v>
      </c>
      <c r="K2494">
        <f t="shared" si="466"/>
        <v>9207857</v>
      </c>
      <c r="M2494">
        <f t="shared" si="462"/>
        <v>6881518</v>
      </c>
      <c r="N2494">
        <f t="shared" si="465"/>
        <v>16089375</v>
      </c>
    </row>
    <row r="2495" ht="13.85" spans="1:14">
      <c r="A2495" s="43">
        <v>40909</v>
      </c>
      <c r="B2495" s="11">
        <v>9207857</v>
      </c>
      <c r="D2495" s="11">
        <v>29</v>
      </c>
      <c r="E2495">
        <f t="shared" si="461"/>
        <v>29</v>
      </c>
      <c r="H2495">
        <f t="shared" si="463"/>
        <v>29000000</v>
      </c>
      <c r="I2495">
        <f t="shared" si="464"/>
        <v>13920000</v>
      </c>
      <c r="K2495">
        <f t="shared" si="466"/>
        <v>59310207</v>
      </c>
      <c r="M2495">
        <f t="shared" si="462"/>
        <v>9207857</v>
      </c>
      <c r="N2495">
        <f t="shared" si="465"/>
        <v>68518064</v>
      </c>
    </row>
    <row r="2496" ht="13.9" spans="1:14">
      <c r="A2496" s="42" t="s">
        <v>1620</v>
      </c>
      <c r="B2496" s="11">
        <v>8002137</v>
      </c>
      <c r="D2496" s="11">
        <v>24</v>
      </c>
      <c r="E2496">
        <f t="shared" ref="E2496:E2559" si="467">IF(RIGHT(D2496,1)="B",VALUE(LEFT(D2496,LEN(D2496)-1))*1000,D2496)</f>
        <v>24</v>
      </c>
      <c r="H2496">
        <f t="shared" si="463"/>
        <v>24000000</v>
      </c>
      <c r="I2496">
        <f t="shared" si="464"/>
        <v>11520000</v>
      </c>
      <c r="K2496">
        <f t="shared" si="466"/>
        <v>51308070</v>
      </c>
      <c r="M2496">
        <f t="shared" si="462"/>
        <v>8002137</v>
      </c>
      <c r="N2496">
        <f t="shared" si="465"/>
        <v>59310207</v>
      </c>
    </row>
    <row r="2497" ht="13.9" spans="1:14">
      <c r="A2497" s="42" t="s">
        <v>1621</v>
      </c>
      <c r="B2497" s="11">
        <v>8205891</v>
      </c>
      <c r="D2497" s="11">
        <v>20</v>
      </c>
      <c r="E2497">
        <f t="shared" si="467"/>
        <v>20</v>
      </c>
      <c r="H2497">
        <f t="shared" si="463"/>
        <v>20000000</v>
      </c>
      <c r="I2497">
        <f t="shared" si="464"/>
        <v>9600000</v>
      </c>
      <c r="K2497">
        <f t="shared" si="466"/>
        <v>43102179</v>
      </c>
      <c r="M2497">
        <f t="shared" si="462"/>
        <v>8205891</v>
      </c>
      <c r="N2497">
        <f t="shared" si="465"/>
        <v>51308070</v>
      </c>
    </row>
    <row r="2498" ht="13.9" spans="1:14">
      <c r="A2498" s="42" t="s">
        <v>1622</v>
      </c>
      <c r="B2498" s="11">
        <v>7860000</v>
      </c>
      <c r="D2498" s="11">
        <v>16</v>
      </c>
      <c r="E2498">
        <f t="shared" si="467"/>
        <v>16</v>
      </c>
      <c r="H2498">
        <f t="shared" si="463"/>
        <v>16000000</v>
      </c>
      <c r="I2498">
        <f t="shared" si="464"/>
        <v>7680000</v>
      </c>
      <c r="K2498">
        <f t="shared" si="466"/>
        <v>35242179</v>
      </c>
      <c r="M2498">
        <f t="shared" si="462"/>
        <v>7860000</v>
      </c>
      <c r="N2498">
        <f t="shared" si="465"/>
        <v>43102179</v>
      </c>
    </row>
    <row r="2499" ht="13.9" spans="1:14">
      <c r="A2499" s="42" t="s">
        <v>1623</v>
      </c>
      <c r="B2499" s="11">
        <v>8293273</v>
      </c>
      <c r="D2499" s="11">
        <v>14</v>
      </c>
      <c r="E2499">
        <f t="shared" si="467"/>
        <v>14</v>
      </c>
      <c r="H2499">
        <f t="shared" si="463"/>
        <v>14000000</v>
      </c>
      <c r="I2499">
        <f t="shared" si="464"/>
        <v>6720000</v>
      </c>
      <c r="K2499">
        <f t="shared" si="466"/>
        <v>26948906</v>
      </c>
      <c r="M2499">
        <f t="shared" si="462"/>
        <v>8293273</v>
      </c>
      <c r="N2499">
        <f t="shared" si="465"/>
        <v>35242179</v>
      </c>
    </row>
    <row r="2500" ht="13.9" spans="1:14">
      <c r="A2500" s="42" t="s">
        <v>1624</v>
      </c>
      <c r="B2500" s="11">
        <v>7242866</v>
      </c>
      <c r="D2500" s="11">
        <v>12</v>
      </c>
      <c r="E2500">
        <f t="shared" si="467"/>
        <v>12</v>
      </c>
      <c r="H2500">
        <f t="shared" si="463"/>
        <v>12000000</v>
      </c>
      <c r="I2500">
        <f t="shared" si="464"/>
        <v>5760000</v>
      </c>
      <c r="K2500">
        <f t="shared" si="466"/>
        <v>19706040</v>
      </c>
      <c r="M2500">
        <f t="shared" si="462"/>
        <v>7242866</v>
      </c>
      <c r="N2500">
        <f t="shared" si="465"/>
        <v>26948906</v>
      </c>
    </row>
    <row r="2501" ht="13.85" spans="1:14">
      <c r="A2501" s="43">
        <v>40817</v>
      </c>
      <c r="B2501" s="11">
        <v>8398910</v>
      </c>
      <c r="D2501" s="11">
        <v>10</v>
      </c>
      <c r="E2501">
        <f t="shared" si="467"/>
        <v>10</v>
      </c>
      <c r="H2501">
        <f t="shared" si="463"/>
        <v>10000000</v>
      </c>
      <c r="I2501">
        <f t="shared" si="464"/>
        <v>4800000</v>
      </c>
      <c r="K2501">
        <f t="shared" si="466"/>
        <v>11307130</v>
      </c>
      <c r="M2501">
        <f t="shared" si="462"/>
        <v>8398910</v>
      </c>
      <c r="N2501">
        <f t="shared" si="465"/>
        <v>19706040</v>
      </c>
    </row>
    <row r="2502" ht="13.85" spans="1:14">
      <c r="A2502" s="43">
        <v>40725</v>
      </c>
      <c r="B2502" s="11">
        <v>11307130</v>
      </c>
      <c r="D2502" s="11">
        <v>55</v>
      </c>
      <c r="E2502">
        <f t="shared" si="467"/>
        <v>55</v>
      </c>
      <c r="H2502">
        <f t="shared" si="463"/>
        <v>55000000</v>
      </c>
      <c r="I2502">
        <f t="shared" si="464"/>
        <v>26400000</v>
      </c>
      <c r="K2502">
        <f t="shared" si="466"/>
        <v>110579303</v>
      </c>
      <c r="M2502">
        <f t="shared" ref="M2502:M2565" si="468">B2502+C2502</f>
        <v>11307130</v>
      </c>
      <c r="N2502">
        <f t="shared" si="465"/>
        <v>121886433</v>
      </c>
    </row>
    <row r="2503" ht="13.85" spans="1:14">
      <c r="A2503" s="43">
        <v>40603</v>
      </c>
      <c r="B2503" s="11">
        <v>11927436</v>
      </c>
      <c r="D2503" s="11">
        <v>50</v>
      </c>
      <c r="E2503">
        <f t="shared" si="467"/>
        <v>50</v>
      </c>
      <c r="H2503">
        <f t="shared" si="463"/>
        <v>50000000</v>
      </c>
      <c r="I2503">
        <f t="shared" si="464"/>
        <v>24000000</v>
      </c>
      <c r="K2503">
        <f t="shared" si="466"/>
        <v>98651867</v>
      </c>
      <c r="M2503">
        <f t="shared" si="468"/>
        <v>11927436</v>
      </c>
      <c r="N2503">
        <f t="shared" si="465"/>
        <v>110579303</v>
      </c>
    </row>
    <row r="2504" ht="13.9" spans="1:14">
      <c r="A2504" s="42" t="s">
        <v>1625</v>
      </c>
      <c r="B2504" s="11">
        <v>9647767</v>
      </c>
      <c r="D2504" s="11">
        <v>45</v>
      </c>
      <c r="E2504">
        <f t="shared" si="467"/>
        <v>45</v>
      </c>
      <c r="H2504">
        <f t="shared" si="463"/>
        <v>45000000</v>
      </c>
      <c r="I2504">
        <f t="shared" si="464"/>
        <v>21600000</v>
      </c>
      <c r="K2504">
        <f t="shared" si="466"/>
        <v>89004100</v>
      </c>
      <c r="M2504">
        <f t="shared" si="468"/>
        <v>9647767</v>
      </c>
      <c r="N2504">
        <f t="shared" si="465"/>
        <v>98651867</v>
      </c>
    </row>
    <row r="2505" ht="13.9" spans="1:14">
      <c r="A2505" s="42" t="s">
        <v>1626</v>
      </c>
      <c r="B2505" s="11">
        <v>10181856</v>
      </c>
      <c r="D2505" s="11">
        <v>40</v>
      </c>
      <c r="E2505">
        <f t="shared" si="467"/>
        <v>40</v>
      </c>
      <c r="H2505">
        <f t="shared" si="463"/>
        <v>40000000</v>
      </c>
      <c r="I2505">
        <f t="shared" si="464"/>
        <v>19200000</v>
      </c>
      <c r="K2505">
        <f t="shared" si="466"/>
        <v>78822244</v>
      </c>
      <c r="M2505">
        <f t="shared" si="468"/>
        <v>10181856</v>
      </c>
      <c r="N2505">
        <f t="shared" si="465"/>
        <v>89004100</v>
      </c>
    </row>
    <row r="2506" ht="13.9" spans="1:14">
      <c r="A2506" s="42" t="s">
        <v>1627</v>
      </c>
      <c r="B2506" s="11">
        <v>8762181</v>
      </c>
      <c r="D2506" s="11">
        <v>35</v>
      </c>
      <c r="E2506">
        <f t="shared" si="467"/>
        <v>35</v>
      </c>
      <c r="H2506">
        <f t="shared" si="463"/>
        <v>35000000</v>
      </c>
      <c r="I2506">
        <f t="shared" si="464"/>
        <v>16800000</v>
      </c>
      <c r="K2506">
        <f t="shared" si="466"/>
        <v>70060063</v>
      </c>
      <c r="M2506">
        <f t="shared" si="468"/>
        <v>8762181</v>
      </c>
      <c r="N2506">
        <f t="shared" si="465"/>
        <v>78822244</v>
      </c>
    </row>
    <row r="2507" ht="13.9" spans="1:14">
      <c r="A2507" s="42" t="s">
        <v>1628</v>
      </c>
      <c r="B2507" s="11">
        <v>9507534</v>
      </c>
      <c r="D2507" s="11">
        <v>30</v>
      </c>
      <c r="E2507">
        <f t="shared" si="467"/>
        <v>30</v>
      </c>
      <c r="H2507">
        <f t="shared" si="463"/>
        <v>30000000</v>
      </c>
      <c r="I2507">
        <f t="shared" si="464"/>
        <v>14400000</v>
      </c>
      <c r="K2507">
        <f t="shared" si="466"/>
        <v>60552529</v>
      </c>
      <c r="M2507">
        <f t="shared" si="468"/>
        <v>9507534</v>
      </c>
      <c r="N2507">
        <f t="shared" si="465"/>
        <v>70060063</v>
      </c>
    </row>
    <row r="2508" ht="13.9" spans="1:14">
      <c r="A2508" s="42" t="s">
        <v>1629</v>
      </c>
      <c r="B2508" s="11">
        <v>8191678</v>
      </c>
      <c r="D2508" s="11">
        <v>25</v>
      </c>
      <c r="E2508">
        <f t="shared" si="467"/>
        <v>25</v>
      </c>
      <c r="H2508">
        <f t="shared" si="463"/>
        <v>25000000</v>
      </c>
      <c r="I2508">
        <f t="shared" si="464"/>
        <v>12000000</v>
      </c>
      <c r="K2508">
        <f t="shared" si="466"/>
        <v>52360851</v>
      </c>
      <c r="M2508">
        <f t="shared" si="468"/>
        <v>8191678</v>
      </c>
      <c r="N2508">
        <f t="shared" si="465"/>
        <v>60552529</v>
      </c>
    </row>
    <row r="2509" ht="13.9" spans="1:14">
      <c r="A2509" s="42" t="s">
        <v>1630</v>
      </c>
      <c r="B2509" s="11">
        <v>8962689</v>
      </c>
      <c r="D2509" s="11">
        <v>21</v>
      </c>
      <c r="E2509">
        <f t="shared" si="467"/>
        <v>21</v>
      </c>
      <c r="H2509">
        <f t="shared" si="463"/>
        <v>21000000</v>
      </c>
      <c r="I2509">
        <f t="shared" si="464"/>
        <v>10080000</v>
      </c>
      <c r="K2509">
        <f t="shared" si="466"/>
        <v>43398162</v>
      </c>
      <c r="M2509">
        <f t="shared" si="468"/>
        <v>8962689</v>
      </c>
      <c r="N2509">
        <f t="shared" si="465"/>
        <v>52360851</v>
      </c>
    </row>
    <row r="2510" ht="13.85" spans="1:14">
      <c r="A2510" s="43">
        <v>40452</v>
      </c>
      <c r="B2510" s="11">
        <v>7730059</v>
      </c>
      <c r="D2510" s="11">
        <v>16</v>
      </c>
      <c r="E2510">
        <f t="shared" si="467"/>
        <v>16</v>
      </c>
      <c r="H2510">
        <f t="shared" si="463"/>
        <v>16000000</v>
      </c>
      <c r="I2510">
        <f t="shared" si="464"/>
        <v>7680000</v>
      </c>
      <c r="K2510">
        <f t="shared" si="466"/>
        <v>35668103</v>
      </c>
      <c r="M2510">
        <f t="shared" si="468"/>
        <v>7730059</v>
      </c>
      <c r="N2510">
        <f t="shared" si="465"/>
        <v>43398162</v>
      </c>
    </row>
    <row r="2511" ht="13.85" spans="1:14">
      <c r="A2511" s="43">
        <v>40330</v>
      </c>
      <c r="B2511" s="11">
        <v>8635605</v>
      </c>
      <c r="D2511" s="11">
        <v>14</v>
      </c>
      <c r="E2511">
        <f t="shared" si="467"/>
        <v>14</v>
      </c>
      <c r="H2511">
        <f t="shared" ref="H2511:H2574" si="469">E2511*1000000</f>
        <v>14000000</v>
      </c>
      <c r="I2511">
        <f t="shared" si="464"/>
        <v>6720000</v>
      </c>
      <c r="K2511">
        <f t="shared" si="466"/>
        <v>27032498</v>
      </c>
      <c r="M2511">
        <f t="shared" si="468"/>
        <v>8635605</v>
      </c>
      <c r="N2511">
        <f t="shared" si="465"/>
        <v>35668103</v>
      </c>
    </row>
    <row r="2512" ht="13.85" spans="1:14">
      <c r="A2512" s="43">
        <v>40238</v>
      </c>
      <c r="B2512" s="11">
        <v>7700373</v>
      </c>
      <c r="D2512" s="11">
        <v>12</v>
      </c>
      <c r="E2512">
        <f t="shared" si="467"/>
        <v>12</v>
      </c>
      <c r="H2512">
        <f t="shared" si="469"/>
        <v>12000000</v>
      </c>
      <c r="I2512">
        <f t="shared" si="464"/>
        <v>5760000</v>
      </c>
      <c r="K2512">
        <f t="shared" si="466"/>
        <v>19332125</v>
      </c>
      <c r="M2512">
        <f t="shared" si="468"/>
        <v>7700373</v>
      </c>
      <c r="N2512">
        <f t="shared" si="465"/>
        <v>27032498</v>
      </c>
    </row>
    <row r="2513" ht="13.9" spans="1:14">
      <c r="A2513" s="42" t="s">
        <v>1631</v>
      </c>
      <c r="B2513" s="11">
        <v>8768966</v>
      </c>
      <c r="D2513" s="11">
        <v>10</v>
      </c>
      <c r="E2513">
        <f t="shared" si="467"/>
        <v>10</v>
      </c>
      <c r="H2513">
        <f t="shared" si="469"/>
        <v>10000000</v>
      </c>
      <c r="I2513">
        <f t="shared" si="464"/>
        <v>4800000</v>
      </c>
      <c r="K2513">
        <f t="shared" si="466"/>
        <v>10563159</v>
      </c>
      <c r="M2513">
        <f t="shared" si="468"/>
        <v>8768966</v>
      </c>
      <c r="N2513">
        <f t="shared" si="465"/>
        <v>19332125</v>
      </c>
    </row>
    <row r="2514" ht="13.9" spans="1:14">
      <c r="A2514" s="42" t="s">
        <v>1632</v>
      </c>
      <c r="B2514" s="11">
        <v>10563159</v>
      </c>
      <c r="D2514" s="11">
        <v>48</v>
      </c>
      <c r="E2514">
        <f t="shared" si="467"/>
        <v>48</v>
      </c>
      <c r="H2514">
        <f t="shared" si="469"/>
        <v>48000000</v>
      </c>
      <c r="I2514">
        <f t="shared" si="464"/>
        <v>23040000</v>
      </c>
      <c r="K2514">
        <f t="shared" si="466"/>
        <v>286870698</v>
      </c>
      <c r="M2514">
        <f t="shared" si="468"/>
        <v>10563159</v>
      </c>
      <c r="N2514">
        <f t="shared" si="465"/>
        <v>297433857</v>
      </c>
    </row>
    <row r="2515" ht="13.9" spans="1:14">
      <c r="A2515" s="42" t="s">
        <v>1633</v>
      </c>
      <c r="B2515" s="11">
        <v>11299082</v>
      </c>
      <c r="D2515" s="11">
        <v>43</v>
      </c>
      <c r="E2515">
        <f t="shared" si="467"/>
        <v>43</v>
      </c>
      <c r="H2515">
        <f t="shared" si="469"/>
        <v>43000000</v>
      </c>
      <c r="I2515">
        <f t="shared" si="464"/>
        <v>20640000</v>
      </c>
      <c r="K2515">
        <f t="shared" si="466"/>
        <v>275571616</v>
      </c>
      <c r="M2515">
        <f t="shared" si="468"/>
        <v>11299082</v>
      </c>
      <c r="N2515">
        <f t="shared" si="465"/>
        <v>286870698</v>
      </c>
    </row>
    <row r="2516" ht="13.9" spans="1:14">
      <c r="A2516" s="42" t="s">
        <v>1634</v>
      </c>
      <c r="B2516" s="11">
        <v>9695191</v>
      </c>
      <c r="D2516" s="11">
        <v>36</v>
      </c>
      <c r="E2516">
        <f t="shared" si="467"/>
        <v>36</v>
      </c>
      <c r="H2516">
        <f t="shared" si="469"/>
        <v>36000000</v>
      </c>
      <c r="I2516">
        <f t="shared" si="464"/>
        <v>17280000</v>
      </c>
      <c r="K2516">
        <f t="shared" si="466"/>
        <v>265876425</v>
      </c>
      <c r="M2516">
        <f t="shared" si="468"/>
        <v>9695191</v>
      </c>
      <c r="N2516">
        <f t="shared" si="465"/>
        <v>275571616</v>
      </c>
    </row>
    <row r="2517" ht="13.9" spans="1:14">
      <c r="A2517" s="42" t="s">
        <v>1635</v>
      </c>
      <c r="B2517" s="11">
        <v>10280328</v>
      </c>
      <c r="D2517" s="11">
        <v>31</v>
      </c>
      <c r="E2517">
        <f t="shared" si="467"/>
        <v>31</v>
      </c>
      <c r="H2517">
        <f t="shared" si="469"/>
        <v>31000000</v>
      </c>
      <c r="I2517">
        <f t="shared" si="464"/>
        <v>14880000</v>
      </c>
      <c r="K2517">
        <f t="shared" si="466"/>
        <v>255596097</v>
      </c>
      <c r="M2517">
        <f t="shared" si="468"/>
        <v>10280328</v>
      </c>
      <c r="N2517">
        <f t="shared" si="465"/>
        <v>265876425</v>
      </c>
    </row>
    <row r="2518" ht="13.85" spans="1:14">
      <c r="A2518" s="43">
        <v>40148</v>
      </c>
      <c r="B2518" s="11">
        <v>8913768</v>
      </c>
      <c r="D2518" s="11">
        <v>27</v>
      </c>
      <c r="E2518">
        <f t="shared" si="467"/>
        <v>27</v>
      </c>
      <c r="H2518">
        <f t="shared" si="469"/>
        <v>27000000</v>
      </c>
      <c r="I2518">
        <f t="shared" si="464"/>
        <v>12960000</v>
      </c>
      <c r="K2518">
        <f t="shared" si="466"/>
        <v>246682329</v>
      </c>
      <c r="M2518">
        <f t="shared" si="468"/>
        <v>8913768</v>
      </c>
      <c r="N2518">
        <f t="shared" si="465"/>
        <v>255596097</v>
      </c>
    </row>
    <row r="2519" ht="13.85" spans="1:14">
      <c r="A2519" s="43">
        <v>40026</v>
      </c>
      <c r="B2519" s="11">
        <v>10908295</v>
      </c>
      <c r="D2519" s="11">
        <v>22</v>
      </c>
      <c r="E2519">
        <f t="shared" si="467"/>
        <v>22</v>
      </c>
      <c r="H2519">
        <f t="shared" si="469"/>
        <v>22000000</v>
      </c>
      <c r="I2519">
        <f t="shared" si="464"/>
        <v>10560000</v>
      </c>
      <c r="K2519">
        <f t="shared" si="466"/>
        <v>235774034</v>
      </c>
      <c r="M2519">
        <f t="shared" si="468"/>
        <v>10908295</v>
      </c>
      <c r="N2519">
        <f t="shared" si="465"/>
        <v>246682329</v>
      </c>
    </row>
    <row r="2520" ht="13.85" spans="1:14">
      <c r="A2520" s="43">
        <v>39934</v>
      </c>
      <c r="B2520" s="11">
        <v>9256235</v>
      </c>
      <c r="D2520" s="11">
        <v>16</v>
      </c>
      <c r="E2520">
        <f t="shared" si="467"/>
        <v>16</v>
      </c>
      <c r="H2520">
        <f t="shared" si="469"/>
        <v>16000000</v>
      </c>
      <c r="I2520">
        <f t="shared" si="464"/>
        <v>7680000</v>
      </c>
      <c r="K2520">
        <f t="shared" si="466"/>
        <v>226517799</v>
      </c>
      <c r="M2520">
        <f t="shared" si="468"/>
        <v>9256235</v>
      </c>
      <c r="N2520">
        <f t="shared" si="465"/>
        <v>235774034</v>
      </c>
    </row>
    <row r="2521" ht="13.85" spans="1:14">
      <c r="A2521" s="43">
        <v>39814</v>
      </c>
      <c r="B2521" s="11">
        <v>11038937</v>
      </c>
      <c r="D2521" s="11">
        <v>12</v>
      </c>
      <c r="E2521">
        <f t="shared" si="467"/>
        <v>12</v>
      </c>
      <c r="H2521">
        <f t="shared" si="469"/>
        <v>12000000</v>
      </c>
      <c r="I2521">
        <f t="shared" si="464"/>
        <v>5760000</v>
      </c>
      <c r="K2521">
        <f t="shared" si="466"/>
        <v>215478862</v>
      </c>
      <c r="M2521">
        <f t="shared" si="468"/>
        <v>11038937</v>
      </c>
      <c r="N2521">
        <f t="shared" si="465"/>
        <v>226517799</v>
      </c>
    </row>
    <row r="2522" ht="13.9" spans="1:14">
      <c r="A2522" s="42" t="s">
        <v>1636</v>
      </c>
      <c r="B2522" s="11">
        <v>11609972</v>
      </c>
      <c r="D2522" s="11">
        <v>10</v>
      </c>
      <c r="E2522">
        <f t="shared" si="467"/>
        <v>10</v>
      </c>
      <c r="H2522">
        <f t="shared" si="469"/>
        <v>10000000</v>
      </c>
      <c r="I2522">
        <f t="shared" si="464"/>
        <v>4800000</v>
      </c>
      <c r="K2522">
        <f t="shared" si="466"/>
        <v>203868890</v>
      </c>
      <c r="M2522">
        <f t="shared" si="468"/>
        <v>11609972</v>
      </c>
      <c r="N2522">
        <f t="shared" si="465"/>
        <v>215478862</v>
      </c>
    </row>
    <row r="2523" ht="13.9" spans="1:14">
      <c r="A2523" s="42" t="s">
        <v>1637</v>
      </c>
      <c r="B2523" s="11">
        <v>203868890</v>
      </c>
      <c r="D2523" s="11">
        <v>280</v>
      </c>
      <c r="E2523">
        <f t="shared" si="467"/>
        <v>280</v>
      </c>
      <c r="H2523">
        <f t="shared" si="469"/>
        <v>280000000</v>
      </c>
      <c r="I2523">
        <f t="shared" si="464"/>
        <v>134400000</v>
      </c>
      <c r="K2523">
        <f t="shared" si="466"/>
        <v>371969635</v>
      </c>
      <c r="M2523">
        <f t="shared" si="468"/>
        <v>203868890</v>
      </c>
      <c r="N2523">
        <f t="shared" si="465"/>
        <v>575838525</v>
      </c>
    </row>
    <row r="2524" ht="13.9" spans="1:14">
      <c r="A2524" s="42" t="s">
        <v>1638</v>
      </c>
      <c r="B2524" s="11">
        <v>117448757</v>
      </c>
      <c r="D2524" s="11">
        <v>200</v>
      </c>
      <c r="E2524">
        <f t="shared" si="467"/>
        <v>200</v>
      </c>
      <c r="H2524">
        <f t="shared" si="469"/>
        <v>200000000</v>
      </c>
      <c r="I2524">
        <f t="shared" si="464"/>
        <v>96000000</v>
      </c>
      <c r="K2524">
        <f t="shared" si="466"/>
        <v>254520878</v>
      </c>
      <c r="M2524">
        <f t="shared" si="468"/>
        <v>117448757</v>
      </c>
      <c r="N2524">
        <f t="shared" si="465"/>
        <v>371969635</v>
      </c>
    </row>
    <row r="2525" ht="13.9" spans="1:14">
      <c r="A2525" s="42" t="s">
        <v>1639</v>
      </c>
      <c r="B2525" s="11">
        <v>50139368</v>
      </c>
      <c r="D2525" s="11">
        <v>128</v>
      </c>
      <c r="E2525">
        <f t="shared" si="467"/>
        <v>128</v>
      </c>
      <c r="H2525">
        <f t="shared" si="469"/>
        <v>128000000</v>
      </c>
      <c r="I2525">
        <f t="shared" si="464"/>
        <v>61440000</v>
      </c>
      <c r="K2525">
        <f t="shared" si="466"/>
        <v>204381510</v>
      </c>
      <c r="M2525">
        <f t="shared" si="468"/>
        <v>50139368</v>
      </c>
      <c r="N2525">
        <f t="shared" si="465"/>
        <v>254520878</v>
      </c>
    </row>
    <row r="2526" ht="13.9" spans="1:14">
      <c r="A2526" s="42" t="s">
        <v>1640</v>
      </c>
      <c r="B2526" s="11">
        <v>33890370</v>
      </c>
      <c r="D2526" s="11">
        <v>100</v>
      </c>
      <c r="E2526">
        <f t="shared" si="467"/>
        <v>100</v>
      </c>
      <c r="H2526">
        <f t="shared" si="469"/>
        <v>100000000</v>
      </c>
      <c r="I2526">
        <f t="shared" ref="I2526:I2589" si="470">H2526*0.48</f>
        <v>48000000</v>
      </c>
      <c r="K2526">
        <f t="shared" si="466"/>
        <v>170491140</v>
      </c>
      <c r="M2526">
        <f t="shared" si="468"/>
        <v>33890370</v>
      </c>
      <c r="N2526">
        <f t="shared" si="465"/>
        <v>204381510</v>
      </c>
    </row>
    <row r="2527" ht="13.85" spans="1:14">
      <c r="A2527" s="43">
        <v>39753</v>
      </c>
      <c r="B2527" s="11">
        <v>20096990</v>
      </c>
      <c r="D2527" s="11">
        <v>86</v>
      </c>
      <c r="E2527">
        <f t="shared" si="467"/>
        <v>86</v>
      </c>
      <c r="H2527">
        <f t="shared" si="469"/>
        <v>86000000</v>
      </c>
      <c r="I2527">
        <f t="shared" si="470"/>
        <v>41280000</v>
      </c>
      <c r="K2527">
        <f t="shared" si="466"/>
        <v>150394150</v>
      </c>
      <c r="M2527">
        <f t="shared" si="468"/>
        <v>20096990</v>
      </c>
      <c r="N2527">
        <f t="shared" ref="N2527:N2590" si="471">IF(H2527&lt;H2528,M2527+M2528,M2527+N2528)</f>
        <v>170491140</v>
      </c>
    </row>
    <row r="2528" ht="13.85" spans="1:14">
      <c r="A2528" s="43">
        <v>39661</v>
      </c>
      <c r="B2528" s="11">
        <v>16726966</v>
      </c>
      <c r="D2528" s="11">
        <v>75</v>
      </c>
      <c r="E2528">
        <f t="shared" si="467"/>
        <v>75</v>
      </c>
      <c r="H2528">
        <f t="shared" si="469"/>
        <v>75000000</v>
      </c>
      <c r="I2528">
        <f t="shared" si="470"/>
        <v>36000000</v>
      </c>
      <c r="K2528">
        <f t="shared" si="466"/>
        <v>133667184</v>
      </c>
      <c r="M2528">
        <f t="shared" si="468"/>
        <v>16726966</v>
      </c>
      <c r="N2528">
        <f t="shared" si="471"/>
        <v>150394150</v>
      </c>
    </row>
    <row r="2529" ht="13.85" spans="1:14">
      <c r="A2529" s="43">
        <v>39539</v>
      </c>
      <c r="B2529" s="11">
        <v>15365257</v>
      </c>
      <c r="D2529" s="11">
        <v>67</v>
      </c>
      <c r="E2529">
        <f t="shared" si="467"/>
        <v>67</v>
      </c>
      <c r="H2529">
        <f t="shared" si="469"/>
        <v>67000000</v>
      </c>
      <c r="I2529">
        <f t="shared" si="470"/>
        <v>32160000</v>
      </c>
      <c r="K2529">
        <f t="shared" si="466"/>
        <v>118301927</v>
      </c>
      <c r="M2529">
        <f t="shared" si="468"/>
        <v>15365257</v>
      </c>
      <c r="N2529">
        <f t="shared" si="471"/>
        <v>133667184</v>
      </c>
    </row>
    <row r="2530" ht="13.85" spans="1:14">
      <c r="A2530" s="43">
        <v>39448</v>
      </c>
      <c r="B2530" s="11">
        <v>11632349</v>
      </c>
      <c r="D2530" s="11">
        <v>59</v>
      </c>
      <c r="E2530">
        <f t="shared" si="467"/>
        <v>59</v>
      </c>
      <c r="H2530">
        <f t="shared" si="469"/>
        <v>59000000</v>
      </c>
      <c r="I2530">
        <f t="shared" si="470"/>
        <v>28320000</v>
      </c>
      <c r="K2530">
        <f t="shared" si="466"/>
        <v>106669578</v>
      </c>
      <c r="M2530">
        <f t="shared" si="468"/>
        <v>11632349</v>
      </c>
      <c r="N2530">
        <f t="shared" si="471"/>
        <v>118301927</v>
      </c>
    </row>
    <row r="2531" ht="13.9" spans="1:14">
      <c r="A2531" s="42" t="s">
        <v>1641</v>
      </c>
      <c r="B2531" s="11">
        <v>11627802</v>
      </c>
      <c r="D2531" s="11">
        <v>52</v>
      </c>
      <c r="E2531">
        <f t="shared" si="467"/>
        <v>52</v>
      </c>
      <c r="H2531">
        <f t="shared" si="469"/>
        <v>52000000</v>
      </c>
      <c r="I2531">
        <f t="shared" si="470"/>
        <v>24960000</v>
      </c>
      <c r="K2531">
        <f t="shared" si="466"/>
        <v>95041776</v>
      </c>
      <c r="M2531">
        <f t="shared" si="468"/>
        <v>11627802</v>
      </c>
      <c r="N2531">
        <f t="shared" si="471"/>
        <v>106669578</v>
      </c>
    </row>
    <row r="2532" ht="13.9" spans="1:14">
      <c r="A2532" s="42" t="s">
        <v>1642</v>
      </c>
      <c r="B2532" s="11">
        <v>9600929</v>
      </c>
      <c r="D2532" s="11">
        <v>46</v>
      </c>
      <c r="E2532">
        <f t="shared" si="467"/>
        <v>46</v>
      </c>
      <c r="H2532">
        <f t="shared" si="469"/>
        <v>46000000</v>
      </c>
      <c r="I2532">
        <f t="shared" si="470"/>
        <v>22080000</v>
      </c>
      <c r="K2532">
        <f t="shared" si="466"/>
        <v>85440847</v>
      </c>
      <c r="M2532">
        <f t="shared" si="468"/>
        <v>9600929</v>
      </c>
      <c r="N2532">
        <f t="shared" si="471"/>
        <v>95041776</v>
      </c>
    </row>
    <row r="2533" ht="13.9" spans="1:14">
      <c r="A2533" s="42" t="s">
        <v>1643</v>
      </c>
      <c r="B2533" s="11">
        <v>9878908</v>
      </c>
      <c r="D2533" s="11">
        <v>41</v>
      </c>
      <c r="E2533">
        <f t="shared" si="467"/>
        <v>41</v>
      </c>
      <c r="H2533">
        <f t="shared" si="469"/>
        <v>41000000</v>
      </c>
      <c r="I2533">
        <f t="shared" si="470"/>
        <v>19680000</v>
      </c>
      <c r="K2533">
        <f t="shared" si="466"/>
        <v>75561939</v>
      </c>
      <c r="M2533">
        <f t="shared" si="468"/>
        <v>9878908</v>
      </c>
      <c r="N2533">
        <f t="shared" si="471"/>
        <v>85440847</v>
      </c>
    </row>
    <row r="2534" ht="13.9" spans="1:14">
      <c r="A2534" s="42" t="s">
        <v>1644</v>
      </c>
      <c r="B2534" s="11">
        <v>8379525</v>
      </c>
      <c r="D2534" s="11">
        <v>36</v>
      </c>
      <c r="E2534">
        <f t="shared" si="467"/>
        <v>36</v>
      </c>
      <c r="H2534">
        <f t="shared" si="469"/>
        <v>36000000</v>
      </c>
      <c r="I2534">
        <f t="shared" si="470"/>
        <v>17280000</v>
      </c>
      <c r="K2534">
        <f t="shared" si="466"/>
        <v>67182414</v>
      </c>
      <c r="M2534">
        <f t="shared" si="468"/>
        <v>8379525</v>
      </c>
      <c r="N2534">
        <f t="shared" si="471"/>
        <v>75561939</v>
      </c>
    </row>
    <row r="2535" ht="13.9" spans="1:14">
      <c r="A2535" s="42" t="s">
        <v>1645</v>
      </c>
      <c r="B2535" s="11">
        <v>8968690</v>
      </c>
      <c r="D2535" s="11">
        <v>31</v>
      </c>
      <c r="E2535">
        <f t="shared" si="467"/>
        <v>31</v>
      </c>
      <c r="H2535">
        <f t="shared" si="469"/>
        <v>31000000</v>
      </c>
      <c r="I2535">
        <f t="shared" si="470"/>
        <v>14880000</v>
      </c>
      <c r="K2535">
        <f t="shared" si="466"/>
        <v>58213724</v>
      </c>
      <c r="M2535">
        <f t="shared" si="468"/>
        <v>8968690</v>
      </c>
      <c r="N2535">
        <f t="shared" si="471"/>
        <v>67182414</v>
      </c>
    </row>
    <row r="2536" ht="13.85" spans="1:14">
      <c r="A2536" s="43">
        <v>39387</v>
      </c>
      <c r="B2536" s="11">
        <v>7591363</v>
      </c>
      <c r="D2536" s="11">
        <v>27</v>
      </c>
      <c r="E2536">
        <f t="shared" si="467"/>
        <v>27</v>
      </c>
      <c r="H2536">
        <f t="shared" si="469"/>
        <v>27000000</v>
      </c>
      <c r="I2536">
        <f t="shared" si="470"/>
        <v>12960000</v>
      </c>
      <c r="K2536">
        <f t="shared" si="466"/>
        <v>50622361</v>
      </c>
      <c r="M2536">
        <f t="shared" si="468"/>
        <v>7591363</v>
      </c>
      <c r="N2536">
        <f t="shared" si="471"/>
        <v>58213724</v>
      </c>
    </row>
    <row r="2537" ht="13.85" spans="1:14">
      <c r="A2537" s="43">
        <v>39264</v>
      </c>
      <c r="B2537" s="11">
        <v>8102034</v>
      </c>
      <c r="D2537" s="11">
        <v>23</v>
      </c>
      <c r="E2537">
        <f t="shared" si="467"/>
        <v>23</v>
      </c>
      <c r="H2537">
        <f t="shared" si="469"/>
        <v>23000000</v>
      </c>
      <c r="I2537">
        <f t="shared" si="470"/>
        <v>11040000</v>
      </c>
      <c r="K2537">
        <f t="shared" si="466"/>
        <v>42520327</v>
      </c>
      <c r="M2537">
        <f t="shared" si="468"/>
        <v>8102034</v>
      </c>
      <c r="N2537">
        <f t="shared" si="471"/>
        <v>50622361</v>
      </c>
    </row>
    <row r="2538" ht="13.85" spans="1:14">
      <c r="A2538" s="43">
        <v>39173</v>
      </c>
      <c r="B2538" s="11">
        <v>6704001</v>
      </c>
      <c r="D2538" s="11">
        <v>18</v>
      </c>
      <c r="E2538">
        <f t="shared" si="467"/>
        <v>18</v>
      </c>
      <c r="H2538">
        <f t="shared" si="469"/>
        <v>18000000</v>
      </c>
      <c r="I2538">
        <f t="shared" si="470"/>
        <v>8640000</v>
      </c>
      <c r="K2538">
        <f t="shared" ref="K2538:K2601" si="472">IF(E2538&gt;E2539,B2539+K2539,B2539)</f>
        <v>35816326</v>
      </c>
      <c r="M2538">
        <f t="shared" si="468"/>
        <v>6704001</v>
      </c>
      <c r="N2538">
        <f t="shared" si="471"/>
        <v>42520327</v>
      </c>
    </row>
    <row r="2539" ht="13.9" spans="1:14">
      <c r="A2539" s="42" t="s">
        <v>1646</v>
      </c>
      <c r="B2539" s="11">
        <v>7652840</v>
      </c>
      <c r="D2539" s="11">
        <v>16</v>
      </c>
      <c r="E2539">
        <f t="shared" si="467"/>
        <v>16</v>
      </c>
      <c r="H2539">
        <f t="shared" si="469"/>
        <v>16000000</v>
      </c>
      <c r="I2539">
        <f t="shared" si="470"/>
        <v>7680000</v>
      </c>
      <c r="K2539">
        <f t="shared" si="472"/>
        <v>28163486</v>
      </c>
      <c r="M2539">
        <f t="shared" si="468"/>
        <v>7652840</v>
      </c>
      <c r="N2539">
        <f t="shared" si="471"/>
        <v>35816326</v>
      </c>
    </row>
    <row r="2540" ht="13.9" spans="1:14">
      <c r="A2540" s="42" t="s">
        <v>1647</v>
      </c>
      <c r="B2540" s="11">
        <v>6589883</v>
      </c>
      <c r="D2540" s="11">
        <v>14</v>
      </c>
      <c r="E2540">
        <f t="shared" si="467"/>
        <v>14</v>
      </c>
      <c r="H2540">
        <f t="shared" si="469"/>
        <v>14000000</v>
      </c>
      <c r="I2540">
        <f t="shared" si="470"/>
        <v>6720000</v>
      </c>
      <c r="K2540">
        <f t="shared" si="472"/>
        <v>21573603</v>
      </c>
      <c r="M2540">
        <f t="shared" si="468"/>
        <v>6589883</v>
      </c>
      <c r="N2540">
        <f t="shared" si="471"/>
        <v>28163486</v>
      </c>
    </row>
    <row r="2541" ht="13.9" spans="1:14">
      <c r="A2541" s="42" t="s">
        <v>1648</v>
      </c>
      <c r="B2541" s="11">
        <v>7328072</v>
      </c>
      <c r="D2541" s="11">
        <v>12</v>
      </c>
      <c r="E2541">
        <f t="shared" si="467"/>
        <v>12</v>
      </c>
      <c r="H2541">
        <f t="shared" si="469"/>
        <v>12000000</v>
      </c>
      <c r="I2541">
        <f t="shared" si="470"/>
        <v>5760000</v>
      </c>
      <c r="K2541">
        <f t="shared" si="472"/>
        <v>14245531</v>
      </c>
      <c r="M2541">
        <f t="shared" si="468"/>
        <v>7328072</v>
      </c>
      <c r="N2541">
        <f t="shared" si="471"/>
        <v>21573603</v>
      </c>
    </row>
    <row r="2542" ht="13.9" spans="1:14">
      <c r="A2542" s="42" t="s">
        <v>1649</v>
      </c>
      <c r="B2542" s="11">
        <v>6339419</v>
      </c>
      <c r="D2542" s="11">
        <v>10</v>
      </c>
      <c r="E2542">
        <f t="shared" si="467"/>
        <v>10</v>
      </c>
      <c r="H2542">
        <f t="shared" si="469"/>
        <v>10000000</v>
      </c>
      <c r="I2542">
        <f t="shared" si="470"/>
        <v>4800000</v>
      </c>
      <c r="K2542">
        <f t="shared" si="472"/>
        <v>7906112</v>
      </c>
      <c r="M2542">
        <f t="shared" si="468"/>
        <v>6339419</v>
      </c>
      <c r="N2542">
        <f t="shared" si="471"/>
        <v>14245531</v>
      </c>
    </row>
    <row r="2543" ht="13.9" spans="1:14">
      <c r="A2543" s="42" t="s">
        <v>1650</v>
      </c>
      <c r="B2543" s="11">
        <v>7906112</v>
      </c>
      <c r="D2543" s="11">
        <v>20</v>
      </c>
      <c r="E2543">
        <f t="shared" si="467"/>
        <v>20</v>
      </c>
      <c r="H2543">
        <f t="shared" si="469"/>
        <v>20000000</v>
      </c>
      <c r="I2543">
        <f t="shared" si="470"/>
        <v>9600000</v>
      </c>
      <c r="K2543">
        <f t="shared" si="472"/>
        <v>40091970</v>
      </c>
      <c r="M2543">
        <f t="shared" si="468"/>
        <v>7906112</v>
      </c>
      <c r="N2543">
        <f t="shared" si="471"/>
        <v>47998082</v>
      </c>
    </row>
    <row r="2544" ht="13.9" spans="1:14">
      <c r="A2544" s="42" t="s">
        <v>1651</v>
      </c>
      <c r="B2544" s="11">
        <v>6822330</v>
      </c>
      <c r="D2544" s="11">
        <v>16</v>
      </c>
      <c r="E2544">
        <f t="shared" si="467"/>
        <v>16</v>
      </c>
      <c r="H2544">
        <f t="shared" si="469"/>
        <v>16000000</v>
      </c>
      <c r="I2544">
        <f t="shared" si="470"/>
        <v>7680000</v>
      </c>
      <c r="K2544">
        <f t="shared" si="472"/>
        <v>33269640</v>
      </c>
      <c r="M2544">
        <f t="shared" si="468"/>
        <v>6822330</v>
      </c>
      <c r="N2544">
        <f t="shared" si="471"/>
        <v>40091970</v>
      </c>
    </row>
    <row r="2545" ht="13.85" spans="1:14">
      <c r="A2545" s="43">
        <v>38961</v>
      </c>
      <c r="B2545" s="11">
        <v>7520434</v>
      </c>
      <c r="D2545" s="11">
        <v>14</v>
      </c>
      <c r="E2545">
        <f t="shared" si="467"/>
        <v>14</v>
      </c>
      <c r="H2545">
        <f t="shared" si="469"/>
        <v>14000000</v>
      </c>
      <c r="I2545">
        <f t="shared" si="470"/>
        <v>6720000</v>
      </c>
      <c r="K2545">
        <f t="shared" si="472"/>
        <v>25749206</v>
      </c>
      <c r="M2545">
        <f t="shared" si="468"/>
        <v>7520434</v>
      </c>
      <c r="N2545">
        <f t="shared" si="471"/>
        <v>33269640</v>
      </c>
    </row>
    <row r="2546" ht="13.85" spans="1:14">
      <c r="A2546" s="43">
        <v>38869</v>
      </c>
      <c r="B2546" s="11">
        <v>6688909</v>
      </c>
      <c r="D2546" s="11">
        <v>12</v>
      </c>
      <c r="E2546">
        <f t="shared" si="467"/>
        <v>12</v>
      </c>
      <c r="H2546">
        <f t="shared" si="469"/>
        <v>12000000</v>
      </c>
      <c r="I2546">
        <f t="shared" si="470"/>
        <v>5760000</v>
      </c>
      <c r="K2546">
        <f t="shared" si="472"/>
        <v>19060297</v>
      </c>
      <c r="M2546">
        <f t="shared" si="468"/>
        <v>6688909</v>
      </c>
      <c r="N2546">
        <f t="shared" si="471"/>
        <v>25749206</v>
      </c>
    </row>
    <row r="2547" ht="13.85" spans="1:14">
      <c r="A2547" s="43">
        <v>38749</v>
      </c>
      <c r="B2547" s="11">
        <v>7819018</v>
      </c>
      <c r="D2547" s="11">
        <v>10</v>
      </c>
      <c r="E2547">
        <f t="shared" si="467"/>
        <v>10</v>
      </c>
      <c r="H2547">
        <f t="shared" si="469"/>
        <v>10000000</v>
      </c>
      <c r="I2547">
        <f t="shared" si="470"/>
        <v>4800000</v>
      </c>
      <c r="K2547">
        <f t="shared" si="472"/>
        <v>11241279</v>
      </c>
      <c r="M2547">
        <f t="shared" si="468"/>
        <v>7819018</v>
      </c>
      <c r="N2547">
        <f t="shared" si="471"/>
        <v>19060297</v>
      </c>
    </row>
    <row r="2548" ht="13.9" spans="1:14">
      <c r="A2548" s="42" t="s">
        <v>1652</v>
      </c>
      <c r="B2548" s="11">
        <v>11241279</v>
      </c>
      <c r="D2548" s="11">
        <v>62</v>
      </c>
      <c r="E2548">
        <f t="shared" si="467"/>
        <v>62</v>
      </c>
      <c r="H2548">
        <f t="shared" si="469"/>
        <v>62000000</v>
      </c>
      <c r="I2548">
        <f t="shared" si="470"/>
        <v>29760000</v>
      </c>
      <c r="K2548">
        <f t="shared" si="472"/>
        <v>121856593</v>
      </c>
      <c r="M2548">
        <f t="shared" si="468"/>
        <v>11241279</v>
      </c>
      <c r="N2548">
        <f t="shared" si="471"/>
        <v>133097872</v>
      </c>
    </row>
    <row r="2549" ht="13.9" spans="1:14">
      <c r="A2549" s="42" t="s">
        <v>1653</v>
      </c>
      <c r="B2549" s="11">
        <v>11713185</v>
      </c>
      <c r="D2549" s="11">
        <v>56</v>
      </c>
      <c r="E2549">
        <f t="shared" si="467"/>
        <v>56</v>
      </c>
      <c r="H2549">
        <f t="shared" si="469"/>
        <v>56000000</v>
      </c>
      <c r="I2549">
        <f t="shared" si="470"/>
        <v>26880000</v>
      </c>
      <c r="K2549">
        <f t="shared" si="472"/>
        <v>110143408</v>
      </c>
      <c r="M2549">
        <f t="shared" si="468"/>
        <v>11713185</v>
      </c>
      <c r="N2549">
        <f t="shared" si="471"/>
        <v>121856593</v>
      </c>
    </row>
    <row r="2550" ht="13.9" spans="1:14">
      <c r="A2550" s="42" t="s">
        <v>1654</v>
      </c>
      <c r="B2550" s="11">
        <v>9854780</v>
      </c>
      <c r="D2550" s="11">
        <v>49</v>
      </c>
      <c r="E2550">
        <f t="shared" si="467"/>
        <v>49</v>
      </c>
      <c r="H2550">
        <f t="shared" si="469"/>
        <v>49000000</v>
      </c>
      <c r="I2550">
        <f t="shared" si="470"/>
        <v>23520000</v>
      </c>
      <c r="K2550">
        <f t="shared" si="472"/>
        <v>100288628</v>
      </c>
      <c r="M2550">
        <f t="shared" si="468"/>
        <v>9854780</v>
      </c>
      <c r="N2550">
        <f t="shared" si="471"/>
        <v>110143408</v>
      </c>
    </row>
    <row r="2551" ht="13.9" spans="1:14">
      <c r="A2551" s="42" t="s">
        <v>1655</v>
      </c>
      <c r="B2551" s="11">
        <v>10130523</v>
      </c>
      <c r="D2551" s="11">
        <v>44</v>
      </c>
      <c r="E2551">
        <f t="shared" si="467"/>
        <v>44</v>
      </c>
      <c r="H2551">
        <f t="shared" si="469"/>
        <v>44000000</v>
      </c>
      <c r="I2551">
        <f t="shared" si="470"/>
        <v>21120000</v>
      </c>
      <c r="K2551">
        <f t="shared" si="472"/>
        <v>90158105</v>
      </c>
      <c r="M2551">
        <f t="shared" si="468"/>
        <v>10130523</v>
      </c>
      <c r="N2551">
        <f t="shared" si="471"/>
        <v>100288628</v>
      </c>
    </row>
    <row r="2552" ht="13.9" spans="1:14">
      <c r="A2552" s="42" t="s">
        <v>1656</v>
      </c>
      <c r="B2552" s="11">
        <v>8605823</v>
      </c>
      <c r="D2552" s="11">
        <v>38</v>
      </c>
      <c r="E2552">
        <f t="shared" si="467"/>
        <v>38</v>
      </c>
      <c r="H2552">
        <f t="shared" si="469"/>
        <v>38000000</v>
      </c>
      <c r="I2552">
        <f t="shared" si="470"/>
        <v>18240000</v>
      </c>
      <c r="K2552">
        <f t="shared" si="472"/>
        <v>81552282</v>
      </c>
      <c r="M2552">
        <f t="shared" si="468"/>
        <v>8605823</v>
      </c>
      <c r="N2552">
        <f t="shared" si="471"/>
        <v>90158105</v>
      </c>
    </row>
    <row r="2553" ht="13.85" spans="1:14">
      <c r="A2553" s="43">
        <v>38687</v>
      </c>
      <c r="B2553" s="11">
        <v>9164987</v>
      </c>
      <c r="D2553" s="11">
        <v>34</v>
      </c>
      <c r="E2553">
        <f t="shared" si="467"/>
        <v>34</v>
      </c>
      <c r="H2553">
        <f t="shared" si="469"/>
        <v>34000000</v>
      </c>
      <c r="I2553">
        <f t="shared" si="470"/>
        <v>16320000</v>
      </c>
      <c r="K2553">
        <f t="shared" si="472"/>
        <v>72387295</v>
      </c>
      <c r="M2553">
        <f t="shared" si="468"/>
        <v>9164987</v>
      </c>
      <c r="N2553">
        <f t="shared" si="471"/>
        <v>81552282</v>
      </c>
    </row>
    <row r="2554" ht="13.85" spans="1:14">
      <c r="A2554" s="43">
        <v>38596</v>
      </c>
      <c r="B2554" s="11">
        <v>7829671</v>
      </c>
      <c r="D2554" s="11">
        <v>29</v>
      </c>
      <c r="E2554">
        <f t="shared" si="467"/>
        <v>29</v>
      </c>
      <c r="H2554">
        <f t="shared" si="469"/>
        <v>29000000</v>
      </c>
      <c r="I2554">
        <f t="shared" si="470"/>
        <v>13920000</v>
      </c>
      <c r="K2554">
        <f t="shared" si="472"/>
        <v>64557624</v>
      </c>
      <c r="M2554">
        <f t="shared" si="468"/>
        <v>7829671</v>
      </c>
      <c r="N2554">
        <f t="shared" si="471"/>
        <v>72387295</v>
      </c>
    </row>
    <row r="2555" ht="13.85" spans="1:14">
      <c r="A2555" s="43">
        <v>38473</v>
      </c>
      <c r="B2555" s="11">
        <v>8483770</v>
      </c>
      <c r="D2555" s="11">
        <v>24</v>
      </c>
      <c r="E2555">
        <f t="shared" si="467"/>
        <v>24</v>
      </c>
      <c r="H2555">
        <f t="shared" si="469"/>
        <v>24000000</v>
      </c>
      <c r="I2555">
        <f t="shared" si="470"/>
        <v>11520000</v>
      </c>
      <c r="K2555">
        <f t="shared" si="472"/>
        <v>56073854</v>
      </c>
      <c r="M2555">
        <f t="shared" si="468"/>
        <v>8483770</v>
      </c>
      <c r="N2555">
        <f t="shared" si="471"/>
        <v>64557624</v>
      </c>
    </row>
    <row r="2556" ht="13.85" spans="1:14">
      <c r="A2556" s="43">
        <v>38384</v>
      </c>
      <c r="B2556" s="11">
        <v>7251145</v>
      </c>
      <c r="D2556" s="11">
        <v>20</v>
      </c>
      <c r="E2556">
        <f t="shared" si="467"/>
        <v>20</v>
      </c>
      <c r="H2556">
        <f t="shared" si="469"/>
        <v>20000000</v>
      </c>
      <c r="I2556">
        <f t="shared" si="470"/>
        <v>9600000</v>
      </c>
      <c r="K2556">
        <f t="shared" si="472"/>
        <v>48822709</v>
      </c>
      <c r="M2556">
        <f t="shared" si="468"/>
        <v>7251145</v>
      </c>
      <c r="N2556">
        <f t="shared" si="471"/>
        <v>56073854</v>
      </c>
    </row>
    <row r="2557" ht="13.9" spans="1:14">
      <c r="A2557" s="42" t="s">
        <v>1657</v>
      </c>
      <c r="B2557" s="11">
        <v>7874779</v>
      </c>
      <c r="D2557" s="11">
        <v>16</v>
      </c>
      <c r="E2557">
        <f t="shared" si="467"/>
        <v>16</v>
      </c>
      <c r="H2557">
        <f t="shared" si="469"/>
        <v>16000000</v>
      </c>
      <c r="I2557">
        <f t="shared" si="470"/>
        <v>7680000</v>
      </c>
      <c r="K2557">
        <f t="shared" si="472"/>
        <v>40947930</v>
      </c>
      <c r="M2557">
        <f t="shared" si="468"/>
        <v>7874779</v>
      </c>
      <c r="N2557">
        <f t="shared" si="471"/>
        <v>48822709</v>
      </c>
    </row>
    <row r="2558" ht="13.9" spans="1:14">
      <c r="A2558" s="42" t="s">
        <v>1658</v>
      </c>
      <c r="B2558" s="11">
        <v>6955650</v>
      </c>
      <c r="D2558" s="11">
        <v>14</v>
      </c>
      <c r="E2558">
        <f t="shared" si="467"/>
        <v>14</v>
      </c>
      <c r="H2558">
        <f t="shared" si="469"/>
        <v>14000000</v>
      </c>
      <c r="I2558">
        <f t="shared" si="470"/>
        <v>6720000</v>
      </c>
      <c r="K2558">
        <f t="shared" si="472"/>
        <v>33992280</v>
      </c>
      <c r="M2558">
        <f t="shared" si="468"/>
        <v>6955650</v>
      </c>
      <c r="N2558">
        <f t="shared" si="471"/>
        <v>40947930</v>
      </c>
    </row>
    <row r="2559" ht="13.9" spans="1:14">
      <c r="A2559" s="42" t="s">
        <v>1659</v>
      </c>
      <c r="B2559" s="11">
        <v>7850585</v>
      </c>
      <c r="D2559" s="11">
        <v>12</v>
      </c>
      <c r="E2559">
        <f t="shared" si="467"/>
        <v>12</v>
      </c>
      <c r="H2559">
        <f t="shared" si="469"/>
        <v>12000000</v>
      </c>
      <c r="I2559">
        <f t="shared" si="470"/>
        <v>5760000</v>
      </c>
      <c r="K2559">
        <f t="shared" si="472"/>
        <v>26141695</v>
      </c>
      <c r="M2559">
        <f t="shared" si="468"/>
        <v>7850585</v>
      </c>
      <c r="N2559">
        <f t="shared" si="471"/>
        <v>33992280</v>
      </c>
    </row>
    <row r="2560" ht="13.9" spans="1:14">
      <c r="A2560" s="42" t="s">
        <v>1660</v>
      </c>
      <c r="B2560" s="11">
        <v>7326783</v>
      </c>
      <c r="D2560" s="11">
        <v>10</v>
      </c>
      <c r="E2560">
        <f t="shared" ref="E2560:E2623" si="473">IF(RIGHT(D2560,1)="B",VALUE(LEFT(D2560,LEN(D2560)-1))*1000,D2560)</f>
        <v>10</v>
      </c>
      <c r="H2560">
        <f t="shared" si="469"/>
        <v>10000000</v>
      </c>
      <c r="I2560">
        <f t="shared" si="470"/>
        <v>4800000</v>
      </c>
      <c r="K2560">
        <f t="shared" si="472"/>
        <v>18814912</v>
      </c>
      <c r="M2560">
        <f t="shared" si="468"/>
        <v>7326783</v>
      </c>
      <c r="N2560">
        <f t="shared" si="471"/>
        <v>26141695</v>
      </c>
    </row>
    <row r="2561" ht="13.9" spans="1:14">
      <c r="A2561" s="42" t="s">
        <v>1661</v>
      </c>
      <c r="B2561" s="11">
        <v>18814912</v>
      </c>
      <c r="D2561" s="11">
        <v>84</v>
      </c>
      <c r="E2561">
        <f t="shared" si="473"/>
        <v>84</v>
      </c>
      <c r="H2561">
        <f t="shared" si="469"/>
        <v>84000000</v>
      </c>
      <c r="I2561">
        <f t="shared" si="470"/>
        <v>40320000</v>
      </c>
      <c r="K2561">
        <f t="shared" si="472"/>
        <v>168441195</v>
      </c>
      <c r="M2561">
        <f t="shared" si="468"/>
        <v>18814912</v>
      </c>
      <c r="N2561">
        <f t="shared" si="471"/>
        <v>187256107</v>
      </c>
    </row>
    <row r="2562" ht="13.85" spans="1:14">
      <c r="A2562" s="43">
        <v>38292</v>
      </c>
      <c r="B2562" s="11">
        <v>15433027</v>
      </c>
      <c r="D2562" s="11">
        <v>74</v>
      </c>
      <c r="E2562">
        <f t="shared" si="473"/>
        <v>74</v>
      </c>
      <c r="H2562">
        <f t="shared" si="469"/>
        <v>74000000</v>
      </c>
      <c r="I2562">
        <f t="shared" si="470"/>
        <v>35520000</v>
      </c>
      <c r="K2562">
        <f t="shared" si="472"/>
        <v>153008168</v>
      </c>
      <c r="M2562">
        <f t="shared" si="468"/>
        <v>15433027</v>
      </c>
      <c r="N2562">
        <f t="shared" si="471"/>
        <v>168441195</v>
      </c>
    </row>
    <row r="2563" ht="13.85" spans="1:14">
      <c r="A2563" s="43">
        <v>38169</v>
      </c>
      <c r="B2563" s="11">
        <v>14283622</v>
      </c>
      <c r="D2563" s="11">
        <v>66</v>
      </c>
      <c r="E2563">
        <f t="shared" si="473"/>
        <v>66</v>
      </c>
      <c r="H2563">
        <f t="shared" si="469"/>
        <v>66000000</v>
      </c>
      <c r="I2563">
        <f t="shared" si="470"/>
        <v>31680000</v>
      </c>
      <c r="K2563">
        <f t="shared" si="472"/>
        <v>138724546</v>
      </c>
      <c r="M2563">
        <f t="shared" si="468"/>
        <v>14283622</v>
      </c>
      <c r="N2563">
        <f t="shared" si="471"/>
        <v>153008168</v>
      </c>
    </row>
    <row r="2564" ht="13.85" spans="1:14">
      <c r="A2564" s="43">
        <v>38078</v>
      </c>
      <c r="B2564" s="11">
        <v>12108440</v>
      </c>
      <c r="D2564" s="11">
        <v>59</v>
      </c>
      <c r="E2564">
        <f t="shared" si="473"/>
        <v>59</v>
      </c>
      <c r="H2564">
        <f t="shared" si="469"/>
        <v>59000000</v>
      </c>
      <c r="I2564">
        <f t="shared" si="470"/>
        <v>28320000</v>
      </c>
      <c r="K2564">
        <f t="shared" si="472"/>
        <v>126616106</v>
      </c>
      <c r="M2564">
        <f t="shared" si="468"/>
        <v>12108440</v>
      </c>
      <c r="N2564">
        <f t="shared" si="471"/>
        <v>138724546</v>
      </c>
    </row>
    <row r="2565" ht="13.9" spans="1:14">
      <c r="A2565" s="42" t="s">
        <v>1662</v>
      </c>
      <c r="B2565" s="11">
        <v>12450350</v>
      </c>
      <c r="D2565" s="11">
        <v>52</v>
      </c>
      <c r="E2565">
        <f t="shared" si="473"/>
        <v>52</v>
      </c>
      <c r="H2565">
        <f t="shared" si="469"/>
        <v>52000000</v>
      </c>
      <c r="I2565">
        <f t="shared" si="470"/>
        <v>24960000</v>
      </c>
      <c r="K2565">
        <f t="shared" si="472"/>
        <v>114165756</v>
      </c>
      <c r="M2565">
        <f t="shared" si="468"/>
        <v>12450350</v>
      </c>
      <c r="N2565">
        <f t="shared" si="471"/>
        <v>126616106</v>
      </c>
    </row>
    <row r="2566" ht="13.9" spans="1:14">
      <c r="A2566" s="42" t="s">
        <v>1663</v>
      </c>
      <c r="B2566" s="11">
        <v>10204419</v>
      </c>
      <c r="D2566" s="11">
        <v>45</v>
      </c>
      <c r="E2566">
        <f t="shared" si="473"/>
        <v>45</v>
      </c>
      <c r="H2566">
        <f t="shared" si="469"/>
        <v>45000000</v>
      </c>
      <c r="I2566">
        <f t="shared" si="470"/>
        <v>21600000</v>
      </c>
      <c r="K2566">
        <f t="shared" si="472"/>
        <v>103961337</v>
      </c>
      <c r="M2566">
        <f t="shared" ref="M2566:M2629" si="474">B2566+C2566</f>
        <v>10204419</v>
      </c>
      <c r="N2566">
        <f t="shared" si="471"/>
        <v>114165756</v>
      </c>
    </row>
    <row r="2567" ht="13.9" spans="1:14">
      <c r="A2567" s="42" t="s">
        <v>1664</v>
      </c>
      <c r="B2567" s="11">
        <v>10467071</v>
      </c>
      <c r="D2567" s="11">
        <v>40</v>
      </c>
      <c r="E2567">
        <f t="shared" si="473"/>
        <v>40</v>
      </c>
      <c r="H2567">
        <f t="shared" si="469"/>
        <v>40000000</v>
      </c>
      <c r="I2567">
        <f t="shared" si="470"/>
        <v>19200000</v>
      </c>
      <c r="K2567">
        <f t="shared" si="472"/>
        <v>93494266</v>
      </c>
      <c r="M2567">
        <f t="shared" si="474"/>
        <v>10467071</v>
      </c>
      <c r="N2567">
        <f t="shared" si="471"/>
        <v>103961337</v>
      </c>
    </row>
    <row r="2568" ht="13.9" spans="1:14">
      <c r="A2568" s="42" t="s">
        <v>1665</v>
      </c>
      <c r="B2568" s="11">
        <v>9151661</v>
      </c>
      <c r="D2568" s="11">
        <v>35</v>
      </c>
      <c r="E2568">
        <f t="shared" si="473"/>
        <v>35</v>
      </c>
      <c r="H2568">
        <f t="shared" si="469"/>
        <v>35000000</v>
      </c>
      <c r="I2568">
        <f t="shared" si="470"/>
        <v>16800000</v>
      </c>
      <c r="K2568">
        <f t="shared" si="472"/>
        <v>84342605</v>
      </c>
      <c r="M2568">
        <f t="shared" si="474"/>
        <v>9151661</v>
      </c>
      <c r="N2568">
        <f t="shared" si="471"/>
        <v>93494266</v>
      </c>
    </row>
    <row r="2569" ht="13.9" spans="1:14">
      <c r="A2569" s="42" t="s">
        <v>1666</v>
      </c>
      <c r="B2569" s="11">
        <v>9673484</v>
      </c>
      <c r="D2569" s="11">
        <v>30</v>
      </c>
      <c r="E2569">
        <f t="shared" si="473"/>
        <v>30</v>
      </c>
      <c r="H2569">
        <f t="shared" si="469"/>
        <v>30000000</v>
      </c>
      <c r="I2569">
        <f t="shared" si="470"/>
        <v>14400000</v>
      </c>
      <c r="K2569">
        <f t="shared" si="472"/>
        <v>74669121</v>
      </c>
      <c r="M2569">
        <f t="shared" si="474"/>
        <v>9673484</v>
      </c>
      <c r="N2569">
        <f t="shared" si="471"/>
        <v>84342605</v>
      </c>
    </row>
    <row r="2570" ht="13.9" spans="1:14">
      <c r="A2570" s="42" t="s">
        <v>1667</v>
      </c>
      <c r="B2570" s="11">
        <v>8265191</v>
      </c>
      <c r="D2570" s="11">
        <v>25</v>
      </c>
      <c r="E2570">
        <f t="shared" si="473"/>
        <v>25</v>
      </c>
      <c r="H2570">
        <f t="shared" si="469"/>
        <v>25000000</v>
      </c>
      <c r="I2570">
        <f t="shared" si="470"/>
        <v>12000000</v>
      </c>
      <c r="K2570">
        <f t="shared" si="472"/>
        <v>66403930</v>
      </c>
      <c r="M2570">
        <f t="shared" si="474"/>
        <v>8265191</v>
      </c>
      <c r="N2570">
        <f t="shared" si="471"/>
        <v>74669121</v>
      </c>
    </row>
    <row r="2571" ht="13.85" spans="1:14">
      <c r="A2571" s="43">
        <v>37895</v>
      </c>
      <c r="B2571" s="11">
        <v>8887303</v>
      </c>
      <c r="D2571" s="11">
        <v>21</v>
      </c>
      <c r="E2571">
        <f t="shared" si="473"/>
        <v>21</v>
      </c>
      <c r="H2571">
        <f t="shared" si="469"/>
        <v>21000000</v>
      </c>
      <c r="I2571">
        <f t="shared" si="470"/>
        <v>10080000</v>
      </c>
      <c r="K2571">
        <f t="shared" si="472"/>
        <v>57516627</v>
      </c>
      <c r="M2571">
        <f t="shared" si="474"/>
        <v>8887303</v>
      </c>
      <c r="N2571">
        <f t="shared" si="471"/>
        <v>66403930</v>
      </c>
    </row>
    <row r="2572" ht="13.85" spans="1:14">
      <c r="A2572" s="43">
        <v>37803</v>
      </c>
      <c r="B2572" s="11">
        <v>7539748</v>
      </c>
      <c r="D2572" s="11">
        <v>16</v>
      </c>
      <c r="E2572">
        <f t="shared" si="473"/>
        <v>16</v>
      </c>
      <c r="H2572">
        <f t="shared" si="469"/>
        <v>16000000</v>
      </c>
      <c r="I2572">
        <f t="shared" si="470"/>
        <v>7680000</v>
      </c>
      <c r="K2572">
        <f t="shared" si="472"/>
        <v>49976879</v>
      </c>
      <c r="M2572">
        <f t="shared" si="474"/>
        <v>7539748</v>
      </c>
      <c r="N2572">
        <f t="shared" si="471"/>
        <v>57516627</v>
      </c>
    </row>
    <row r="2573" ht="13.85" spans="1:14">
      <c r="A2573" s="43">
        <v>37681</v>
      </c>
      <c r="B2573" s="11">
        <v>8456250</v>
      </c>
      <c r="D2573" s="11">
        <v>14</v>
      </c>
      <c r="E2573">
        <f t="shared" si="473"/>
        <v>14</v>
      </c>
      <c r="H2573">
        <f t="shared" si="469"/>
        <v>14000000</v>
      </c>
      <c r="I2573">
        <f t="shared" si="470"/>
        <v>6720000</v>
      </c>
      <c r="K2573">
        <f t="shared" si="472"/>
        <v>41520629</v>
      </c>
      <c r="M2573">
        <f t="shared" si="474"/>
        <v>8456250</v>
      </c>
      <c r="N2573">
        <f t="shared" si="471"/>
        <v>49976879</v>
      </c>
    </row>
    <row r="2574" ht="13.9" spans="1:14">
      <c r="A2574" s="42" t="s">
        <v>1668</v>
      </c>
      <c r="B2574" s="11">
        <v>7184656</v>
      </c>
      <c r="D2574" s="11">
        <v>12</v>
      </c>
      <c r="E2574">
        <f t="shared" si="473"/>
        <v>12</v>
      </c>
      <c r="H2574">
        <f t="shared" si="469"/>
        <v>12000000</v>
      </c>
      <c r="I2574">
        <f t="shared" si="470"/>
        <v>5760000</v>
      </c>
      <c r="K2574">
        <f t="shared" si="472"/>
        <v>34335973</v>
      </c>
      <c r="M2574">
        <f t="shared" si="474"/>
        <v>7184656</v>
      </c>
      <c r="N2574">
        <f t="shared" si="471"/>
        <v>41520629</v>
      </c>
    </row>
    <row r="2575" ht="13.9" spans="1:14">
      <c r="A2575" s="42" t="s">
        <v>1669</v>
      </c>
      <c r="B2575" s="11">
        <v>8637586</v>
      </c>
      <c r="D2575" s="11">
        <v>10</v>
      </c>
      <c r="E2575">
        <f t="shared" si="473"/>
        <v>10</v>
      </c>
      <c r="H2575">
        <f t="shared" ref="H2575:H2638" si="475">E2575*1000000</f>
        <v>10000000</v>
      </c>
      <c r="I2575">
        <f t="shared" si="470"/>
        <v>4800000</v>
      </c>
      <c r="K2575">
        <f t="shared" si="472"/>
        <v>25698387</v>
      </c>
      <c r="M2575">
        <f t="shared" si="474"/>
        <v>8637586</v>
      </c>
      <c r="N2575">
        <f t="shared" si="471"/>
        <v>34335973</v>
      </c>
    </row>
    <row r="2576" ht="13.9" spans="1:14">
      <c r="A2576" s="42" t="s">
        <v>1670</v>
      </c>
      <c r="B2576" s="11">
        <v>25698387</v>
      </c>
      <c r="D2576" s="11">
        <v>93</v>
      </c>
      <c r="E2576">
        <f t="shared" si="473"/>
        <v>93</v>
      </c>
      <c r="H2576">
        <f t="shared" si="475"/>
        <v>93000000</v>
      </c>
      <c r="I2576">
        <f t="shared" si="470"/>
        <v>44640000</v>
      </c>
      <c r="K2576">
        <f t="shared" si="472"/>
        <v>158820312</v>
      </c>
      <c r="M2576">
        <f t="shared" si="474"/>
        <v>25698387</v>
      </c>
      <c r="N2576">
        <f t="shared" si="471"/>
        <v>184518699</v>
      </c>
    </row>
    <row r="2577" ht="13.9" spans="1:14">
      <c r="A2577" s="42" t="s">
        <v>1671</v>
      </c>
      <c r="B2577" s="11">
        <v>20061638</v>
      </c>
      <c r="D2577" s="11">
        <v>80</v>
      </c>
      <c r="E2577">
        <f t="shared" si="473"/>
        <v>80</v>
      </c>
      <c r="H2577">
        <f t="shared" si="475"/>
        <v>80000000</v>
      </c>
      <c r="I2577">
        <f t="shared" si="470"/>
        <v>38400000</v>
      </c>
      <c r="K2577">
        <f t="shared" si="472"/>
        <v>138758674</v>
      </c>
      <c r="M2577">
        <f t="shared" si="474"/>
        <v>20061638</v>
      </c>
      <c r="N2577">
        <f t="shared" si="471"/>
        <v>158820312</v>
      </c>
    </row>
    <row r="2578" ht="13.9" spans="1:14">
      <c r="A2578" s="42" t="s">
        <v>1672</v>
      </c>
      <c r="B2578" s="11">
        <v>15817438</v>
      </c>
      <c r="D2578" s="11">
        <v>69</v>
      </c>
      <c r="E2578">
        <f t="shared" si="473"/>
        <v>69</v>
      </c>
      <c r="H2578">
        <f t="shared" si="475"/>
        <v>69000000</v>
      </c>
      <c r="I2578">
        <f t="shared" si="470"/>
        <v>33120000</v>
      </c>
      <c r="K2578">
        <f t="shared" si="472"/>
        <v>122941236</v>
      </c>
      <c r="M2578">
        <f t="shared" si="474"/>
        <v>15817438</v>
      </c>
      <c r="N2578">
        <f t="shared" si="471"/>
        <v>138758674</v>
      </c>
    </row>
    <row r="2579" ht="13.85" spans="1:14">
      <c r="A2579" s="43">
        <v>37530</v>
      </c>
      <c r="B2579" s="11">
        <v>13884274</v>
      </c>
      <c r="D2579" s="11">
        <v>61</v>
      </c>
      <c r="E2579">
        <f t="shared" si="473"/>
        <v>61</v>
      </c>
      <c r="H2579">
        <f t="shared" si="475"/>
        <v>61000000</v>
      </c>
      <c r="I2579">
        <f t="shared" si="470"/>
        <v>29280000</v>
      </c>
      <c r="K2579">
        <f t="shared" si="472"/>
        <v>109056962</v>
      </c>
      <c r="M2579">
        <f t="shared" si="474"/>
        <v>13884274</v>
      </c>
      <c r="N2579">
        <f t="shared" si="471"/>
        <v>122941236</v>
      </c>
    </row>
    <row r="2580" ht="13.85" spans="1:14">
      <c r="A2580" s="43">
        <v>37438</v>
      </c>
      <c r="B2580" s="11">
        <v>11613197</v>
      </c>
      <c r="D2580" s="11">
        <v>53</v>
      </c>
      <c r="E2580">
        <f t="shared" si="473"/>
        <v>53</v>
      </c>
      <c r="H2580">
        <f t="shared" si="475"/>
        <v>53000000</v>
      </c>
      <c r="I2580">
        <f t="shared" si="470"/>
        <v>25440000</v>
      </c>
      <c r="K2580">
        <f t="shared" si="472"/>
        <v>97443765</v>
      </c>
      <c r="M2580">
        <f t="shared" si="474"/>
        <v>11613197</v>
      </c>
      <c r="N2580">
        <f t="shared" si="471"/>
        <v>109056962</v>
      </c>
    </row>
    <row r="2581" ht="13.85" spans="1:14">
      <c r="A2581" s="43">
        <v>37316</v>
      </c>
      <c r="B2581" s="11">
        <v>11293530</v>
      </c>
      <c r="D2581" s="11">
        <v>47</v>
      </c>
      <c r="E2581">
        <f t="shared" si="473"/>
        <v>47</v>
      </c>
      <c r="H2581">
        <f t="shared" si="475"/>
        <v>47000000</v>
      </c>
      <c r="I2581">
        <f t="shared" si="470"/>
        <v>22560000</v>
      </c>
      <c r="K2581">
        <f t="shared" si="472"/>
        <v>86150235</v>
      </c>
      <c r="M2581">
        <f t="shared" si="474"/>
        <v>11293530</v>
      </c>
      <c r="N2581">
        <f t="shared" si="471"/>
        <v>97443765</v>
      </c>
    </row>
    <row r="2582" ht="13.9" spans="1:14">
      <c r="A2582" s="42" t="s">
        <v>1673</v>
      </c>
      <c r="B2582" s="11">
        <v>9330370</v>
      </c>
      <c r="D2582" s="11">
        <v>42</v>
      </c>
      <c r="E2582">
        <f t="shared" si="473"/>
        <v>42</v>
      </c>
      <c r="H2582">
        <f t="shared" si="475"/>
        <v>42000000</v>
      </c>
      <c r="I2582">
        <f t="shared" si="470"/>
        <v>20160000</v>
      </c>
      <c r="K2582">
        <f t="shared" si="472"/>
        <v>76819865</v>
      </c>
      <c r="M2582">
        <f t="shared" si="474"/>
        <v>9330370</v>
      </c>
      <c r="N2582">
        <f t="shared" si="471"/>
        <v>86150235</v>
      </c>
    </row>
    <row r="2583" ht="13.9" spans="1:14">
      <c r="A2583" s="42" t="s">
        <v>1674</v>
      </c>
      <c r="B2583" s="11">
        <v>9406069</v>
      </c>
      <c r="D2583" s="11">
        <v>37</v>
      </c>
      <c r="E2583">
        <f t="shared" si="473"/>
        <v>37</v>
      </c>
      <c r="H2583">
        <f t="shared" si="475"/>
        <v>37000000</v>
      </c>
      <c r="I2583">
        <f t="shared" si="470"/>
        <v>17760000</v>
      </c>
      <c r="K2583">
        <f t="shared" si="472"/>
        <v>67413796</v>
      </c>
      <c r="M2583">
        <f t="shared" si="474"/>
        <v>9406069</v>
      </c>
      <c r="N2583">
        <f t="shared" si="471"/>
        <v>76819865</v>
      </c>
    </row>
    <row r="2584" ht="13.9" spans="1:14">
      <c r="A2584" s="42" t="s">
        <v>1675</v>
      </c>
      <c r="B2584" s="11">
        <v>8183653</v>
      </c>
      <c r="D2584" s="11">
        <v>31</v>
      </c>
      <c r="E2584">
        <f t="shared" si="473"/>
        <v>31</v>
      </c>
      <c r="H2584">
        <f t="shared" si="475"/>
        <v>31000000</v>
      </c>
      <c r="I2584">
        <f t="shared" si="470"/>
        <v>14880000</v>
      </c>
      <c r="K2584">
        <f t="shared" si="472"/>
        <v>59230143</v>
      </c>
      <c r="M2584">
        <f t="shared" si="474"/>
        <v>8183653</v>
      </c>
      <c r="N2584">
        <f t="shared" si="471"/>
        <v>67413796</v>
      </c>
    </row>
    <row r="2585" ht="13.9" spans="1:14">
      <c r="A2585" s="42" t="s">
        <v>1676</v>
      </c>
      <c r="B2585" s="11">
        <v>8361102</v>
      </c>
      <c r="D2585" s="11">
        <v>26</v>
      </c>
      <c r="E2585">
        <f t="shared" si="473"/>
        <v>26</v>
      </c>
      <c r="H2585">
        <f t="shared" si="475"/>
        <v>26000000</v>
      </c>
      <c r="I2585">
        <f t="shared" si="470"/>
        <v>12480000</v>
      </c>
      <c r="K2585">
        <f t="shared" si="472"/>
        <v>50869041</v>
      </c>
      <c r="M2585">
        <f t="shared" si="474"/>
        <v>8361102</v>
      </c>
      <c r="N2585">
        <f t="shared" si="471"/>
        <v>59230143</v>
      </c>
    </row>
    <row r="2586" ht="13.9" spans="1:14">
      <c r="A2586" s="42" t="s">
        <v>1677</v>
      </c>
      <c r="B2586" s="11">
        <v>7268081</v>
      </c>
      <c r="D2586" s="11">
        <v>22</v>
      </c>
      <c r="E2586">
        <f t="shared" si="473"/>
        <v>22</v>
      </c>
      <c r="H2586">
        <f t="shared" si="475"/>
        <v>22000000</v>
      </c>
      <c r="I2586">
        <f t="shared" si="470"/>
        <v>10560000</v>
      </c>
      <c r="K2586">
        <f t="shared" si="472"/>
        <v>43600960</v>
      </c>
      <c r="M2586">
        <f t="shared" si="474"/>
        <v>7268081</v>
      </c>
      <c r="N2586">
        <f t="shared" si="471"/>
        <v>50869041</v>
      </c>
    </row>
    <row r="2587" ht="13.9" spans="1:14">
      <c r="A2587" s="42" t="s">
        <v>1678</v>
      </c>
      <c r="B2587" s="11">
        <v>7831956</v>
      </c>
      <c r="D2587" s="11">
        <v>19</v>
      </c>
      <c r="E2587">
        <f t="shared" si="473"/>
        <v>19</v>
      </c>
      <c r="H2587">
        <f t="shared" si="475"/>
        <v>19000000</v>
      </c>
      <c r="I2587">
        <f t="shared" si="470"/>
        <v>9120000</v>
      </c>
      <c r="K2587">
        <f t="shared" si="472"/>
        <v>35769004</v>
      </c>
      <c r="M2587">
        <f t="shared" si="474"/>
        <v>7831956</v>
      </c>
      <c r="N2587">
        <f t="shared" si="471"/>
        <v>43600960</v>
      </c>
    </row>
    <row r="2588" ht="13.85" spans="1:14">
      <c r="A2588" s="43">
        <v>37165</v>
      </c>
      <c r="B2588" s="11">
        <v>6790990</v>
      </c>
      <c r="D2588" s="11">
        <v>16</v>
      </c>
      <c r="E2588">
        <f t="shared" si="473"/>
        <v>16</v>
      </c>
      <c r="H2588">
        <f t="shared" si="475"/>
        <v>16000000</v>
      </c>
      <c r="I2588">
        <f t="shared" si="470"/>
        <v>7680000</v>
      </c>
      <c r="K2588">
        <f t="shared" si="472"/>
        <v>28978014</v>
      </c>
      <c r="M2588">
        <f t="shared" si="474"/>
        <v>6790990</v>
      </c>
      <c r="N2588">
        <f t="shared" si="471"/>
        <v>35769004</v>
      </c>
    </row>
    <row r="2589" ht="13.85" spans="1:14">
      <c r="A2589" s="43">
        <v>37043</v>
      </c>
      <c r="B2589" s="11">
        <v>7442465</v>
      </c>
      <c r="D2589" s="11">
        <v>14</v>
      </c>
      <c r="E2589">
        <f t="shared" si="473"/>
        <v>14</v>
      </c>
      <c r="H2589">
        <f t="shared" si="475"/>
        <v>14000000</v>
      </c>
      <c r="I2589">
        <f t="shared" si="470"/>
        <v>6720000</v>
      </c>
      <c r="K2589">
        <f t="shared" si="472"/>
        <v>21535549</v>
      </c>
      <c r="M2589">
        <f t="shared" si="474"/>
        <v>7442465</v>
      </c>
      <c r="N2589">
        <f t="shared" si="471"/>
        <v>28978014</v>
      </c>
    </row>
    <row r="2590" ht="13.85" spans="1:14">
      <c r="A2590" s="44">
        <v>36951</v>
      </c>
      <c r="B2590" s="15">
        <v>6244275</v>
      </c>
      <c r="D2590" s="15">
        <v>12</v>
      </c>
      <c r="E2590">
        <f t="shared" si="473"/>
        <v>12</v>
      </c>
      <c r="H2590">
        <f t="shared" si="475"/>
        <v>12000000</v>
      </c>
      <c r="I2590">
        <f t="shared" ref="I2590:I2653" si="476">H2590*0.48</f>
        <v>5760000</v>
      </c>
      <c r="K2590">
        <f t="shared" si="472"/>
        <v>15291274</v>
      </c>
      <c r="M2590">
        <f t="shared" si="474"/>
        <v>6244275</v>
      </c>
      <c r="N2590">
        <f t="shared" si="471"/>
        <v>21535549</v>
      </c>
    </row>
    <row r="2591" ht="13.9" spans="1:14">
      <c r="A2591" s="41" t="s">
        <v>1679</v>
      </c>
      <c r="B2591" s="13">
        <v>7400633</v>
      </c>
      <c r="D2591" s="13">
        <v>10</v>
      </c>
      <c r="E2591">
        <f t="shared" si="473"/>
        <v>10</v>
      </c>
      <c r="H2591">
        <f t="shared" si="475"/>
        <v>10000000</v>
      </c>
      <c r="I2591">
        <f t="shared" si="476"/>
        <v>4800000</v>
      </c>
      <c r="K2591">
        <f t="shared" si="472"/>
        <v>7890641</v>
      </c>
      <c r="M2591">
        <f t="shared" si="474"/>
        <v>7400633</v>
      </c>
      <c r="N2591">
        <f t="shared" ref="N2591:N2654" si="477">IF(H2591&lt;H2592,M2591+M2592,M2591+N2592)</f>
        <v>15291274</v>
      </c>
    </row>
    <row r="2592" ht="13.9" spans="1:14">
      <c r="A2592" s="42" t="s">
        <v>1680</v>
      </c>
      <c r="B2592" s="11">
        <v>7890641</v>
      </c>
      <c r="D2592" s="11">
        <v>33</v>
      </c>
      <c r="E2592">
        <f t="shared" si="473"/>
        <v>33</v>
      </c>
      <c r="H2592">
        <f t="shared" si="475"/>
        <v>33000000</v>
      </c>
      <c r="I2592">
        <f t="shared" si="476"/>
        <v>15840000</v>
      </c>
      <c r="K2592">
        <f t="shared" si="472"/>
        <v>103400705</v>
      </c>
      <c r="M2592">
        <f t="shared" si="474"/>
        <v>7890641</v>
      </c>
      <c r="N2592">
        <f t="shared" si="477"/>
        <v>111291346</v>
      </c>
    </row>
    <row r="2593" ht="13.9" spans="1:14">
      <c r="A2593" s="42" t="s">
        <v>1681</v>
      </c>
      <c r="B2593" s="11">
        <v>9359367</v>
      </c>
      <c r="D2593" s="11">
        <v>28</v>
      </c>
      <c r="E2593">
        <f t="shared" si="473"/>
        <v>28</v>
      </c>
      <c r="H2593">
        <f t="shared" si="475"/>
        <v>28000000</v>
      </c>
      <c r="I2593">
        <f t="shared" si="476"/>
        <v>13440000</v>
      </c>
      <c r="K2593">
        <f t="shared" si="472"/>
        <v>94041338</v>
      </c>
      <c r="M2593">
        <f t="shared" si="474"/>
        <v>9359367</v>
      </c>
      <c r="N2593">
        <f t="shared" si="477"/>
        <v>103400705</v>
      </c>
    </row>
    <row r="2594" ht="13.9" spans="1:14">
      <c r="A2594" s="42" t="s">
        <v>1682</v>
      </c>
      <c r="B2594" s="11">
        <v>7699958</v>
      </c>
      <c r="D2594" s="11">
        <v>24</v>
      </c>
      <c r="E2594">
        <f t="shared" si="473"/>
        <v>24</v>
      </c>
      <c r="H2594">
        <f t="shared" si="475"/>
        <v>24000000</v>
      </c>
      <c r="I2594">
        <f t="shared" si="476"/>
        <v>11520000</v>
      </c>
      <c r="K2594">
        <f t="shared" si="472"/>
        <v>86341380</v>
      </c>
      <c r="M2594">
        <f t="shared" si="474"/>
        <v>7699958</v>
      </c>
      <c r="N2594">
        <f t="shared" si="477"/>
        <v>94041338</v>
      </c>
    </row>
    <row r="2595" ht="13.9" spans="1:14">
      <c r="A2595" s="42" t="s">
        <v>1683</v>
      </c>
      <c r="B2595" s="11">
        <v>8168083</v>
      </c>
      <c r="D2595" s="11">
        <v>20</v>
      </c>
      <c r="E2595">
        <f t="shared" si="473"/>
        <v>20</v>
      </c>
      <c r="H2595">
        <f t="shared" si="475"/>
        <v>20000000</v>
      </c>
      <c r="I2595">
        <f t="shared" si="476"/>
        <v>9600000</v>
      </c>
      <c r="K2595">
        <f t="shared" si="472"/>
        <v>78173297</v>
      </c>
      <c r="M2595">
        <f t="shared" si="474"/>
        <v>8168083</v>
      </c>
      <c r="N2595">
        <f t="shared" si="477"/>
        <v>86341380</v>
      </c>
    </row>
    <row r="2596" ht="13.9" spans="1:14">
      <c r="A2596" s="42" t="s">
        <v>1684</v>
      </c>
      <c r="B2596" s="11">
        <v>6870148</v>
      </c>
      <c r="D2596" s="11">
        <v>16</v>
      </c>
      <c r="E2596">
        <f t="shared" si="473"/>
        <v>16</v>
      </c>
      <c r="H2596">
        <f t="shared" si="475"/>
        <v>16000000</v>
      </c>
      <c r="I2596">
        <f t="shared" si="476"/>
        <v>7680000</v>
      </c>
      <c r="K2596">
        <f t="shared" si="472"/>
        <v>71303149</v>
      </c>
      <c r="M2596">
        <f t="shared" si="474"/>
        <v>6870148</v>
      </c>
      <c r="N2596">
        <f t="shared" si="477"/>
        <v>78173297</v>
      </c>
    </row>
    <row r="2597" ht="13.9" spans="1:14">
      <c r="A2597" s="42" t="s">
        <v>1685</v>
      </c>
      <c r="B2597" s="11">
        <v>7925823</v>
      </c>
      <c r="D2597" s="11">
        <v>14</v>
      </c>
      <c r="E2597">
        <f t="shared" si="473"/>
        <v>14</v>
      </c>
      <c r="H2597">
        <f t="shared" si="475"/>
        <v>14000000</v>
      </c>
      <c r="I2597">
        <f t="shared" si="476"/>
        <v>6720000</v>
      </c>
      <c r="K2597">
        <f t="shared" si="472"/>
        <v>63377326</v>
      </c>
      <c r="M2597">
        <f t="shared" si="474"/>
        <v>7925823</v>
      </c>
      <c r="N2597">
        <f t="shared" si="477"/>
        <v>71303149</v>
      </c>
    </row>
    <row r="2598" ht="13.9" spans="1:14">
      <c r="A2598" s="42" t="s">
        <v>1686</v>
      </c>
      <c r="B2598" s="11">
        <v>7046560</v>
      </c>
      <c r="D2598" s="11">
        <v>12</v>
      </c>
      <c r="E2598">
        <f t="shared" si="473"/>
        <v>12</v>
      </c>
      <c r="H2598">
        <f t="shared" si="475"/>
        <v>12000000</v>
      </c>
      <c r="I2598">
        <f t="shared" si="476"/>
        <v>5760000</v>
      </c>
      <c r="K2598">
        <f t="shared" si="472"/>
        <v>56330766</v>
      </c>
      <c r="M2598">
        <f t="shared" si="474"/>
        <v>7046560</v>
      </c>
      <c r="N2598">
        <f t="shared" si="477"/>
        <v>63377326</v>
      </c>
    </row>
    <row r="2599" ht="13.9" spans="1:14">
      <c r="A2599" s="42" t="s">
        <v>1687</v>
      </c>
      <c r="B2599" s="11">
        <v>8323046</v>
      </c>
      <c r="D2599" s="11">
        <v>10</v>
      </c>
      <c r="E2599">
        <f t="shared" si="473"/>
        <v>10</v>
      </c>
      <c r="H2599">
        <f t="shared" si="475"/>
        <v>10000000</v>
      </c>
      <c r="I2599">
        <f t="shared" si="476"/>
        <v>4800000</v>
      </c>
      <c r="K2599">
        <f t="shared" si="472"/>
        <v>48007720</v>
      </c>
      <c r="M2599">
        <f t="shared" si="474"/>
        <v>8323046</v>
      </c>
      <c r="N2599">
        <f t="shared" si="477"/>
        <v>56330766</v>
      </c>
    </row>
    <row r="2600" ht="13.9" spans="1:14">
      <c r="A2600" s="42" t="s">
        <v>1688</v>
      </c>
      <c r="B2600" s="11">
        <v>48007720</v>
      </c>
      <c r="D2600" s="11">
        <v>130</v>
      </c>
      <c r="E2600">
        <f t="shared" si="473"/>
        <v>130</v>
      </c>
      <c r="H2600">
        <f t="shared" si="475"/>
        <v>130000000</v>
      </c>
      <c r="I2600">
        <f t="shared" si="476"/>
        <v>62400000</v>
      </c>
      <c r="K2600">
        <f t="shared" si="472"/>
        <v>210628511</v>
      </c>
      <c r="M2600">
        <f t="shared" si="474"/>
        <v>48007720</v>
      </c>
      <c r="N2600">
        <f t="shared" si="477"/>
        <v>258636231</v>
      </c>
    </row>
    <row r="2601" ht="13.9" spans="1:14">
      <c r="A2601" s="42" t="s">
        <v>1689</v>
      </c>
      <c r="B2601" s="11">
        <v>27616901</v>
      </c>
      <c r="D2601" s="11">
        <v>105</v>
      </c>
      <c r="E2601">
        <f t="shared" si="473"/>
        <v>105</v>
      </c>
      <c r="H2601">
        <f t="shared" si="475"/>
        <v>105000000</v>
      </c>
      <c r="I2601">
        <f t="shared" si="476"/>
        <v>50400000</v>
      </c>
      <c r="K2601">
        <f t="shared" si="472"/>
        <v>183011610</v>
      </c>
      <c r="M2601">
        <f t="shared" si="474"/>
        <v>27616901</v>
      </c>
      <c r="N2601">
        <f t="shared" si="477"/>
        <v>210628511</v>
      </c>
    </row>
    <row r="2602" ht="13.9" spans="1:14">
      <c r="A2602" s="42" t="s">
        <v>1690</v>
      </c>
      <c r="B2602" s="11">
        <v>24244062</v>
      </c>
      <c r="D2602" s="11">
        <v>92</v>
      </c>
      <c r="E2602">
        <f t="shared" si="473"/>
        <v>92</v>
      </c>
      <c r="H2602">
        <f t="shared" si="475"/>
        <v>92000000</v>
      </c>
      <c r="I2602">
        <f t="shared" si="476"/>
        <v>44160000</v>
      </c>
      <c r="K2602">
        <f t="shared" ref="K2602:K2665" si="478">IF(E2602&gt;E2603,B2603+K2603,B2603)</f>
        <v>158767548</v>
      </c>
      <c r="M2602">
        <f t="shared" si="474"/>
        <v>24244062</v>
      </c>
      <c r="N2602">
        <f t="shared" si="477"/>
        <v>183011610</v>
      </c>
    </row>
    <row r="2603" ht="13.9" spans="1:14">
      <c r="A2603" s="42" t="s">
        <v>1691</v>
      </c>
      <c r="B2603" s="11">
        <v>18217356</v>
      </c>
      <c r="D2603" s="11">
        <v>78</v>
      </c>
      <c r="E2603">
        <f t="shared" si="473"/>
        <v>78</v>
      </c>
      <c r="H2603">
        <f t="shared" si="475"/>
        <v>78000000</v>
      </c>
      <c r="I2603">
        <f t="shared" si="476"/>
        <v>37440000</v>
      </c>
      <c r="K2603">
        <f t="shared" si="478"/>
        <v>140550192</v>
      </c>
      <c r="M2603">
        <f t="shared" si="474"/>
        <v>18217356</v>
      </c>
      <c r="N2603">
        <f t="shared" si="477"/>
        <v>158767548</v>
      </c>
    </row>
    <row r="2604" ht="13.9" spans="1:14">
      <c r="A2604" s="42" t="s">
        <v>1692</v>
      </c>
      <c r="B2604" s="11">
        <v>15363299</v>
      </c>
      <c r="D2604" s="11">
        <v>70</v>
      </c>
      <c r="E2604">
        <f t="shared" si="473"/>
        <v>70</v>
      </c>
      <c r="H2604">
        <f t="shared" si="475"/>
        <v>70000000</v>
      </c>
      <c r="I2604">
        <f t="shared" si="476"/>
        <v>33600000</v>
      </c>
      <c r="K2604">
        <f t="shared" si="478"/>
        <v>125186893</v>
      </c>
      <c r="M2604">
        <f t="shared" si="474"/>
        <v>15363299</v>
      </c>
      <c r="N2604">
        <f t="shared" si="477"/>
        <v>140550192</v>
      </c>
    </row>
    <row r="2605" ht="13.9" spans="1:14">
      <c r="A2605" s="42" t="s">
        <v>1693</v>
      </c>
      <c r="B2605" s="11">
        <v>13571497</v>
      </c>
      <c r="D2605" s="11">
        <v>62</v>
      </c>
      <c r="E2605">
        <f t="shared" si="473"/>
        <v>62</v>
      </c>
      <c r="H2605">
        <f t="shared" si="475"/>
        <v>62000000</v>
      </c>
      <c r="I2605">
        <f t="shared" si="476"/>
        <v>29760000</v>
      </c>
      <c r="K2605">
        <f t="shared" si="478"/>
        <v>111615396</v>
      </c>
      <c r="M2605">
        <f t="shared" si="474"/>
        <v>13571497</v>
      </c>
      <c r="N2605">
        <f t="shared" si="477"/>
        <v>125186893</v>
      </c>
    </row>
    <row r="2606" ht="13.9" spans="1:14">
      <c r="A2606" s="42" t="s">
        <v>1694</v>
      </c>
      <c r="B2606" s="11">
        <v>10983474</v>
      </c>
      <c r="D2606" s="11">
        <v>54</v>
      </c>
      <c r="E2606">
        <f t="shared" si="473"/>
        <v>54</v>
      </c>
      <c r="H2606">
        <f t="shared" si="475"/>
        <v>54000000</v>
      </c>
      <c r="I2606">
        <f t="shared" si="476"/>
        <v>25920000</v>
      </c>
      <c r="K2606">
        <f t="shared" si="478"/>
        <v>100631922</v>
      </c>
      <c r="M2606">
        <f t="shared" si="474"/>
        <v>10983474</v>
      </c>
      <c r="N2606">
        <f t="shared" si="477"/>
        <v>111615396</v>
      </c>
    </row>
    <row r="2607" ht="13.9" spans="1:14">
      <c r="A2607" s="42" t="s">
        <v>1695</v>
      </c>
      <c r="B2607" s="11">
        <v>11005648</v>
      </c>
      <c r="D2607" s="11">
        <v>47</v>
      </c>
      <c r="E2607">
        <f t="shared" si="473"/>
        <v>47</v>
      </c>
      <c r="H2607">
        <f t="shared" si="475"/>
        <v>47000000</v>
      </c>
      <c r="I2607">
        <f t="shared" si="476"/>
        <v>22560000</v>
      </c>
      <c r="K2607">
        <f t="shared" si="478"/>
        <v>89626274</v>
      </c>
      <c r="M2607">
        <f t="shared" si="474"/>
        <v>11005648</v>
      </c>
      <c r="N2607">
        <f t="shared" si="477"/>
        <v>100631922</v>
      </c>
    </row>
    <row r="2608" ht="13.9" spans="1:14">
      <c r="A2608" s="42" t="s">
        <v>1696</v>
      </c>
      <c r="B2608" s="11">
        <v>9156461</v>
      </c>
      <c r="D2608" s="11">
        <v>42</v>
      </c>
      <c r="E2608">
        <f t="shared" si="473"/>
        <v>42</v>
      </c>
      <c r="H2608">
        <f t="shared" si="475"/>
        <v>42000000</v>
      </c>
      <c r="I2608">
        <f t="shared" si="476"/>
        <v>20160000</v>
      </c>
      <c r="K2608">
        <f t="shared" si="478"/>
        <v>80469813</v>
      </c>
      <c r="M2608">
        <f t="shared" si="474"/>
        <v>9156461</v>
      </c>
      <c r="N2608">
        <f t="shared" si="477"/>
        <v>89626274</v>
      </c>
    </row>
    <row r="2609" ht="13.9" spans="1:14">
      <c r="A2609" s="42" t="s">
        <v>1697</v>
      </c>
      <c r="B2609" s="11">
        <v>9133387</v>
      </c>
      <c r="D2609" s="11">
        <v>37</v>
      </c>
      <c r="E2609">
        <f t="shared" si="473"/>
        <v>37</v>
      </c>
      <c r="H2609">
        <f t="shared" si="475"/>
        <v>37000000</v>
      </c>
      <c r="I2609">
        <f t="shared" si="476"/>
        <v>17760000</v>
      </c>
      <c r="K2609">
        <f t="shared" si="478"/>
        <v>71336426</v>
      </c>
      <c r="M2609">
        <f t="shared" si="474"/>
        <v>9133387</v>
      </c>
      <c r="N2609">
        <f t="shared" si="477"/>
        <v>80469813</v>
      </c>
    </row>
    <row r="2610" ht="13.9" spans="1:14">
      <c r="A2610" s="42" t="s">
        <v>1698</v>
      </c>
      <c r="B2610" s="11">
        <v>7812031</v>
      </c>
      <c r="D2610" s="11">
        <v>32</v>
      </c>
      <c r="E2610">
        <f t="shared" si="473"/>
        <v>32</v>
      </c>
      <c r="H2610">
        <f t="shared" si="475"/>
        <v>32000000</v>
      </c>
      <c r="I2610">
        <f t="shared" si="476"/>
        <v>15360000</v>
      </c>
      <c r="K2610">
        <f t="shared" si="478"/>
        <v>63524395</v>
      </c>
      <c r="M2610">
        <f t="shared" si="474"/>
        <v>7812031</v>
      </c>
      <c r="N2610">
        <f t="shared" si="477"/>
        <v>71336426</v>
      </c>
    </row>
    <row r="2611" ht="13.9" spans="1:14">
      <c r="A2611" s="42" t="s">
        <v>1699</v>
      </c>
      <c r="B2611" s="11">
        <v>8057753</v>
      </c>
      <c r="D2611" s="11">
        <v>28</v>
      </c>
      <c r="E2611">
        <f t="shared" si="473"/>
        <v>28</v>
      </c>
      <c r="H2611">
        <f t="shared" si="475"/>
        <v>28000000</v>
      </c>
      <c r="I2611">
        <f t="shared" si="476"/>
        <v>13440000</v>
      </c>
      <c r="K2611">
        <f t="shared" si="478"/>
        <v>55466642</v>
      </c>
      <c r="M2611">
        <f t="shared" si="474"/>
        <v>8057753</v>
      </c>
      <c r="N2611">
        <f t="shared" si="477"/>
        <v>63524395</v>
      </c>
    </row>
    <row r="2612" ht="13.9" spans="1:14">
      <c r="A2612" s="42" t="s">
        <v>1700</v>
      </c>
      <c r="B2612" s="11">
        <v>6882598</v>
      </c>
      <c r="D2612" s="11">
        <v>24</v>
      </c>
      <c r="E2612">
        <f t="shared" si="473"/>
        <v>24</v>
      </c>
      <c r="H2612">
        <f t="shared" si="475"/>
        <v>24000000</v>
      </c>
      <c r="I2612">
        <f t="shared" si="476"/>
        <v>11520000</v>
      </c>
      <c r="K2612">
        <f t="shared" si="478"/>
        <v>48584044</v>
      </c>
      <c r="M2612">
        <f t="shared" si="474"/>
        <v>6882598</v>
      </c>
      <c r="N2612">
        <f t="shared" si="477"/>
        <v>55466642</v>
      </c>
    </row>
    <row r="2613" ht="13.9" spans="1:14">
      <c r="A2613" s="42" t="s">
        <v>1701</v>
      </c>
      <c r="B2613" s="11">
        <v>7689802</v>
      </c>
      <c r="D2613" s="11">
        <v>21</v>
      </c>
      <c r="E2613">
        <f t="shared" si="473"/>
        <v>21</v>
      </c>
      <c r="H2613">
        <f t="shared" si="475"/>
        <v>21000000</v>
      </c>
      <c r="I2613">
        <f t="shared" si="476"/>
        <v>10080000</v>
      </c>
      <c r="K2613">
        <f t="shared" si="478"/>
        <v>40894242</v>
      </c>
      <c r="M2613">
        <f t="shared" si="474"/>
        <v>7689802</v>
      </c>
      <c r="N2613">
        <f t="shared" si="477"/>
        <v>48584044</v>
      </c>
    </row>
    <row r="2614" ht="13.9" spans="1:14">
      <c r="A2614" s="42" t="s">
        <v>1702</v>
      </c>
      <c r="B2614" s="11">
        <v>6349776</v>
      </c>
      <c r="D2614" s="11">
        <v>18</v>
      </c>
      <c r="E2614">
        <f t="shared" si="473"/>
        <v>18</v>
      </c>
      <c r="H2614">
        <f t="shared" si="475"/>
        <v>18000000</v>
      </c>
      <c r="I2614">
        <f t="shared" si="476"/>
        <v>8640000</v>
      </c>
      <c r="K2614">
        <f t="shared" si="478"/>
        <v>34544466</v>
      </c>
      <c r="M2614">
        <f t="shared" si="474"/>
        <v>6349776</v>
      </c>
      <c r="N2614">
        <f t="shared" si="477"/>
        <v>40894242</v>
      </c>
    </row>
    <row r="2615" ht="13.9" spans="1:14">
      <c r="A2615" s="42" t="s">
        <v>1703</v>
      </c>
      <c r="B2615" s="11">
        <v>7176187</v>
      </c>
      <c r="D2615" s="11">
        <v>16</v>
      </c>
      <c r="E2615">
        <f t="shared" si="473"/>
        <v>16</v>
      </c>
      <c r="H2615">
        <f t="shared" si="475"/>
        <v>16000000</v>
      </c>
      <c r="I2615">
        <f t="shared" si="476"/>
        <v>7680000</v>
      </c>
      <c r="K2615">
        <f t="shared" si="478"/>
        <v>27368279</v>
      </c>
      <c r="M2615">
        <f t="shared" si="474"/>
        <v>7176187</v>
      </c>
      <c r="N2615">
        <f t="shared" si="477"/>
        <v>34544466</v>
      </c>
    </row>
    <row r="2616" ht="13.9" spans="1:14">
      <c r="A2616" s="42" t="s">
        <v>1704</v>
      </c>
      <c r="B2616" s="11">
        <v>6218928</v>
      </c>
      <c r="D2616" s="11">
        <v>14</v>
      </c>
      <c r="E2616">
        <f t="shared" si="473"/>
        <v>14</v>
      </c>
      <c r="H2616">
        <f t="shared" si="475"/>
        <v>14000000</v>
      </c>
      <c r="I2616">
        <f t="shared" si="476"/>
        <v>6720000</v>
      </c>
      <c r="K2616">
        <f t="shared" si="478"/>
        <v>21149351</v>
      </c>
      <c r="M2616">
        <f t="shared" si="474"/>
        <v>6218928</v>
      </c>
      <c r="N2616">
        <f t="shared" si="477"/>
        <v>27368279</v>
      </c>
    </row>
    <row r="2617" ht="13.9" spans="1:14">
      <c r="A2617" s="42" t="s">
        <v>1705</v>
      </c>
      <c r="B2617" s="11">
        <v>6911892</v>
      </c>
      <c r="D2617" s="11">
        <v>12</v>
      </c>
      <c r="E2617">
        <f t="shared" si="473"/>
        <v>12</v>
      </c>
      <c r="H2617">
        <f t="shared" si="475"/>
        <v>12000000</v>
      </c>
      <c r="I2617">
        <f t="shared" si="476"/>
        <v>5760000</v>
      </c>
      <c r="K2617">
        <f t="shared" si="478"/>
        <v>14237459</v>
      </c>
      <c r="M2617">
        <f t="shared" si="474"/>
        <v>6911892</v>
      </c>
      <c r="N2617">
        <f t="shared" si="477"/>
        <v>21149351</v>
      </c>
    </row>
    <row r="2618" ht="13.9" spans="1:14">
      <c r="A2618" s="42" t="s">
        <v>1706</v>
      </c>
      <c r="B2618" s="11">
        <v>5874304</v>
      </c>
      <c r="D2618" s="11">
        <v>10</v>
      </c>
      <c r="E2618">
        <f t="shared" si="473"/>
        <v>10</v>
      </c>
      <c r="H2618">
        <f t="shared" si="475"/>
        <v>10000000</v>
      </c>
      <c r="I2618">
        <f t="shared" si="476"/>
        <v>4800000</v>
      </c>
      <c r="K2618">
        <f t="shared" si="478"/>
        <v>8363155</v>
      </c>
      <c r="M2618">
        <f t="shared" si="474"/>
        <v>5874304</v>
      </c>
      <c r="N2618">
        <f t="shared" si="477"/>
        <v>14237459</v>
      </c>
    </row>
    <row r="2619" ht="13.9" spans="1:14">
      <c r="A2619" s="42" t="s">
        <v>1707</v>
      </c>
      <c r="B2619" s="11">
        <v>8363155</v>
      </c>
      <c r="D2619" s="11">
        <v>29</v>
      </c>
      <c r="E2619">
        <f t="shared" si="473"/>
        <v>29</v>
      </c>
      <c r="H2619">
        <f t="shared" si="475"/>
        <v>29000000</v>
      </c>
      <c r="I2619">
        <f t="shared" si="476"/>
        <v>13920000</v>
      </c>
      <c r="K2619">
        <f t="shared" si="478"/>
        <v>55409482</v>
      </c>
      <c r="M2619">
        <f t="shared" si="474"/>
        <v>8363155</v>
      </c>
      <c r="N2619">
        <f t="shared" si="477"/>
        <v>63772637</v>
      </c>
    </row>
    <row r="2620" ht="13.9" spans="1:14">
      <c r="A2620" s="42" t="s">
        <v>1708</v>
      </c>
      <c r="B2620" s="11">
        <v>7166557</v>
      </c>
      <c r="D2620" s="11">
        <v>25</v>
      </c>
      <c r="E2620">
        <f t="shared" si="473"/>
        <v>25</v>
      </c>
      <c r="H2620">
        <f t="shared" si="475"/>
        <v>25000000</v>
      </c>
      <c r="I2620">
        <f t="shared" si="476"/>
        <v>12000000</v>
      </c>
      <c r="K2620">
        <f t="shared" si="478"/>
        <v>48242925</v>
      </c>
      <c r="M2620">
        <f t="shared" si="474"/>
        <v>7166557</v>
      </c>
      <c r="N2620">
        <f t="shared" si="477"/>
        <v>55409482</v>
      </c>
    </row>
    <row r="2621" ht="13.9" spans="1:14">
      <c r="A2621" s="42" t="s">
        <v>1709</v>
      </c>
      <c r="B2621" s="11">
        <v>7783310</v>
      </c>
      <c r="D2621" s="11">
        <v>21</v>
      </c>
      <c r="E2621">
        <f t="shared" si="473"/>
        <v>21</v>
      </c>
      <c r="H2621">
        <f t="shared" si="475"/>
        <v>21000000</v>
      </c>
      <c r="I2621">
        <f t="shared" si="476"/>
        <v>10080000</v>
      </c>
      <c r="K2621">
        <f t="shared" si="478"/>
        <v>40459615</v>
      </c>
      <c r="M2621">
        <f t="shared" si="474"/>
        <v>7783310</v>
      </c>
      <c r="N2621">
        <f t="shared" si="477"/>
        <v>48242925</v>
      </c>
    </row>
    <row r="2622" ht="13.9" spans="1:14">
      <c r="A2622" s="42" t="s">
        <v>1710</v>
      </c>
      <c r="B2622" s="11">
        <v>6557801</v>
      </c>
      <c r="D2622" s="11">
        <v>18</v>
      </c>
      <c r="E2622">
        <f t="shared" si="473"/>
        <v>18</v>
      </c>
      <c r="H2622">
        <f t="shared" si="475"/>
        <v>18000000</v>
      </c>
      <c r="I2622">
        <f t="shared" si="476"/>
        <v>8640000</v>
      </c>
      <c r="K2622">
        <f t="shared" si="478"/>
        <v>33901814</v>
      </c>
      <c r="M2622">
        <f t="shared" si="474"/>
        <v>6557801</v>
      </c>
      <c r="N2622">
        <f t="shared" si="477"/>
        <v>40459615</v>
      </c>
    </row>
    <row r="2623" ht="13.9" spans="1:14">
      <c r="A2623" s="42" t="s">
        <v>1711</v>
      </c>
      <c r="B2623" s="11">
        <v>7306535</v>
      </c>
      <c r="D2623" s="11">
        <v>16</v>
      </c>
      <c r="E2623">
        <f t="shared" si="473"/>
        <v>16</v>
      </c>
      <c r="H2623">
        <f t="shared" si="475"/>
        <v>16000000</v>
      </c>
      <c r="I2623">
        <f t="shared" si="476"/>
        <v>7680000</v>
      </c>
      <c r="K2623">
        <f t="shared" si="478"/>
        <v>26595279</v>
      </c>
      <c r="M2623">
        <f t="shared" si="474"/>
        <v>7306535</v>
      </c>
      <c r="N2623">
        <f t="shared" si="477"/>
        <v>33901814</v>
      </c>
    </row>
    <row r="2624" ht="13.9" spans="1:14">
      <c r="A2624" s="42" t="s">
        <v>1712</v>
      </c>
      <c r="B2624" s="11">
        <v>6107990</v>
      </c>
      <c r="D2624" s="11">
        <v>14</v>
      </c>
      <c r="E2624">
        <f t="shared" ref="E2624:E2687" si="479">IF(RIGHT(D2624,1)="B",VALUE(LEFT(D2624,LEN(D2624)-1))*1000,D2624)</f>
        <v>14</v>
      </c>
      <c r="H2624">
        <f t="shared" si="475"/>
        <v>14000000</v>
      </c>
      <c r="I2624">
        <f t="shared" si="476"/>
        <v>6720000</v>
      </c>
      <c r="K2624">
        <f t="shared" si="478"/>
        <v>20487289</v>
      </c>
      <c r="M2624">
        <f t="shared" si="474"/>
        <v>6107990</v>
      </c>
      <c r="N2624">
        <f t="shared" si="477"/>
        <v>26595279</v>
      </c>
    </row>
    <row r="2625" ht="13.9" spans="1:14">
      <c r="A2625" s="42" t="s">
        <v>1713</v>
      </c>
      <c r="B2625" s="11">
        <v>7182578</v>
      </c>
      <c r="D2625" s="11">
        <v>12</v>
      </c>
      <c r="E2625">
        <f t="shared" si="479"/>
        <v>12</v>
      </c>
      <c r="H2625">
        <f t="shared" si="475"/>
        <v>12000000</v>
      </c>
      <c r="I2625">
        <f t="shared" si="476"/>
        <v>5760000</v>
      </c>
      <c r="K2625">
        <f t="shared" si="478"/>
        <v>13304711</v>
      </c>
      <c r="M2625">
        <f t="shared" si="474"/>
        <v>7182578</v>
      </c>
      <c r="N2625">
        <f t="shared" si="477"/>
        <v>20487289</v>
      </c>
    </row>
    <row r="2626" ht="13.9" spans="1:14">
      <c r="A2626" s="42" t="s">
        <v>1714</v>
      </c>
      <c r="B2626" s="11">
        <v>5987591</v>
      </c>
      <c r="D2626" s="11">
        <v>10</v>
      </c>
      <c r="E2626">
        <f t="shared" si="479"/>
        <v>10</v>
      </c>
      <c r="H2626">
        <f t="shared" si="475"/>
        <v>10000000</v>
      </c>
      <c r="I2626">
        <f t="shared" si="476"/>
        <v>4800000</v>
      </c>
      <c r="K2626">
        <f t="shared" si="478"/>
        <v>7317120</v>
      </c>
      <c r="M2626">
        <f t="shared" si="474"/>
        <v>5987591</v>
      </c>
      <c r="N2626">
        <f t="shared" si="477"/>
        <v>13304711</v>
      </c>
    </row>
    <row r="2627" ht="13.9" spans="1:14">
      <c r="A2627" s="42" t="s">
        <v>1715</v>
      </c>
      <c r="B2627" s="11">
        <v>7317120</v>
      </c>
      <c r="D2627" s="11">
        <v>14</v>
      </c>
      <c r="E2627">
        <f t="shared" si="479"/>
        <v>14</v>
      </c>
      <c r="H2627">
        <f t="shared" si="475"/>
        <v>14000000</v>
      </c>
      <c r="I2627">
        <f t="shared" si="476"/>
        <v>6720000</v>
      </c>
      <c r="K2627">
        <f t="shared" si="478"/>
        <v>20941736</v>
      </c>
      <c r="M2627">
        <f t="shared" si="474"/>
        <v>7317120</v>
      </c>
      <c r="N2627">
        <f t="shared" si="477"/>
        <v>28258856</v>
      </c>
    </row>
    <row r="2628" ht="13.9" spans="1:14">
      <c r="A2628" s="42" t="s">
        <v>1716</v>
      </c>
      <c r="B2628" s="11">
        <v>6355564</v>
      </c>
      <c r="D2628" s="11">
        <v>12</v>
      </c>
      <c r="E2628">
        <f t="shared" si="479"/>
        <v>12</v>
      </c>
      <c r="H2628">
        <f t="shared" si="475"/>
        <v>12000000</v>
      </c>
      <c r="I2628">
        <f t="shared" si="476"/>
        <v>5760000</v>
      </c>
      <c r="K2628">
        <f t="shared" si="478"/>
        <v>14586172</v>
      </c>
      <c r="M2628">
        <f t="shared" si="474"/>
        <v>6355564</v>
      </c>
      <c r="N2628">
        <f t="shared" si="477"/>
        <v>20941736</v>
      </c>
    </row>
    <row r="2629" ht="13.9" spans="1:14">
      <c r="A2629" s="42" t="s">
        <v>1717</v>
      </c>
      <c r="B2629" s="11">
        <v>7142643</v>
      </c>
      <c r="D2629" s="11">
        <v>10</v>
      </c>
      <c r="E2629">
        <f t="shared" si="479"/>
        <v>10</v>
      </c>
      <c r="H2629">
        <f t="shared" si="475"/>
        <v>10000000</v>
      </c>
      <c r="I2629">
        <f t="shared" si="476"/>
        <v>4800000</v>
      </c>
      <c r="K2629">
        <f t="shared" si="478"/>
        <v>7443529</v>
      </c>
      <c r="M2629">
        <f t="shared" si="474"/>
        <v>7142643</v>
      </c>
      <c r="N2629">
        <f t="shared" si="477"/>
        <v>14586172</v>
      </c>
    </row>
    <row r="2630" ht="13.9" spans="1:14">
      <c r="A2630" s="42" t="s">
        <v>1718</v>
      </c>
      <c r="B2630" s="11">
        <v>7443529</v>
      </c>
      <c r="D2630" s="11">
        <v>23</v>
      </c>
      <c r="E2630">
        <f t="shared" si="479"/>
        <v>23</v>
      </c>
      <c r="H2630">
        <f t="shared" si="475"/>
        <v>23000000</v>
      </c>
      <c r="I2630">
        <f t="shared" si="476"/>
        <v>11040000</v>
      </c>
      <c r="K2630">
        <f t="shared" si="478"/>
        <v>43028224</v>
      </c>
      <c r="M2630">
        <f t="shared" ref="M2630:M2693" si="480">B2630+C2630</f>
        <v>7443529</v>
      </c>
      <c r="N2630">
        <f t="shared" si="477"/>
        <v>64289112</v>
      </c>
    </row>
    <row r="2631" ht="13.9" spans="1:14">
      <c r="A2631" s="42" t="s">
        <v>1719</v>
      </c>
      <c r="B2631" s="11">
        <v>7999316</v>
      </c>
      <c r="D2631" s="11">
        <v>19</v>
      </c>
      <c r="E2631">
        <f t="shared" si="479"/>
        <v>19</v>
      </c>
      <c r="H2631">
        <f t="shared" si="475"/>
        <v>19000000</v>
      </c>
      <c r="I2631">
        <f t="shared" si="476"/>
        <v>9120000</v>
      </c>
      <c r="K2631">
        <f t="shared" si="478"/>
        <v>35028908</v>
      </c>
      <c r="M2631">
        <f t="shared" si="480"/>
        <v>7999316</v>
      </c>
      <c r="N2631">
        <f t="shared" si="477"/>
        <v>56845583</v>
      </c>
    </row>
    <row r="2632" ht="13.9" spans="1:14">
      <c r="A2632" s="42" t="s">
        <v>1720</v>
      </c>
      <c r="B2632" s="11">
        <v>6872179</v>
      </c>
      <c r="D2632" s="11">
        <v>16</v>
      </c>
      <c r="E2632">
        <f t="shared" si="479"/>
        <v>16</v>
      </c>
      <c r="H2632">
        <f t="shared" si="475"/>
        <v>16000000</v>
      </c>
      <c r="I2632">
        <f t="shared" si="476"/>
        <v>7680000</v>
      </c>
      <c r="K2632">
        <f t="shared" si="478"/>
        <v>28156729</v>
      </c>
      <c r="M2632">
        <f t="shared" si="480"/>
        <v>6872179</v>
      </c>
      <c r="N2632">
        <f t="shared" si="477"/>
        <v>48846267</v>
      </c>
    </row>
    <row r="2633" ht="13.9" spans="1:14">
      <c r="A2633" s="42" t="s">
        <v>1721</v>
      </c>
      <c r="B2633" s="11">
        <v>7611868</v>
      </c>
      <c r="D2633" s="11">
        <v>14</v>
      </c>
      <c r="E2633">
        <f t="shared" si="479"/>
        <v>14</v>
      </c>
      <c r="H2633">
        <f t="shared" si="475"/>
        <v>14000000</v>
      </c>
      <c r="I2633">
        <f t="shared" si="476"/>
        <v>6720000</v>
      </c>
      <c r="K2633">
        <f t="shared" si="478"/>
        <v>20544861</v>
      </c>
      <c r="M2633">
        <f t="shared" si="480"/>
        <v>7611868</v>
      </c>
      <c r="N2633">
        <f t="shared" si="477"/>
        <v>41974088</v>
      </c>
    </row>
    <row r="2634" ht="13.9" spans="1:14">
      <c r="A2634" s="42" t="s">
        <v>1722</v>
      </c>
      <c r="B2634" s="11">
        <v>6580687</v>
      </c>
      <c r="D2634" s="11">
        <v>12</v>
      </c>
      <c r="E2634">
        <f t="shared" si="479"/>
        <v>12</v>
      </c>
      <c r="H2634">
        <f t="shared" si="475"/>
        <v>12000000</v>
      </c>
      <c r="I2634">
        <f t="shared" si="476"/>
        <v>5760000</v>
      </c>
      <c r="K2634">
        <f t="shared" si="478"/>
        <v>13964174</v>
      </c>
      <c r="M2634">
        <f t="shared" si="480"/>
        <v>6580687</v>
      </c>
      <c r="N2634">
        <f t="shared" si="477"/>
        <v>34362220</v>
      </c>
    </row>
    <row r="2635" ht="13.9" spans="1:14">
      <c r="A2635" s="42" t="s">
        <v>1723</v>
      </c>
      <c r="B2635" s="11">
        <v>7245052</v>
      </c>
      <c r="D2635" s="11">
        <v>10</v>
      </c>
      <c r="E2635">
        <f t="shared" si="479"/>
        <v>10</v>
      </c>
      <c r="H2635">
        <f t="shared" si="475"/>
        <v>10000000</v>
      </c>
      <c r="I2635">
        <f t="shared" si="476"/>
        <v>4800000</v>
      </c>
      <c r="K2635">
        <f t="shared" si="478"/>
        <v>6719122</v>
      </c>
      <c r="M2635">
        <f t="shared" si="480"/>
        <v>7245052</v>
      </c>
      <c r="N2635">
        <f t="shared" si="477"/>
        <v>27781533</v>
      </c>
    </row>
    <row r="2636" ht="13.9" spans="1:14">
      <c r="A2636" s="42" t="s">
        <v>1724</v>
      </c>
      <c r="B2636" s="11">
        <v>6719122</v>
      </c>
      <c r="D2636" s="11">
        <v>10</v>
      </c>
      <c r="E2636">
        <f t="shared" si="479"/>
        <v>10</v>
      </c>
      <c r="H2636">
        <f t="shared" si="475"/>
        <v>10000000</v>
      </c>
      <c r="I2636">
        <f t="shared" si="476"/>
        <v>4800000</v>
      </c>
      <c r="K2636">
        <f t="shared" si="478"/>
        <v>13817359</v>
      </c>
      <c r="M2636">
        <f t="shared" si="480"/>
        <v>6719122</v>
      </c>
      <c r="N2636">
        <f t="shared" si="477"/>
        <v>20536481</v>
      </c>
    </row>
    <row r="2637" ht="13.9" spans="1:14">
      <c r="A2637" s="42" t="s">
        <v>1725</v>
      </c>
      <c r="B2637" s="11">
        <v>13817359</v>
      </c>
      <c r="D2637" s="11">
        <v>65</v>
      </c>
      <c r="E2637">
        <f t="shared" si="479"/>
        <v>65</v>
      </c>
      <c r="H2637">
        <f t="shared" si="475"/>
        <v>65000000</v>
      </c>
      <c r="I2637">
        <f t="shared" si="476"/>
        <v>31200000</v>
      </c>
      <c r="K2637">
        <f t="shared" si="478"/>
        <v>117817910</v>
      </c>
      <c r="M2637">
        <f t="shared" si="480"/>
        <v>13817359</v>
      </c>
      <c r="N2637">
        <f t="shared" si="477"/>
        <v>131635269</v>
      </c>
    </row>
    <row r="2638" ht="13.9" spans="1:14">
      <c r="A2638" s="42" t="s">
        <v>1726</v>
      </c>
      <c r="B2638" s="11">
        <v>11384507</v>
      </c>
      <c r="D2638" s="11">
        <v>57</v>
      </c>
      <c r="E2638">
        <f t="shared" si="479"/>
        <v>57</v>
      </c>
      <c r="H2638">
        <f t="shared" si="475"/>
        <v>57000000</v>
      </c>
      <c r="I2638">
        <f t="shared" si="476"/>
        <v>27360000</v>
      </c>
      <c r="K2638">
        <f t="shared" si="478"/>
        <v>106433403</v>
      </c>
      <c r="M2638">
        <f t="shared" si="480"/>
        <v>11384507</v>
      </c>
      <c r="N2638">
        <f t="shared" si="477"/>
        <v>117817910</v>
      </c>
    </row>
    <row r="2639" ht="13.9" spans="1:14">
      <c r="A2639" s="42" t="s">
        <v>1727</v>
      </c>
      <c r="B2639" s="11">
        <v>11575918</v>
      </c>
      <c r="D2639" s="11">
        <v>51</v>
      </c>
      <c r="E2639">
        <f t="shared" si="479"/>
        <v>51</v>
      </c>
      <c r="H2639">
        <f t="shared" ref="H2639:H2702" si="481">E2639*1000000</f>
        <v>51000000</v>
      </c>
      <c r="I2639">
        <f t="shared" si="476"/>
        <v>24480000</v>
      </c>
      <c r="K2639">
        <f t="shared" si="478"/>
        <v>94857485</v>
      </c>
      <c r="M2639">
        <f t="shared" si="480"/>
        <v>11575918</v>
      </c>
      <c r="N2639">
        <f t="shared" si="477"/>
        <v>106433403</v>
      </c>
    </row>
    <row r="2640" ht="13.9" spans="1:14">
      <c r="A2640" s="42" t="s">
        <v>1728</v>
      </c>
      <c r="B2640" s="11">
        <v>9559205</v>
      </c>
      <c r="D2640" s="11">
        <v>45</v>
      </c>
      <c r="E2640">
        <f t="shared" si="479"/>
        <v>45</v>
      </c>
      <c r="H2640">
        <f t="shared" si="481"/>
        <v>45000000</v>
      </c>
      <c r="I2640">
        <f t="shared" si="476"/>
        <v>21600000</v>
      </c>
      <c r="K2640">
        <f t="shared" si="478"/>
        <v>85298280</v>
      </c>
      <c r="M2640">
        <f t="shared" si="480"/>
        <v>9559205</v>
      </c>
      <c r="N2640">
        <f t="shared" si="477"/>
        <v>94857485</v>
      </c>
    </row>
    <row r="2641" ht="13.9" spans="1:14">
      <c r="A2641" s="42" t="s">
        <v>1729</v>
      </c>
      <c r="B2641" s="11">
        <v>9904277</v>
      </c>
      <c r="D2641" s="11">
        <v>40</v>
      </c>
      <c r="E2641">
        <f t="shared" si="479"/>
        <v>40</v>
      </c>
      <c r="H2641">
        <f t="shared" si="481"/>
        <v>40000000</v>
      </c>
      <c r="I2641">
        <f t="shared" si="476"/>
        <v>19200000</v>
      </c>
      <c r="K2641">
        <f t="shared" si="478"/>
        <v>75394003</v>
      </c>
      <c r="M2641">
        <f t="shared" si="480"/>
        <v>9904277</v>
      </c>
      <c r="N2641">
        <f t="shared" si="477"/>
        <v>85298280</v>
      </c>
    </row>
    <row r="2642" ht="13.9" spans="1:14">
      <c r="A2642" s="42" t="s">
        <v>1730</v>
      </c>
      <c r="B2642" s="11">
        <v>7808775</v>
      </c>
      <c r="D2642" s="11">
        <v>36</v>
      </c>
      <c r="E2642">
        <f t="shared" si="479"/>
        <v>36</v>
      </c>
      <c r="H2642">
        <f t="shared" si="481"/>
        <v>36000000</v>
      </c>
      <c r="I2642">
        <f t="shared" si="476"/>
        <v>17280000</v>
      </c>
      <c r="K2642">
        <f t="shared" si="478"/>
        <v>67585228</v>
      </c>
      <c r="M2642">
        <f t="shared" si="480"/>
        <v>7808775</v>
      </c>
      <c r="N2642">
        <f t="shared" si="477"/>
        <v>75394003</v>
      </c>
    </row>
    <row r="2643" ht="13.9" spans="1:14">
      <c r="A2643" s="42" t="s">
        <v>1731</v>
      </c>
      <c r="B2643" s="11">
        <v>8971209</v>
      </c>
      <c r="D2643" s="11">
        <v>31</v>
      </c>
      <c r="E2643">
        <f t="shared" si="479"/>
        <v>31</v>
      </c>
      <c r="H2643">
        <f t="shared" si="481"/>
        <v>31000000</v>
      </c>
      <c r="I2643">
        <f t="shared" si="476"/>
        <v>14880000</v>
      </c>
      <c r="K2643">
        <f t="shared" si="478"/>
        <v>58614019</v>
      </c>
      <c r="M2643">
        <f t="shared" si="480"/>
        <v>8971209</v>
      </c>
      <c r="N2643">
        <f t="shared" si="477"/>
        <v>67585228</v>
      </c>
    </row>
    <row r="2644" ht="13.9" spans="1:14">
      <c r="A2644" s="42" t="s">
        <v>1732</v>
      </c>
      <c r="B2644" s="11">
        <v>7542006</v>
      </c>
      <c r="D2644" s="11">
        <v>27</v>
      </c>
      <c r="E2644">
        <f t="shared" si="479"/>
        <v>27</v>
      </c>
      <c r="H2644">
        <f t="shared" si="481"/>
        <v>27000000</v>
      </c>
      <c r="I2644">
        <f t="shared" si="476"/>
        <v>12960000</v>
      </c>
      <c r="K2644">
        <f t="shared" si="478"/>
        <v>51072013</v>
      </c>
      <c r="M2644">
        <f t="shared" si="480"/>
        <v>7542006</v>
      </c>
      <c r="N2644">
        <f t="shared" si="477"/>
        <v>58614019</v>
      </c>
    </row>
    <row r="2645" ht="13.9" spans="1:14">
      <c r="A2645" s="42" t="s">
        <v>1733</v>
      </c>
      <c r="B2645" s="11">
        <v>8193996</v>
      </c>
      <c r="D2645" s="11">
        <v>23</v>
      </c>
      <c r="E2645">
        <f t="shared" si="479"/>
        <v>23</v>
      </c>
      <c r="H2645">
        <f t="shared" si="481"/>
        <v>23000000</v>
      </c>
      <c r="I2645">
        <f t="shared" si="476"/>
        <v>11040000</v>
      </c>
      <c r="K2645">
        <f t="shared" si="478"/>
        <v>42878017</v>
      </c>
      <c r="M2645">
        <f t="shared" si="480"/>
        <v>8193996</v>
      </c>
      <c r="N2645">
        <f t="shared" si="477"/>
        <v>51072013</v>
      </c>
    </row>
    <row r="2646" ht="13.9" spans="1:14">
      <c r="A2646" s="42" t="s">
        <v>1734</v>
      </c>
      <c r="B2646" s="11">
        <v>6947332</v>
      </c>
      <c r="D2646" s="11">
        <v>18</v>
      </c>
      <c r="E2646">
        <f t="shared" si="479"/>
        <v>18</v>
      </c>
      <c r="H2646">
        <f t="shared" si="481"/>
        <v>18000000</v>
      </c>
      <c r="I2646">
        <f t="shared" si="476"/>
        <v>8640000</v>
      </c>
      <c r="K2646">
        <f t="shared" si="478"/>
        <v>35930685</v>
      </c>
      <c r="M2646">
        <f t="shared" si="480"/>
        <v>6947332</v>
      </c>
      <c r="N2646">
        <f t="shared" si="477"/>
        <v>42878017</v>
      </c>
    </row>
    <row r="2647" ht="13.9" spans="1:14">
      <c r="A2647" s="42" t="s">
        <v>1735</v>
      </c>
      <c r="B2647" s="11">
        <v>7686673</v>
      </c>
      <c r="D2647" s="11">
        <v>16</v>
      </c>
      <c r="E2647">
        <f t="shared" si="479"/>
        <v>16</v>
      </c>
      <c r="H2647">
        <f t="shared" si="481"/>
        <v>16000000</v>
      </c>
      <c r="I2647">
        <f t="shared" si="476"/>
        <v>7680000</v>
      </c>
      <c r="K2647">
        <f t="shared" si="478"/>
        <v>28244012</v>
      </c>
      <c r="M2647">
        <f t="shared" si="480"/>
        <v>7686673</v>
      </c>
      <c r="N2647">
        <f t="shared" si="477"/>
        <v>35930685</v>
      </c>
    </row>
    <row r="2648" ht="13.9" spans="1:14">
      <c r="A2648" s="42" t="s">
        <v>1736</v>
      </c>
      <c r="B2648" s="11">
        <v>6630878</v>
      </c>
      <c r="D2648" s="11">
        <v>14</v>
      </c>
      <c r="E2648">
        <f t="shared" si="479"/>
        <v>14</v>
      </c>
      <c r="H2648">
        <f t="shared" si="481"/>
        <v>14000000</v>
      </c>
      <c r="I2648">
        <f t="shared" si="476"/>
        <v>6720000</v>
      </c>
      <c r="K2648">
        <f t="shared" si="478"/>
        <v>21613134</v>
      </c>
      <c r="M2648">
        <f t="shared" si="480"/>
        <v>6630878</v>
      </c>
      <c r="N2648">
        <f t="shared" si="477"/>
        <v>28244012</v>
      </c>
    </row>
    <row r="2649" ht="13.9" spans="1:14">
      <c r="A2649" s="42" t="s">
        <v>1737</v>
      </c>
      <c r="B2649" s="11">
        <v>7358539</v>
      </c>
      <c r="D2649" s="11">
        <v>12</v>
      </c>
      <c r="E2649">
        <f t="shared" si="479"/>
        <v>12</v>
      </c>
      <c r="H2649">
        <f t="shared" si="481"/>
        <v>12000000</v>
      </c>
      <c r="I2649">
        <f t="shared" si="476"/>
        <v>5760000</v>
      </c>
      <c r="K2649">
        <f t="shared" si="478"/>
        <v>14254595</v>
      </c>
      <c r="M2649">
        <f t="shared" si="480"/>
        <v>7358539</v>
      </c>
      <c r="N2649">
        <f t="shared" si="477"/>
        <v>21613134</v>
      </c>
    </row>
    <row r="2650" ht="13.9" spans="1:14">
      <c r="A2650" s="42" t="s">
        <v>1738</v>
      </c>
      <c r="B2650" s="11">
        <v>6477056</v>
      </c>
      <c r="D2650" s="11">
        <v>10</v>
      </c>
      <c r="E2650">
        <f t="shared" si="479"/>
        <v>10</v>
      </c>
      <c r="H2650">
        <f t="shared" si="481"/>
        <v>10000000</v>
      </c>
      <c r="I2650">
        <f t="shared" si="476"/>
        <v>4800000</v>
      </c>
      <c r="K2650">
        <f t="shared" si="478"/>
        <v>7777539</v>
      </c>
      <c r="M2650">
        <f t="shared" si="480"/>
        <v>6477056</v>
      </c>
      <c r="N2650">
        <f t="shared" si="477"/>
        <v>14254595</v>
      </c>
    </row>
    <row r="2651" ht="13.9" spans="1:14">
      <c r="A2651" s="42" t="s">
        <v>1739</v>
      </c>
      <c r="B2651" s="11">
        <v>7777539</v>
      </c>
      <c r="D2651" s="11">
        <v>12</v>
      </c>
      <c r="E2651">
        <f t="shared" si="479"/>
        <v>12</v>
      </c>
      <c r="H2651">
        <f t="shared" si="481"/>
        <v>12000000</v>
      </c>
      <c r="I2651">
        <f t="shared" si="476"/>
        <v>5760000</v>
      </c>
      <c r="K2651">
        <f t="shared" si="478"/>
        <v>20354514</v>
      </c>
      <c r="M2651">
        <f t="shared" si="480"/>
        <v>7777539</v>
      </c>
      <c r="N2651">
        <f t="shared" si="477"/>
        <v>28132053</v>
      </c>
    </row>
    <row r="2652" ht="13.9" spans="1:14">
      <c r="A2652" s="42" t="s">
        <v>1740</v>
      </c>
      <c r="B2652" s="11">
        <v>6686026</v>
      </c>
      <c r="D2652" s="11">
        <v>10</v>
      </c>
      <c r="E2652">
        <f t="shared" si="479"/>
        <v>10</v>
      </c>
      <c r="H2652">
        <f t="shared" si="481"/>
        <v>10000000</v>
      </c>
      <c r="I2652">
        <f t="shared" si="476"/>
        <v>4800000</v>
      </c>
      <c r="K2652">
        <f t="shared" si="478"/>
        <v>13668488</v>
      </c>
      <c r="M2652">
        <f t="shared" si="480"/>
        <v>6686026</v>
      </c>
      <c r="N2652">
        <f t="shared" si="477"/>
        <v>20354514</v>
      </c>
    </row>
    <row r="2653" ht="13.9" spans="1:14">
      <c r="A2653" s="42" t="s">
        <v>1741</v>
      </c>
      <c r="B2653" s="11">
        <v>13668488</v>
      </c>
      <c r="D2653" s="11">
        <v>61</v>
      </c>
      <c r="E2653">
        <f t="shared" si="479"/>
        <v>61</v>
      </c>
      <c r="H2653">
        <f t="shared" si="481"/>
        <v>61000000</v>
      </c>
      <c r="I2653">
        <f t="shared" si="476"/>
        <v>29280000</v>
      </c>
      <c r="K2653">
        <f t="shared" si="478"/>
        <v>110871126</v>
      </c>
      <c r="M2653">
        <f t="shared" si="480"/>
        <v>13668488</v>
      </c>
      <c r="N2653">
        <f t="shared" si="477"/>
        <v>124539614</v>
      </c>
    </row>
    <row r="2654" ht="13.9" spans="1:14">
      <c r="A2654" s="42" t="s">
        <v>1742</v>
      </c>
      <c r="B2654" s="11">
        <v>11340234</v>
      </c>
      <c r="D2654" s="11">
        <v>54</v>
      </c>
      <c r="E2654">
        <f t="shared" si="479"/>
        <v>54</v>
      </c>
      <c r="H2654">
        <f t="shared" si="481"/>
        <v>54000000</v>
      </c>
      <c r="I2654">
        <f t="shared" ref="I2654:I2668" si="482">H2654*0.48</f>
        <v>25920000</v>
      </c>
      <c r="K2654">
        <f t="shared" si="478"/>
        <v>99530892</v>
      </c>
      <c r="M2654">
        <f t="shared" si="480"/>
        <v>11340234</v>
      </c>
      <c r="N2654">
        <f t="shared" si="477"/>
        <v>110871126</v>
      </c>
    </row>
    <row r="2655" ht="13.9" spans="1:14">
      <c r="A2655" s="42" t="s">
        <v>1743</v>
      </c>
      <c r="B2655" s="11">
        <v>11309298</v>
      </c>
      <c r="D2655" s="11">
        <v>48</v>
      </c>
      <c r="E2655">
        <f t="shared" si="479"/>
        <v>48</v>
      </c>
      <c r="H2655">
        <f t="shared" si="481"/>
        <v>48000000</v>
      </c>
      <c r="I2655">
        <f t="shared" si="482"/>
        <v>23040000</v>
      </c>
      <c r="K2655">
        <f t="shared" si="478"/>
        <v>88221594</v>
      </c>
      <c r="M2655">
        <f t="shared" si="480"/>
        <v>11309298</v>
      </c>
      <c r="N2655">
        <f t="shared" ref="N2655:N2718" si="483">IF(H2655&lt;H2656,M2655+M2656,M2655+N2656)</f>
        <v>99530892</v>
      </c>
    </row>
    <row r="2656" ht="13.9" spans="1:14">
      <c r="A2656" s="42" t="s">
        <v>1744</v>
      </c>
      <c r="B2656" s="11">
        <v>9866708</v>
      </c>
      <c r="D2656" s="11">
        <v>41</v>
      </c>
      <c r="E2656">
        <f t="shared" si="479"/>
        <v>41</v>
      </c>
      <c r="H2656">
        <f t="shared" si="481"/>
        <v>41000000</v>
      </c>
      <c r="I2656">
        <f t="shared" si="482"/>
        <v>19680000</v>
      </c>
      <c r="K2656">
        <f t="shared" si="478"/>
        <v>78354886</v>
      </c>
      <c r="M2656">
        <f t="shared" si="480"/>
        <v>9866708</v>
      </c>
      <c r="N2656">
        <f t="shared" si="483"/>
        <v>88221594</v>
      </c>
    </row>
    <row r="2657" ht="13.9" spans="1:14">
      <c r="A2657" s="42" t="s">
        <v>1745</v>
      </c>
      <c r="B2657" s="11">
        <v>9889051</v>
      </c>
      <c r="D2657" s="11">
        <v>35</v>
      </c>
      <c r="E2657">
        <f t="shared" si="479"/>
        <v>35</v>
      </c>
      <c r="H2657">
        <f t="shared" si="481"/>
        <v>35000000</v>
      </c>
      <c r="I2657">
        <f t="shared" si="482"/>
        <v>16800000</v>
      </c>
      <c r="K2657">
        <f t="shared" si="478"/>
        <v>68465835</v>
      </c>
      <c r="M2657">
        <f t="shared" si="480"/>
        <v>9889051</v>
      </c>
      <c r="N2657">
        <f t="shared" si="483"/>
        <v>78354886</v>
      </c>
    </row>
    <row r="2658" ht="13.9" spans="1:14">
      <c r="A2658" s="42" t="s">
        <v>1746</v>
      </c>
      <c r="B2658" s="11">
        <v>8972394</v>
      </c>
      <c r="D2658" s="11">
        <v>28</v>
      </c>
      <c r="E2658">
        <f t="shared" si="479"/>
        <v>28</v>
      </c>
      <c r="H2658">
        <f t="shared" si="481"/>
        <v>28000000</v>
      </c>
      <c r="I2658">
        <f t="shared" si="482"/>
        <v>13440000</v>
      </c>
      <c r="K2658">
        <f t="shared" si="478"/>
        <v>59493441</v>
      </c>
      <c r="M2658">
        <f t="shared" si="480"/>
        <v>8972394</v>
      </c>
      <c r="N2658">
        <f t="shared" si="483"/>
        <v>68465835</v>
      </c>
    </row>
    <row r="2659" ht="13.9" spans="1:14">
      <c r="A2659" s="42" t="s">
        <v>1747</v>
      </c>
      <c r="B2659" s="11">
        <v>9542893</v>
      </c>
      <c r="D2659" s="11">
        <v>23</v>
      </c>
      <c r="E2659">
        <f t="shared" si="479"/>
        <v>23</v>
      </c>
      <c r="H2659">
        <f t="shared" si="481"/>
        <v>23000000</v>
      </c>
      <c r="I2659">
        <f t="shared" si="482"/>
        <v>11040000</v>
      </c>
      <c r="K2659">
        <f t="shared" si="478"/>
        <v>49950548</v>
      </c>
      <c r="M2659">
        <f t="shared" si="480"/>
        <v>9542893</v>
      </c>
      <c r="N2659">
        <f t="shared" si="483"/>
        <v>59493441</v>
      </c>
    </row>
    <row r="2660" ht="13.9" spans="1:14">
      <c r="A2660" s="42" t="s">
        <v>1748</v>
      </c>
      <c r="B2660" s="11">
        <v>7682962</v>
      </c>
      <c r="D2660" s="11">
        <v>18</v>
      </c>
      <c r="E2660">
        <f t="shared" si="479"/>
        <v>18</v>
      </c>
      <c r="H2660">
        <f t="shared" si="481"/>
        <v>18000000</v>
      </c>
      <c r="I2660">
        <f t="shared" si="482"/>
        <v>8640000</v>
      </c>
      <c r="K2660">
        <f t="shared" si="478"/>
        <v>42267586</v>
      </c>
      <c r="M2660">
        <f t="shared" si="480"/>
        <v>7682962</v>
      </c>
      <c r="N2660">
        <f t="shared" si="483"/>
        <v>49950548</v>
      </c>
    </row>
    <row r="2661" ht="13.9" spans="1:14">
      <c r="A2661" s="42" t="s">
        <v>1749</v>
      </c>
      <c r="B2661" s="11">
        <v>8177531</v>
      </c>
      <c r="D2661" s="11">
        <v>14</v>
      </c>
      <c r="E2661">
        <f t="shared" si="479"/>
        <v>14</v>
      </c>
      <c r="H2661">
        <f t="shared" si="481"/>
        <v>14000000</v>
      </c>
      <c r="I2661">
        <f t="shared" si="482"/>
        <v>6720000</v>
      </c>
      <c r="K2661">
        <f t="shared" si="478"/>
        <v>34090055</v>
      </c>
      <c r="M2661">
        <f t="shared" si="480"/>
        <v>8177531</v>
      </c>
      <c r="N2661">
        <f t="shared" si="483"/>
        <v>42267586</v>
      </c>
    </row>
    <row r="2662" ht="13.9" spans="1:14">
      <c r="A2662" s="42" t="s">
        <v>1750</v>
      </c>
      <c r="B2662" s="11">
        <v>6992779</v>
      </c>
      <c r="D2662" s="11">
        <v>12</v>
      </c>
      <c r="E2662">
        <f t="shared" si="479"/>
        <v>12</v>
      </c>
      <c r="H2662">
        <f t="shared" si="481"/>
        <v>12000000</v>
      </c>
      <c r="I2662">
        <f t="shared" si="482"/>
        <v>5760000</v>
      </c>
      <c r="K2662">
        <f t="shared" si="478"/>
        <v>27097276</v>
      </c>
      <c r="M2662">
        <f t="shared" si="480"/>
        <v>6992779</v>
      </c>
      <c r="N2662">
        <f t="shared" si="483"/>
        <v>34090055</v>
      </c>
    </row>
    <row r="2663" ht="13.9" spans="1:14">
      <c r="A2663" s="42" t="s">
        <v>1751</v>
      </c>
      <c r="B2663" s="11">
        <v>8788695</v>
      </c>
      <c r="D2663" s="11">
        <v>10</v>
      </c>
      <c r="E2663">
        <f t="shared" si="479"/>
        <v>10</v>
      </c>
      <c r="H2663">
        <f t="shared" si="481"/>
        <v>10000000</v>
      </c>
      <c r="I2663">
        <f t="shared" si="482"/>
        <v>4800000</v>
      </c>
      <c r="K2663">
        <f t="shared" si="478"/>
        <v>18308581</v>
      </c>
      <c r="M2663">
        <f t="shared" si="480"/>
        <v>8788695</v>
      </c>
      <c r="N2663">
        <f t="shared" si="483"/>
        <v>27097276</v>
      </c>
    </row>
    <row r="2664" ht="13.9" spans="1:14">
      <c r="A2664" s="42" t="s">
        <v>1752</v>
      </c>
      <c r="B2664" s="11">
        <v>18308581</v>
      </c>
      <c r="D2664" s="11">
        <v>80</v>
      </c>
      <c r="E2664">
        <f t="shared" si="479"/>
        <v>80</v>
      </c>
      <c r="H2664">
        <f t="shared" si="481"/>
        <v>80000000</v>
      </c>
      <c r="I2664">
        <f t="shared" si="482"/>
        <v>38400000</v>
      </c>
      <c r="K2664">
        <f t="shared" si="478"/>
        <v>203237650</v>
      </c>
      <c r="M2664">
        <f t="shared" si="480"/>
        <v>18308581</v>
      </c>
      <c r="N2664">
        <f t="shared" si="483"/>
        <v>221546231</v>
      </c>
    </row>
    <row r="2665" ht="13.9" spans="1:14">
      <c r="A2665" s="42" t="s">
        <v>1753</v>
      </c>
      <c r="B2665" s="11">
        <v>16865767</v>
      </c>
      <c r="D2665" s="11">
        <v>70</v>
      </c>
      <c r="E2665">
        <f t="shared" si="479"/>
        <v>70</v>
      </c>
      <c r="H2665">
        <f t="shared" si="481"/>
        <v>70000000</v>
      </c>
      <c r="I2665">
        <f t="shared" si="482"/>
        <v>33600000</v>
      </c>
      <c r="K2665">
        <f t="shared" si="478"/>
        <v>186371883</v>
      </c>
      <c r="M2665">
        <f t="shared" si="480"/>
        <v>16865767</v>
      </c>
      <c r="N2665">
        <f t="shared" si="483"/>
        <v>203237650</v>
      </c>
    </row>
    <row r="2666" ht="13.9" spans="1:14">
      <c r="A2666" s="42" t="s">
        <v>1754</v>
      </c>
      <c r="B2666" s="11">
        <v>13466748</v>
      </c>
      <c r="D2666" s="11">
        <v>60</v>
      </c>
      <c r="E2666">
        <f t="shared" si="479"/>
        <v>60</v>
      </c>
      <c r="H2666">
        <f t="shared" si="481"/>
        <v>60000000</v>
      </c>
      <c r="I2666">
        <f t="shared" si="482"/>
        <v>28800000</v>
      </c>
      <c r="K2666">
        <f t="shared" ref="K2666:K2729" si="484">IF(E2666&gt;E2667,B2667+K2667,B2667)</f>
        <v>172905135</v>
      </c>
      <c r="M2666">
        <f t="shared" si="480"/>
        <v>13466748</v>
      </c>
      <c r="N2666">
        <f t="shared" si="483"/>
        <v>186371883</v>
      </c>
    </row>
    <row r="2667" ht="13.9" spans="1:14">
      <c r="A2667" s="42" t="s">
        <v>1755</v>
      </c>
      <c r="B2667" s="11">
        <v>13032646</v>
      </c>
      <c r="D2667" s="11">
        <v>54</v>
      </c>
      <c r="E2667">
        <f t="shared" si="479"/>
        <v>54</v>
      </c>
      <c r="H2667">
        <f t="shared" si="481"/>
        <v>54000000</v>
      </c>
      <c r="I2667">
        <f t="shared" si="482"/>
        <v>25920000</v>
      </c>
      <c r="K2667">
        <f t="shared" si="484"/>
        <v>159872489</v>
      </c>
      <c r="M2667">
        <f t="shared" si="480"/>
        <v>13032646</v>
      </c>
      <c r="N2667">
        <f t="shared" si="483"/>
        <v>172905135</v>
      </c>
    </row>
    <row r="2668" ht="13.9" spans="1:14">
      <c r="A2668" s="42" t="s">
        <v>1756</v>
      </c>
      <c r="B2668" s="11">
        <v>10729655</v>
      </c>
      <c r="D2668" s="11">
        <v>46</v>
      </c>
      <c r="E2668">
        <f t="shared" si="479"/>
        <v>46</v>
      </c>
      <c r="H2668">
        <f t="shared" si="481"/>
        <v>46000000</v>
      </c>
      <c r="I2668">
        <f t="shared" si="482"/>
        <v>22080000</v>
      </c>
      <c r="K2668">
        <f t="shared" si="484"/>
        <v>149142834</v>
      </c>
      <c r="M2668">
        <f t="shared" si="480"/>
        <v>10729655</v>
      </c>
      <c r="N2668">
        <f t="shared" si="483"/>
        <v>159872489</v>
      </c>
    </row>
    <row r="2669" ht="13.9" spans="1:14">
      <c r="A2669" s="42" t="s">
        <v>1757</v>
      </c>
      <c r="B2669" s="11">
        <v>11377659</v>
      </c>
      <c r="D2669" s="11">
        <v>40</v>
      </c>
      <c r="E2669">
        <f t="shared" si="479"/>
        <v>40</v>
      </c>
      <c r="H2669">
        <f t="shared" si="481"/>
        <v>40000000</v>
      </c>
      <c r="I2669">
        <f t="shared" ref="I2669:I2732" si="485">H2669*0.48</f>
        <v>19200000</v>
      </c>
      <c r="K2669">
        <f t="shared" si="484"/>
        <v>137765175</v>
      </c>
      <c r="M2669">
        <f t="shared" si="480"/>
        <v>11377659</v>
      </c>
      <c r="N2669">
        <f t="shared" si="483"/>
        <v>149142834</v>
      </c>
    </row>
    <row r="2670" ht="13.9" spans="1:14">
      <c r="A2670" s="42" t="s">
        <v>1758</v>
      </c>
      <c r="B2670" s="11">
        <v>9187775</v>
      </c>
      <c r="D2670" s="11">
        <v>34</v>
      </c>
      <c r="E2670">
        <f t="shared" si="479"/>
        <v>34</v>
      </c>
      <c r="H2670">
        <f t="shared" si="481"/>
        <v>34000000</v>
      </c>
      <c r="I2670">
        <f t="shared" si="485"/>
        <v>16320000</v>
      </c>
      <c r="K2670">
        <f t="shared" si="484"/>
        <v>128577400</v>
      </c>
      <c r="M2670">
        <f t="shared" si="480"/>
        <v>9187775</v>
      </c>
      <c r="N2670">
        <f t="shared" si="483"/>
        <v>137765175</v>
      </c>
    </row>
    <row r="2671" ht="13.9" spans="1:14">
      <c r="A2671" s="42" t="s">
        <v>1759</v>
      </c>
      <c r="B2671" s="11">
        <v>9699923</v>
      </c>
      <c r="D2671" s="11">
        <v>28</v>
      </c>
      <c r="E2671">
        <f t="shared" si="479"/>
        <v>28</v>
      </c>
      <c r="H2671">
        <f t="shared" si="481"/>
        <v>28000000</v>
      </c>
      <c r="I2671">
        <f t="shared" si="485"/>
        <v>13440000</v>
      </c>
      <c r="K2671">
        <f t="shared" si="484"/>
        <v>118877477</v>
      </c>
      <c r="M2671">
        <f t="shared" si="480"/>
        <v>9699923</v>
      </c>
      <c r="N2671">
        <f t="shared" si="483"/>
        <v>128577400</v>
      </c>
    </row>
    <row r="2672" ht="13.9" spans="1:14">
      <c r="A2672" s="42" t="s">
        <v>1760</v>
      </c>
      <c r="B2672" s="11">
        <v>8207077</v>
      </c>
      <c r="D2672" s="11">
        <v>23</v>
      </c>
      <c r="E2672">
        <f t="shared" si="479"/>
        <v>23</v>
      </c>
      <c r="H2672">
        <f t="shared" si="481"/>
        <v>23000000</v>
      </c>
      <c r="I2672">
        <f t="shared" si="485"/>
        <v>11040000</v>
      </c>
      <c r="K2672">
        <f t="shared" si="484"/>
        <v>110670400</v>
      </c>
      <c r="M2672">
        <f t="shared" si="480"/>
        <v>8207077</v>
      </c>
      <c r="N2672">
        <f t="shared" si="483"/>
        <v>118877477</v>
      </c>
    </row>
    <row r="2673" ht="13.9" spans="1:14">
      <c r="A2673" s="42" t="s">
        <v>1761</v>
      </c>
      <c r="B2673" s="11">
        <v>8832165</v>
      </c>
      <c r="D2673" s="11">
        <v>18</v>
      </c>
      <c r="E2673">
        <f t="shared" si="479"/>
        <v>18</v>
      </c>
      <c r="H2673">
        <f t="shared" si="481"/>
        <v>18000000</v>
      </c>
      <c r="I2673">
        <f t="shared" si="485"/>
        <v>8640000</v>
      </c>
      <c r="K2673">
        <f t="shared" si="484"/>
        <v>101838235</v>
      </c>
      <c r="M2673">
        <f t="shared" si="480"/>
        <v>8832165</v>
      </c>
      <c r="N2673">
        <f t="shared" si="483"/>
        <v>110670400</v>
      </c>
    </row>
    <row r="2674" ht="13.9" spans="1:14">
      <c r="A2674" s="42" t="s">
        <v>1762</v>
      </c>
      <c r="B2674" s="11">
        <v>7595591</v>
      </c>
      <c r="D2674" s="11">
        <v>14</v>
      </c>
      <c r="E2674">
        <f t="shared" si="479"/>
        <v>14</v>
      </c>
      <c r="H2674">
        <f t="shared" si="481"/>
        <v>14000000</v>
      </c>
      <c r="I2674">
        <f t="shared" si="485"/>
        <v>6720000</v>
      </c>
      <c r="K2674">
        <f t="shared" si="484"/>
        <v>94242644</v>
      </c>
      <c r="M2674">
        <f t="shared" si="480"/>
        <v>7595591</v>
      </c>
      <c r="N2674">
        <f t="shared" si="483"/>
        <v>101838235</v>
      </c>
    </row>
    <row r="2675" ht="13.9" spans="1:14">
      <c r="A2675" s="42" t="s">
        <v>1763</v>
      </c>
      <c r="B2675" s="11">
        <v>8552240</v>
      </c>
      <c r="D2675" s="11">
        <v>12</v>
      </c>
      <c r="E2675">
        <f t="shared" si="479"/>
        <v>12</v>
      </c>
      <c r="H2675">
        <f t="shared" si="481"/>
        <v>12000000</v>
      </c>
      <c r="I2675">
        <f t="shared" si="485"/>
        <v>5760000</v>
      </c>
      <c r="K2675">
        <f t="shared" si="484"/>
        <v>85690404</v>
      </c>
      <c r="M2675">
        <f t="shared" si="480"/>
        <v>8552240</v>
      </c>
      <c r="N2675">
        <f t="shared" si="483"/>
        <v>94242644</v>
      </c>
    </row>
    <row r="2676" ht="13.9" spans="1:14">
      <c r="A2676" s="42" t="s">
        <v>1764</v>
      </c>
      <c r="B2676" s="11">
        <v>8597558</v>
      </c>
      <c r="D2676" s="11">
        <v>10</v>
      </c>
      <c r="E2676">
        <f t="shared" si="479"/>
        <v>10</v>
      </c>
      <c r="H2676">
        <f t="shared" si="481"/>
        <v>10000000</v>
      </c>
      <c r="I2676">
        <f t="shared" si="485"/>
        <v>4800000</v>
      </c>
      <c r="K2676">
        <f t="shared" si="484"/>
        <v>77092846</v>
      </c>
      <c r="M2676">
        <f t="shared" si="480"/>
        <v>8597558</v>
      </c>
      <c r="N2676">
        <f t="shared" si="483"/>
        <v>85690404</v>
      </c>
    </row>
    <row r="2677" ht="13.9" spans="1:14">
      <c r="A2677" s="42" t="s">
        <v>1765</v>
      </c>
      <c r="B2677" s="11">
        <v>77092846</v>
      </c>
      <c r="D2677" s="11">
        <v>150</v>
      </c>
      <c r="E2677">
        <f t="shared" si="479"/>
        <v>150</v>
      </c>
      <c r="H2677">
        <f t="shared" si="481"/>
        <v>150000000</v>
      </c>
      <c r="I2677">
        <f t="shared" si="485"/>
        <v>72000000</v>
      </c>
      <c r="K2677">
        <f t="shared" si="484"/>
        <v>198944870</v>
      </c>
      <c r="M2677">
        <f t="shared" si="480"/>
        <v>77092846</v>
      </c>
      <c r="N2677">
        <f t="shared" si="483"/>
        <v>276037716</v>
      </c>
    </row>
    <row r="2678" ht="13.9" spans="1:14">
      <c r="A2678" s="42" t="s">
        <v>1766</v>
      </c>
      <c r="B2678" s="11">
        <v>43695461</v>
      </c>
      <c r="D2678" s="11">
        <v>100</v>
      </c>
      <c r="E2678">
        <f t="shared" si="479"/>
        <v>100</v>
      </c>
      <c r="H2678">
        <f t="shared" si="481"/>
        <v>100000000</v>
      </c>
      <c r="I2678">
        <f t="shared" si="485"/>
        <v>48000000</v>
      </c>
      <c r="K2678">
        <f t="shared" si="484"/>
        <v>155249409</v>
      </c>
      <c r="M2678">
        <f t="shared" si="480"/>
        <v>43695461</v>
      </c>
      <c r="N2678">
        <f t="shared" si="483"/>
        <v>198944870</v>
      </c>
    </row>
    <row r="2679" ht="13.9" spans="1:14">
      <c r="A2679" s="42" t="s">
        <v>1767</v>
      </c>
      <c r="B2679" s="11">
        <v>24206015</v>
      </c>
      <c r="D2679" s="11">
        <v>83</v>
      </c>
      <c r="E2679">
        <f t="shared" si="479"/>
        <v>83</v>
      </c>
      <c r="H2679">
        <f t="shared" si="481"/>
        <v>83000000</v>
      </c>
      <c r="I2679">
        <f t="shared" si="485"/>
        <v>39840000</v>
      </c>
      <c r="K2679">
        <f t="shared" si="484"/>
        <v>131043394</v>
      </c>
      <c r="M2679">
        <f t="shared" si="480"/>
        <v>24206015</v>
      </c>
      <c r="N2679">
        <f t="shared" si="483"/>
        <v>155249409</v>
      </c>
    </row>
    <row r="2680" ht="13.9" spans="1:14">
      <c r="A2680" s="42" t="s">
        <v>1768</v>
      </c>
      <c r="B2680" s="11">
        <v>17993097</v>
      </c>
      <c r="D2680" s="11">
        <v>70</v>
      </c>
      <c r="E2680">
        <f t="shared" si="479"/>
        <v>70</v>
      </c>
      <c r="H2680">
        <f t="shared" si="481"/>
        <v>70000000</v>
      </c>
      <c r="I2680">
        <f t="shared" si="485"/>
        <v>33600000</v>
      </c>
      <c r="K2680">
        <f t="shared" si="484"/>
        <v>113050297</v>
      </c>
      <c r="M2680">
        <f t="shared" si="480"/>
        <v>17993097</v>
      </c>
      <c r="N2680">
        <f t="shared" si="483"/>
        <v>131043394</v>
      </c>
    </row>
    <row r="2681" ht="13.9" spans="1:14">
      <c r="A2681" s="42" t="s">
        <v>1769</v>
      </c>
      <c r="B2681" s="11">
        <v>14950267</v>
      </c>
      <c r="D2681" s="11">
        <v>60</v>
      </c>
      <c r="E2681">
        <f t="shared" si="479"/>
        <v>60</v>
      </c>
      <c r="H2681">
        <f t="shared" si="481"/>
        <v>60000000</v>
      </c>
      <c r="I2681">
        <f t="shared" si="485"/>
        <v>28800000</v>
      </c>
      <c r="K2681">
        <f t="shared" si="484"/>
        <v>98100030</v>
      </c>
      <c r="M2681">
        <f t="shared" si="480"/>
        <v>14950267</v>
      </c>
      <c r="N2681">
        <f t="shared" si="483"/>
        <v>113050297</v>
      </c>
    </row>
    <row r="2682" ht="13.9" spans="1:14">
      <c r="A2682" s="42" t="s">
        <v>1770</v>
      </c>
      <c r="B2682" s="11">
        <v>12069606</v>
      </c>
      <c r="D2682" s="11">
        <v>51</v>
      </c>
      <c r="E2682">
        <f t="shared" si="479"/>
        <v>51</v>
      </c>
      <c r="H2682">
        <f t="shared" si="481"/>
        <v>51000000</v>
      </c>
      <c r="I2682">
        <f t="shared" si="485"/>
        <v>24480000</v>
      </c>
      <c r="K2682">
        <f t="shared" si="484"/>
        <v>86030424</v>
      </c>
      <c r="M2682">
        <f t="shared" si="480"/>
        <v>12069606</v>
      </c>
      <c r="N2682">
        <f t="shared" si="483"/>
        <v>98100030</v>
      </c>
    </row>
    <row r="2683" ht="13.9" spans="1:14">
      <c r="A2683" s="42" t="s">
        <v>1771</v>
      </c>
      <c r="B2683" s="11">
        <v>10972799</v>
      </c>
      <c r="D2683" s="11">
        <v>45</v>
      </c>
      <c r="E2683">
        <f t="shared" si="479"/>
        <v>45</v>
      </c>
      <c r="H2683">
        <f t="shared" si="481"/>
        <v>45000000</v>
      </c>
      <c r="I2683">
        <f t="shared" si="485"/>
        <v>21600000</v>
      </c>
      <c r="K2683">
        <f t="shared" si="484"/>
        <v>75057625</v>
      </c>
      <c r="M2683">
        <f t="shared" si="480"/>
        <v>10972799</v>
      </c>
      <c r="N2683">
        <f t="shared" si="483"/>
        <v>86030424</v>
      </c>
    </row>
    <row r="2684" ht="13.9" spans="1:14">
      <c r="A2684" s="42" t="s">
        <v>1772</v>
      </c>
      <c r="B2684" s="11">
        <v>8744437</v>
      </c>
      <c r="D2684" s="11">
        <v>38</v>
      </c>
      <c r="E2684">
        <f t="shared" si="479"/>
        <v>38</v>
      </c>
      <c r="H2684">
        <f t="shared" si="481"/>
        <v>38000000</v>
      </c>
      <c r="I2684">
        <f t="shared" si="485"/>
        <v>18240000</v>
      </c>
      <c r="K2684">
        <f t="shared" si="484"/>
        <v>66313188</v>
      </c>
      <c r="M2684">
        <f t="shared" si="480"/>
        <v>8744437</v>
      </c>
      <c r="N2684">
        <f t="shared" si="483"/>
        <v>75057625</v>
      </c>
    </row>
    <row r="2685" ht="13.9" spans="1:14">
      <c r="A2685" s="42" t="s">
        <v>1773</v>
      </c>
      <c r="B2685" s="11">
        <v>9164858</v>
      </c>
      <c r="D2685" s="11">
        <v>33</v>
      </c>
      <c r="E2685">
        <f t="shared" si="479"/>
        <v>33</v>
      </c>
      <c r="H2685">
        <f t="shared" si="481"/>
        <v>33000000</v>
      </c>
      <c r="I2685">
        <f t="shared" si="485"/>
        <v>15840000</v>
      </c>
      <c r="K2685">
        <f t="shared" si="484"/>
        <v>57148330</v>
      </c>
      <c r="M2685">
        <f t="shared" si="480"/>
        <v>9164858</v>
      </c>
      <c r="N2685">
        <f t="shared" si="483"/>
        <v>66313188</v>
      </c>
    </row>
    <row r="2686" ht="13.9" spans="1:14">
      <c r="A2686" s="42" t="s">
        <v>1774</v>
      </c>
      <c r="B2686" s="11">
        <v>7435126</v>
      </c>
      <c r="D2686" s="11">
        <v>28</v>
      </c>
      <c r="E2686">
        <f t="shared" si="479"/>
        <v>28</v>
      </c>
      <c r="H2686">
        <f t="shared" si="481"/>
        <v>28000000</v>
      </c>
      <c r="I2686">
        <f t="shared" si="485"/>
        <v>13440000</v>
      </c>
      <c r="K2686">
        <f t="shared" si="484"/>
        <v>49713204</v>
      </c>
      <c r="M2686">
        <f t="shared" si="480"/>
        <v>7435126</v>
      </c>
      <c r="N2686">
        <f t="shared" si="483"/>
        <v>57148330</v>
      </c>
    </row>
    <row r="2687" ht="13.9" spans="1:14">
      <c r="A2687" s="42" t="s">
        <v>1775</v>
      </c>
      <c r="B2687" s="11">
        <v>7890695</v>
      </c>
      <c r="D2687" s="11">
        <v>24</v>
      </c>
      <c r="E2687">
        <f t="shared" si="479"/>
        <v>24</v>
      </c>
      <c r="H2687">
        <f t="shared" si="481"/>
        <v>24000000</v>
      </c>
      <c r="I2687">
        <f t="shared" si="485"/>
        <v>11520000</v>
      </c>
      <c r="K2687">
        <f t="shared" si="484"/>
        <v>41822509</v>
      </c>
      <c r="M2687">
        <f t="shared" si="480"/>
        <v>7890695</v>
      </c>
      <c r="N2687">
        <f t="shared" si="483"/>
        <v>49713204</v>
      </c>
    </row>
    <row r="2688" ht="13.9" spans="1:14">
      <c r="A2688" s="42" t="s">
        <v>1776</v>
      </c>
      <c r="B2688" s="11">
        <v>6415603</v>
      </c>
      <c r="D2688" s="11">
        <v>19</v>
      </c>
      <c r="E2688">
        <f t="shared" ref="E2688:E2751" si="486">IF(RIGHT(D2688,1)="B",VALUE(LEFT(D2688,LEN(D2688)-1))*1000,D2688)</f>
        <v>19</v>
      </c>
      <c r="H2688">
        <f t="shared" si="481"/>
        <v>19000000</v>
      </c>
      <c r="I2688">
        <f t="shared" si="485"/>
        <v>9120000</v>
      </c>
      <c r="K2688">
        <f t="shared" si="484"/>
        <v>35406906</v>
      </c>
      <c r="M2688">
        <f t="shared" si="480"/>
        <v>6415603</v>
      </c>
      <c r="N2688">
        <f t="shared" si="483"/>
        <v>41822509</v>
      </c>
    </row>
    <row r="2689" ht="13.9" spans="1:14">
      <c r="A2689" s="42" t="s">
        <v>1777</v>
      </c>
      <c r="B2689" s="11">
        <v>7159403</v>
      </c>
      <c r="D2689" s="11">
        <v>16</v>
      </c>
      <c r="E2689">
        <f t="shared" si="486"/>
        <v>16</v>
      </c>
      <c r="H2689">
        <f t="shared" si="481"/>
        <v>16000000</v>
      </c>
      <c r="I2689">
        <f t="shared" si="485"/>
        <v>7680000</v>
      </c>
      <c r="K2689">
        <f t="shared" si="484"/>
        <v>28247503</v>
      </c>
      <c r="M2689">
        <f t="shared" si="480"/>
        <v>7159403</v>
      </c>
      <c r="N2689">
        <f t="shared" si="483"/>
        <v>35406906</v>
      </c>
    </row>
    <row r="2690" ht="13.9" spans="1:14">
      <c r="A2690" s="42" t="s">
        <v>1778</v>
      </c>
      <c r="B2690" s="11">
        <v>6207533</v>
      </c>
      <c r="D2690" s="11">
        <v>14</v>
      </c>
      <c r="E2690">
        <f t="shared" si="486"/>
        <v>14</v>
      </c>
      <c r="H2690">
        <f t="shared" si="481"/>
        <v>14000000</v>
      </c>
      <c r="I2690">
        <f t="shared" si="485"/>
        <v>6720000</v>
      </c>
      <c r="K2690">
        <f t="shared" si="484"/>
        <v>22039970</v>
      </c>
      <c r="M2690">
        <f t="shared" si="480"/>
        <v>6207533</v>
      </c>
      <c r="N2690">
        <f t="shared" si="483"/>
        <v>28247503</v>
      </c>
    </row>
    <row r="2691" ht="13.9" spans="1:14">
      <c r="A2691" s="42" t="s">
        <v>1779</v>
      </c>
      <c r="B2691" s="11">
        <v>7022703</v>
      </c>
      <c r="D2691" s="11">
        <v>12</v>
      </c>
      <c r="E2691">
        <f t="shared" si="486"/>
        <v>12</v>
      </c>
      <c r="H2691">
        <f t="shared" si="481"/>
        <v>12000000</v>
      </c>
      <c r="I2691">
        <f t="shared" si="485"/>
        <v>5760000</v>
      </c>
      <c r="K2691">
        <f t="shared" si="484"/>
        <v>15017267</v>
      </c>
      <c r="M2691">
        <f t="shared" si="480"/>
        <v>7022703</v>
      </c>
      <c r="N2691">
        <f t="shared" si="483"/>
        <v>22039970</v>
      </c>
    </row>
    <row r="2692" ht="13.9" spans="1:14">
      <c r="A2692" s="42" t="s">
        <v>1780</v>
      </c>
      <c r="B2692" s="11">
        <v>6083918</v>
      </c>
      <c r="D2692" s="11">
        <v>10</v>
      </c>
      <c r="E2692">
        <f t="shared" si="486"/>
        <v>10</v>
      </c>
      <c r="H2692">
        <f t="shared" si="481"/>
        <v>10000000</v>
      </c>
      <c r="I2692">
        <f t="shared" si="485"/>
        <v>4800000</v>
      </c>
      <c r="K2692">
        <f t="shared" si="484"/>
        <v>8933349</v>
      </c>
      <c r="M2692">
        <f t="shared" si="480"/>
        <v>6083918</v>
      </c>
      <c r="N2692">
        <f t="shared" si="483"/>
        <v>15017267</v>
      </c>
    </row>
    <row r="2693" ht="13.9" spans="1:14">
      <c r="A2693" s="42" t="s">
        <v>1781</v>
      </c>
      <c r="B2693" s="11">
        <v>8933349</v>
      </c>
      <c r="D2693" s="11">
        <v>32</v>
      </c>
      <c r="E2693">
        <f t="shared" si="486"/>
        <v>32</v>
      </c>
      <c r="H2693">
        <f t="shared" si="481"/>
        <v>32000000</v>
      </c>
      <c r="I2693">
        <f t="shared" si="485"/>
        <v>15360000</v>
      </c>
      <c r="K2693">
        <f t="shared" si="484"/>
        <v>61206057</v>
      </c>
      <c r="M2693">
        <f t="shared" si="480"/>
        <v>8933349</v>
      </c>
      <c r="N2693">
        <f t="shared" si="483"/>
        <v>70139406</v>
      </c>
    </row>
    <row r="2694" ht="13.9" spans="1:14">
      <c r="A2694" s="42" t="s">
        <v>1782</v>
      </c>
      <c r="B2694" s="11">
        <v>7341947</v>
      </c>
      <c r="D2694" s="11">
        <v>27</v>
      </c>
      <c r="E2694">
        <f t="shared" si="486"/>
        <v>27</v>
      </c>
      <c r="H2694">
        <f t="shared" si="481"/>
        <v>27000000</v>
      </c>
      <c r="I2694">
        <f t="shared" si="485"/>
        <v>12960000</v>
      </c>
      <c r="K2694">
        <f t="shared" si="484"/>
        <v>53864110</v>
      </c>
      <c r="M2694">
        <f t="shared" ref="M2694:M2757" si="487">B2694+C2694</f>
        <v>7341947</v>
      </c>
      <c r="N2694">
        <f t="shared" si="483"/>
        <v>61206057</v>
      </c>
    </row>
    <row r="2695" ht="13.9" spans="1:14">
      <c r="A2695" s="55" t="s">
        <v>1783</v>
      </c>
      <c r="B2695" s="15">
        <v>8320166</v>
      </c>
      <c r="D2695" s="15">
        <v>23</v>
      </c>
      <c r="E2695">
        <f t="shared" si="486"/>
        <v>23</v>
      </c>
      <c r="H2695">
        <f t="shared" si="481"/>
        <v>23000000</v>
      </c>
      <c r="I2695">
        <f t="shared" si="485"/>
        <v>11040000</v>
      </c>
      <c r="K2695">
        <f t="shared" si="484"/>
        <v>45543944</v>
      </c>
      <c r="M2695">
        <f t="shared" si="487"/>
        <v>8320166</v>
      </c>
      <c r="N2695">
        <f t="shared" si="483"/>
        <v>53864110</v>
      </c>
    </row>
    <row r="2696" ht="13.9" spans="1:14">
      <c r="A2696" s="41" t="s">
        <v>1784</v>
      </c>
      <c r="B2696" s="13">
        <v>7057116</v>
      </c>
      <c r="D2696" s="13">
        <v>19</v>
      </c>
      <c r="E2696">
        <f t="shared" si="486"/>
        <v>19</v>
      </c>
      <c r="H2696">
        <f t="shared" si="481"/>
        <v>19000000</v>
      </c>
      <c r="I2696">
        <f t="shared" si="485"/>
        <v>9120000</v>
      </c>
      <c r="K2696">
        <f t="shared" si="484"/>
        <v>38486828</v>
      </c>
      <c r="M2696">
        <f t="shared" si="487"/>
        <v>7057116</v>
      </c>
      <c r="N2696">
        <f t="shared" si="483"/>
        <v>45543944</v>
      </c>
    </row>
    <row r="2697" ht="13.9" spans="1:14">
      <c r="A2697" s="42" t="s">
        <v>1785</v>
      </c>
      <c r="B2697" s="11">
        <v>6838956</v>
      </c>
      <c r="D2697" s="11">
        <v>16</v>
      </c>
      <c r="E2697">
        <f t="shared" si="486"/>
        <v>16</v>
      </c>
      <c r="H2697">
        <f t="shared" si="481"/>
        <v>16000000</v>
      </c>
      <c r="I2697">
        <f t="shared" si="485"/>
        <v>7680000</v>
      </c>
      <c r="K2697">
        <f t="shared" si="484"/>
        <v>31647872</v>
      </c>
      <c r="M2697">
        <f t="shared" si="487"/>
        <v>6838956</v>
      </c>
      <c r="N2697">
        <f t="shared" si="483"/>
        <v>38486828</v>
      </c>
    </row>
    <row r="2698" ht="13.9" spans="1:14">
      <c r="A2698" s="42" t="s">
        <v>1786</v>
      </c>
      <c r="B2698" s="11">
        <v>6705382</v>
      </c>
      <c r="D2698" s="11">
        <v>14</v>
      </c>
      <c r="E2698">
        <f t="shared" si="486"/>
        <v>14</v>
      </c>
      <c r="H2698">
        <f t="shared" si="481"/>
        <v>14000000</v>
      </c>
      <c r="I2698">
        <f t="shared" si="485"/>
        <v>6720000</v>
      </c>
      <c r="K2698">
        <f t="shared" si="484"/>
        <v>24942490</v>
      </c>
      <c r="M2698">
        <f t="shared" si="487"/>
        <v>6705382</v>
      </c>
      <c r="N2698">
        <f t="shared" si="483"/>
        <v>31647872</v>
      </c>
    </row>
    <row r="2699" ht="13.9" spans="1:14">
      <c r="A2699" s="42" t="s">
        <v>1787</v>
      </c>
      <c r="B2699" s="11">
        <v>7228949</v>
      </c>
      <c r="D2699" s="11">
        <v>12</v>
      </c>
      <c r="E2699">
        <f t="shared" si="486"/>
        <v>12</v>
      </c>
      <c r="H2699">
        <f t="shared" si="481"/>
        <v>12000000</v>
      </c>
      <c r="I2699">
        <f t="shared" si="485"/>
        <v>5760000</v>
      </c>
      <c r="K2699">
        <f t="shared" si="484"/>
        <v>17713541</v>
      </c>
      <c r="M2699">
        <f t="shared" si="487"/>
        <v>7228949</v>
      </c>
      <c r="N2699">
        <f t="shared" si="483"/>
        <v>24942490</v>
      </c>
    </row>
    <row r="2700" ht="13.9" spans="1:14">
      <c r="A2700" s="42" t="s">
        <v>1788</v>
      </c>
      <c r="B2700" s="11">
        <v>6570626</v>
      </c>
      <c r="D2700" s="11">
        <v>10</v>
      </c>
      <c r="E2700">
        <f t="shared" si="486"/>
        <v>10</v>
      </c>
      <c r="H2700">
        <f t="shared" si="481"/>
        <v>10000000</v>
      </c>
      <c r="I2700">
        <f t="shared" si="485"/>
        <v>4800000</v>
      </c>
      <c r="K2700">
        <f t="shared" si="484"/>
        <v>11142915</v>
      </c>
      <c r="M2700">
        <f t="shared" si="487"/>
        <v>6570626</v>
      </c>
      <c r="N2700">
        <f t="shared" si="483"/>
        <v>17713541</v>
      </c>
    </row>
    <row r="2701" ht="13.9" spans="1:14">
      <c r="A2701" s="42" t="s">
        <v>1789</v>
      </c>
      <c r="B2701" s="11">
        <v>11142915</v>
      </c>
      <c r="D2701" s="11">
        <v>48</v>
      </c>
      <c r="E2701">
        <f t="shared" si="486"/>
        <v>48</v>
      </c>
      <c r="H2701">
        <f t="shared" si="481"/>
        <v>48000000</v>
      </c>
      <c r="I2701">
        <f t="shared" si="485"/>
        <v>23040000</v>
      </c>
      <c r="K2701">
        <f t="shared" si="484"/>
        <v>85445891</v>
      </c>
      <c r="M2701">
        <f t="shared" si="487"/>
        <v>11142915</v>
      </c>
      <c r="N2701">
        <f t="shared" si="483"/>
        <v>110766354</v>
      </c>
    </row>
    <row r="2702" ht="13.9" spans="1:14">
      <c r="A2702" s="42" t="s">
        <v>1790</v>
      </c>
      <c r="B2702" s="11">
        <v>9571667</v>
      </c>
      <c r="D2702" s="11">
        <v>42</v>
      </c>
      <c r="E2702">
        <f t="shared" si="486"/>
        <v>42</v>
      </c>
      <c r="H2702">
        <f t="shared" si="481"/>
        <v>42000000</v>
      </c>
      <c r="I2702">
        <f t="shared" si="485"/>
        <v>20160000</v>
      </c>
      <c r="K2702">
        <f t="shared" si="484"/>
        <v>75874224</v>
      </c>
      <c r="M2702">
        <f t="shared" si="487"/>
        <v>9571667</v>
      </c>
      <c r="N2702">
        <f t="shared" si="483"/>
        <v>99623439</v>
      </c>
    </row>
    <row r="2703" ht="13.9" spans="1:14">
      <c r="A2703" s="42" t="s">
        <v>1791</v>
      </c>
      <c r="B2703" s="11">
        <v>9559328</v>
      </c>
      <c r="D2703" s="11">
        <v>37</v>
      </c>
      <c r="E2703">
        <f t="shared" si="486"/>
        <v>37</v>
      </c>
      <c r="H2703">
        <f t="shared" ref="H2703:H2766" si="488">E2703*1000000</f>
        <v>37000000</v>
      </c>
      <c r="I2703">
        <f t="shared" si="485"/>
        <v>17760000</v>
      </c>
      <c r="K2703">
        <f t="shared" si="484"/>
        <v>66314896</v>
      </c>
      <c r="M2703">
        <f t="shared" si="487"/>
        <v>9559328</v>
      </c>
      <c r="N2703">
        <f t="shared" si="483"/>
        <v>90051772</v>
      </c>
    </row>
    <row r="2704" ht="13.9" spans="1:14">
      <c r="A2704" s="42" t="s">
        <v>1792</v>
      </c>
      <c r="B2704" s="11">
        <v>8258573</v>
      </c>
      <c r="D2704" s="11">
        <v>32</v>
      </c>
      <c r="E2704">
        <f t="shared" si="486"/>
        <v>32</v>
      </c>
      <c r="H2704">
        <f t="shared" si="488"/>
        <v>32000000</v>
      </c>
      <c r="I2704">
        <f t="shared" si="485"/>
        <v>15360000</v>
      </c>
      <c r="K2704">
        <f t="shared" si="484"/>
        <v>58056323</v>
      </c>
      <c r="M2704">
        <f t="shared" si="487"/>
        <v>8258573</v>
      </c>
      <c r="N2704">
        <f t="shared" si="483"/>
        <v>80492444</v>
      </c>
    </row>
    <row r="2705" ht="13.9" spans="1:14">
      <c r="A2705" s="42" t="s">
        <v>1793</v>
      </c>
      <c r="B2705" s="11">
        <v>7966471</v>
      </c>
      <c r="D2705" s="11">
        <v>27</v>
      </c>
      <c r="E2705">
        <f t="shared" si="486"/>
        <v>27</v>
      </c>
      <c r="H2705">
        <f t="shared" si="488"/>
        <v>27000000</v>
      </c>
      <c r="I2705">
        <f t="shared" si="485"/>
        <v>12960000</v>
      </c>
      <c r="K2705">
        <f t="shared" si="484"/>
        <v>50089852</v>
      </c>
      <c r="M2705">
        <f t="shared" si="487"/>
        <v>7966471</v>
      </c>
      <c r="N2705">
        <f t="shared" si="483"/>
        <v>72233871</v>
      </c>
    </row>
    <row r="2706" ht="13.9" spans="1:14">
      <c r="A2706" s="42" t="s">
        <v>1794</v>
      </c>
      <c r="B2706" s="11">
        <v>7580900</v>
      </c>
      <c r="D2706" s="11">
        <v>23</v>
      </c>
      <c r="E2706">
        <f t="shared" si="486"/>
        <v>23</v>
      </c>
      <c r="H2706">
        <f t="shared" si="488"/>
        <v>23000000</v>
      </c>
      <c r="I2706">
        <f t="shared" si="485"/>
        <v>11040000</v>
      </c>
      <c r="K2706">
        <f t="shared" si="484"/>
        <v>42508952</v>
      </c>
      <c r="M2706">
        <f t="shared" si="487"/>
        <v>7580900</v>
      </c>
      <c r="N2706">
        <f t="shared" si="483"/>
        <v>64267400</v>
      </c>
    </row>
    <row r="2707" ht="13.9" spans="1:14">
      <c r="A2707" s="42" t="s">
        <v>1795</v>
      </c>
      <c r="B2707" s="11">
        <v>7864316</v>
      </c>
      <c r="D2707" s="11">
        <v>19</v>
      </c>
      <c r="E2707">
        <f t="shared" si="486"/>
        <v>19</v>
      </c>
      <c r="H2707">
        <f t="shared" si="488"/>
        <v>19000000</v>
      </c>
      <c r="I2707">
        <f t="shared" si="485"/>
        <v>9120000</v>
      </c>
      <c r="K2707">
        <f t="shared" si="484"/>
        <v>34644636</v>
      </c>
      <c r="M2707">
        <f t="shared" si="487"/>
        <v>7864316</v>
      </c>
      <c r="N2707">
        <f t="shared" si="483"/>
        <v>56686500</v>
      </c>
    </row>
    <row r="2708" ht="13.9" spans="1:14">
      <c r="A2708" s="42" t="s">
        <v>1796</v>
      </c>
      <c r="B2708" s="11">
        <v>6724712</v>
      </c>
      <c r="D2708" s="11">
        <v>16</v>
      </c>
      <c r="E2708">
        <f t="shared" si="486"/>
        <v>16</v>
      </c>
      <c r="H2708">
        <f t="shared" si="488"/>
        <v>16000000</v>
      </c>
      <c r="I2708">
        <f t="shared" si="485"/>
        <v>7680000</v>
      </c>
      <c r="K2708">
        <f t="shared" si="484"/>
        <v>27919924</v>
      </c>
      <c r="M2708">
        <f t="shared" si="487"/>
        <v>6724712</v>
      </c>
      <c r="N2708">
        <f t="shared" si="483"/>
        <v>48822184</v>
      </c>
    </row>
    <row r="2709" ht="13.9" spans="1:14">
      <c r="A2709" s="42" t="s">
        <v>1797</v>
      </c>
      <c r="B2709" s="11">
        <v>7528591</v>
      </c>
      <c r="D2709" s="11">
        <v>14</v>
      </c>
      <c r="E2709">
        <f t="shared" si="486"/>
        <v>14</v>
      </c>
      <c r="H2709">
        <f t="shared" si="488"/>
        <v>14000000</v>
      </c>
      <c r="I2709">
        <f t="shared" si="485"/>
        <v>6720000</v>
      </c>
      <c r="K2709">
        <f t="shared" si="484"/>
        <v>20391333</v>
      </c>
      <c r="M2709">
        <f t="shared" si="487"/>
        <v>7528591</v>
      </c>
      <c r="N2709">
        <f t="shared" si="483"/>
        <v>42097472</v>
      </c>
    </row>
    <row r="2710" ht="13.9" spans="1:14">
      <c r="A2710" s="42" t="s">
        <v>1798</v>
      </c>
      <c r="B2710" s="11">
        <v>6496770</v>
      </c>
      <c r="D2710" s="11">
        <v>12</v>
      </c>
      <c r="E2710">
        <f t="shared" si="486"/>
        <v>12</v>
      </c>
      <c r="H2710">
        <f t="shared" si="488"/>
        <v>12000000</v>
      </c>
      <c r="I2710">
        <f t="shared" si="485"/>
        <v>5760000</v>
      </c>
      <c r="K2710">
        <f t="shared" si="484"/>
        <v>13894563</v>
      </c>
      <c r="M2710">
        <f t="shared" si="487"/>
        <v>6496770</v>
      </c>
      <c r="N2710">
        <f t="shared" si="483"/>
        <v>34568881</v>
      </c>
    </row>
    <row r="2711" ht="13.9" spans="1:14">
      <c r="A2711" s="42" t="s">
        <v>1799</v>
      </c>
      <c r="B2711" s="11">
        <v>7262748</v>
      </c>
      <c r="D2711" s="11">
        <v>10</v>
      </c>
      <c r="E2711">
        <f t="shared" si="486"/>
        <v>10</v>
      </c>
      <c r="H2711">
        <f t="shared" si="488"/>
        <v>10000000</v>
      </c>
      <c r="I2711">
        <f t="shared" si="485"/>
        <v>4800000</v>
      </c>
      <c r="K2711">
        <f t="shared" si="484"/>
        <v>6631815</v>
      </c>
      <c r="M2711">
        <f t="shared" si="487"/>
        <v>7262748</v>
      </c>
      <c r="N2711">
        <f t="shared" si="483"/>
        <v>28072111</v>
      </c>
    </row>
    <row r="2712" ht="13.9" spans="1:14">
      <c r="A2712" s="42" t="s">
        <v>1800</v>
      </c>
      <c r="B2712" s="11">
        <v>6631815</v>
      </c>
      <c r="D2712" s="11">
        <v>10</v>
      </c>
      <c r="E2712">
        <f t="shared" si="486"/>
        <v>10</v>
      </c>
      <c r="H2712">
        <f t="shared" si="488"/>
        <v>10000000</v>
      </c>
      <c r="I2712">
        <f t="shared" si="485"/>
        <v>4800000</v>
      </c>
      <c r="K2712">
        <f t="shared" si="484"/>
        <v>14177548</v>
      </c>
      <c r="M2712">
        <f t="shared" si="487"/>
        <v>6631815</v>
      </c>
      <c r="N2712">
        <f t="shared" si="483"/>
        <v>20809363</v>
      </c>
    </row>
    <row r="2713" ht="13.9" spans="1:14">
      <c r="A2713" s="42" t="s">
        <v>1801</v>
      </c>
      <c r="B2713" s="11">
        <v>14177548</v>
      </c>
      <c r="D2713" s="11">
        <v>61</v>
      </c>
      <c r="E2713">
        <f t="shared" si="486"/>
        <v>61</v>
      </c>
      <c r="H2713">
        <f t="shared" si="488"/>
        <v>61000000</v>
      </c>
      <c r="I2713">
        <f t="shared" si="485"/>
        <v>29280000</v>
      </c>
      <c r="K2713">
        <f t="shared" si="484"/>
        <v>102424987</v>
      </c>
      <c r="M2713">
        <f t="shared" si="487"/>
        <v>14177548</v>
      </c>
      <c r="N2713">
        <f t="shared" si="483"/>
        <v>116602535</v>
      </c>
    </row>
    <row r="2714" ht="13.9" spans="1:14">
      <c r="A2714" s="42" t="s">
        <v>1802</v>
      </c>
      <c r="B2714" s="11">
        <v>11463916</v>
      </c>
      <c r="D2714" s="11">
        <v>53</v>
      </c>
      <c r="E2714">
        <f t="shared" si="486"/>
        <v>53</v>
      </c>
      <c r="H2714">
        <f t="shared" si="488"/>
        <v>53000000</v>
      </c>
      <c r="I2714">
        <f t="shared" si="485"/>
        <v>25440000</v>
      </c>
      <c r="K2714">
        <f t="shared" si="484"/>
        <v>90961071</v>
      </c>
      <c r="M2714">
        <f t="shared" si="487"/>
        <v>11463916</v>
      </c>
      <c r="N2714">
        <f t="shared" si="483"/>
        <v>102424987</v>
      </c>
    </row>
    <row r="2715" ht="13.9" spans="1:14">
      <c r="A2715" s="42" t="s">
        <v>1803</v>
      </c>
      <c r="B2715" s="11">
        <v>10976254</v>
      </c>
      <c r="D2715" s="11">
        <v>46</v>
      </c>
      <c r="E2715">
        <f t="shared" si="486"/>
        <v>46</v>
      </c>
      <c r="H2715">
        <f t="shared" si="488"/>
        <v>46000000</v>
      </c>
      <c r="I2715">
        <f t="shared" si="485"/>
        <v>22080000</v>
      </c>
      <c r="K2715">
        <f t="shared" si="484"/>
        <v>79984817</v>
      </c>
      <c r="M2715">
        <f t="shared" si="487"/>
        <v>10976254</v>
      </c>
      <c r="N2715">
        <f t="shared" si="483"/>
        <v>90961071</v>
      </c>
    </row>
    <row r="2716" ht="13.9" spans="1:14">
      <c r="A2716" s="42" t="s">
        <v>1804</v>
      </c>
      <c r="B2716" s="11">
        <v>9173932</v>
      </c>
      <c r="D2716" s="11">
        <v>40</v>
      </c>
      <c r="E2716">
        <f t="shared" si="486"/>
        <v>40</v>
      </c>
      <c r="H2716">
        <f t="shared" si="488"/>
        <v>40000000</v>
      </c>
      <c r="I2716">
        <f t="shared" si="485"/>
        <v>19200000</v>
      </c>
      <c r="K2716">
        <f t="shared" si="484"/>
        <v>70810885</v>
      </c>
      <c r="M2716">
        <f t="shared" si="487"/>
        <v>9173932</v>
      </c>
      <c r="N2716">
        <f t="shared" si="483"/>
        <v>79984817</v>
      </c>
    </row>
    <row r="2717" ht="13.9" spans="1:14">
      <c r="A2717" s="42" t="s">
        <v>1805</v>
      </c>
      <c r="B2717" s="11">
        <v>9232452</v>
      </c>
      <c r="D2717" s="11">
        <v>34</v>
      </c>
      <c r="E2717">
        <f t="shared" si="486"/>
        <v>34</v>
      </c>
      <c r="H2717">
        <f t="shared" si="488"/>
        <v>34000000</v>
      </c>
      <c r="I2717">
        <f t="shared" si="485"/>
        <v>16320000</v>
      </c>
      <c r="K2717">
        <f t="shared" si="484"/>
        <v>61578433</v>
      </c>
      <c r="M2717">
        <f t="shared" si="487"/>
        <v>9232452</v>
      </c>
      <c r="N2717">
        <f t="shared" si="483"/>
        <v>70810885</v>
      </c>
    </row>
    <row r="2718" ht="13.9" spans="1:14">
      <c r="A2718" s="42" t="s">
        <v>1806</v>
      </c>
      <c r="B2718" s="11">
        <v>7728665</v>
      </c>
      <c r="D2718" s="11">
        <v>29</v>
      </c>
      <c r="E2718">
        <f t="shared" si="486"/>
        <v>29</v>
      </c>
      <c r="H2718">
        <f t="shared" si="488"/>
        <v>29000000</v>
      </c>
      <c r="I2718">
        <f t="shared" si="485"/>
        <v>13920000</v>
      </c>
      <c r="K2718">
        <f t="shared" si="484"/>
        <v>53849768</v>
      </c>
      <c r="M2718">
        <f t="shared" si="487"/>
        <v>7728665</v>
      </c>
      <c r="N2718">
        <f t="shared" si="483"/>
        <v>61578433</v>
      </c>
    </row>
    <row r="2719" ht="13.9" spans="1:14">
      <c r="A2719" s="42" t="s">
        <v>1807</v>
      </c>
      <c r="B2719" s="11">
        <v>8404123</v>
      </c>
      <c r="D2719" s="11">
        <v>25</v>
      </c>
      <c r="E2719">
        <f t="shared" si="486"/>
        <v>25</v>
      </c>
      <c r="H2719">
        <f t="shared" si="488"/>
        <v>25000000</v>
      </c>
      <c r="I2719">
        <f t="shared" si="485"/>
        <v>12000000</v>
      </c>
      <c r="K2719">
        <f t="shared" si="484"/>
        <v>45445645</v>
      </c>
      <c r="M2719">
        <f t="shared" si="487"/>
        <v>8404123</v>
      </c>
      <c r="N2719">
        <f t="shared" ref="N2719:N2782" si="489">IF(H2719&lt;H2720,M2719+M2720,M2719+N2720)</f>
        <v>53849768</v>
      </c>
    </row>
    <row r="2720" ht="13.9" spans="1:14">
      <c r="A2720" s="42" t="s">
        <v>1808</v>
      </c>
      <c r="B2720" s="11">
        <v>7033357</v>
      </c>
      <c r="D2720" s="11">
        <v>19</v>
      </c>
      <c r="E2720">
        <f t="shared" si="486"/>
        <v>19</v>
      </c>
      <c r="H2720">
        <f t="shared" si="488"/>
        <v>19000000</v>
      </c>
      <c r="I2720">
        <f t="shared" si="485"/>
        <v>9120000</v>
      </c>
      <c r="K2720">
        <f t="shared" si="484"/>
        <v>38412288</v>
      </c>
      <c r="M2720">
        <f t="shared" si="487"/>
        <v>7033357</v>
      </c>
      <c r="N2720">
        <f t="shared" si="489"/>
        <v>45445645</v>
      </c>
    </row>
    <row r="2721" ht="13.9" spans="1:14">
      <c r="A2721" s="42" t="s">
        <v>1809</v>
      </c>
      <c r="B2721" s="11">
        <v>7794517</v>
      </c>
      <c r="D2721" s="11">
        <v>16</v>
      </c>
      <c r="E2721">
        <f t="shared" si="486"/>
        <v>16</v>
      </c>
      <c r="H2721">
        <f t="shared" si="488"/>
        <v>16000000</v>
      </c>
      <c r="I2721">
        <f t="shared" si="485"/>
        <v>7680000</v>
      </c>
      <c r="K2721">
        <f t="shared" si="484"/>
        <v>30617771</v>
      </c>
      <c r="M2721">
        <f t="shared" si="487"/>
        <v>7794517</v>
      </c>
      <c r="N2721">
        <f t="shared" si="489"/>
        <v>38412288</v>
      </c>
    </row>
    <row r="2722" ht="13.9" spans="1:14">
      <c r="A2722" s="42" t="s">
        <v>1810</v>
      </c>
      <c r="B2722" s="11">
        <v>6546234</v>
      </c>
      <c r="D2722" s="11">
        <v>14</v>
      </c>
      <c r="E2722">
        <f t="shared" si="486"/>
        <v>14</v>
      </c>
      <c r="H2722">
        <f t="shared" si="488"/>
        <v>14000000</v>
      </c>
      <c r="I2722">
        <f t="shared" si="485"/>
        <v>6720000</v>
      </c>
      <c r="K2722">
        <f t="shared" si="484"/>
        <v>24071537</v>
      </c>
      <c r="M2722">
        <f t="shared" si="487"/>
        <v>6546234</v>
      </c>
      <c r="N2722">
        <f t="shared" si="489"/>
        <v>30617771</v>
      </c>
    </row>
    <row r="2723" ht="13.9" spans="1:14">
      <c r="A2723" s="42" t="s">
        <v>1811</v>
      </c>
      <c r="B2723" s="11">
        <v>7286141</v>
      </c>
      <c r="D2723" s="11">
        <v>12</v>
      </c>
      <c r="E2723">
        <f t="shared" si="486"/>
        <v>12</v>
      </c>
      <c r="H2723">
        <f t="shared" si="488"/>
        <v>12000000</v>
      </c>
      <c r="I2723">
        <f t="shared" si="485"/>
        <v>5760000</v>
      </c>
      <c r="K2723">
        <f t="shared" si="484"/>
        <v>16785396</v>
      </c>
      <c r="M2723">
        <f t="shared" si="487"/>
        <v>7286141</v>
      </c>
      <c r="N2723">
        <f t="shared" si="489"/>
        <v>24071537</v>
      </c>
    </row>
    <row r="2724" ht="13.9" spans="1:14">
      <c r="A2724" s="42" t="s">
        <v>1812</v>
      </c>
      <c r="B2724" s="11">
        <v>6411063</v>
      </c>
      <c r="D2724" s="11">
        <v>10</v>
      </c>
      <c r="E2724">
        <f t="shared" si="486"/>
        <v>10</v>
      </c>
      <c r="H2724">
        <f t="shared" si="488"/>
        <v>10000000</v>
      </c>
      <c r="I2724">
        <f t="shared" si="485"/>
        <v>4800000</v>
      </c>
      <c r="K2724">
        <f t="shared" si="484"/>
        <v>10374333</v>
      </c>
      <c r="M2724">
        <f t="shared" si="487"/>
        <v>6411063</v>
      </c>
      <c r="N2724">
        <f t="shared" si="489"/>
        <v>16785396</v>
      </c>
    </row>
    <row r="2725" ht="13.9" spans="1:14">
      <c r="A2725" s="42" t="s">
        <v>1813</v>
      </c>
      <c r="B2725" s="11">
        <v>10374333</v>
      </c>
      <c r="D2725" s="11">
        <v>41</v>
      </c>
      <c r="E2725">
        <f t="shared" si="486"/>
        <v>41</v>
      </c>
      <c r="H2725">
        <f t="shared" si="488"/>
        <v>41000000</v>
      </c>
      <c r="I2725">
        <f t="shared" si="485"/>
        <v>19680000</v>
      </c>
      <c r="K2725">
        <f t="shared" si="484"/>
        <v>71838460</v>
      </c>
      <c r="M2725">
        <f t="shared" si="487"/>
        <v>10374333</v>
      </c>
      <c r="N2725">
        <f t="shared" si="489"/>
        <v>82212793</v>
      </c>
    </row>
    <row r="2726" ht="13.9" spans="1:14">
      <c r="A2726" s="42" t="s">
        <v>1814</v>
      </c>
      <c r="B2726" s="11">
        <v>8675114</v>
      </c>
      <c r="D2726" s="11">
        <v>36</v>
      </c>
      <c r="E2726">
        <f t="shared" si="486"/>
        <v>36</v>
      </c>
      <c r="H2726">
        <f t="shared" si="488"/>
        <v>36000000</v>
      </c>
      <c r="I2726">
        <f t="shared" si="485"/>
        <v>17280000</v>
      </c>
      <c r="K2726">
        <f t="shared" si="484"/>
        <v>63163346</v>
      </c>
      <c r="M2726">
        <f t="shared" si="487"/>
        <v>8675114</v>
      </c>
      <c r="N2726">
        <f t="shared" si="489"/>
        <v>71838460</v>
      </c>
    </row>
    <row r="2727" ht="13.9" spans="1:14">
      <c r="A2727" s="42" t="s">
        <v>1815</v>
      </c>
      <c r="B2727" s="11">
        <v>9199393</v>
      </c>
      <c r="D2727" s="11">
        <v>31</v>
      </c>
      <c r="E2727">
        <f t="shared" si="486"/>
        <v>31</v>
      </c>
      <c r="H2727">
        <f t="shared" si="488"/>
        <v>31000000</v>
      </c>
      <c r="I2727">
        <f t="shared" si="485"/>
        <v>14880000</v>
      </c>
      <c r="K2727">
        <f t="shared" si="484"/>
        <v>53963953</v>
      </c>
      <c r="M2727">
        <f t="shared" si="487"/>
        <v>9199393</v>
      </c>
      <c r="N2727">
        <f t="shared" si="489"/>
        <v>63163346</v>
      </c>
    </row>
    <row r="2728" ht="13.9" spans="1:14">
      <c r="A2728" s="42" t="s">
        <v>1816</v>
      </c>
      <c r="B2728" s="11">
        <v>7558521</v>
      </c>
      <c r="D2728" s="11">
        <v>25</v>
      </c>
      <c r="E2728">
        <f t="shared" si="486"/>
        <v>25</v>
      </c>
      <c r="H2728">
        <f t="shared" si="488"/>
        <v>25000000</v>
      </c>
      <c r="I2728">
        <f t="shared" si="485"/>
        <v>12000000</v>
      </c>
      <c r="K2728">
        <f t="shared" si="484"/>
        <v>46405432</v>
      </c>
      <c r="M2728">
        <f t="shared" si="487"/>
        <v>7558521</v>
      </c>
      <c r="N2728">
        <f t="shared" si="489"/>
        <v>53963953</v>
      </c>
    </row>
    <row r="2729" ht="13.9" spans="1:14">
      <c r="A2729" s="42" t="s">
        <v>1817</v>
      </c>
      <c r="B2729" s="11">
        <v>8558281</v>
      </c>
      <c r="D2729" s="11">
        <v>21</v>
      </c>
      <c r="E2729">
        <f t="shared" si="486"/>
        <v>21</v>
      </c>
      <c r="H2729">
        <f t="shared" si="488"/>
        <v>21000000</v>
      </c>
      <c r="I2729">
        <f t="shared" si="485"/>
        <v>10080000</v>
      </c>
      <c r="K2729">
        <f t="shared" si="484"/>
        <v>37847151</v>
      </c>
      <c r="M2729">
        <f t="shared" si="487"/>
        <v>8558281</v>
      </c>
      <c r="N2729">
        <f t="shared" si="489"/>
        <v>46405432</v>
      </c>
    </row>
    <row r="2730" ht="13.9" spans="1:14">
      <c r="A2730" s="42" t="s">
        <v>1818</v>
      </c>
      <c r="B2730" s="11">
        <v>7038882</v>
      </c>
      <c r="D2730" s="11">
        <v>16</v>
      </c>
      <c r="E2730">
        <f t="shared" si="486"/>
        <v>16</v>
      </c>
      <c r="H2730">
        <f t="shared" si="488"/>
        <v>16000000</v>
      </c>
      <c r="I2730">
        <f t="shared" si="485"/>
        <v>7680000</v>
      </c>
      <c r="K2730">
        <f t="shared" ref="K2730:K2793" si="490">IF(E2730&gt;E2731,B2731+K2731,B2731)</f>
        <v>30808269</v>
      </c>
      <c r="M2730">
        <f t="shared" si="487"/>
        <v>7038882</v>
      </c>
      <c r="N2730">
        <f t="shared" si="489"/>
        <v>37847151</v>
      </c>
    </row>
    <row r="2731" ht="13.9" spans="1:14">
      <c r="A2731" s="42" t="s">
        <v>1819</v>
      </c>
      <c r="B2731" s="11">
        <v>7711916</v>
      </c>
      <c r="D2731" s="11">
        <v>14</v>
      </c>
      <c r="E2731">
        <f t="shared" si="486"/>
        <v>14</v>
      </c>
      <c r="H2731">
        <f t="shared" si="488"/>
        <v>14000000</v>
      </c>
      <c r="I2731">
        <f t="shared" si="485"/>
        <v>6720000</v>
      </c>
      <c r="K2731">
        <f t="shared" si="490"/>
        <v>23096353</v>
      </c>
      <c r="M2731">
        <f t="shared" si="487"/>
        <v>7711916</v>
      </c>
      <c r="N2731">
        <f t="shared" si="489"/>
        <v>30808269</v>
      </c>
    </row>
    <row r="2732" ht="13.9" spans="1:14">
      <c r="A2732" s="42" t="s">
        <v>1820</v>
      </c>
      <c r="B2732" s="11">
        <v>6730374</v>
      </c>
      <c r="D2732" s="11">
        <v>12</v>
      </c>
      <c r="E2732">
        <f t="shared" si="486"/>
        <v>12</v>
      </c>
      <c r="H2732">
        <f t="shared" si="488"/>
        <v>12000000</v>
      </c>
      <c r="I2732">
        <f t="shared" si="485"/>
        <v>5760000</v>
      </c>
      <c r="K2732">
        <f t="shared" si="490"/>
        <v>16365979</v>
      </c>
      <c r="M2732">
        <f t="shared" si="487"/>
        <v>6730374</v>
      </c>
      <c r="N2732">
        <f t="shared" si="489"/>
        <v>23096353</v>
      </c>
    </row>
    <row r="2733" ht="13.9" spans="1:14">
      <c r="A2733" s="42" t="s">
        <v>1821</v>
      </c>
      <c r="B2733" s="11">
        <v>7656491</v>
      </c>
      <c r="D2733" s="11">
        <v>10</v>
      </c>
      <c r="E2733">
        <f t="shared" si="486"/>
        <v>10</v>
      </c>
      <c r="H2733">
        <f t="shared" si="488"/>
        <v>10000000</v>
      </c>
      <c r="I2733">
        <f t="shared" ref="I2733:I2796" si="491">H2733*0.48</f>
        <v>4800000</v>
      </c>
      <c r="K2733">
        <f t="shared" si="490"/>
        <v>8709488</v>
      </c>
      <c r="M2733">
        <f t="shared" si="487"/>
        <v>7656491</v>
      </c>
      <c r="N2733">
        <f t="shared" si="489"/>
        <v>16365979</v>
      </c>
    </row>
    <row r="2734" ht="13.9" spans="1:14">
      <c r="A2734" s="42" t="s">
        <v>1822</v>
      </c>
      <c r="B2734" s="11">
        <v>8709488</v>
      </c>
      <c r="D2734" s="11">
        <v>32</v>
      </c>
      <c r="E2734">
        <f t="shared" si="486"/>
        <v>32</v>
      </c>
      <c r="H2734">
        <f t="shared" si="488"/>
        <v>32000000</v>
      </c>
      <c r="I2734">
        <f t="shared" si="491"/>
        <v>15360000</v>
      </c>
      <c r="K2734">
        <f t="shared" si="490"/>
        <v>57385402</v>
      </c>
      <c r="M2734">
        <f t="shared" si="487"/>
        <v>8709488</v>
      </c>
      <c r="N2734">
        <f t="shared" si="489"/>
        <v>66094890</v>
      </c>
    </row>
    <row r="2735" ht="13.9" spans="1:14">
      <c r="A2735" s="42" t="s">
        <v>1823</v>
      </c>
      <c r="B2735" s="11">
        <v>9132088</v>
      </c>
      <c r="D2735" s="11">
        <v>27</v>
      </c>
      <c r="E2735">
        <f t="shared" si="486"/>
        <v>27</v>
      </c>
      <c r="H2735">
        <f t="shared" si="488"/>
        <v>27000000</v>
      </c>
      <c r="I2735">
        <f t="shared" si="491"/>
        <v>12960000</v>
      </c>
      <c r="K2735">
        <f t="shared" si="490"/>
        <v>48253314</v>
      </c>
      <c r="M2735">
        <f t="shared" si="487"/>
        <v>9132088</v>
      </c>
      <c r="N2735">
        <f t="shared" si="489"/>
        <v>57385402</v>
      </c>
    </row>
    <row r="2736" ht="13.9" spans="1:14">
      <c r="A2736" s="42" t="s">
        <v>1824</v>
      </c>
      <c r="B2736" s="11">
        <v>7793571</v>
      </c>
      <c r="D2736" s="11">
        <v>21</v>
      </c>
      <c r="E2736">
        <f t="shared" si="486"/>
        <v>21</v>
      </c>
      <c r="H2736">
        <f t="shared" si="488"/>
        <v>21000000</v>
      </c>
      <c r="I2736">
        <f t="shared" si="491"/>
        <v>10080000</v>
      </c>
      <c r="K2736">
        <f t="shared" si="490"/>
        <v>40459743</v>
      </c>
      <c r="M2736">
        <f t="shared" si="487"/>
        <v>7793571</v>
      </c>
      <c r="N2736">
        <f t="shared" si="489"/>
        <v>48253314</v>
      </c>
    </row>
    <row r="2737" ht="13.9" spans="1:14">
      <c r="A2737" s="42" t="s">
        <v>1825</v>
      </c>
      <c r="B2737" s="11">
        <v>8304029</v>
      </c>
      <c r="D2737" s="11">
        <v>17</v>
      </c>
      <c r="E2737">
        <f t="shared" si="486"/>
        <v>17</v>
      </c>
      <c r="H2737">
        <f t="shared" si="488"/>
        <v>17000000</v>
      </c>
      <c r="I2737">
        <f t="shared" si="491"/>
        <v>8160000</v>
      </c>
      <c r="K2737">
        <f t="shared" si="490"/>
        <v>32155714</v>
      </c>
      <c r="M2737">
        <f t="shared" si="487"/>
        <v>8304029</v>
      </c>
      <c r="N2737">
        <f t="shared" si="489"/>
        <v>40459743</v>
      </c>
    </row>
    <row r="2738" ht="13.9" spans="1:14">
      <c r="A2738" s="42" t="s">
        <v>1826</v>
      </c>
      <c r="B2738" s="11">
        <v>7239467</v>
      </c>
      <c r="D2738" s="11">
        <v>14</v>
      </c>
      <c r="E2738">
        <f t="shared" si="486"/>
        <v>14</v>
      </c>
      <c r="H2738">
        <f t="shared" si="488"/>
        <v>14000000</v>
      </c>
      <c r="I2738">
        <f t="shared" si="491"/>
        <v>6720000</v>
      </c>
      <c r="K2738">
        <f t="shared" si="490"/>
        <v>24916247</v>
      </c>
      <c r="M2738">
        <f t="shared" si="487"/>
        <v>7239467</v>
      </c>
      <c r="N2738">
        <f t="shared" si="489"/>
        <v>32155714</v>
      </c>
    </row>
    <row r="2739" ht="13.9" spans="1:14">
      <c r="A2739" s="42" t="s">
        <v>1827</v>
      </c>
      <c r="B2739" s="11">
        <v>7909455</v>
      </c>
      <c r="D2739" s="11">
        <v>12</v>
      </c>
      <c r="E2739">
        <f t="shared" si="486"/>
        <v>12</v>
      </c>
      <c r="H2739">
        <f t="shared" si="488"/>
        <v>12000000</v>
      </c>
      <c r="I2739">
        <f t="shared" si="491"/>
        <v>5760000</v>
      </c>
      <c r="K2739">
        <f t="shared" si="490"/>
        <v>17006792</v>
      </c>
      <c r="M2739">
        <f t="shared" si="487"/>
        <v>7909455</v>
      </c>
      <c r="N2739">
        <f t="shared" si="489"/>
        <v>24916247</v>
      </c>
    </row>
    <row r="2740" ht="13.9" spans="1:14">
      <c r="A2740" s="42" t="s">
        <v>1828</v>
      </c>
      <c r="B2740" s="11">
        <v>6957291</v>
      </c>
      <c r="D2740" s="11">
        <v>10</v>
      </c>
      <c r="E2740">
        <f t="shared" si="486"/>
        <v>10</v>
      </c>
      <c r="H2740">
        <f t="shared" si="488"/>
        <v>10000000</v>
      </c>
      <c r="I2740">
        <f t="shared" si="491"/>
        <v>4800000</v>
      </c>
      <c r="K2740">
        <f t="shared" si="490"/>
        <v>10049501</v>
      </c>
      <c r="M2740">
        <f t="shared" si="487"/>
        <v>6957291</v>
      </c>
      <c r="N2740">
        <f t="shared" si="489"/>
        <v>17006792</v>
      </c>
    </row>
    <row r="2741" ht="13.9" spans="1:14">
      <c r="A2741" s="42" t="s">
        <v>1829</v>
      </c>
      <c r="B2741" s="11">
        <v>10049501</v>
      </c>
      <c r="D2741" s="11">
        <v>34</v>
      </c>
      <c r="E2741">
        <f t="shared" si="486"/>
        <v>34</v>
      </c>
      <c r="H2741">
        <f t="shared" si="488"/>
        <v>34000000</v>
      </c>
      <c r="I2741">
        <f t="shared" si="491"/>
        <v>16320000</v>
      </c>
      <c r="K2741">
        <f t="shared" si="490"/>
        <v>120382076</v>
      </c>
      <c r="M2741">
        <f t="shared" si="487"/>
        <v>10049501</v>
      </c>
      <c r="N2741">
        <f t="shared" si="489"/>
        <v>130431577</v>
      </c>
    </row>
    <row r="2742" ht="13.9" spans="1:14">
      <c r="A2742" s="42" t="s">
        <v>1830</v>
      </c>
      <c r="B2742" s="11">
        <v>8658223</v>
      </c>
      <c r="D2742" s="11">
        <v>27</v>
      </c>
      <c r="E2742">
        <f t="shared" si="486"/>
        <v>27</v>
      </c>
      <c r="H2742">
        <f t="shared" si="488"/>
        <v>27000000</v>
      </c>
      <c r="I2742">
        <f t="shared" si="491"/>
        <v>12960000</v>
      </c>
      <c r="K2742">
        <f t="shared" si="490"/>
        <v>111723853</v>
      </c>
      <c r="M2742">
        <f t="shared" si="487"/>
        <v>8658223</v>
      </c>
      <c r="N2742">
        <f t="shared" si="489"/>
        <v>120382076</v>
      </c>
    </row>
    <row r="2743" ht="13.9" spans="1:14">
      <c r="A2743" s="42" t="s">
        <v>1831</v>
      </c>
      <c r="B2743" s="11">
        <v>9302002</v>
      </c>
      <c r="D2743" s="11">
        <v>23</v>
      </c>
      <c r="E2743">
        <f t="shared" si="486"/>
        <v>23</v>
      </c>
      <c r="H2743">
        <f t="shared" si="488"/>
        <v>23000000</v>
      </c>
      <c r="I2743">
        <f t="shared" si="491"/>
        <v>11040000</v>
      </c>
      <c r="K2743">
        <f t="shared" si="490"/>
        <v>102421851</v>
      </c>
      <c r="M2743">
        <f t="shared" si="487"/>
        <v>9302002</v>
      </c>
      <c r="N2743">
        <f t="shared" si="489"/>
        <v>111723853</v>
      </c>
    </row>
    <row r="2744" ht="13.9" spans="1:14">
      <c r="A2744" s="42" t="s">
        <v>1832</v>
      </c>
      <c r="B2744" s="11">
        <v>8038837</v>
      </c>
      <c r="D2744" s="11">
        <v>18</v>
      </c>
      <c r="E2744">
        <f t="shared" si="486"/>
        <v>18</v>
      </c>
      <c r="H2744">
        <f t="shared" si="488"/>
        <v>18000000</v>
      </c>
      <c r="I2744">
        <f t="shared" si="491"/>
        <v>8640000</v>
      </c>
      <c r="K2744">
        <f t="shared" si="490"/>
        <v>94383014</v>
      </c>
      <c r="M2744">
        <f t="shared" si="487"/>
        <v>8038837</v>
      </c>
      <c r="N2744">
        <f t="shared" si="489"/>
        <v>102421851</v>
      </c>
    </row>
    <row r="2745" ht="13.9" spans="1:14">
      <c r="A2745" s="42" t="s">
        <v>1833</v>
      </c>
      <c r="B2745" s="11">
        <v>8504270</v>
      </c>
      <c r="D2745" s="11">
        <v>14</v>
      </c>
      <c r="E2745">
        <f t="shared" si="486"/>
        <v>14</v>
      </c>
      <c r="H2745">
        <f t="shared" si="488"/>
        <v>14000000</v>
      </c>
      <c r="I2745">
        <f t="shared" si="491"/>
        <v>6720000</v>
      </c>
      <c r="K2745">
        <f t="shared" si="490"/>
        <v>85878744</v>
      </c>
      <c r="M2745">
        <f t="shared" si="487"/>
        <v>8504270</v>
      </c>
      <c r="N2745">
        <f t="shared" si="489"/>
        <v>94383014</v>
      </c>
    </row>
    <row r="2746" ht="13.9" spans="1:14">
      <c r="A2746" s="42" t="s">
        <v>1834</v>
      </c>
      <c r="B2746" s="11">
        <v>7259169</v>
      </c>
      <c r="D2746" s="11">
        <v>12</v>
      </c>
      <c r="E2746">
        <f t="shared" si="486"/>
        <v>12</v>
      </c>
      <c r="H2746">
        <f t="shared" si="488"/>
        <v>12000000</v>
      </c>
      <c r="I2746">
        <f t="shared" si="491"/>
        <v>5760000</v>
      </c>
      <c r="K2746">
        <f t="shared" si="490"/>
        <v>78619575</v>
      </c>
      <c r="M2746">
        <f t="shared" si="487"/>
        <v>7259169</v>
      </c>
      <c r="N2746">
        <f t="shared" si="489"/>
        <v>85878744</v>
      </c>
    </row>
    <row r="2747" ht="13.9" spans="1:14">
      <c r="A2747" s="42" t="s">
        <v>1835</v>
      </c>
      <c r="B2747" s="11">
        <v>8822458</v>
      </c>
      <c r="D2747" s="11">
        <v>10</v>
      </c>
      <c r="E2747">
        <f t="shared" si="486"/>
        <v>10</v>
      </c>
      <c r="H2747">
        <f t="shared" si="488"/>
        <v>10000000</v>
      </c>
      <c r="I2747">
        <f t="shared" si="491"/>
        <v>4800000</v>
      </c>
      <c r="K2747">
        <f t="shared" si="490"/>
        <v>69797117</v>
      </c>
      <c r="M2747">
        <f t="shared" si="487"/>
        <v>8822458</v>
      </c>
      <c r="N2747">
        <f t="shared" si="489"/>
        <v>78619575</v>
      </c>
    </row>
    <row r="2748" ht="13.9" spans="1:14">
      <c r="A2748" s="42" t="s">
        <v>1836</v>
      </c>
      <c r="B2748" s="11">
        <v>69797117</v>
      </c>
      <c r="D2748" s="11">
        <v>145</v>
      </c>
      <c r="E2748">
        <f t="shared" si="486"/>
        <v>145</v>
      </c>
      <c r="H2748">
        <f t="shared" si="488"/>
        <v>145000000</v>
      </c>
      <c r="I2748">
        <f t="shared" si="491"/>
        <v>69600000</v>
      </c>
      <c r="K2748">
        <f t="shared" si="490"/>
        <v>211994098</v>
      </c>
      <c r="M2748">
        <f t="shared" si="487"/>
        <v>69797117</v>
      </c>
      <c r="N2748">
        <f t="shared" si="489"/>
        <v>281791215</v>
      </c>
    </row>
    <row r="2749" ht="13.9" spans="1:14">
      <c r="A2749" s="42" t="s">
        <v>1837</v>
      </c>
      <c r="B2749" s="11">
        <v>39028119</v>
      </c>
      <c r="D2749" s="11">
        <v>100</v>
      </c>
      <c r="E2749">
        <f t="shared" si="486"/>
        <v>100</v>
      </c>
      <c r="H2749">
        <f t="shared" si="488"/>
        <v>100000000</v>
      </c>
      <c r="I2749">
        <f t="shared" si="491"/>
        <v>48000000</v>
      </c>
      <c r="K2749">
        <f t="shared" si="490"/>
        <v>172965979</v>
      </c>
      <c r="M2749">
        <f t="shared" si="487"/>
        <v>39028119</v>
      </c>
      <c r="N2749">
        <f t="shared" si="489"/>
        <v>211994098</v>
      </c>
    </row>
    <row r="2750" ht="13.9" spans="1:14">
      <c r="A2750" s="42" t="s">
        <v>1838</v>
      </c>
      <c r="B2750" s="11">
        <v>23185915</v>
      </c>
      <c r="D2750" s="11">
        <v>88</v>
      </c>
      <c r="E2750">
        <f t="shared" si="486"/>
        <v>88</v>
      </c>
      <c r="H2750">
        <f t="shared" si="488"/>
        <v>88000000</v>
      </c>
      <c r="I2750">
        <f t="shared" si="491"/>
        <v>42240000</v>
      </c>
      <c r="K2750">
        <f t="shared" si="490"/>
        <v>149780064</v>
      </c>
      <c r="M2750">
        <f t="shared" si="487"/>
        <v>23185915</v>
      </c>
      <c r="N2750">
        <f t="shared" si="489"/>
        <v>172965979</v>
      </c>
    </row>
    <row r="2751" ht="13.9" spans="1:14">
      <c r="A2751" s="42" t="s">
        <v>1839</v>
      </c>
      <c r="B2751" s="11">
        <v>18460078</v>
      </c>
      <c r="D2751" s="11">
        <v>77</v>
      </c>
      <c r="E2751">
        <f t="shared" si="486"/>
        <v>77</v>
      </c>
      <c r="H2751">
        <f t="shared" si="488"/>
        <v>77000000</v>
      </c>
      <c r="I2751">
        <f t="shared" si="491"/>
        <v>36960000</v>
      </c>
      <c r="K2751">
        <f t="shared" si="490"/>
        <v>131319986</v>
      </c>
      <c r="M2751">
        <f t="shared" si="487"/>
        <v>18460078</v>
      </c>
      <c r="N2751">
        <f t="shared" si="489"/>
        <v>149780064</v>
      </c>
    </row>
    <row r="2752" ht="13.9" spans="1:14">
      <c r="A2752" s="42" t="s">
        <v>1840</v>
      </c>
      <c r="B2752" s="11">
        <v>14508839</v>
      </c>
      <c r="D2752" s="11">
        <v>67</v>
      </c>
      <c r="E2752">
        <f t="shared" ref="E2752:E2815" si="492">IF(RIGHT(D2752,1)="B",VALUE(LEFT(D2752,LEN(D2752)-1))*1000,D2752)</f>
        <v>67</v>
      </c>
      <c r="H2752">
        <f t="shared" si="488"/>
        <v>67000000</v>
      </c>
      <c r="I2752">
        <f t="shared" si="491"/>
        <v>32160000</v>
      </c>
      <c r="K2752">
        <f t="shared" si="490"/>
        <v>116811147</v>
      </c>
      <c r="M2752">
        <f t="shared" si="487"/>
        <v>14508839</v>
      </c>
      <c r="N2752">
        <f t="shared" si="489"/>
        <v>131319986</v>
      </c>
    </row>
    <row r="2753" ht="13.9" spans="1:14">
      <c r="A2753" s="42" t="s">
        <v>1841</v>
      </c>
      <c r="B2753" s="11">
        <v>12952631</v>
      </c>
      <c r="D2753" s="11">
        <v>58</v>
      </c>
      <c r="E2753">
        <f t="shared" si="492"/>
        <v>58</v>
      </c>
      <c r="H2753">
        <f t="shared" si="488"/>
        <v>58000000</v>
      </c>
      <c r="I2753">
        <f t="shared" si="491"/>
        <v>27840000</v>
      </c>
      <c r="K2753">
        <f t="shared" si="490"/>
        <v>103858516</v>
      </c>
      <c r="M2753">
        <f t="shared" si="487"/>
        <v>12952631</v>
      </c>
      <c r="N2753">
        <f t="shared" si="489"/>
        <v>116811147</v>
      </c>
    </row>
    <row r="2754" ht="13.9" spans="1:14">
      <c r="A2754" s="42" t="s">
        <v>1842</v>
      </c>
      <c r="B2754" s="11">
        <v>10935748</v>
      </c>
      <c r="D2754" s="11">
        <v>50</v>
      </c>
      <c r="E2754">
        <f t="shared" si="492"/>
        <v>50</v>
      </c>
      <c r="H2754">
        <f t="shared" si="488"/>
        <v>50000000</v>
      </c>
      <c r="I2754">
        <f t="shared" si="491"/>
        <v>24000000</v>
      </c>
      <c r="K2754">
        <f t="shared" si="490"/>
        <v>92922768</v>
      </c>
      <c r="M2754">
        <f t="shared" si="487"/>
        <v>10935748</v>
      </c>
      <c r="N2754">
        <f t="shared" si="489"/>
        <v>103858516</v>
      </c>
    </row>
    <row r="2755" ht="13.9" spans="1:14">
      <c r="A2755" s="42" t="s">
        <v>1843</v>
      </c>
      <c r="B2755" s="11">
        <v>10769114</v>
      </c>
      <c r="D2755" s="11">
        <v>45</v>
      </c>
      <c r="E2755">
        <f t="shared" si="492"/>
        <v>45</v>
      </c>
      <c r="H2755">
        <f t="shared" si="488"/>
        <v>45000000</v>
      </c>
      <c r="I2755">
        <f t="shared" si="491"/>
        <v>21600000</v>
      </c>
      <c r="K2755">
        <f t="shared" si="490"/>
        <v>82153654</v>
      </c>
      <c r="M2755">
        <f t="shared" si="487"/>
        <v>10769114</v>
      </c>
      <c r="N2755">
        <f t="shared" si="489"/>
        <v>92922768</v>
      </c>
    </row>
    <row r="2756" ht="13.9" spans="1:14">
      <c r="A2756" s="42" t="s">
        <v>1844</v>
      </c>
      <c r="B2756" s="11">
        <v>8445202</v>
      </c>
      <c r="D2756" s="11">
        <v>39</v>
      </c>
      <c r="E2756">
        <f t="shared" si="492"/>
        <v>39</v>
      </c>
      <c r="H2756">
        <f t="shared" si="488"/>
        <v>39000000</v>
      </c>
      <c r="I2756">
        <f t="shared" si="491"/>
        <v>18720000</v>
      </c>
      <c r="K2756">
        <f t="shared" si="490"/>
        <v>73708452</v>
      </c>
      <c r="M2756">
        <f t="shared" si="487"/>
        <v>8445202</v>
      </c>
      <c r="N2756">
        <f t="shared" si="489"/>
        <v>82153654</v>
      </c>
    </row>
    <row r="2757" ht="13.9" spans="1:14">
      <c r="A2757" s="42" t="s">
        <v>1845</v>
      </c>
      <c r="B2757" s="11">
        <v>9330645</v>
      </c>
      <c r="D2757" s="11">
        <v>34</v>
      </c>
      <c r="E2757">
        <f t="shared" si="492"/>
        <v>34</v>
      </c>
      <c r="H2757">
        <f t="shared" si="488"/>
        <v>34000000</v>
      </c>
      <c r="I2757">
        <f t="shared" si="491"/>
        <v>16320000</v>
      </c>
      <c r="K2757">
        <f t="shared" si="490"/>
        <v>64377807</v>
      </c>
      <c r="M2757">
        <f t="shared" si="487"/>
        <v>9330645</v>
      </c>
      <c r="N2757">
        <f t="shared" si="489"/>
        <v>73708452</v>
      </c>
    </row>
    <row r="2758" ht="13.9" spans="1:14">
      <c r="A2758" s="42" t="s">
        <v>1846</v>
      </c>
      <c r="B2758" s="11">
        <v>7784487</v>
      </c>
      <c r="D2758" s="11">
        <v>29</v>
      </c>
      <c r="E2758">
        <f t="shared" si="492"/>
        <v>29</v>
      </c>
      <c r="H2758">
        <f t="shared" si="488"/>
        <v>29000000</v>
      </c>
      <c r="I2758">
        <f t="shared" si="491"/>
        <v>13920000</v>
      </c>
      <c r="K2758">
        <f t="shared" si="490"/>
        <v>56593320</v>
      </c>
      <c r="M2758">
        <f t="shared" ref="M2758:M2821" si="493">B2758+C2758</f>
        <v>7784487</v>
      </c>
      <c r="N2758">
        <f t="shared" si="489"/>
        <v>64377807</v>
      </c>
    </row>
    <row r="2759" ht="13.9" spans="1:14">
      <c r="A2759" s="42" t="s">
        <v>1847</v>
      </c>
      <c r="B2759" s="11">
        <v>8497797</v>
      </c>
      <c r="D2759" s="11">
        <v>25</v>
      </c>
      <c r="E2759">
        <f t="shared" si="492"/>
        <v>25</v>
      </c>
      <c r="H2759">
        <f t="shared" si="488"/>
        <v>25000000</v>
      </c>
      <c r="I2759">
        <f t="shared" si="491"/>
        <v>12000000</v>
      </c>
      <c r="K2759">
        <f t="shared" si="490"/>
        <v>48095523</v>
      </c>
      <c r="M2759">
        <f t="shared" si="493"/>
        <v>8497797</v>
      </c>
      <c r="N2759">
        <f t="shared" si="489"/>
        <v>56593320</v>
      </c>
    </row>
    <row r="2760" ht="13.9" spans="1:14">
      <c r="A2760" s="42" t="s">
        <v>1848</v>
      </c>
      <c r="B2760" s="11">
        <v>7359468</v>
      </c>
      <c r="D2760" s="11">
        <v>21</v>
      </c>
      <c r="E2760">
        <f t="shared" si="492"/>
        <v>21</v>
      </c>
      <c r="H2760">
        <f t="shared" si="488"/>
        <v>21000000</v>
      </c>
      <c r="I2760">
        <f t="shared" si="491"/>
        <v>10080000</v>
      </c>
      <c r="K2760">
        <f t="shared" si="490"/>
        <v>40736055</v>
      </c>
      <c r="M2760">
        <f t="shared" si="493"/>
        <v>7359468</v>
      </c>
      <c r="N2760">
        <f t="shared" si="489"/>
        <v>48095523</v>
      </c>
    </row>
    <row r="2761" ht="13.9" spans="1:14">
      <c r="A2761" s="42" t="s">
        <v>1849</v>
      </c>
      <c r="B2761" s="11">
        <v>7955354</v>
      </c>
      <c r="D2761" s="11">
        <v>17</v>
      </c>
      <c r="E2761">
        <f t="shared" si="492"/>
        <v>17</v>
      </c>
      <c r="H2761">
        <f t="shared" si="488"/>
        <v>17000000</v>
      </c>
      <c r="I2761">
        <f t="shared" si="491"/>
        <v>8160000</v>
      </c>
      <c r="K2761">
        <f t="shared" si="490"/>
        <v>32780701</v>
      </c>
      <c r="M2761">
        <f t="shared" si="493"/>
        <v>7955354</v>
      </c>
      <c r="N2761">
        <f t="shared" si="489"/>
        <v>40736055</v>
      </c>
    </row>
    <row r="2762" ht="13.9" spans="1:14">
      <c r="A2762" s="42" t="s">
        <v>1850</v>
      </c>
      <c r="B2762" s="11">
        <v>6768893</v>
      </c>
      <c r="D2762" s="11">
        <v>14</v>
      </c>
      <c r="E2762">
        <f t="shared" si="492"/>
        <v>14</v>
      </c>
      <c r="H2762">
        <f t="shared" si="488"/>
        <v>14000000</v>
      </c>
      <c r="I2762">
        <f t="shared" si="491"/>
        <v>6720000</v>
      </c>
      <c r="K2762">
        <f t="shared" si="490"/>
        <v>26011808</v>
      </c>
      <c r="M2762">
        <f t="shared" si="493"/>
        <v>6768893</v>
      </c>
      <c r="N2762">
        <f t="shared" si="489"/>
        <v>32780701</v>
      </c>
    </row>
    <row r="2763" ht="13.9" spans="1:14">
      <c r="A2763" s="42" t="s">
        <v>1851</v>
      </c>
      <c r="B2763" s="11">
        <v>7643960</v>
      </c>
      <c r="D2763" s="11">
        <v>12</v>
      </c>
      <c r="E2763">
        <f t="shared" si="492"/>
        <v>12</v>
      </c>
      <c r="H2763">
        <f t="shared" si="488"/>
        <v>12000000</v>
      </c>
      <c r="I2763">
        <f t="shared" si="491"/>
        <v>5760000</v>
      </c>
      <c r="K2763">
        <f t="shared" si="490"/>
        <v>18367848</v>
      </c>
      <c r="M2763">
        <f t="shared" si="493"/>
        <v>7643960</v>
      </c>
      <c r="N2763">
        <f t="shared" si="489"/>
        <v>26011808</v>
      </c>
    </row>
    <row r="2764" ht="13.9" spans="1:14">
      <c r="A2764" s="42" t="s">
        <v>1852</v>
      </c>
      <c r="B2764" s="11">
        <v>6774362</v>
      </c>
      <c r="D2764" s="11">
        <v>10</v>
      </c>
      <c r="E2764">
        <f t="shared" si="492"/>
        <v>10</v>
      </c>
      <c r="H2764">
        <f t="shared" si="488"/>
        <v>10000000</v>
      </c>
      <c r="I2764">
        <f t="shared" si="491"/>
        <v>4800000</v>
      </c>
      <c r="K2764">
        <f t="shared" si="490"/>
        <v>11593486</v>
      </c>
      <c r="M2764">
        <f t="shared" si="493"/>
        <v>6774362</v>
      </c>
      <c r="N2764">
        <f t="shared" si="489"/>
        <v>18367848</v>
      </c>
    </row>
    <row r="2765" ht="13.9" spans="1:14">
      <c r="A2765" s="42" t="s">
        <v>1853</v>
      </c>
      <c r="B2765" s="11">
        <v>11593486</v>
      </c>
      <c r="D2765" s="11">
        <v>47</v>
      </c>
      <c r="E2765">
        <f t="shared" si="492"/>
        <v>47</v>
      </c>
      <c r="H2765">
        <f t="shared" si="488"/>
        <v>47000000</v>
      </c>
      <c r="I2765">
        <f t="shared" si="491"/>
        <v>22560000</v>
      </c>
      <c r="K2765">
        <f t="shared" si="490"/>
        <v>95929369</v>
      </c>
      <c r="M2765">
        <f t="shared" si="493"/>
        <v>11593486</v>
      </c>
      <c r="N2765">
        <f t="shared" si="489"/>
        <v>107522855</v>
      </c>
    </row>
    <row r="2766" ht="13.9" spans="1:14">
      <c r="A2766" s="42" t="s">
        <v>1854</v>
      </c>
      <c r="B2766" s="11">
        <v>9901613</v>
      </c>
      <c r="D2766" s="11">
        <v>41</v>
      </c>
      <c r="E2766">
        <f t="shared" si="492"/>
        <v>41</v>
      </c>
      <c r="H2766">
        <f t="shared" si="488"/>
        <v>41000000</v>
      </c>
      <c r="I2766">
        <f t="shared" si="491"/>
        <v>19680000</v>
      </c>
      <c r="K2766">
        <f t="shared" si="490"/>
        <v>86027756</v>
      </c>
      <c r="M2766">
        <f t="shared" si="493"/>
        <v>9901613</v>
      </c>
      <c r="N2766">
        <f t="shared" si="489"/>
        <v>95929369</v>
      </c>
    </row>
    <row r="2767" ht="13.9" spans="1:14">
      <c r="A2767" s="42" t="s">
        <v>1855</v>
      </c>
      <c r="B2767" s="11">
        <v>9897769</v>
      </c>
      <c r="D2767" s="11">
        <v>36</v>
      </c>
      <c r="E2767">
        <f t="shared" si="492"/>
        <v>36</v>
      </c>
      <c r="H2767">
        <f t="shared" ref="H2767:H2830" si="494">E2767*1000000</f>
        <v>36000000</v>
      </c>
      <c r="I2767">
        <f t="shared" si="491"/>
        <v>17280000</v>
      </c>
      <c r="K2767">
        <f t="shared" si="490"/>
        <v>76129987</v>
      </c>
      <c r="M2767">
        <f t="shared" si="493"/>
        <v>9897769</v>
      </c>
      <c r="N2767">
        <f t="shared" si="489"/>
        <v>86027756</v>
      </c>
    </row>
    <row r="2768" ht="13.9" spans="1:14">
      <c r="A2768" s="42" t="s">
        <v>1856</v>
      </c>
      <c r="B2768" s="11">
        <v>8564553</v>
      </c>
      <c r="D2768" s="11">
        <v>30</v>
      </c>
      <c r="E2768">
        <f t="shared" si="492"/>
        <v>30</v>
      </c>
      <c r="H2768">
        <f t="shared" si="494"/>
        <v>30000000</v>
      </c>
      <c r="I2768">
        <f t="shared" si="491"/>
        <v>14400000</v>
      </c>
      <c r="K2768">
        <f t="shared" si="490"/>
        <v>67565434</v>
      </c>
      <c r="M2768">
        <f t="shared" si="493"/>
        <v>8564553</v>
      </c>
      <c r="N2768">
        <f t="shared" si="489"/>
        <v>76129987</v>
      </c>
    </row>
    <row r="2769" ht="13.9" spans="1:14">
      <c r="A2769" s="42" t="s">
        <v>1857</v>
      </c>
      <c r="B2769" s="11">
        <v>9148038</v>
      </c>
      <c r="D2769" s="11">
        <v>25</v>
      </c>
      <c r="E2769">
        <f t="shared" si="492"/>
        <v>25</v>
      </c>
      <c r="H2769">
        <f t="shared" si="494"/>
        <v>25000000</v>
      </c>
      <c r="I2769">
        <f t="shared" si="491"/>
        <v>12000000</v>
      </c>
      <c r="K2769">
        <f t="shared" si="490"/>
        <v>58417396</v>
      </c>
      <c r="M2769">
        <f t="shared" si="493"/>
        <v>9148038</v>
      </c>
      <c r="N2769">
        <f t="shared" si="489"/>
        <v>67565434</v>
      </c>
    </row>
    <row r="2770" ht="13.9" spans="1:14">
      <c r="A2770" s="42" t="s">
        <v>1858</v>
      </c>
      <c r="B2770" s="11">
        <v>7622055</v>
      </c>
      <c r="D2770" s="11">
        <v>20</v>
      </c>
      <c r="E2770">
        <f t="shared" si="492"/>
        <v>20</v>
      </c>
      <c r="H2770">
        <f t="shared" si="494"/>
        <v>20000000</v>
      </c>
      <c r="I2770">
        <f t="shared" si="491"/>
        <v>9600000</v>
      </c>
      <c r="K2770">
        <f t="shared" si="490"/>
        <v>50795341</v>
      </c>
      <c r="M2770">
        <f t="shared" si="493"/>
        <v>7622055</v>
      </c>
      <c r="N2770">
        <f t="shared" si="489"/>
        <v>58417396</v>
      </c>
    </row>
    <row r="2771" ht="13.9" spans="1:14">
      <c r="A2771" s="42" t="s">
        <v>1859</v>
      </c>
      <c r="B2771" s="11">
        <v>8226441</v>
      </c>
      <c r="D2771" s="11">
        <v>17</v>
      </c>
      <c r="E2771">
        <f t="shared" si="492"/>
        <v>17</v>
      </c>
      <c r="H2771">
        <f t="shared" si="494"/>
        <v>17000000</v>
      </c>
      <c r="I2771">
        <f t="shared" si="491"/>
        <v>8160000</v>
      </c>
      <c r="K2771">
        <f t="shared" si="490"/>
        <v>42568900</v>
      </c>
      <c r="M2771">
        <f t="shared" si="493"/>
        <v>8226441</v>
      </c>
      <c r="N2771">
        <f t="shared" si="489"/>
        <v>50795341</v>
      </c>
    </row>
    <row r="2772" ht="13.9" spans="1:14">
      <c r="A2772" s="42" t="s">
        <v>1860</v>
      </c>
      <c r="B2772" s="11">
        <v>7177646</v>
      </c>
      <c r="D2772" s="11">
        <v>14</v>
      </c>
      <c r="E2772">
        <f t="shared" si="492"/>
        <v>14</v>
      </c>
      <c r="H2772">
        <f t="shared" si="494"/>
        <v>14000000</v>
      </c>
      <c r="I2772">
        <f t="shared" si="491"/>
        <v>6720000</v>
      </c>
      <c r="K2772">
        <f t="shared" si="490"/>
        <v>35391254</v>
      </c>
      <c r="M2772">
        <f t="shared" si="493"/>
        <v>7177646</v>
      </c>
      <c r="N2772">
        <f t="shared" si="489"/>
        <v>42568900</v>
      </c>
    </row>
    <row r="2773" ht="13.9" spans="1:14">
      <c r="A2773" s="42" t="s">
        <v>1861</v>
      </c>
      <c r="B2773" s="11">
        <v>8360740</v>
      </c>
      <c r="D2773" s="11">
        <v>12</v>
      </c>
      <c r="E2773">
        <f t="shared" si="492"/>
        <v>12</v>
      </c>
      <c r="H2773">
        <f t="shared" si="494"/>
        <v>12000000</v>
      </c>
      <c r="I2773">
        <f t="shared" si="491"/>
        <v>5760000</v>
      </c>
      <c r="K2773">
        <f t="shared" si="490"/>
        <v>27030514</v>
      </c>
      <c r="M2773">
        <f t="shared" si="493"/>
        <v>8360740</v>
      </c>
      <c r="N2773">
        <f t="shared" si="489"/>
        <v>35391254</v>
      </c>
    </row>
    <row r="2774" ht="13.9" spans="1:14">
      <c r="A2774" s="42" t="s">
        <v>1862</v>
      </c>
      <c r="B2774" s="11">
        <v>7322218</v>
      </c>
      <c r="D2774" s="11">
        <v>10</v>
      </c>
      <c r="E2774">
        <f t="shared" si="492"/>
        <v>10</v>
      </c>
      <c r="H2774">
        <f t="shared" si="494"/>
        <v>10000000</v>
      </c>
      <c r="I2774">
        <f t="shared" si="491"/>
        <v>4800000</v>
      </c>
      <c r="K2774">
        <f t="shared" si="490"/>
        <v>19708296</v>
      </c>
      <c r="M2774">
        <f t="shared" si="493"/>
        <v>7322218</v>
      </c>
      <c r="N2774">
        <f t="shared" si="489"/>
        <v>27030514</v>
      </c>
    </row>
    <row r="2775" ht="13.9" spans="1:14">
      <c r="A2775" s="42" t="s">
        <v>1863</v>
      </c>
      <c r="B2775" s="11">
        <v>19708296</v>
      </c>
      <c r="D2775" s="11">
        <v>70</v>
      </c>
      <c r="E2775">
        <f t="shared" si="492"/>
        <v>70</v>
      </c>
      <c r="H2775">
        <f t="shared" si="494"/>
        <v>70000000</v>
      </c>
      <c r="I2775">
        <f t="shared" si="491"/>
        <v>33600000</v>
      </c>
      <c r="K2775">
        <f t="shared" si="490"/>
        <v>121050106</v>
      </c>
      <c r="M2775">
        <f t="shared" si="493"/>
        <v>19708296</v>
      </c>
      <c r="N2775">
        <f t="shared" si="489"/>
        <v>140758402</v>
      </c>
    </row>
    <row r="2776" ht="13.9" spans="1:14">
      <c r="A2776" s="42" t="s">
        <v>1864</v>
      </c>
      <c r="B2776" s="11">
        <v>14840912</v>
      </c>
      <c r="D2776" s="11">
        <v>60</v>
      </c>
      <c r="E2776">
        <f t="shared" si="492"/>
        <v>60</v>
      </c>
      <c r="H2776">
        <f t="shared" si="494"/>
        <v>60000000</v>
      </c>
      <c r="I2776">
        <f t="shared" si="491"/>
        <v>28800000</v>
      </c>
      <c r="K2776">
        <f t="shared" si="490"/>
        <v>106209194</v>
      </c>
      <c r="M2776">
        <f t="shared" si="493"/>
        <v>14840912</v>
      </c>
      <c r="N2776">
        <f t="shared" si="489"/>
        <v>121050106</v>
      </c>
    </row>
    <row r="2777" ht="13.9" spans="1:14">
      <c r="A2777" s="42" t="s">
        <v>1865</v>
      </c>
      <c r="B2777" s="11">
        <v>13529791</v>
      </c>
      <c r="D2777" s="11">
        <v>52</v>
      </c>
      <c r="E2777">
        <f t="shared" si="492"/>
        <v>52</v>
      </c>
      <c r="H2777">
        <f t="shared" si="494"/>
        <v>52000000</v>
      </c>
      <c r="I2777">
        <f t="shared" si="491"/>
        <v>24960000</v>
      </c>
      <c r="K2777">
        <f t="shared" si="490"/>
        <v>92679403</v>
      </c>
      <c r="M2777">
        <f t="shared" si="493"/>
        <v>13529791</v>
      </c>
      <c r="N2777">
        <f t="shared" si="489"/>
        <v>106209194</v>
      </c>
    </row>
    <row r="2778" ht="13.9" spans="1:14">
      <c r="A2778" s="42" t="s">
        <v>1866</v>
      </c>
      <c r="B2778" s="11">
        <v>10541640</v>
      </c>
      <c r="D2778" s="11">
        <v>45</v>
      </c>
      <c r="E2778">
        <f t="shared" si="492"/>
        <v>45</v>
      </c>
      <c r="H2778">
        <f t="shared" si="494"/>
        <v>45000000</v>
      </c>
      <c r="I2778">
        <f t="shared" si="491"/>
        <v>21600000</v>
      </c>
      <c r="K2778">
        <f t="shared" si="490"/>
        <v>82137763</v>
      </c>
      <c r="M2778">
        <f t="shared" si="493"/>
        <v>10541640</v>
      </c>
      <c r="N2778">
        <f t="shared" si="489"/>
        <v>92679403</v>
      </c>
    </row>
    <row r="2779" ht="13.9" spans="1:14">
      <c r="A2779" s="42" t="s">
        <v>1867</v>
      </c>
      <c r="B2779" s="11">
        <v>10903897</v>
      </c>
      <c r="D2779" s="11">
        <v>40</v>
      </c>
      <c r="E2779">
        <f t="shared" si="492"/>
        <v>40</v>
      </c>
      <c r="H2779">
        <f t="shared" si="494"/>
        <v>40000000</v>
      </c>
      <c r="I2779">
        <f t="shared" si="491"/>
        <v>19200000</v>
      </c>
      <c r="K2779">
        <f t="shared" si="490"/>
        <v>71233866</v>
      </c>
      <c r="M2779">
        <f t="shared" si="493"/>
        <v>10903897</v>
      </c>
      <c r="N2779">
        <f t="shared" si="489"/>
        <v>82137763</v>
      </c>
    </row>
    <row r="2780" ht="13.9" spans="1:14">
      <c r="A2780" s="42" t="s">
        <v>1868</v>
      </c>
      <c r="B2780" s="11">
        <v>8617808</v>
      </c>
      <c r="D2780" s="11">
        <v>34</v>
      </c>
      <c r="E2780">
        <f t="shared" si="492"/>
        <v>34</v>
      </c>
      <c r="H2780">
        <f t="shared" si="494"/>
        <v>34000000</v>
      </c>
      <c r="I2780">
        <f t="shared" si="491"/>
        <v>16320000</v>
      </c>
      <c r="K2780">
        <f t="shared" si="490"/>
        <v>62616058</v>
      </c>
      <c r="M2780">
        <f t="shared" si="493"/>
        <v>8617808</v>
      </c>
      <c r="N2780">
        <f t="shared" si="489"/>
        <v>71233866</v>
      </c>
    </row>
    <row r="2781" ht="13.9" spans="1:14">
      <c r="A2781" s="42" t="s">
        <v>1869</v>
      </c>
      <c r="B2781" s="11">
        <v>9222965</v>
      </c>
      <c r="D2781" s="11">
        <v>28</v>
      </c>
      <c r="E2781">
        <f t="shared" si="492"/>
        <v>28</v>
      </c>
      <c r="H2781">
        <f t="shared" si="494"/>
        <v>28000000</v>
      </c>
      <c r="I2781">
        <f t="shared" si="491"/>
        <v>13440000</v>
      </c>
      <c r="K2781">
        <f t="shared" si="490"/>
        <v>53393093</v>
      </c>
      <c r="M2781">
        <f t="shared" si="493"/>
        <v>9222965</v>
      </c>
      <c r="N2781">
        <f t="shared" si="489"/>
        <v>62616058</v>
      </c>
    </row>
    <row r="2782" ht="13.9" spans="1:14">
      <c r="A2782" s="42" t="s">
        <v>1870</v>
      </c>
      <c r="B2782" s="11">
        <v>7803698</v>
      </c>
      <c r="D2782" s="11">
        <v>24</v>
      </c>
      <c r="E2782">
        <f t="shared" si="492"/>
        <v>24</v>
      </c>
      <c r="H2782">
        <f t="shared" si="494"/>
        <v>24000000</v>
      </c>
      <c r="I2782">
        <f t="shared" si="491"/>
        <v>11520000</v>
      </c>
      <c r="K2782">
        <f t="shared" si="490"/>
        <v>45589395</v>
      </c>
      <c r="M2782">
        <f t="shared" si="493"/>
        <v>7803698</v>
      </c>
      <c r="N2782">
        <f t="shared" si="489"/>
        <v>53393093</v>
      </c>
    </row>
    <row r="2783" ht="13.9" spans="1:14">
      <c r="A2783" s="42" t="s">
        <v>1871</v>
      </c>
      <c r="B2783" s="11">
        <v>8470042</v>
      </c>
      <c r="D2783" s="11">
        <v>20</v>
      </c>
      <c r="E2783">
        <f t="shared" si="492"/>
        <v>20</v>
      </c>
      <c r="H2783">
        <f t="shared" si="494"/>
        <v>20000000</v>
      </c>
      <c r="I2783">
        <f t="shared" si="491"/>
        <v>9600000</v>
      </c>
      <c r="K2783">
        <f t="shared" si="490"/>
        <v>37119353</v>
      </c>
      <c r="M2783">
        <f t="shared" si="493"/>
        <v>8470042</v>
      </c>
      <c r="N2783">
        <f t="shared" ref="N2783:N2846" si="495">IF(H2783&lt;H2784,M2783+M2784,M2783+N2784)</f>
        <v>45589395</v>
      </c>
    </row>
    <row r="2784" ht="13.9" spans="1:14">
      <c r="A2784" s="42" t="s">
        <v>1872</v>
      </c>
      <c r="B2784" s="11">
        <v>6968169</v>
      </c>
      <c r="D2784" s="11">
        <v>16</v>
      </c>
      <c r="E2784">
        <f t="shared" si="492"/>
        <v>16</v>
      </c>
      <c r="H2784">
        <f t="shared" si="494"/>
        <v>16000000</v>
      </c>
      <c r="I2784">
        <f t="shared" si="491"/>
        <v>7680000</v>
      </c>
      <c r="K2784">
        <f t="shared" si="490"/>
        <v>30151184</v>
      </c>
      <c r="M2784">
        <f t="shared" si="493"/>
        <v>6968169</v>
      </c>
      <c r="N2784">
        <f t="shared" si="495"/>
        <v>37119353</v>
      </c>
    </row>
    <row r="2785" ht="13.9" spans="1:14">
      <c r="A2785" s="42" t="s">
        <v>1873</v>
      </c>
      <c r="B2785" s="11">
        <v>7864156</v>
      </c>
      <c r="D2785" s="11">
        <v>14</v>
      </c>
      <c r="E2785">
        <f t="shared" si="492"/>
        <v>14</v>
      </c>
      <c r="H2785">
        <f t="shared" si="494"/>
        <v>14000000</v>
      </c>
      <c r="I2785">
        <f t="shared" si="491"/>
        <v>6720000</v>
      </c>
      <c r="K2785">
        <f t="shared" si="490"/>
        <v>22287028</v>
      </c>
      <c r="M2785">
        <f t="shared" si="493"/>
        <v>7864156</v>
      </c>
      <c r="N2785">
        <f t="shared" si="495"/>
        <v>30151184</v>
      </c>
    </row>
    <row r="2786" ht="13.9" spans="1:14">
      <c r="A2786" s="42" t="s">
        <v>1874</v>
      </c>
      <c r="B2786" s="11">
        <v>6590645</v>
      </c>
      <c r="D2786" s="11">
        <v>12</v>
      </c>
      <c r="E2786">
        <f t="shared" si="492"/>
        <v>12</v>
      </c>
      <c r="H2786">
        <f t="shared" si="494"/>
        <v>12000000</v>
      </c>
      <c r="I2786">
        <f t="shared" si="491"/>
        <v>5760000</v>
      </c>
      <c r="K2786">
        <f t="shared" si="490"/>
        <v>15696383</v>
      </c>
      <c r="M2786">
        <f t="shared" si="493"/>
        <v>6590645</v>
      </c>
      <c r="N2786">
        <f t="shared" si="495"/>
        <v>22287028</v>
      </c>
    </row>
    <row r="2787" ht="13.9" spans="1:14">
      <c r="A2787" s="42" t="s">
        <v>1875</v>
      </c>
      <c r="B2787" s="11">
        <v>7483417</v>
      </c>
      <c r="D2787" s="11">
        <v>10</v>
      </c>
      <c r="E2787">
        <f t="shared" si="492"/>
        <v>10</v>
      </c>
      <c r="H2787">
        <f t="shared" si="494"/>
        <v>10000000</v>
      </c>
      <c r="I2787">
        <f t="shared" si="491"/>
        <v>4800000</v>
      </c>
      <c r="K2787">
        <f t="shared" si="490"/>
        <v>8212966</v>
      </c>
      <c r="M2787">
        <f t="shared" si="493"/>
        <v>7483417</v>
      </c>
      <c r="N2787">
        <f t="shared" si="495"/>
        <v>15696383</v>
      </c>
    </row>
    <row r="2788" ht="13.9" spans="1:14">
      <c r="A2788" s="42" t="s">
        <v>1876</v>
      </c>
      <c r="B2788" s="11">
        <v>8212966</v>
      </c>
      <c r="D2788" s="11">
        <v>28</v>
      </c>
      <c r="E2788">
        <f t="shared" si="492"/>
        <v>28</v>
      </c>
      <c r="H2788">
        <f t="shared" si="494"/>
        <v>28000000</v>
      </c>
      <c r="I2788">
        <f t="shared" si="491"/>
        <v>13440000</v>
      </c>
      <c r="K2788">
        <f t="shared" si="490"/>
        <v>63013468</v>
      </c>
      <c r="M2788">
        <f t="shared" si="493"/>
        <v>8212966</v>
      </c>
      <c r="N2788">
        <f t="shared" si="495"/>
        <v>71226434</v>
      </c>
    </row>
    <row r="2789" ht="13.9" spans="1:14">
      <c r="A2789" s="42" t="s">
        <v>1877</v>
      </c>
      <c r="B2789" s="11">
        <v>8967548</v>
      </c>
      <c r="D2789" s="11">
        <v>24</v>
      </c>
      <c r="E2789">
        <f t="shared" si="492"/>
        <v>24</v>
      </c>
      <c r="H2789">
        <f t="shared" si="494"/>
        <v>24000000</v>
      </c>
      <c r="I2789">
        <f t="shared" si="491"/>
        <v>11520000</v>
      </c>
      <c r="K2789">
        <f t="shared" si="490"/>
        <v>54045920</v>
      </c>
      <c r="M2789">
        <f t="shared" si="493"/>
        <v>8967548</v>
      </c>
      <c r="N2789">
        <f t="shared" si="495"/>
        <v>63013468</v>
      </c>
    </row>
    <row r="2790" ht="13.9" spans="1:14">
      <c r="A2790" s="42" t="s">
        <v>1878</v>
      </c>
      <c r="B2790" s="11">
        <v>7427052</v>
      </c>
      <c r="D2790" s="11">
        <v>19</v>
      </c>
      <c r="E2790">
        <f t="shared" si="492"/>
        <v>19</v>
      </c>
      <c r="H2790">
        <f t="shared" si="494"/>
        <v>19000000</v>
      </c>
      <c r="I2790">
        <f t="shared" si="491"/>
        <v>9120000</v>
      </c>
      <c r="K2790">
        <f t="shared" si="490"/>
        <v>46618868</v>
      </c>
      <c r="M2790">
        <f t="shared" si="493"/>
        <v>7427052</v>
      </c>
      <c r="N2790">
        <f t="shared" si="495"/>
        <v>54045920</v>
      </c>
    </row>
    <row r="2791" ht="13.9" spans="1:14">
      <c r="A2791" s="42" t="s">
        <v>1879</v>
      </c>
      <c r="B2791" s="11">
        <v>8202179</v>
      </c>
      <c r="D2791" s="11">
        <v>16</v>
      </c>
      <c r="E2791">
        <f t="shared" si="492"/>
        <v>16</v>
      </c>
      <c r="H2791">
        <f t="shared" si="494"/>
        <v>16000000</v>
      </c>
      <c r="I2791">
        <f t="shared" si="491"/>
        <v>7680000</v>
      </c>
      <c r="K2791">
        <f t="shared" si="490"/>
        <v>38416689</v>
      </c>
      <c r="M2791">
        <f t="shared" si="493"/>
        <v>8202179</v>
      </c>
      <c r="N2791">
        <f t="shared" si="495"/>
        <v>46618868</v>
      </c>
    </row>
    <row r="2792" ht="13.9" spans="1:14">
      <c r="A2792" s="42" t="s">
        <v>1880</v>
      </c>
      <c r="B2792" s="11">
        <v>6924878</v>
      </c>
      <c r="D2792" s="11">
        <v>14</v>
      </c>
      <c r="E2792">
        <f t="shared" si="492"/>
        <v>14</v>
      </c>
      <c r="H2792">
        <f t="shared" si="494"/>
        <v>14000000</v>
      </c>
      <c r="I2792">
        <f t="shared" si="491"/>
        <v>6720000</v>
      </c>
      <c r="K2792">
        <f t="shared" si="490"/>
        <v>31491811</v>
      </c>
      <c r="M2792">
        <f t="shared" si="493"/>
        <v>6924878</v>
      </c>
      <c r="N2792">
        <f t="shared" si="495"/>
        <v>38416689</v>
      </c>
    </row>
    <row r="2793" ht="13.9" spans="1:14">
      <c r="A2793" s="42" t="s">
        <v>1881</v>
      </c>
      <c r="B2793" s="11">
        <v>7790750</v>
      </c>
      <c r="D2793" s="11">
        <v>12</v>
      </c>
      <c r="E2793">
        <f t="shared" si="492"/>
        <v>12</v>
      </c>
      <c r="H2793">
        <f t="shared" si="494"/>
        <v>12000000</v>
      </c>
      <c r="I2793">
        <f t="shared" si="491"/>
        <v>5760000</v>
      </c>
      <c r="K2793">
        <f t="shared" si="490"/>
        <v>23701061</v>
      </c>
      <c r="M2793">
        <f t="shared" si="493"/>
        <v>7790750</v>
      </c>
      <c r="N2793">
        <f t="shared" si="495"/>
        <v>31491811</v>
      </c>
    </row>
    <row r="2794" ht="13.9" spans="1:14">
      <c r="A2794" s="42" t="s">
        <v>1882</v>
      </c>
      <c r="B2794" s="11">
        <v>7014150</v>
      </c>
      <c r="D2794" s="11">
        <v>10</v>
      </c>
      <c r="E2794">
        <f t="shared" si="492"/>
        <v>10</v>
      </c>
      <c r="H2794">
        <f t="shared" si="494"/>
        <v>10000000</v>
      </c>
      <c r="I2794">
        <f t="shared" si="491"/>
        <v>4800000</v>
      </c>
      <c r="K2794">
        <f t="shared" ref="K2794:K2857" si="496">IF(E2794&gt;E2795,B2795+K2795,B2795)</f>
        <v>16686911</v>
      </c>
      <c r="M2794">
        <f t="shared" si="493"/>
        <v>7014150</v>
      </c>
      <c r="N2794">
        <f t="shared" si="495"/>
        <v>23701061</v>
      </c>
    </row>
    <row r="2795" ht="13.9" spans="1:14">
      <c r="A2795" s="42" t="s">
        <v>1883</v>
      </c>
      <c r="B2795" s="11">
        <v>16686911</v>
      </c>
      <c r="D2795" s="11">
        <v>66</v>
      </c>
      <c r="E2795">
        <f t="shared" si="492"/>
        <v>66</v>
      </c>
      <c r="H2795">
        <f t="shared" si="494"/>
        <v>66000000</v>
      </c>
      <c r="I2795">
        <f t="shared" si="491"/>
        <v>31680000</v>
      </c>
      <c r="K2795">
        <f t="shared" si="496"/>
        <v>122545547</v>
      </c>
      <c r="M2795">
        <f t="shared" si="493"/>
        <v>16686911</v>
      </c>
      <c r="N2795">
        <f t="shared" si="495"/>
        <v>139232458</v>
      </c>
    </row>
    <row r="2796" ht="13.9" spans="1:14">
      <c r="A2796" s="42" t="s">
        <v>1884</v>
      </c>
      <c r="B2796" s="11">
        <v>13247846</v>
      </c>
      <c r="D2796" s="11">
        <v>57</v>
      </c>
      <c r="E2796">
        <f t="shared" si="492"/>
        <v>57</v>
      </c>
      <c r="H2796">
        <f t="shared" si="494"/>
        <v>57000000</v>
      </c>
      <c r="I2796">
        <f t="shared" si="491"/>
        <v>27360000</v>
      </c>
      <c r="K2796">
        <f t="shared" si="496"/>
        <v>109297701</v>
      </c>
      <c r="M2796">
        <f t="shared" si="493"/>
        <v>13247846</v>
      </c>
      <c r="N2796">
        <f t="shared" si="495"/>
        <v>122545547</v>
      </c>
    </row>
    <row r="2797" ht="13.9" spans="1:14">
      <c r="A2797" s="42" t="s">
        <v>1885</v>
      </c>
      <c r="B2797" s="11">
        <v>12142102</v>
      </c>
      <c r="D2797" s="11">
        <v>50</v>
      </c>
      <c r="E2797">
        <f t="shared" si="492"/>
        <v>50</v>
      </c>
      <c r="H2797">
        <f t="shared" si="494"/>
        <v>50000000</v>
      </c>
      <c r="I2797">
        <f t="shared" ref="I2797:I2860" si="497">H2797*0.48</f>
        <v>24000000</v>
      </c>
      <c r="K2797">
        <f t="shared" si="496"/>
        <v>97155599</v>
      </c>
      <c r="M2797">
        <f t="shared" si="493"/>
        <v>12142102</v>
      </c>
      <c r="N2797">
        <f t="shared" si="495"/>
        <v>109297701</v>
      </c>
    </row>
    <row r="2798" ht="13.9" spans="1:14">
      <c r="A2798" s="42" t="s">
        <v>1886</v>
      </c>
      <c r="B2798" s="11">
        <v>9912637</v>
      </c>
      <c r="D2798" s="11">
        <v>45</v>
      </c>
      <c r="E2798">
        <f t="shared" si="492"/>
        <v>45</v>
      </c>
      <c r="H2798">
        <f t="shared" si="494"/>
        <v>45000000</v>
      </c>
      <c r="I2798">
        <f t="shared" si="497"/>
        <v>21600000</v>
      </c>
      <c r="K2798">
        <f t="shared" si="496"/>
        <v>87242962</v>
      </c>
      <c r="M2798">
        <f t="shared" si="493"/>
        <v>9912637</v>
      </c>
      <c r="N2798">
        <f t="shared" si="495"/>
        <v>97155599</v>
      </c>
    </row>
    <row r="2799" ht="13.9" spans="1:14">
      <c r="A2799" s="55" t="s">
        <v>1887</v>
      </c>
      <c r="B2799" s="15">
        <v>9020255</v>
      </c>
      <c r="D2799" s="15">
        <v>40</v>
      </c>
      <c r="E2799">
        <f t="shared" si="492"/>
        <v>40</v>
      </c>
      <c r="H2799">
        <f t="shared" si="494"/>
        <v>40000000</v>
      </c>
      <c r="I2799">
        <f t="shared" si="497"/>
        <v>19200000</v>
      </c>
      <c r="K2799">
        <f t="shared" si="496"/>
        <v>78222707</v>
      </c>
      <c r="M2799">
        <f t="shared" si="493"/>
        <v>9020255</v>
      </c>
      <c r="N2799">
        <f t="shared" si="495"/>
        <v>87242962</v>
      </c>
    </row>
    <row r="2800" ht="13.9" spans="1:14">
      <c r="A2800" s="41" t="s">
        <v>1888</v>
      </c>
      <c r="B2800" s="13">
        <v>8823368</v>
      </c>
      <c r="D2800" s="13">
        <v>35</v>
      </c>
      <c r="E2800">
        <f t="shared" si="492"/>
        <v>35</v>
      </c>
      <c r="H2800">
        <f t="shared" si="494"/>
        <v>35000000</v>
      </c>
      <c r="I2800">
        <f t="shared" si="497"/>
        <v>16800000</v>
      </c>
      <c r="K2800">
        <f t="shared" si="496"/>
        <v>69399339</v>
      </c>
      <c r="M2800">
        <f t="shared" si="493"/>
        <v>8823368</v>
      </c>
      <c r="N2800">
        <f t="shared" si="495"/>
        <v>78222707</v>
      </c>
    </row>
    <row r="2801" ht="13.9" spans="1:14">
      <c r="A2801" s="42" t="s">
        <v>1889</v>
      </c>
      <c r="B2801" s="11">
        <v>8256426</v>
      </c>
      <c r="D2801" s="11">
        <v>30</v>
      </c>
      <c r="E2801">
        <f t="shared" si="492"/>
        <v>30</v>
      </c>
      <c r="H2801">
        <f t="shared" si="494"/>
        <v>30000000</v>
      </c>
      <c r="I2801">
        <f t="shared" si="497"/>
        <v>14400000</v>
      </c>
      <c r="K2801">
        <f t="shared" si="496"/>
        <v>61142913</v>
      </c>
      <c r="M2801">
        <f t="shared" si="493"/>
        <v>8256426</v>
      </c>
      <c r="N2801">
        <f t="shared" si="495"/>
        <v>69399339</v>
      </c>
    </row>
    <row r="2802" ht="13.9" spans="1:14">
      <c r="A2802" s="42" t="s">
        <v>1890</v>
      </c>
      <c r="B2802" s="11">
        <v>8092329</v>
      </c>
      <c r="D2802" s="11">
        <v>26</v>
      </c>
      <c r="E2802">
        <f t="shared" si="492"/>
        <v>26</v>
      </c>
      <c r="H2802">
        <f t="shared" si="494"/>
        <v>26000000</v>
      </c>
      <c r="I2802">
        <f t="shared" si="497"/>
        <v>12480000</v>
      </c>
      <c r="K2802">
        <f t="shared" si="496"/>
        <v>53050584</v>
      </c>
      <c r="M2802">
        <f t="shared" si="493"/>
        <v>8092329</v>
      </c>
      <c r="N2802">
        <f t="shared" si="495"/>
        <v>61142913</v>
      </c>
    </row>
    <row r="2803" ht="13.9" spans="1:14">
      <c r="A2803" s="42" t="s">
        <v>1891</v>
      </c>
      <c r="B2803" s="11">
        <v>8351633</v>
      </c>
      <c r="D2803" s="11">
        <v>23</v>
      </c>
      <c r="E2803">
        <f t="shared" si="492"/>
        <v>23</v>
      </c>
      <c r="H2803">
        <f t="shared" si="494"/>
        <v>23000000</v>
      </c>
      <c r="I2803">
        <f t="shared" si="497"/>
        <v>11040000</v>
      </c>
      <c r="K2803">
        <f t="shared" si="496"/>
        <v>44698951</v>
      </c>
      <c r="M2803">
        <f t="shared" si="493"/>
        <v>8351633</v>
      </c>
      <c r="N2803">
        <f t="shared" si="495"/>
        <v>53050584</v>
      </c>
    </row>
    <row r="2804" ht="13.9" spans="1:14">
      <c r="A2804" s="42" t="s">
        <v>1892</v>
      </c>
      <c r="B2804" s="11">
        <v>7039503</v>
      </c>
      <c r="D2804" s="11">
        <v>18</v>
      </c>
      <c r="E2804">
        <f t="shared" si="492"/>
        <v>18</v>
      </c>
      <c r="H2804">
        <f t="shared" si="494"/>
        <v>18000000</v>
      </c>
      <c r="I2804">
        <f t="shared" si="497"/>
        <v>8640000</v>
      </c>
      <c r="K2804">
        <f t="shared" si="496"/>
        <v>37659448</v>
      </c>
      <c r="M2804">
        <f t="shared" si="493"/>
        <v>7039503</v>
      </c>
      <c r="N2804">
        <f t="shared" si="495"/>
        <v>44698951</v>
      </c>
    </row>
    <row r="2805" ht="13.9" spans="1:14">
      <c r="A2805" s="42" t="s">
        <v>1893</v>
      </c>
      <c r="B2805" s="11">
        <v>7814176</v>
      </c>
      <c r="D2805" s="11">
        <v>16</v>
      </c>
      <c r="E2805">
        <f t="shared" si="492"/>
        <v>16</v>
      </c>
      <c r="H2805">
        <f t="shared" si="494"/>
        <v>16000000</v>
      </c>
      <c r="I2805">
        <f t="shared" si="497"/>
        <v>7680000</v>
      </c>
      <c r="K2805">
        <f t="shared" si="496"/>
        <v>29845272</v>
      </c>
      <c r="M2805">
        <f t="shared" si="493"/>
        <v>7814176</v>
      </c>
      <c r="N2805">
        <f t="shared" si="495"/>
        <v>37659448</v>
      </c>
    </row>
    <row r="2806" ht="13.9" spans="1:14">
      <c r="A2806" s="42" t="s">
        <v>1894</v>
      </c>
      <c r="B2806" s="11">
        <v>6721399</v>
      </c>
      <c r="D2806" s="11">
        <v>14</v>
      </c>
      <c r="E2806">
        <f t="shared" si="492"/>
        <v>14</v>
      </c>
      <c r="H2806">
        <f t="shared" si="494"/>
        <v>14000000</v>
      </c>
      <c r="I2806">
        <f t="shared" si="497"/>
        <v>6720000</v>
      </c>
      <c r="K2806">
        <f t="shared" si="496"/>
        <v>23123873</v>
      </c>
      <c r="M2806">
        <f t="shared" si="493"/>
        <v>6721399</v>
      </c>
      <c r="N2806">
        <f t="shared" si="495"/>
        <v>29845272</v>
      </c>
    </row>
    <row r="2807" ht="13.9" spans="1:14">
      <c r="A2807" s="42" t="s">
        <v>1895</v>
      </c>
      <c r="B2807" s="11">
        <v>7615053</v>
      </c>
      <c r="D2807" s="11">
        <v>12</v>
      </c>
      <c r="E2807">
        <f t="shared" si="492"/>
        <v>12</v>
      </c>
      <c r="H2807">
        <f t="shared" si="494"/>
        <v>12000000</v>
      </c>
      <c r="I2807">
        <f t="shared" si="497"/>
        <v>5760000</v>
      </c>
      <c r="K2807">
        <f t="shared" si="496"/>
        <v>15508820</v>
      </c>
      <c r="M2807">
        <f t="shared" si="493"/>
        <v>7615053</v>
      </c>
      <c r="N2807">
        <f t="shared" si="495"/>
        <v>23123873</v>
      </c>
    </row>
    <row r="2808" ht="13.9" spans="1:14">
      <c r="A2808" s="42" t="s">
        <v>1896</v>
      </c>
      <c r="B2808" s="11">
        <v>6609741</v>
      </c>
      <c r="D2808" s="11">
        <v>10</v>
      </c>
      <c r="E2808">
        <f t="shared" si="492"/>
        <v>10</v>
      </c>
      <c r="H2808">
        <f t="shared" si="494"/>
        <v>10000000</v>
      </c>
      <c r="I2808">
        <f t="shared" si="497"/>
        <v>4800000</v>
      </c>
      <c r="K2808">
        <f t="shared" si="496"/>
        <v>8899079</v>
      </c>
      <c r="M2808">
        <f t="shared" si="493"/>
        <v>6609741</v>
      </c>
      <c r="N2808">
        <f t="shared" si="495"/>
        <v>15508820</v>
      </c>
    </row>
    <row r="2809" ht="13.9" spans="1:14">
      <c r="A2809" s="42" t="s">
        <v>1897</v>
      </c>
      <c r="B2809" s="11">
        <v>8899079</v>
      </c>
      <c r="D2809" s="11">
        <v>32</v>
      </c>
      <c r="E2809">
        <f t="shared" si="492"/>
        <v>32</v>
      </c>
      <c r="H2809">
        <f t="shared" si="494"/>
        <v>32000000</v>
      </c>
      <c r="I2809">
        <f t="shared" si="497"/>
        <v>15360000</v>
      </c>
      <c r="K2809">
        <f t="shared" si="496"/>
        <v>66485028</v>
      </c>
      <c r="M2809">
        <f t="shared" si="493"/>
        <v>8899079</v>
      </c>
      <c r="N2809">
        <f t="shared" si="495"/>
        <v>75384107</v>
      </c>
    </row>
    <row r="2810" ht="13.9" spans="1:14">
      <c r="A2810" s="42" t="s">
        <v>1898</v>
      </c>
      <c r="B2810" s="11">
        <v>8359112</v>
      </c>
      <c r="D2810" s="11">
        <v>28</v>
      </c>
      <c r="E2810">
        <f t="shared" si="492"/>
        <v>28</v>
      </c>
      <c r="H2810">
        <f t="shared" si="494"/>
        <v>28000000</v>
      </c>
      <c r="I2810">
        <f t="shared" si="497"/>
        <v>13440000</v>
      </c>
      <c r="K2810">
        <f t="shared" si="496"/>
        <v>58125916</v>
      </c>
      <c r="M2810">
        <f t="shared" si="493"/>
        <v>8359112</v>
      </c>
      <c r="N2810">
        <f t="shared" si="495"/>
        <v>66485028</v>
      </c>
    </row>
    <row r="2811" ht="13.9" spans="1:14">
      <c r="A2811" s="42" t="s">
        <v>1899</v>
      </c>
      <c r="B2811" s="11">
        <v>8764402</v>
      </c>
      <c r="D2811" s="11">
        <v>24</v>
      </c>
      <c r="E2811">
        <f t="shared" si="492"/>
        <v>24</v>
      </c>
      <c r="H2811">
        <f t="shared" si="494"/>
        <v>24000000</v>
      </c>
      <c r="I2811">
        <f t="shared" si="497"/>
        <v>11520000</v>
      </c>
      <c r="K2811">
        <f t="shared" si="496"/>
        <v>49361514</v>
      </c>
      <c r="M2811">
        <f t="shared" si="493"/>
        <v>8764402</v>
      </c>
      <c r="N2811">
        <f t="shared" si="495"/>
        <v>58125916</v>
      </c>
    </row>
    <row r="2812" ht="13.9" spans="1:14">
      <c r="A2812" s="42" t="s">
        <v>1900</v>
      </c>
      <c r="B2812" s="11">
        <v>7566242</v>
      </c>
      <c r="D2812" s="11">
        <v>20</v>
      </c>
      <c r="E2812">
        <f t="shared" si="492"/>
        <v>20</v>
      </c>
      <c r="H2812">
        <f t="shared" si="494"/>
        <v>20000000</v>
      </c>
      <c r="I2812">
        <f t="shared" si="497"/>
        <v>9600000</v>
      </c>
      <c r="K2812">
        <f t="shared" si="496"/>
        <v>41795272</v>
      </c>
      <c r="M2812">
        <f t="shared" si="493"/>
        <v>7566242</v>
      </c>
      <c r="N2812">
        <f t="shared" si="495"/>
        <v>49361514</v>
      </c>
    </row>
    <row r="2813" ht="13.9" spans="1:14">
      <c r="A2813" s="42" t="s">
        <v>1901</v>
      </c>
      <c r="B2813" s="11">
        <v>8289110</v>
      </c>
      <c r="D2813" s="11">
        <v>16</v>
      </c>
      <c r="E2813">
        <f t="shared" si="492"/>
        <v>16</v>
      </c>
      <c r="H2813">
        <f t="shared" si="494"/>
        <v>16000000</v>
      </c>
      <c r="I2813">
        <f t="shared" si="497"/>
        <v>7680000</v>
      </c>
      <c r="K2813">
        <f t="shared" si="496"/>
        <v>33506162</v>
      </c>
      <c r="M2813">
        <f t="shared" si="493"/>
        <v>8289110</v>
      </c>
      <c r="N2813">
        <f t="shared" si="495"/>
        <v>41795272</v>
      </c>
    </row>
    <row r="2814" ht="13.9" spans="1:14">
      <c r="A2814" s="42" t="s">
        <v>1902</v>
      </c>
      <c r="B2814" s="11">
        <v>6909549</v>
      </c>
      <c r="D2814" s="11">
        <v>14</v>
      </c>
      <c r="E2814">
        <f t="shared" si="492"/>
        <v>14</v>
      </c>
      <c r="H2814">
        <f t="shared" si="494"/>
        <v>14000000</v>
      </c>
      <c r="I2814">
        <f t="shared" si="497"/>
        <v>6720000</v>
      </c>
      <c r="K2814">
        <f t="shared" si="496"/>
        <v>26596613</v>
      </c>
      <c r="M2814">
        <f t="shared" si="493"/>
        <v>6909549</v>
      </c>
      <c r="N2814">
        <f t="shared" si="495"/>
        <v>33506162</v>
      </c>
    </row>
    <row r="2815" ht="13.9" spans="1:14">
      <c r="A2815" s="42" t="s">
        <v>1903</v>
      </c>
      <c r="B2815" s="11">
        <v>7961543</v>
      </c>
      <c r="D2815" s="11">
        <v>12</v>
      </c>
      <c r="E2815">
        <f t="shared" si="492"/>
        <v>12</v>
      </c>
      <c r="H2815">
        <f t="shared" si="494"/>
        <v>12000000</v>
      </c>
      <c r="I2815">
        <f t="shared" si="497"/>
        <v>5760000</v>
      </c>
      <c r="K2815">
        <f t="shared" si="496"/>
        <v>18635070</v>
      </c>
      <c r="M2815">
        <f t="shared" si="493"/>
        <v>7961543</v>
      </c>
      <c r="N2815">
        <f t="shared" si="495"/>
        <v>26596613</v>
      </c>
    </row>
    <row r="2816" ht="13.9" spans="1:14">
      <c r="A2816" s="42" t="s">
        <v>1904</v>
      </c>
      <c r="B2816" s="11">
        <v>6917311</v>
      </c>
      <c r="D2816" s="11">
        <v>10</v>
      </c>
      <c r="E2816">
        <f t="shared" ref="E2816:E2879" si="498">IF(RIGHT(D2816,1)="B",VALUE(LEFT(D2816,LEN(D2816)-1))*1000,D2816)</f>
        <v>10</v>
      </c>
      <c r="H2816">
        <f t="shared" si="494"/>
        <v>10000000</v>
      </c>
      <c r="I2816">
        <f t="shared" si="497"/>
        <v>4800000</v>
      </c>
      <c r="K2816">
        <f t="shared" si="496"/>
        <v>11717759</v>
      </c>
      <c r="M2816">
        <f t="shared" si="493"/>
        <v>6917311</v>
      </c>
      <c r="N2816">
        <f t="shared" si="495"/>
        <v>18635070</v>
      </c>
    </row>
    <row r="2817" ht="13.9" spans="1:14">
      <c r="A2817" s="42" t="s">
        <v>1905</v>
      </c>
      <c r="B2817" s="11">
        <v>11717759</v>
      </c>
      <c r="D2817" s="11">
        <v>45</v>
      </c>
      <c r="E2817">
        <f t="shared" si="498"/>
        <v>45</v>
      </c>
      <c r="H2817">
        <f t="shared" si="494"/>
        <v>45000000</v>
      </c>
      <c r="I2817">
        <f t="shared" si="497"/>
        <v>21600000</v>
      </c>
      <c r="K2817">
        <f t="shared" si="496"/>
        <v>89655859</v>
      </c>
      <c r="M2817">
        <f t="shared" si="493"/>
        <v>11717759</v>
      </c>
      <c r="N2817">
        <f t="shared" si="495"/>
        <v>101373618</v>
      </c>
    </row>
    <row r="2818" ht="13.9" spans="1:14">
      <c r="A2818" s="42" t="s">
        <v>1906</v>
      </c>
      <c r="B2818" s="11">
        <v>9940196</v>
      </c>
      <c r="D2818" s="11">
        <v>40</v>
      </c>
      <c r="E2818">
        <f t="shared" si="498"/>
        <v>40</v>
      </c>
      <c r="H2818">
        <f t="shared" si="494"/>
        <v>40000000</v>
      </c>
      <c r="I2818">
        <f t="shared" si="497"/>
        <v>19200000</v>
      </c>
      <c r="K2818">
        <f t="shared" si="496"/>
        <v>79715663</v>
      </c>
      <c r="M2818">
        <f t="shared" si="493"/>
        <v>9940196</v>
      </c>
      <c r="N2818">
        <f t="shared" si="495"/>
        <v>89655859</v>
      </c>
    </row>
    <row r="2819" ht="13.9" spans="1:14">
      <c r="A2819" s="42" t="s">
        <v>1907</v>
      </c>
      <c r="B2819" s="11">
        <v>9959954</v>
      </c>
      <c r="D2819" s="11">
        <v>34</v>
      </c>
      <c r="E2819">
        <f t="shared" si="498"/>
        <v>34</v>
      </c>
      <c r="H2819">
        <f t="shared" si="494"/>
        <v>34000000</v>
      </c>
      <c r="I2819">
        <f t="shared" si="497"/>
        <v>16320000</v>
      </c>
      <c r="K2819">
        <f t="shared" si="496"/>
        <v>69755709</v>
      </c>
      <c r="M2819">
        <f t="shared" si="493"/>
        <v>9959954</v>
      </c>
      <c r="N2819">
        <f t="shared" si="495"/>
        <v>79715663</v>
      </c>
    </row>
    <row r="2820" ht="13.9" spans="1:14">
      <c r="A2820" s="42" t="s">
        <v>1908</v>
      </c>
      <c r="B2820" s="11">
        <v>8412139</v>
      </c>
      <c r="D2820" s="11">
        <v>29</v>
      </c>
      <c r="E2820">
        <f t="shared" si="498"/>
        <v>29</v>
      </c>
      <c r="H2820">
        <f t="shared" si="494"/>
        <v>29000000</v>
      </c>
      <c r="I2820">
        <f t="shared" si="497"/>
        <v>13920000</v>
      </c>
      <c r="K2820">
        <f t="shared" si="496"/>
        <v>61343570</v>
      </c>
      <c r="M2820">
        <f t="shared" si="493"/>
        <v>8412139</v>
      </c>
      <c r="N2820">
        <f t="shared" si="495"/>
        <v>69755709</v>
      </c>
    </row>
    <row r="2821" ht="13.9" spans="1:14">
      <c r="A2821" s="42" t="s">
        <v>1909</v>
      </c>
      <c r="B2821" s="11">
        <v>9221381</v>
      </c>
      <c r="D2821" s="11">
        <v>25</v>
      </c>
      <c r="E2821">
        <f t="shared" si="498"/>
        <v>25</v>
      </c>
      <c r="H2821">
        <f t="shared" si="494"/>
        <v>25000000</v>
      </c>
      <c r="I2821">
        <f t="shared" si="497"/>
        <v>12000000</v>
      </c>
      <c r="K2821">
        <f t="shared" si="496"/>
        <v>52122189</v>
      </c>
      <c r="M2821">
        <f t="shared" si="493"/>
        <v>9221381</v>
      </c>
      <c r="N2821">
        <f t="shared" si="495"/>
        <v>61343570</v>
      </c>
    </row>
    <row r="2822" ht="13.9" spans="1:14">
      <c r="A2822" s="42" t="s">
        <v>1910</v>
      </c>
      <c r="B2822" s="11">
        <v>7800856</v>
      </c>
      <c r="D2822" s="11">
        <v>20</v>
      </c>
      <c r="E2822">
        <f t="shared" si="498"/>
        <v>20</v>
      </c>
      <c r="H2822">
        <f t="shared" si="494"/>
        <v>20000000</v>
      </c>
      <c r="I2822">
        <f t="shared" si="497"/>
        <v>9600000</v>
      </c>
      <c r="K2822">
        <f t="shared" si="496"/>
        <v>44321333</v>
      </c>
      <c r="M2822">
        <f t="shared" ref="M2822:M2885" si="499">B2822+C2822</f>
        <v>7800856</v>
      </c>
      <c r="N2822">
        <f t="shared" si="495"/>
        <v>52122189</v>
      </c>
    </row>
    <row r="2823" ht="13.9" spans="1:14">
      <c r="A2823" s="42" t="s">
        <v>1911</v>
      </c>
      <c r="B2823" s="11">
        <v>8507048</v>
      </c>
      <c r="D2823" s="11">
        <v>16</v>
      </c>
      <c r="E2823">
        <f t="shared" si="498"/>
        <v>16</v>
      </c>
      <c r="H2823">
        <f t="shared" si="494"/>
        <v>16000000</v>
      </c>
      <c r="I2823">
        <f t="shared" si="497"/>
        <v>7680000</v>
      </c>
      <c r="K2823">
        <f t="shared" si="496"/>
        <v>35814285</v>
      </c>
      <c r="M2823">
        <f t="shared" si="499"/>
        <v>8507048</v>
      </c>
      <c r="N2823">
        <f t="shared" si="495"/>
        <v>44321333</v>
      </c>
    </row>
    <row r="2824" ht="13.9" spans="1:14">
      <c r="A2824" s="42" t="s">
        <v>1912</v>
      </c>
      <c r="B2824" s="11">
        <v>7428276</v>
      </c>
      <c r="D2824" s="11">
        <v>14</v>
      </c>
      <c r="E2824">
        <f t="shared" si="498"/>
        <v>14</v>
      </c>
      <c r="H2824">
        <f t="shared" si="494"/>
        <v>14000000</v>
      </c>
      <c r="I2824">
        <f t="shared" si="497"/>
        <v>6720000</v>
      </c>
      <c r="K2824">
        <f t="shared" si="496"/>
        <v>28386009</v>
      </c>
      <c r="M2824">
        <f t="shared" si="499"/>
        <v>7428276</v>
      </c>
      <c r="N2824">
        <f t="shared" si="495"/>
        <v>35814285</v>
      </c>
    </row>
    <row r="2825" ht="13.9" spans="1:14">
      <c r="A2825" s="42" t="s">
        <v>1913</v>
      </c>
      <c r="B2825" s="11">
        <v>8429487</v>
      </c>
      <c r="D2825" s="11">
        <v>12</v>
      </c>
      <c r="E2825">
        <f t="shared" si="498"/>
        <v>12</v>
      </c>
      <c r="H2825">
        <f t="shared" si="494"/>
        <v>12000000</v>
      </c>
      <c r="I2825">
        <f t="shared" si="497"/>
        <v>5760000</v>
      </c>
      <c r="K2825">
        <f t="shared" si="496"/>
        <v>19956522</v>
      </c>
      <c r="M2825">
        <f t="shared" si="499"/>
        <v>8429487</v>
      </c>
      <c r="N2825">
        <f t="shared" si="495"/>
        <v>28386009</v>
      </c>
    </row>
    <row r="2826" ht="13.9" spans="1:14">
      <c r="A2826" s="42" t="s">
        <v>1914</v>
      </c>
      <c r="B2826" s="11">
        <v>7285309</v>
      </c>
      <c r="D2826" s="11">
        <v>10</v>
      </c>
      <c r="E2826">
        <f t="shared" si="498"/>
        <v>10</v>
      </c>
      <c r="H2826">
        <f t="shared" si="494"/>
        <v>10000000</v>
      </c>
      <c r="I2826">
        <f t="shared" si="497"/>
        <v>4800000</v>
      </c>
      <c r="K2826">
        <f t="shared" si="496"/>
        <v>12671213</v>
      </c>
      <c r="M2826">
        <f t="shared" si="499"/>
        <v>7285309</v>
      </c>
      <c r="N2826">
        <f t="shared" si="495"/>
        <v>19956522</v>
      </c>
    </row>
    <row r="2827" ht="13.9" spans="1:14">
      <c r="A2827" s="42" t="s">
        <v>1915</v>
      </c>
      <c r="B2827" s="11">
        <v>12671213</v>
      </c>
      <c r="D2827" s="11">
        <v>49</v>
      </c>
      <c r="E2827">
        <f t="shared" si="498"/>
        <v>49</v>
      </c>
      <c r="H2827">
        <f t="shared" si="494"/>
        <v>49000000</v>
      </c>
      <c r="I2827">
        <f t="shared" si="497"/>
        <v>23520000</v>
      </c>
      <c r="K2827">
        <f t="shared" si="496"/>
        <v>98374164</v>
      </c>
      <c r="M2827">
        <f t="shared" si="499"/>
        <v>12671213</v>
      </c>
      <c r="N2827">
        <f t="shared" si="495"/>
        <v>111045377</v>
      </c>
    </row>
    <row r="2828" ht="13.9" spans="1:14">
      <c r="A2828" s="42" t="s">
        <v>1916</v>
      </c>
      <c r="B2828" s="11">
        <v>10808216</v>
      </c>
      <c r="D2828" s="11">
        <v>43</v>
      </c>
      <c r="E2828">
        <f t="shared" si="498"/>
        <v>43</v>
      </c>
      <c r="H2828">
        <f t="shared" si="494"/>
        <v>43000000</v>
      </c>
      <c r="I2828">
        <f t="shared" si="497"/>
        <v>20640000</v>
      </c>
      <c r="K2828">
        <f t="shared" si="496"/>
        <v>87565948</v>
      </c>
      <c r="M2828">
        <f t="shared" si="499"/>
        <v>10808216</v>
      </c>
      <c r="N2828">
        <f t="shared" si="495"/>
        <v>98374164</v>
      </c>
    </row>
    <row r="2829" ht="13.9" spans="1:14">
      <c r="A2829" s="42" t="s">
        <v>1917</v>
      </c>
      <c r="B2829" s="11">
        <v>10946062</v>
      </c>
      <c r="D2829" s="11">
        <v>38</v>
      </c>
      <c r="E2829">
        <f t="shared" si="498"/>
        <v>38</v>
      </c>
      <c r="H2829">
        <f t="shared" si="494"/>
        <v>38000000</v>
      </c>
      <c r="I2829">
        <f t="shared" si="497"/>
        <v>18240000</v>
      </c>
      <c r="K2829">
        <f t="shared" si="496"/>
        <v>76619886</v>
      </c>
      <c r="M2829">
        <f t="shared" si="499"/>
        <v>10946062</v>
      </c>
      <c r="N2829">
        <f t="shared" si="495"/>
        <v>87565948</v>
      </c>
    </row>
    <row r="2830" ht="13.9" spans="1:14">
      <c r="A2830" s="42" t="s">
        <v>1918</v>
      </c>
      <c r="B2830" s="11">
        <v>9499322</v>
      </c>
      <c r="D2830" s="11">
        <v>32</v>
      </c>
      <c r="E2830">
        <f t="shared" si="498"/>
        <v>32</v>
      </c>
      <c r="H2830">
        <f t="shared" si="494"/>
        <v>32000000</v>
      </c>
      <c r="I2830">
        <f t="shared" si="497"/>
        <v>15360000</v>
      </c>
      <c r="K2830">
        <f t="shared" si="496"/>
        <v>67120564</v>
      </c>
      <c r="M2830">
        <f t="shared" si="499"/>
        <v>9499322</v>
      </c>
      <c r="N2830">
        <f t="shared" si="495"/>
        <v>76619886</v>
      </c>
    </row>
    <row r="2831" ht="13.9" spans="1:14">
      <c r="A2831" s="42" t="s">
        <v>1919</v>
      </c>
      <c r="B2831" s="11">
        <v>9832220</v>
      </c>
      <c r="D2831" s="11">
        <v>27</v>
      </c>
      <c r="E2831">
        <f t="shared" si="498"/>
        <v>27</v>
      </c>
      <c r="H2831">
        <f t="shared" ref="H2831:H2894" si="500">E2831*1000000</f>
        <v>27000000</v>
      </c>
      <c r="I2831">
        <f t="shared" si="497"/>
        <v>12960000</v>
      </c>
      <c r="K2831">
        <f t="shared" si="496"/>
        <v>57288344</v>
      </c>
      <c r="M2831">
        <f t="shared" si="499"/>
        <v>9832220</v>
      </c>
      <c r="N2831">
        <f t="shared" si="495"/>
        <v>67120564</v>
      </c>
    </row>
    <row r="2832" ht="13.9" spans="1:14">
      <c r="A2832" s="42" t="s">
        <v>1920</v>
      </c>
      <c r="B2832" s="11">
        <v>8479801</v>
      </c>
      <c r="D2832" s="11">
        <v>23</v>
      </c>
      <c r="E2832">
        <f t="shared" si="498"/>
        <v>23</v>
      </c>
      <c r="H2832">
        <f t="shared" si="500"/>
        <v>23000000</v>
      </c>
      <c r="I2832">
        <f t="shared" si="497"/>
        <v>11040000</v>
      </c>
      <c r="K2832">
        <f t="shared" si="496"/>
        <v>48808543</v>
      </c>
      <c r="M2832">
        <f t="shared" si="499"/>
        <v>8479801</v>
      </c>
      <c r="N2832">
        <f t="shared" si="495"/>
        <v>57288344</v>
      </c>
    </row>
    <row r="2833" ht="13.9" spans="1:14">
      <c r="A2833" s="42" t="s">
        <v>1921</v>
      </c>
      <c r="B2833" s="11">
        <v>9587273</v>
      </c>
      <c r="D2833" s="11">
        <v>18</v>
      </c>
      <c r="E2833">
        <f t="shared" si="498"/>
        <v>18</v>
      </c>
      <c r="H2833">
        <f t="shared" si="500"/>
        <v>18000000</v>
      </c>
      <c r="I2833">
        <f t="shared" si="497"/>
        <v>8640000</v>
      </c>
      <c r="K2833">
        <f t="shared" si="496"/>
        <v>39221270</v>
      </c>
      <c r="M2833">
        <f t="shared" si="499"/>
        <v>9587273</v>
      </c>
      <c r="N2833">
        <f t="shared" si="495"/>
        <v>48808543</v>
      </c>
    </row>
    <row r="2834" ht="13.9" spans="1:14">
      <c r="A2834" s="42" t="s">
        <v>1922</v>
      </c>
      <c r="B2834" s="11">
        <v>8198291</v>
      </c>
      <c r="D2834" s="11">
        <v>14</v>
      </c>
      <c r="E2834">
        <f t="shared" si="498"/>
        <v>14</v>
      </c>
      <c r="H2834">
        <f t="shared" si="500"/>
        <v>14000000</v>
      </c>
      <c r="I2834">
        <f t="shared" si="497"/>
        <v>6720000</v>
      </c>
      <c r="K2834">
        <f t="shared" si="496"/>
        <v>31022979</v>
      </c>
      <c r="M2834">
        <f t="shared" si="499"/>
        <v>8198291</v>
      </c>
      <c r="N2834">
        <f t="shared" si="495"/>
        <v>39221270</v>
      </c>
    </row>
    <row r="2835" ht="13.9" spans="1:14">
      <c r="A2835" s="42" t="s">
        <v>1923</v>
      </c>
      <c r="B2835" s="11">
        <v>9108702</v>
      </c>
      <c r="D2835" s="11">
        <v>12</v>
      </c>
      <c r="E2835">
        <f t="shared" si="498"/>
        <v>12</v>
      </c>
      <c r="H2835">
        <f t="shared" si="500"/>
        <v>12000000</v>
      </c>
      <c r="I2835">
        <f t="shared" si="497"/>
        <v>5760000</v>
      </c>
      <c r="K2835">
        <f t="shared" si="496"/>
        <v>21914277</v>
      </c>
      <c r="M2835">
        <f t="shared" si="499"/>
        <v>9108702</v>
      </c>
      <c r="N2835">
        <f t="shared" si="495"/>
        <v>31022979</v>
      </c>
    </row>
    <row r="2836" ht="13.9" spans="1:14">
      <c r="A2836" s="42" t="s">
        <v>1924</v>
      </c>
      <c r="B2836" s="11">
        <v>8239264</v>
      </c>
      <c r="D2836" s="11">
        <v>10</v>
      </c>
      <c r="E2836">
        <f t="shared" si="498"/>
        <v>10</v>
      </c>
      <c r="H2836">
        <f t="shared" si="500"/>
        <v>10000000</v>
      </c>
      <c r="I2836">
        <f t="shared" si="497"/>
        <v>4800000</v>
      </c>
      <c r="K2836">
        <f t="shared" si="496"/>
        <v>13675013</v>
      </c>
      <c r="M2836">
        <f t="shared" si="499"/>
        <v>8239264</v>
      </c>
      <c r="N2836">
        <f t="shared" si="495"/>
        <v>21914277</v>
      </c>
    </row>
    <row r="2837" ht="13.9" spans="1:14">
      <c r="A2837" s="42" t="s">
        <v>1925</v>
      </c>
      <c r="B2837" s="11">
        <v>13675013</v>
      </c>
      <c r="D2837" s="11">
        <v>43</v>
      </c>
      <c r="E2837">
        <f t="shared" si="498"/>
        <v>43</v>
      </c>
      <c r="H2837">
        <f t="shared" si="500"/>
        <v>43000000</v>
      </c>
      <c r="I2837">
        <f t="shared" si="497"/>
        <v>20640000</v>
      </c>
      <c r="K2837">
        <f t="shared" si="496"/>
        <v>279349831</v>
      </c>
      <c r="M2837">
        <f t="shared" si="499"/>
        <v>13675013</v>
      </c>
      <c r="N2837">
        <f t="shared" si="495"/>
        <v>293024844</v>
      </c>
    </row>
    <row r="2838" ht="13.9" spans="1:14">
      <c r="A2838" s="42" t="s">
        <v>1926</v>
      </c>
      <c r="B2838" s="11">
        <v>11595849</v>
      </c>
      <c r="D2838" s="11">
        <v>35</v>
      </c>
      <c r="E2838">
        <f t="shared" si="498"/>
        <v>35</v>
      </c>
      <c r="H2838">
        <f t="shared" si="500"/>
        <v>35000000</v>
      </c>
      <c r="I2838">
        <f t="shared" si="497"/>
        <v>16800000</v>
      </c>
      <c r="K2838">
        <f t="shared" si="496"/>
        <v>267753982</v>
      </c>
      <c r="M2838">
        <f t="shared" si="499"/>
        <v>11595849</v>
      </c>
      <c r="N2838">
        <f t="shared" si="495"/>
        <v>279349831</v>
      </c>
    </row>
    <row r="2839" ht="13.9" spans="1:14">
      <c r="A2839" s="42" t="s">
        <v>1927</v>
      </c>
      <c r="B2839" s="11">
        <v>12397921</v>
      </c>
      <c r="D2839" s="11">
        <v>30</v>
      </c>
      <c r="E2839">
        <f t="shared" si="498"/>
        <v>30</v>
      </c>
      <c r="H2839">
        <f t="shared" si="500"/>
        <v>30000000</v>
      </c>
      <c r="I2839">
        <f t="shared" si="497"/>
        <v>14400000</v>
      </c>
      <c r="K2839">
        <f t="shared" si="496"/>
        <v>255356061</v>
      </c>
      <c r="M2839">
        <f t="shared" si="499"/>
        <v>12397921</v>
      </c>
      <c r="N2839">
        <f t="shared" si="495"/>
        <v>267753982</v>
      </c>
    </row>
    <row r="2840" ht="13.9" spans="1:14">
      <c r="A2840" s="42" t="s">
        <v>1928</v>
      </c>
      <c r="B2840" s="11">
        <v>10648205</v>
      </c>
      <c r="D2840" s="11">
        <v>22</v>
      </c>
      <c r="E2840">
        <f t="shared" si="498"/>
        <v>22</v>
      </c>
      <c r="H2840">
        <f t="shared" si="500"/>
        <v>22000000</v>
      </c>
      <c r="I2840">
        <f t="shared" si="497"/>
        <v>10560000</v>
      </c>
      <c r="K2840">
        <f t="shared" si="496"/>
        <v>244707856</v>
      </c>
      <c r="M2840">
        <f t="shared" si="499"/>
        <v>10648205</v>
      </c>
      <c r="N2840">
        <f t="shared" si="495"/>
        <v>255356061</v>
      </c>
    </row>
    <row r="2841" ht="13.9" spans="1:14">
      <c r="A2841" s="42" t="s">
        <v>1929</v>
      </c>
      <c r="B2841" s="11">
        <v>11012912</v>
      </c>
      <c r="D2841" s="11">
        <v>17</v>
      </c>
      <c r="E2841">
        <f t="shared" si="498"/>
        <v>17</v>
      </c>
      <c r="H2841">
        <f t="shared" si="500"/>
        <v>17000000</v>
      </c>
      <c r="I2841">
        <f t="shared" si="497"/>
        <v>8160000</v>
      </c>
      <c r="K2841">
        <f t="shared" si="496"/>
        <v>233694944</v>
      </c>
      <c r="M2841">
        <f t="shared" si="499"/>
        <v>11012912</v>
      </c>
      <c r="N2841">
        <f t="shared" si="495"/>
        <v>244707856</v>
      </c>
    </row>
    <row r="2842" ht="13.9" spans="1:14">
      <c r="A2842" s="42" t="s">
        <v>1930</v>
      </c>
      <c r="B2842" s="11">
        <v>10065520</v>
      </c>
      <c r="D2842" s="11">
        <v>12</v>
      </c>
      <c r="E2842">
        <f t="shared" si="498"/>
        <v>12</v>
      </c>
      <c r="H2842">
        <f t="shared" si="500"/>
        <v>12000000</v>
      </c>
      <c r="I2842">
        <f t="shared" si="497"/>
        <v>5760000</v>
      </c>
      <c r="K2842">
        <f t="shared" si="496"/>
        <v>223629424</v>
      </c>
      <c r="M2842">
        <f t="shared" si="499"/>
        <v>10065520</v>
      </c>
      <c r="N2842">
        <f t="shared" si="495"/>
        <v>233694944</v>
      </c>
    </row>
    <row r="2843" ht="13.9" spans="1:14">
      <c r="A2843" s="42" t="s">
        <v>1931</v>
      </c>
      <c r="B2843" s="11">
        <v>12778842</v>
      </c>
      <c r="D2843" s="11">
        <v>10</v>
      </c>
      <c r="E2843">
        <f t="shared" si="498"/>
        <v>10</v>
      </c>
      <c r="H2843">
        <f t="shared" si="500"/>
        <v>10000000</v>
      </c>
      <c r="I2843">
        <f t="shared" si="497"/>
        <v>4800000</v>
      </c>
      <c r="K2843">
        <f t="shared" si="496"/>
        <v>210850582</v>
      </c>
      <c r="M2843">
        <f t="shared" si="499"/>
        <v>12778842</v>
      </c>
      <c r="N2843">
        <f t="shared" si="495"/>
        <v>223629424</v>
      </c>
    </row>
    <row r="2844" ht="13.9" spans="1:14">
      <c r="A2844" s="42" t="s">
        <v>1932</v>
      </c>
      <c r="B2844" s="11">
        <v>210850582</v>
      </c>
      <c r="D2844" s="11">
        <v>250</v>
      </c>
      <c r="E2844">
        <f t="shared" si="498"/>
        <v>250</v>
      </c>
      <c r="H2844">
        <f t="shared" si="500"/>
        <v>250000000</v>
      </c>
      <c r="I2844">
        <f t="shared" si="497"/>
        <v>120000000</v>
      </c>
      <c r="K2844">
        <f t="shared" si="496"/>
        <v>360776621</v>
      </c>
      <c r="M2844">
        <f t="shared" si="499"/>
        <v>210850582</v>
      </c>
      <c r="N2844">
        <f t="shared" si="495"/>
        <v>710176601</v>
      </c>
    </row>
    <row r="2845" ht="13.9" spans="1:14">
      <c r="A2845" s="42" t="s">
        <v>1933</v>
      </c>
      <c r="B2845" s="11">
        <v>100306918</v>
      </c>
      <c r="D2845" s="11">
        <v>180</v>
      </c>
      <c r="E2845">
        <f t="shared" si="498"/>
        <v>180</v>
      </c>
      <c r="H2845">
        <f t="shared" si="500"/>
        <v>180000000</v>
      </c>
      <c r="I2845">
        <f t="shared" si="497"/>
        <v>86400000</v>
      </c>
      <c r="K2845">
        <f t="shared" si="496"/>
        <v>260469703</v>
      </c>
      <c r="M2845">
        <f t="shared" si="499"/>
        <v>100306918</v>
      </c>
      <c r="N2845">
        <f t="shared" si="495"/>
        <v>499326019</v>
      </c>
    </row>
    <row r="2846" ht="13.9" spans="1:14">
      <c r="A2846" s="42" t="s">
        <v>1934</v>
      </c>
      <c r="B2846" s="11">
        <v>59979949</v>
      </c>
      <c r="D2846" s="11">
        <v>125</v>
      </c>
      <c r="E2846">
        <f t="shared" si="498"/>
        <v>125</v>
      </c>
      <c r="H2846">
        <f t="shared" si="500"/>
        <v>125000000</v>
      </c>
      <c r="I2846">
        <f t="shared" si="497"/>
        <v>60000000</v>
      </c>
      <c r="K2846">
        <f t="shared" si="496"/>
        <v>200489754</v>
      </c>
      <c r="M2846">
        <f t="shared" si="499"/>
        <v>59979949</v>
      </c>
      <c r="N2846">
        <f t="shared" si="495"/>
        <v>399019101</v>
      </c>
    </row>
    <row r="2847" ht="13.9" spans="1:14">
      <c r="A2847" s="42" t="s">
        <v>1935</v>
      </c>
      <c r="B2847" s="11">
        <v>32529149</v>
      </c>
      <c r="D2847" s="11">
        <v>95</v>
      </c>
      <c r="E2847">
        <f t="shared" si="498"/>
        <v>95</v>
      </c>
      <c r="H2847">
        <f t="shared" si="500"/>
        <v>95000000</v>
      </c>
      <c r="I2847">
        <f t="shared" si="497"/>
        <v>45600000</v>
      </c>
      <c r="K2847">
        <f t="shared" si="496"/>
        <v>167960605</v>
      </c>
      <c r="M2847">
        <f t="shared" si="499"/>
        <v>32529149</v>
      </c>
      <c r="N2847">
        <f t="shared" ref="N2847:N2910" si="501">IF(H2847&lt;H2848,M2847+M2848,M2847+N2848)</f>
        <v>339039152</v>
      </c>
    </row>
    <row r="2848" ht="13.9" spans="1:14">
      <c r="A2848" s="42" t="s">
        <v>1936</v>
      </c>
      <c r="B2848" s="11">
        <v>20625320</v>
      </c>
      <c r="D2848" s="11">
        <v>80</v>
      </c>
      <c r="E2848">
        <f t="shared" si="498"/>
        <v>80</v>
      </c>
      <c r="H2848">
        <f t="shared" si="500"/>
        <v>80000000</v>
      </c>
      <c r="I2848">
        <f t="shared" si="497"/>
        <v>38400000</v>
      </c>
      <c r="K2848">
        <f t="shared" si="496"/>
        <v>147335285</v>
      </c>
      <c r="M2848">
        <f t="shared" si="499"/>
        <v>20625320</v>
      </c>
      <c r="N2848">
        <f t="shared" si="501"/>
        <v>306510003</v>
      </c>
    </row>
    <row r="2849" ht="13.9" spans="1:14">
      <c r="A2849" s="42" t="s">
        <v>1937</v>
      </c>
      <c r="B2849" s="11">
        <v>16347727</v>
      </c>
      <c r="D2849" s="11">
        <v>69</v>
      </c>
      <c r="E2849">
        <f t="shared" si="498"/>
        <v>69</v>
      </c>
      <c r="H2849">
        <f t="shared" si="500"/>
        <v>69000000</v>
      </c>
      <c r="I2849">
        <f t="shared" si="497"/>
        <v>33120000</v>
      </c>
      <c r="K2849">
        <f t="shared" si="496"/>
        <v>130987558</v>
      </c>
      <c r="M2849">
        <f t="shared" si="499"/>
        <v>16347727</v>
      </c>
      <c r="N2849">
        <f t="shared" si="501"/>
        <v>285884683</v>
      </c>
    </row>
    <row r="2850" ht="13.9" spans="1:14">
      <c r="A2850" s="42" t="s">
        <v>1938</v>
      </c>
      <c r="B2850" s="11">
        <v>13843758</v>
      </c>
      <c r="D2850" s="11">
        <v>60</v>
      </c>
      <c r="E2850">
        <f t="shared" si="498"/>
        <v>60</v>
      </c>
      <c r="H2850">
        <f t="shared" si="500"/>
        <v>60000000</v>
      </c>
      <c r="I2850">
        <f t="shared" si="497"/>
        <v>28800000</v>
      </c>
      <c r="K2850">
        <f t="shared" si="496"/>
        <v>117143800</v>
      </c>
      <c r="M2850">
        <f t="shared" si="499"/>
        <v>13843758</v>
      </c>
      <c r="N2850">
        <f t="shared" si="501"/>
        <v>269536956</v>
      </c>
    </row>
    <row r="2851" ht="13.9" spans="1:14">
      <c r="A2851" s="42" t="s">
        <v>1939</v>
      </c>
      <c r="B2851" s="11">
        <v>12583535</v>
      </c>
      <c r="D2851" s="11">
        <v>54</v>
      </c>
      <c r="E2851">
        <f t="shared" si="498"/>
        <v>54</v>
      </c>
      <c r="H2851">
        <f t="shared" si="500"/>
        <v>54000000</v>
      </c>
      <c r="I2851">
        <f t="shared" si="497"/>
        <v>25920000</v>
      </c>
      <c r="K2851">
        <f t="shared" si="496"/>
        <v>104560265</v>
      </c>
      <c r="M2851">
        <f t="shared" si="499"/>
        <v>12583535</v>
      </c>
      <c r="N2851">
        <f t="shared" si="501"/>
        <v>255693198</v>
      </c>
    </row>
    <row r="2852" ht="13.9" spans="1:14">
      <c r="A2852" s="42" t="s">
        <v>1940</v>
      </c>
      <c r="B2852" s="11">
        <v>10715561</v>
      </c>
      <c r="D2852" s="11">
        <v>48</v>
      </c>
      <c r="E2852">
        <f t="shared" si="498"/>
        <v>48</v>
      </c>
      <c r="H2852">
        <f t="shared" si="500"/>
        <v>48000000</v>
      </c>
      <c r="I2852">
        <f t="shared" si="497"/>
        <v>23040000</v>
      </c>
      <c r="K2852">
        <f t="shared" si="496"/>
        <v>93844704</v>
      </c>
      <c r="M2852">
        <f t="shared" si="499"/>
        <v>10715561</v>
      </c>
      <c r="N2852">
        <f t="shared" si="501"/>
        <v>243109663</v>
      </c>
    </row>
    <row r="2853" ht="13.9" spans="1:14">
      <c r="A2853" s="42" t="s">
        <v>1941</v>
      </c>
      <c r="B2853" s="11">
        <v>10846115</v>
      </c>
      <c r="D2853" s="11">
        <v>42</v>
      </c>
      <c r="E2853">
        <f t="shared" si="498"/>
        <v>42</v>
      </c>
      <c r="H2853">
        <f t="shared" si="500"/>
        <v>42000000</v>
      </c>
      <c r="I2853">
        <f t="shared" si="497"/>
        <v>20160000</v>
      </c>
      <c r="K2853">
        <f t="shared" si="496"/>
        <v>82998589</v>
      </c>
      <c r="M2853">
        <f t="shared" si="499"/>
        <v>10846115</v>
      </c>
      <c r="N2853">
        <f t="shared" si="501"/>
        <v>232394102</v>
      </c>
    </row>
    <row r="2854" ht="13.9" spans="1:14">
      <c r="A2854" s="42" t="s">
        <v>1942</v>
      </c>
      <c r="B2854" s="11">
        <v>8985832</v>
      </c>
      <c r="D2854" s="11">
        <v>36</v>
      </c>
      <c r="E2854">
        <f t="shared" si="498"/>
        <v>36</v>
      </c>
      <c r="H2854">
        <f t="shared" si="500"/>
        <v>36000000</v>
      </c>
      <c r="I2854">
        <f t="shared" si="497"/>
        <v>17280000</v>
      </c>
      <c r="K2854">
        <f t="shared" si="496"/>
        <v>74012757</v>
      </c>
      <c r="M2854">
        <f t="shared" si="499"/>
        <v>8985832</v>
      </c>
      <c r="N2854">
        <f t="shared" si="501"/>
        <v>221547987</v>
      </c>
    </row>
    <row r="2855" ht="13.9" spans="1:14">
      <c r="A2855" s="42" t="s">
        <v>1943</v>
      </c>
      <c r="B2855" s="11">
        <v>9686833</v>
      </c>
      <c r="D2855" s="11">
        <v>32</v>
      </c>
      <c r="E2855">
        <f t="shared" si="498"/>
        <v>32</v>
      </c>
      <c r="H2855">
        <f t="shared" si="500"/>
        <v>32000000</v>
      </c>
      <c r="I2855">
        <f t="shared" si="497"/>
        <v>15360000</v>
      </c>
      <c r="K2855">
        <f t="shared" si="496"/>
        <v>64325924</v>
      </c>
      <c r="M2855">
        <f t="shared" si="499"/>
        <v>9686833</v>
      </c>
      <c r="N2855">
        <f t="shared" si="501"/>
        <v>212562155</v>
      </c>
    </row>
    <row r="2856" ht="13.9" spans="1:14">
      <c r="A2856" s="42" t="s">
        <v>1944</v>
      </c>
      <c r="B2856" s="11">
        <v>8219689</v>
      </c>
      <c r="D2856" s="11">
        <v>28</v>
      </c>
      <c r="E2856">
        <f t="shared" si="498"/>
        <v>28</v>
      </c>
      <c r="H2856">
        <f t="shared" si="500"/>
        <v>28000000</v>
      </c>
      <c r="I2856">
        <f t="shared" si="497"/>
        <v>13440000</v>
      </c>
      <c r="K2856">
        <f t="shared" si="496"/>
        <v>56106235</v>
      </c>
      <c r="M2856">
        <f t="shared" si="499"/>
        <v>8219689</v>
      </c>
      <c r="N2856">
        <f t="shared" si="501"/>
        <v>202875322</v>
      </c>
    </row>
    <row r="2857" ht="13.9" spans="1:14">
      <c r="A2857" s="42" t="s">
        <v>1945</v>
      </c>
      <c r="B2857" s="11">
        <v>8764267</v>
      </c>
      <c r="D2857" s="11">
        <v>24</v>
      </c>
      <c r="E2857">
        <f t="shared" si="498"/>
        <v>24</v>
      </c>
      <c r="H2857">
        <f t="shared" si="500"/>
        <v>24000000</v>
      </c>
      <c r="I2857">
        <f t="shared" si="497"/>
        <v>11520000</v>
      </c>
      <c r="K2857">
        <f t="shared" si="496"/>
        <v>47341968</v>
      </c>
      <c r="M2857">
        <f t="shared" si="499"/>
        <v>8764267</v>
      </c>
      <c r="N2857">
        <f t="shared" si="501"/>
        <v>194655633</v>
      </c>
    </row>
    <row r="2858" ht="13.9" spans="1:14">
      <c r="A2858" s="42" t="s">
        <v>1946</v>
      </c>
      <c r="B2858" s="11">
        <v>7474819</v>
      </c>
      <c r="D2858" s="11">
        <v>19</v>
      </c>
      <c r="E2858">
        <f t="shared" si="498"/>
        <v>19</v>
      </c>
      <c r="H2858">
        <f t="shared" si="500"/>
        <v>19000000</v>
      </c>
      <c r="I2858">
        <f t="shared" si="497"/>
        <v>9120000</v>
      </c>
      <c r="K2858">
        <f t="shared" ref="K2858:K2907" si="502">IF(E2858&gt;E2859,B2859+K2859,B2859)</f>
        <v>39867149</v>
      </c>
      <c r="M2858">
        <f t="shared" si="499"/>
        <v>7474819</v>
      </c>
      <c r="N2858">
        <f t="shared" si="501"/>
        <v>185891366</v>
      </c>
    </row>
    <row r="2859" ht="13.9" spans="1:14">
      <c r="A2859" s="42" t="s">
        <v>1947</v>
      </c>
      <c r="B2859" s="11">
        <v>8246564</v>
      </c>
      <c r="D2859" s="11">
        <v>16</v>
      </c>
      <c r="E2859">
        <f t="shared" si="498"/>
        <v>16</v>
      </c>
      <c r="H2859">
        <f t="shared" si="500"/>
        <v>16000000</v>
      </c>
      <c r="I2859">
        <f t="shared" si="497"/>
        <v>7680000</v>
      </c>
      <c r="K2859">
        <f t="shared" si="502"/>
        <v>31620585</v>
      </c>
      <c r="M2859">
        <f t="shared" si="499"/>
        <v>8246564</v>
      </c>
      <c r="N2859">
        <f t="shared" si="501"/>
        <v>178416547</v>
      </c>
    </row>
    <row r="2860" ht="13.9" spans="1:14">
      <c r="A2860" s="42" t="s">
        <v>1948</v>
      </c>
      <c r="B2860" s="11">
        <v>7414854</v>
      </c>
      <c r="D2860" s="11">
        <v>14</v>
      </c>
      <c r="E2860">
        <f t="shared" si="498"/>
        <v>14</v>
      </c>
      <c r="H2860">
        <f t="shared" si="500"/>
        <v>14000000</v>
      </c>
      <c r="I2860">
        <f t="shared" si="497"/>
        <v>6720000</v>
      </c>
      <c r="K2860">
        <f t="shared" si="502"/>
        <v>24205731</v>
      </c>
      <c r="M2860">
        <f t="shared" si="499"/>
        <v>7414854</v>
      </c>
      <c r="N2860">
        <f t="shared" si="501"/>
        <v>170169983</v>
      </c>
    </row>
    <row r="2861" ht="13.9" spans="1:14">
      <c r="A2861" s="42" t="s">
        <v>1949</v>
      </c>
      <c r="B2861" s="11">
        <v>8078978</v>
      </c>
      <c r="D2861" s="11">
        <v>12</v>
      </c>
      <c r="E2861">
        <f t="shared" si="498"/>
        <v>12</v>
      </c>
      <c r="H2861">
        <f t="shared" si="500"/>
        <v>12000000</v>
      </c>
      <c r="I2861">
        <f t="shared" ref="I2861:I2907" si="503">H2861*0.48</f>
        <v>5760000</v>
      </c>
      <c r="K2861">
        <f t="shared" si="502"/>
        <v>16126753</v>
      </c>
      <c r="M2861">
        <f t="shared" si="499"/>
        <v>8078978</v>
      </c>
      <c r="N2861">
        <f t="shared" si="501"/>
        <v>162755129</v>
      </c>
    </row>
    <row r="2862" ht="13.9" spans="1:14">
      <c r="A2862" s="42" t="s">
        <v>1950</v>
      </c>
      <c r="B2862" s="11">
        <v>6933812</v>
      </c>
      <c r="D2862" s="11">
        <v>10</v>
      </c>
      <c r="E2862">
        <f t="shared" si="498"/>
        <v>10</v>
      </c>
      <c r="H2862">
        <f t="shared" si="500"/>
        <v>10000000</v>
      </c>
      <c r="I2862">
        <f t="shared" si="503"/>
        <v>4800000</v>
      </c>
      <c r="K2862">
        <f t="shared" si="502"/>
        <v>9192941</v>
      </c>
      <c r="M2862">
        <f t="shared" si="499"/>
        <v>6933812</v>
      </c>
      <c r="N2862">
        <f t="shared" si="501"/>
        <v>154676151</v>
      </c>
    </row>
    <row r="2863" ht="13.9" spans="1:14">
      <c r="A2863" s="42" t="s">
        <v>1951</v>
      </c>
      <c r="B2863" s="11">
        <v>9192941</v>
      </c>
      <c r="D2863" s="11">
        <v>10</v>
      </c>
      <c r="E2863">
        <f t="shared" si="498"/>
        <v>10</v>
      </c>
      <c r="H2863">
        <f t="shared" si="500"/>
        <v>10000000</v>
      </c>
      <c r="I2863">
        <f t="shared" si="503"/>
        <v>4800000</v>
      </c>
      <c r="K2863">
        <f t="shared" si="502"/>
        <v>138549398</v>
      </c>
      <c r="M2863">
        <f t="shared" si="499"/>
        <v>9192941</v>
      </c>
      <c r="N2863">
        <f t="shared" si="501"/>
        <v>147742339</v>
      </c>
    </row>
    <row r="2864" ht="13.9" spans="1:14">
      <c r="A2864" s="42" t="s">
        <v>1952</v>
      </c>
      <c r="B2864" s="11">
        <v>138549398</v>
      </c>
      <c r="D2864" s="11">
        <v>175</v>
      </c>
      <c r="E2864">
        <f t="shared" si="498"/>
        <v>175</v>
      </c>
      <c r="H2864">
        <f t="shared" si="500"/>
        <v>175000000</v>
      </c>
      <c r="I2864">
        <f t="shared" si="503"/>
        <v>84000000</v>
      </c>
      <c r="K2864">
        <f t="shared" si="502"/>
        <v>240578422</v>
      </c>
      <c r="M2864">
        <f t="shared" si="499"/>
        <v>138549398</v>
      </c>
      <c r="N2864">
        <f t="shared" si="501"/>
        <v>379127820</v>
      </c>
    </row>
    <row r="2865" ht="13.9" spans="1:14">
      <c r="A2865" s="42" t="s">
        <v>1953</v>
      </c>
      <c r="B2865" s="11">
        <v>61984620</v>
      </c>
      <c r="D2865" s="11">
        <v>113</v>
      </c>
      <c r="E2865">
        <f t="shared" si="498"/>
        <v>113</v>
      </c>
      <c r="H2865">
        <f t="shared" si="500"/>
        <v>113000000</v>
      </c>
      <c r="I2865">
        <f t="shared" si="503"/>
        <v>54240000</v>
      </c>
      <c r="K2865">
        <f t="shared" si="502"/>
        <v>178593802</v>
      </c>
      <c r="M2865">
        <f t="shared" si="499"/>
        <v>61984620</v>
      </c>
      <c r="N2865">
        <f t="shared" si="501"/>
        <v>240578422</v>
      </c>
    </row>
    <row r="2866" ht="13.9" spans="1:14">
      <c r="A2866" s="42" t="s">
        <v>1954</v>
      </c>
      <c r="B2866" s="11">
        <v>32046086</v>
      </c>
      <c r="D2866" s="11">
        <v>85</v>
      </c>
      <c r="E2866">
        <f t="shared" si="498"/>
        <v>85</v>
      </c>
      <c r="H2866">
        <f t="shared" si="500"/>
        <v>85000000</v>
      </c>
      <c r="I2866">
        <f t="shared" si="503"/>
        <v>40800000</v>
      </c>
      <c r="K2866">
        <f t="shared" si="502"/>
        <v>146547716</v>
      </c>
      <c r="M2866">
        <f t="shared" si="499"/>
        <v>32046086</v>
      </c>
      <c r="N2866">
        <f t="shared" si="501"/>
        <v>178593802</v>
      </c>
    </row>
    <row r="2867" ht="13.9" spans="1:14">
      <c r="A2867" s="42" t="s">
        <v>1955</v>
      </c>
      <c r="B2867" s="11">
        <v>22360263</v>
      </c>
      <c r="D2867" s="11">
        <v>70</v>
      </c>
      <c r="E2867">
        <f t="shared" si="498"/>
        <v>70</v>
      </c>
      <c r="H2867">
        <f t="shared" si="500"/>
        <v>70000000</v>
      </c>
      <c r="I2867">
        <f t="shared" si="503"/>
        <v>33600000</v>
      </c>
      <c r="K2867">
        <f t="shared" si="502"/>
        <v>124187453</v>
      </c>
      <c r="M2867">
        <f t="shared" si="499"/>
        <v>22360263</v>
      </c>
      <c r="N2867">
        <f t="shared" si="501"/>
        <v>146547716</v>
      </c>
    </row>
    <row r="2868" ht="13.9" spans="1:14">
      <c r="A2868" s="42" t="s">
        <v>1956</v>
      </c>
      <c r="B2868" s="11">
        <v>14567820</v>
      </c>
      <c r="D2868" s="11">
        <v>58</v>
      </c>
      <c r="E2868">
        <f t="shared" si="498"/>
        <v>58</v>
      </c>
      <c r="H2868">
        <f t="shared" si="500"/>
        <v>58000000</v>
      </c>
      <c r="I2868">
        <f t="shared" si="503"/>
        <v>27840000</v>
      </c>
      <c r="K2868">
        <f t="shared" si="502"/>
        <v>109619633</v>
      </c>
      <c r="M2868">
        <f t="shared" si="499"/>
        <v>14567820</v>
      </c>
      <c r="N2868">
        <f t="shared" si="501"/>
        <v>124187453</v>
      </c>
    </row>
    <row r="2869" ht="13.9" spans="1:14">
      <c r="A2869" s="42" t="s">
        <v>1957</v>
      </c>
      <c r="B2869" s="11">
        <v>14000936</v>
      </c>
      <c r="D2869" s="11">
        <v>50</v>
      </c>
      <c r="E2869">
        <f t="shared" si="498"/>
        <v>50</v>
      </c>
      <c r="H2869">
        <f t="shared" si="500"/>
        <v>50000000</v>
      </c>
      <c r="I2869">
        <f t="shared" si="503"/>
        <v>24000000</v>
      </c>
      <c r="K2869">
        <f t="shared" si="502"/>
        <v>95618697</v>
      </c>
      <c r="M2869">
        <f t="shared" si="499"/>
        <v>14000936</v>
      </c>
      <c r="N2869">
        <f t="shared" si="501"/>
        <v>109619633</v>
      </c>
    </row>
    <row r="2870" ht="13.9" spans="1:14">
      <c r="A2870" s="42" t="s">
        <v>1958</v>
      </c>
      <c r="B2870" s="11">
        <v>10543200</v>
      </c>
      <c r="D2870" s="11">
        <v>44</v>
      </c>
      <c r="E2870">
        <f t="shared" si="498"/>
        <v>44</v>
      </c>
      <c r="H2870">
        <f t="shared" si="500"/>
        <v>44000000</v>
      </c>
      <c r="I2870">
        <f t="shared" si="503"/>
        <v>21120000</v>
      </c>
      <c r="K2870">
        <f t="shared" si="502"/>
        <v>85075497</v>
      </c>
      <c r="M2870">
        <f t="shared" si="499"/>
        <v>10543200</v>
      </c>
      <c r="N2870">
        <f t="shared" si="501"/>
        <v>95618697</v>
      </c>
    </row>
    <row r="2871" ht="13.9" spans="1:14">
      <c r="A2871" s="42" t="s">
        <v>1959</v>
      </c>
      <c r="B2871" s="11">
        <v>10076622</v>
      </c>
      <c r="D2871" s="11">
        <v>39</v>
      </c>
      <c r="E2871">
        <f t="shared" si="498"/>
        <v>39</v>
      </c>
      <c r="H2871">
        <f t="shared" si="500"/>
        <v>39000000</v>
      </c>
      <c r="I2871">
        <f t="shared" si="503"/>
        <v>18720000</v>
      </c>
      <c r="K2871">
        <f t="shared" si="502"/>
        <v>74998875</v>
      </c>
      <c r="M2871">
        <f t="shared" si="499"/>
        <v>10076622</v>
      </c>
      <c r="N2871">
        <f t="shared" si="501"/>
        <v>85075497</v>
      </c>
    </row>
    <row r="2872" ht="13.9" spans="1:14">
      <c r="A2872" s="42" t="s">
        <v>1960</v>
      </c>
      <c r="B2872" s="11">
        <v>8382167</v>
      </c>
      <c r="D2872" s="11">
        <v>33</v>
      </c>
      <c r="E2872">
        <f t="shared" si="498"/>
        <v>33</v>
      </c>
      <c r="H2872">
        <f t="shared" si="500"/>
        <v>33000000</v>
      </c>
      <c r="I2872">
        <f t="shared" si="503"/>
        <v>15840000</v>
      </c>
      <c r="K2872">
        <f t="shared" si="502"/>
        <v>66616708</v>
      </c>
      <c r="M2872">
        <f t="shared" si="499"/>
        <v>8382167</v>
      </c>
      <c r="N2872">
        <f t="shared" si="501"/>
        <v>74998875</v>
      </c>
    </row>
    <row r="2873" ht="13.9" spans="1:14">
      <c r="A2873" s="42" t="s">
        <v>1961</v>
      </c>
      <c r="B2873" s="11">
        <v>8519890</v>
      </c>
      <c r="D2873" s="11">
        <v>29</v>
      </c>
      <c r="E2873">
        <f t="shared" si="498"/>
        <v>29</v>
      </c>
      <c r="H2873">
        <f t="shared" si="500"/>
        <v>29000000</v>
      </c>
      <c r="I2873">
        <f t="shared" si="503"/>
        <v>13920000</v>
      </c>
      <c r="K2873">
        <f t="shared" si="502"/>
        <v>58096818</v>
      </c>
      <c r="M2873">
        <f t="shared" si="499"/>
        <v>8519890</v>
      </c>
      <c r="N2873">
        <f t="shared" si="501"/>
        <v>66616708</v>
      </c>
    </row>
    <row r="2874" ht="13.9" spans="1:14">
      <c r="A2874" s="42" t="s">
        <v>1962</v>
      </c>
      <c r="B2874" s="11">
        <v>7209218</v>
      </c>
      <c r="D2874" s="11">
        <v>25</v>
      </c>
      <c r="E2874">
        <f t="shared" si="498"/>
        <v>25</v>
      </c>
      <c r="H2874">
        <f t="shared" si="500"/>
        <v>25000000</v>
      </c>
      <c r="I2874">
        <f t="shared" si="503"/>
        <v>12000000</v>
      </c>
      <c r="K2874">
        <f t="shared" si="502"/>
        <v>50887600</v>
      </c>
      <c r="M2874">
        <f t="shared" si="499"/>
        <v>7209218</v>
      </c>
      <c r="N2874">
        <f t="shared" si="501"/>
        <v>58096818</v>
      </c>
    </row>
    <row r="2875" ht="13.9" spans="1:14">
      <c r="A2875" s="42" t="s">
        <v>1963</v>
      </c>
      <c r="B2875" s="11">
        <v>8021762</v>
      </c>
      <c r="D2875" s="11">
        <v>21</v>
      </c>
      <c r="E2875">
        <f t="shared" si="498"/>
        <v>21</v>
      </c>
      <c r="H2875">
        <f t="shared" si="500"/>
        <v>21000000</v>
      </c>
      <c r="I2875">
        <f t="shared" si="503"/>
        <v>10080000</v>
      </c>
      <c r="K2875">
        <f t="shared" si="502"/>
        <v>42865838</v>
      </c>
      <c r="M2875">
        <f t="shared" si="499"/>
        <v>8021762</v>
      </c>
      <c r="N2875">
        <f t="shared" si="501"/>
        <v>50887600</v>
      </c>
    </row>
    <row r="2876" ht="13.9" spans="1:14">
      <c r="A2876" s="42" t="s">
        <v>1964</v>
      </c>
      <c r="B2876" s="11">
        <v>6562674</v>
      </c>
      <c r="D2876" s="11">
        <v>18</v>
      </c>
      <c r="E2876">
        <f t="shared" si="498"/>
        <v>18</v>
      </c>
      <c r="H2876">
        <f t="shared" si="500"/>
        <v>18000000</v>
      </c>
      <c r="I2876">
        <f t="shared" si="503"/>
        <v>8640000</v>
      </c>
      <c r="K2876">
        <f t="shared" si="502"/>
        <v>36303164</v>
      </c>
      <c r="M2876">
        <f t="shared" si="499"/>
        <v>6562674</v>
      </c>
      <c r="N2876">
        <f t="shared" si="501"/>
        <v>42865838</v>
      </c>
    </row>
    <row r="2877" ht="13.9" spans="1:14">
      <c r="A2877" s="42" t="s">
        <v>1965</v>
      </c>
      <c r="B2877" s="11">
        <v>7613970</v>
      </c>
      <c r="D2877" s="11">
        <v>16</v>
      </c>
      <c r="E2877">
        <f t="shared" si="498"/>
        <v>16</v>
      </c>
      <c r="H2877">
        <f t="shared" si="500"/>
        <v>16000000</v>
      </c>
      <c r="I2877">
        <f t="shared" si="503"/>
        <v>7680000</v>
      </c>
      <c r="K2877">
        <f t="shared" si="502"/>
        <v>28689194</v>
      </c>
      <c r="M2877">
        <f t="shared" si="499"/>
        <v>7613970</v>
      </c>
      <c r="N2877">
        <f t="shared" si="501"/>
        <v>36303164</v>
      </c>
    </row>
    <row r="2878" ht="13.9" spans="1:14">
      <c r="A2878" s="42" t="s">
        <v>1966</v>
      </c>
      <c r="B2878" s="11">
        <v>6295816</v>
      </c>
      <c r="D2878" s="11">
        <v>14</v>
      </c>
      <c r="E2878">
        <f t="shared" si="498"/>
        <v>14</v>
      </c>
      <c r="H2878">
        <f t="shared" si="500"/>
        <v>14000000</v>
      </c>
      <c r="I2878">
        <f t="shared" si="503"/>
        <v>6720000</v>
      </c>
      <c r="K2878">
        <f t="shared" si="502"/>
        <v>22393378</v>
      </c>
      <c r="M2878">
        <f t="shared" si="499"/>
        <v>6295816</v>
      </c>
      <c r="N2878">
        <f t="shared" si="501"/>
        <v>28689194</v>
      </c>
    </row>
    <row r="2879" ht="13.9" spans="1:14">
      <c r="A2879" s="42" t="s">
        <v>1967</v>
      </c>
      <c r="B2879" s="11">
        <v>7158322</v>
      </c>
      <c r="D2879" s="11">
        <v>12</v>
      </c>
      <c r="E2879">
        <f t="shared" si="498"/>
        <v>12</v>
      </c>
      <c r="H2879">
        <f t="shared" si="500"/>
        <v>12000000</v>
      </c>
      <c r="I2879">
        <f t="shared" si="503"/>
        <v>5760000</v>
      </c>
      <c r="K2879">
        <f t="shared" si="502"/>
        <v>15235056</v>
      </c>
      <c r="M2879">
        <f t="shared" si="499"/>
        <v>7158322</v>
      </c>
      <c r="N2879">
        <f t="shared" si="501"/>
        <v>22393378</v>
      </c>
    </row>
    <row r="2880" ht="13.9" spans="1:14">
      <c r="A2880" s="42" t="s">
        <v>1968</v>
      </c>
      <c r="B2880" s="11">
        <v>6113886</v>
      </c>
      <c r="D2880" s="11">
        <v>10</v>
      </c>
      <c r="E2880">
        <f t="shared" ref="E2880:E2920" si="504">IF(RIGHT(D2880,1)="B",VALUE(LEFT(D2880,LEN(D2880)-1))*1000,D2880)</f>
        <v>10</v>
      </c>
      <c r="H2880">
        <f t="shared" si="500"/>
        <v>10000000</v>
      </c>
      <c r="I2880">
        <f t="shared" si="503"/>
        <v>4800000</v>
      </c>
      <c r="K2880">
        <f t="shared" si="502"/>
        <v>9121170</v>
      </c>
      <c r="M2880">
        <f t="shared" si="499"/>
        <v>6113886</v>
      </c>
      <c r="N2880">
        <f t="shared" si="501"/>
        <v>15235056</v>
      </c>
    </row>
    <row r="2881" ht="13.9" spans="1:14">
      <c r="A2881" s="42" t="s">
        <v>1969</v>
      </c>
      <c r="B2881" s="11">
        <v>9121170</v>
      </c>
      <c r="D2881" s="11">
        <v>28</v>
      </c>
      <c r="E2881">
        <f t="shared" si="504"/>
        <v>28</v>
      </c>
      <c r="H2881">
        <f t="shared" si="500"/>
        <v>28000000</v>
      </c>
      <c r="I2881">
        <f t="shared" si="503"/>
        <v>13440000</v>
      </c>
      <c r="K2881">
        <f t="shared" si="502"/>
        <v>61191390</v>
      </c>
      <c r="M2881">
        <f t="shared" si="499"/>
        <v>9121170</v>
      </c>
      <c r="N2881">
        <f t="shared" si="501"/>
        <v>70312560</v>
      </c>
    </row>
    <row r="2882" ht="13.9" spans="1:14">
      <c r="A2882" s="42" t="s">
        <v>1970</v>
      </c>
      <c r="B2882" s="11">
        <v>7717612</v>
      </c>
      <c r="D2882" s="11">
        <v>23</v>
      </c>
      <c r="E2882">
        <f t="shared" si="504"/>
        <v>23</v>
      </c>
      <c r="H2882">
        <f t="shared" si="500"/>
        <v>23000000</v>
      </c>
      <c r="I2882">
        <f t="shared" si="503"/>
        <v>11040000</v>
      </c>
      <c r="K2882">
        <f t="shared" si="502"/>
        <v>53473778</v>
      </c>
      <c r="M2882">
        <f t="shared" si="499"/>
        <v>7717612</v>
      </c>
      <c r="N2882">
        <f t="shared" si="501"/>
        <v>61191390</v>
      </c>
    </row>
    <row r="2883" ht="13.9" spans="1:14">
      <c r="A2883" s="42" t="s">
        <v>1971</v>
      </c>
      <c r="B2883" s="11">
        <v>8390526</v>
      </c>
      <c r="D2883" s="11">
        <v>19</v>
      </c>
      <c r="E2883">
        <f t="shared" si="504"/>
        <v>19</v>
      </c>
      <c r="H2883">
        <f t="shared" si="500"/>
        <v>19000000</v>
      </c>
      <c r="I2883">
        <f t="shared" si="503"/>
        <v>9120000</v>
      </c>
      <c r="K2883">
        <f t="shared" si="502"/>
        <v>45083252</v>
      </c>
      <c r="M2883">
        <f t="shared" si="499"/>
        <v>8390526</v>
      </c>
      <c r="N2883">
        <f t="shared" si="501"/>
        <v>53473778</v>
      </c>
    </row>
    <row r="2884" ht="13.9" spans="1:14">
      <c r="A2884" s="42" t="s">
        <v>1972</v>
      </c>
      <c r="B2884" s="11">
        <v>6854234</v>
      </c>
      <c r="D2884" s="11">
        <v>16</v>
      </c>
      <c r="E2884">
        <f t="shared" si="504"/>
        <v>16</v>
      </c>
      <c r="H2884">
        <f t="shared" si="500"/>
        <v>16000000</v>
      </c>
      <c r="I2884">
        <f t="shared" si="503"/>
        <v>7680000</v>
      </c>
      <c r="K2884">
        <f t="shared" si="502"/>
        <v>38229018</v>
      </c>
      <c r="M2884">
        <f t="shared" si="499"/>
        <v>6854234</v>
      </c>
      <c r="N2884">
        <f t="shared" si="501"/>
        <v>45083252</v>
      </c>
    </row>
    <row r="2885" ht="13.9" spans="1:14">
      <c r="A2885" s="42" t="s">
        <v>1973</v>
      </c>
      <c r="B2885" s="11">
        <v>8045505</v>
      </c>
      <c r="D2885" s="11">
        <v>14</v>
      </c>
      <c r="E2885">
        <f t="shared" si="504"/>
        <v>14</v>
      </c>
      <c r="H2885">
        <f t="shared" si="500"/>
        <v>14000000</v>
      </c>
      <c r="I2885">
        <f t="shared" si="503"/>
        <v>6720000</v>
      </c>
      <c r="K2885">
        <f t="shared" si="502"/>
        <v>30183513</v>
      </c>
      <c r="M2885">
        <f t="shared" si="499"/>
        <v>8045505</v>
      </c>
      <c r="N2885">
        <f t="shared" si="501"/>
        <v>38229018</v>
      </c>
    </row>
    <row r="2886" ht="13.9" spans="1:14">
      <c r="A2886" s="42" t="s">
        <v>1974</v>
      </c>
      <c r="B2886" s="11">
        <v>6847576</v>
      </c>
      <c r="D2886" s="11">
        <v>12</v>
      </c>
      <c r="E2886">
        <f t="shared" si="504"/>
        <v>12</v>
      </c>
      <c r="H2886">
        <f t="shared" si="500"/>
        <v>12000000</v>
      </c>
      <c r="I2886">
        <f t="shared" si="503"/>
        <v>5760000</v>
      </c>
      <c r="K2886">
        <f t="shared" si="502"/>
        <v>23335937</v>
      </c>
      <c r="M2886">
        <f t="shared" ref="M2886:M2920" si="505">B2886+C2886</f>
        <v>6847576</v>
      </c>
      <c r="N2886">
        <f t="shared" si="501"/>
        <v>30183513</v>
      </c>
    </row>
    <row r="2887" ht="13.9" spans="1:14">
      <c r="A2887" s="42" t="s">
        <v>1975</v>
      </c>
      <c r="B2887" s="11">
        <v>8074956</v>
      </c>
      <c r="D2887" s="11">
        <v>10</v>
      </c>
      <c r="E2887">
        <f t="shared" si="504"/>
        <v>10</v>
      </c>
      <c r="H2887">
        <f t="shared" si="500"/>
        <v>10000000</v>
      </c>
      <c r="I2887">
        <f t="shared" si="503"/>
        <v>4800000</v>
      </c>
      <c r="K2887">
        <f t="shared" si="502"/>
        <v>15260981</v>
      </c>
      <c r="M2887">
        <f t="shared" si="505"/>
        <v>8074956</v>
      </c>
      <c r="N2887">
        <f t="shared" si="501"/>
        <v>23335937</v>
      </c>
    </row>
    <row r="2888" ht="13.9" spans="1:14">
      <c r="A2888" s="42" t="s">
        <v>1976</v>
      </c>
      <c r="B2888" s="11">
        <v>15260981</v>
      </c>
      <c r="D2888" s="11">
        <v>55</v>
      </c>
      <c r="E2888">
        <f t="shared" si="504"/>
        <v>55</v>
      </c>
      <c r="H2888">
        <f t="shared" si="500"/>
        <v>55000000</v>
      </c>
      <c r="I2888">
        <f t="shared" si="503"/>
        <v>26400000</v>
      </c>
      <c r="K2888">
        <f t="shared" si="502"/>
        <v>101880474</v>
      </c>
      <c r="M2888">
        <f t="shared" si="505"/>
        <v>15260981</v>
      </c>
      <c r="N2888">
        <f t="shared" si="501"/>
        <v>132713386</v>
      </c>
    </row>
    <row r="2889" ht="13.9" spans="1:14">
      <c r="A2889" s="42" t="s">
        <v>1977</v>
      </c>
      <c r="B2889" s="11">
        <v>13963082</v>
      </c>
      <c r="D2889" s="11">
        <v>48</v>
      </c>
      <c r="E2889">
        <f t="shared" si="504"/>
        <v>48</v>
      </c>
      <c r="H2889">
        <f t="shared" si="500"/>
        <v>48000000</v>
      </c>
      <c r="I2889">
        <f t="shared" si="503"/>
        <v>23040000</v>
      </c>
      <c r="K2889">
        <f t="shared" si="502"/>
        <v>87917392</v>
      </c>
      <c r="M2889">
        <f t="shared" si="505"/>
        <v>13963082</v>
      </c>
      <c r="N2889">
        <f t="shared" si="501"/>
        <v>117452405</v>
      </c>
    </row>
    <row r="2890" ht="13.9" spans="1:14">
      <c r="A2890" s="42" t="s">
        <v>1978</v>
      </c>
      <c r="B2890" s="11">
        <v>10745471</v>
      </c>
      <c r="D2890" s="11">
        <v>40</v>
      </c>
      <c r="E2890">
        <f t="shared" si="504"/>
        <v>40</v>
      </c>
      <c r="H2890">
        <f t="shared" si="500"/>
        <v>40000000</v>
      </c>
      <c r="I2890">
        <f t="shared" si="503"/>
        <v>19200000</v>
      </c>
      <c r="K2890">
        <f t="shared" si="502"/>
        <v>77171921</v>
      </c>
      <c r="M2890">
        <f t="shared" si="505"/>
        <v>10745471</v>
      </c>
      <c r="N2890">
        <f t="shared" si="501"/>
        <v>103489323</v>
      </c>
    </row>
    <row r="2891" ht="13.9" spans="1:14">
      <c r="A2891" s="42" t="s">
        <v>1979</v>
      </c>
      <c r="B2891" s="11">
        <v>10601927</v>
      </c>
      <c r="D2891" s="11">
        <v>35</v>
      </c>
      <c r="E2891">
        <f t="shared" si="504"/>
        <v>35</v>
      </c>
      <c r="H2891">
        <f t="shared" si="500"/>
        <v>35000000</v>
      </c>
      <c r="I2891">
        <f t="shared" si="503"/>
        <v>16800000</v>
      </c>
      <c r="K2891">
        <f t="shared" si="502"/>
        <v>66569994</v>
      </c>
      <c r="M2891">
        <f t="shared" si="505"/>
        <v>10601927</v>
      </c>
      <c r="N2891">
        <f t="shared" si="501"/>
        <v>92743852</v>
      </c>
    </row>
    <row r="2892" ht="13.9" spans="1:14">
      <c r="A2892" s="42" t="s">
        <v>1980</v>
      </c>
      <c r="B2892" s="11">
        <v>8638951</v>
      </c>
      <c r="D2892" s="11">
        <v>30</v>
      </c>
      <c r="E2892">
        <f t="shared" si="504"/>
        <v>30</v>
      </c>
      <c r="H2892">
        <f t="shared" si="500"/>
        <v>30000000</v>
      </c>
      <c r="I2892">
        <f t="shared" si="503"/>
        <v>14400000</v>
      </c>
      <c r="K2892">
        <f t="shared" si="502"/>
        <v>57931043</v>
      </c>
      <c r="M2892">
        <f t="shared" si="505"/>
        <v>8638951</v>
      </c>
      <c r="N2892">
        <f t="shared" si="501"/>
        <v>82141925</v>
      </c>
    </row>
    <row r="2893" ht="13.9" spans="1:14">
      <c r="A2893" s="42" t="s">
        <v>1981</v>
      </c>
      <c r="B2893" s="11">
        <v>8938844</v>
      </c>
      <c r="D2893" s="11">
        <v>26</v>
      </c>
      <c r="E2893">
        <f t="shared" si="504"/>
        <v>26</v>
      </c>
      <c r="H2893">
        <f t="shared" si="500"/>
        <v>26000000</v>
      </c>
      <c r="I2893">
        <f t="shared" si="503"/>
        <v>12480000</v>
      </c>
      <c r="K2893">
        <f t="shared" si="502"/>
        <v>48992199</v>
      </c>
      <c r="M2893">
        <f t="shared" si="505"/>
        <v>8938844</v>
      </c>
      <c r="N2893">
        <f t="shared" si="501"/>
        <v>73502974</v>
      </c>
    </row>
    <row r="2894" ht="13.9" spans="1:14">
      <c r="A2894" s="42" t="s">
        <v>1982</v>
      </c>
      <c r="B2894" s="11">
        <v>7362067</v>
      </c>
      <c r="D2894" s="11">
        <v>21</v>
      </c>
      <c r="E2894">
        <f t="shared" si="504"/>
        <v>21</v>
      </c>
      <c r="H2894">
        <f t="shared" si="500"/>
        <v>21000000</v>
      </c>
      <c r="I2894">
        <f t="shared" si="503"/>
        <v>10080000</v>
      </c>
      <c r="K2894">
        <f t="shared" si="502"/>
        <v>41630132</v>
      </c>
      <c r="M2894">
        <f t="shared" si="505"/>
        <v>7362067</v>
      </c>
      <c r="N2894">
        <f t="shared" si="501"/>
        <v>64564130</v>
      </c>
    </row>
    <row r="2895" ht="13.9" spans="1:14">
      <c r="A2895" s="42" t="s">
        <v>1983</v>
      </c>
      <c r="B2895" s="11">
        <v>8046572</v>
      </c>
      <c r="D2895" s="11">
        <v>18</v>
      </c>
      <c r="E2895">
        <f t="shared" si="504"/>
        <v>18</v>
      </c>
      <c r="H2895">
        <f t="shared" ref="H2895:H2908" si="506">E2895*1000000</f>
        <v>18000000</v>
      </c>
      <c r="I2895">
        <f t="shared" si="503"/>
        <v>8640000</v>
      </c>
      <c r="K2895">
        <f t="shared" si="502"/>
        <v>33583560</v>
      </c>
      <c r="M2895">
        <f t="shared" si="505"/>
        <v>8046572</v>
      </c>
      <c r="N2895">
        <f t="shared" si="501"/>
        <v>57202063</v>
      </c>
    </row>
    <row r="2896" ht="13.9" spans="1:14">
      <c r="A2896" s="42" t="s">
        <v>1984</v>
      </c>
      <c r="B2896" s="11">
        <v>6537272</v>
      </c>
      <c r="D2896" s="11">
        <v>16</v>
      </c>
      <c r="E2896">
        <f t="shared" si="504"/>
        <v>16</v>
      </c>
      <c r="H2896">
        <f t="shared" si="506"/>
        <v>16000000</v>
      </c>
      <c r="I2896">
        <f t="shared" si="503"/>
        <v>7680000</v>
      </c>
      <c r="K2896">
        <f t="shared" si="502"/>
        <v>27046288</v>
      </c>
      <c r="M2896">
        <f t="shared" si="505"/>
        <v>6537272</v>
      </c>
      <c r="N2896">
        <f t="shared" si="501"/>
        <v>49155491</v>
      </c>
    </row>
    <row r="2897" ht="13.9" spans="1:14">
      <c r="A2897" s="42" t="s">
        <v>1985</v>
      </c>
      <c r="B2897" s="11">
        <v>7465361</v>
      </c>
      <c r="D2897" s="11">
        <v>14</v>
      </c>
      <c r="E2897">
        <f t="shared" si="504"/>
        <v>14</v>
      </c>
      <c r="H2897">
        <f t="shared" si="506"/>
        <v>14000000</v>
      </c>
      <c r="I2897">
        <f t="shared" si="503"/>
        <v>6720000</v>
      </c>
      <c r="K2897">
        <f t="shared" si="502"/>
        <v>19580927</v>
      </c>
      <c r="M2897">
        <f t="shared" si="505"/>
        <v>7465361</v>
      </c>
      <c r="N2897">
        <f t="shared" si="501"/>
        <v>42618219</v>
      </c>
    </row>
    <row r="2898" ht="13.9" spans="1:14">
      <c r="A2898" s="42" t="s">
        <v>1986</v>
      </c>
      <c r="B2898" s="11">
        <v>6249225</v>
      </c>
      <c r="D2898" s="11">
        <v>12</v>
      </c>
      <c r="E2898">
        <f t="shared" si="504"/>
        <v>12</v>
      </c>
      <c r="H2898">
        <f t="shared" si="506"/>
        <v>12000000</v>
      </c>
      <c r="I2898">
        <f t="shared" si="503"/>
        <v>5760000</v>
      </c>
      <c r="K2898">
        <f t="shared" si="502"/>
        <v>13331702</v>
      </c>
      <c r="M2898">
        <f t="shared" si="505"/>
        <v>6249225</v>
      </c>
      <c r="N2898">
        <f t="shared" si="501"/>
        <v>35152858</v>
      </c>
    </row>
    <row r="2899" ht="13.9" spans="1:14">
      <c r="A2899" s="42" t="s">
        <v>1987</v>
      </c>
      <c r="B2899" s="11">
        <v>7193526</v>
      </c>
      <c r="D2899" s="11">
        <v>10</v>
      </c>
      <c r="E2899">
        <f t="shared" si="504"/>
        <v>10</v>
      </c>
      <c r="H2899">
        <f t="shared" si="506"/>
        <v>10000000</v>
      </c>
      <c r="I2899">
        <f t="shared" si="503"/>
        <v>4800000</v>
      </c>
      <c r="K2899">
        <f t="shared" si="502"/>
        <v>6138176</v>
      </c>
      <c r="M2899">
        <f t="shared" si="505"/>
        <v>7193526</v>
      </c>
      <c r="N2899">
        <f t="shared" si="501"/>
        <v>28903633</v>
      </c>
    </row>
    <row r="2900" ht="13.9" spans="1:14">
      <c r="A2900" s="42" t="s">
        <v>1988</v>
      </c>
      <c r="B2900" s="11">
        <v>6138176</v>
      </c>
      <c r="D2900" s="11">
        <v>10</v>
      </c>
      <c r="E2900">
        <f t="shared" si="504"/>
        <v>10</v>
      </c>
      <c r="H2900">
        <f t="shared" si="506"/>
        <v>10000000</v>
      </c>
      <c r="I2900">
        <f t="shared" si="503"/>
        <v>4800000</v>
      </c>
      <c r="K2900">
        <f t="shared" si="502"/>
        <v>7496539</v>
      </c>
      <c r="M2900">
        <f t="shared" si="505"/>
        <v>6138176</v>
      </c>
      <c r="N2900">
        <f t="shared" si="501"/>
        <v>21710107</v>
      </c>
    </row>
    <row r="2901" ht="13.9" spans="1:14">
      <c r="A2901" s="42" t="s">
        <v>1989</v>
      </c>
      <c r="B2901" s="11">
        <v>7496539</v>
      </c>
      <c r="D2901" s="11">
        <v>10</v>
      </c>
      <c r="E2901">
        <f t="shared" si="504"/>
        <v>10</v>
      </c>
      <c r="H2901">
        <f t="shared" si="506"/>
        <v>10000000</v>
      </c>
      <c r="I2901">
        <f t="shared" si="503"/>
        <v>4800000</v>
      </c>
      <c r="K2901">
        <f t="shared" si="502"/>
        <v>8075392</v>
      </c>
      <c r="M2901">
        <f t="shared" si="505"/>
        <v>7496539</v>
      </c>
      <c r="N2901">
        <f t="shared" si="501"/>
        <v>15571931</v>
      </c>
    </row>
    <row r="2902" ht="13.9" spans="1:14">
      <c r="A2902" s="42" t="s">
        <v>1990</v>
      </c>
      <c r="B2902" s="11">
        <v>8075392</v>
      </c>
      <c r="D2902" s="11">
        <v>25</v>
      </c>
      <c r="E2902">
        <f t="shared" si="504"/>
        <v>25</v>
      </c>
      <c r="H2902">
        <f t="shared" si="506"/>
        <v>25000000</v>
      </c>
      <c r="I2902">
        <f t="shared" si="503"/>
        <v>12000000</v>
      </c>
      <c r="K2902">
        <f t="shared" si="502"/>
        <v>60740017</v>
      </c>
      <c r="M2902">
        <f t="shared" si="505"/>
        <v>8075392</v>
      </c>
      <c r="N2902">
        <f t="shared" si="501"/>
        <v>68815409</v>
      </c>
    </row>
    <row r="2903" ht="13.9" spans="1:14">
      <c r="A2903" s="55" t="s">
        <v>1991</v>
      </c>
      <c r="B2903" s="15">
        <v>8460240</v>
      </c>
      <c r="D2903" s="15">
        <v>20</v>
      </c>
      <c r="E2903">
        <f t="shared" si="504"/>
        <v>20</v>
      </c>
      <c r="H2903">
        <f t="shared" si="506"/>
        <v>20000000</v>
      </c>
      <c r="I2903">
        <f t="shared" si="503"/>
        <v>9600000</v>
      </c>
      <c r="K2903">
        <f t="shared" si="502"/>
        <v>52279777</v>
      </c>
      <c r="M2903">
        <f t="shared" si="505"/>
        <v>8460240</v>
      </c>
      <c r="N2903">
        <f t="shared" si="501"/>
        <v>60740017</v>
      </c>
    </row>
    <row r="2904" ht="13.9" spans="1:14">
      <c r="A2904" s="41" t="s">
        <v>1992</v>
      </c>
      <c r="B2904" s="13">
        <v>7950903</v>
      </c>
      <c r="D2904" s="13">
        <v>17</v>
      </c>
      <c r="E2904">
        <f t="shared" si="504"/>
        <v>17</v>
      </c>
      <c r="H2904">
        <f t="shared" si="506"/>
        <v>17000000</v>
      </c>
      <c r="I2904">
        <f t="shared" si="503"/>
        <v>8160000</v>
      </c>
      <c r="K2904">
        <f t="shared" si="502"/>
        <v>44328874</v>
      </c>
      <c r="M2904">
        <f t="shared" si="505"/>
        <v>7950903</v>
      </c>
      <c r="N2904">
        <f t="shared" si="501"/>
        <v>52279777</v>
      </c>
    </row>
    <row r="2905" ht="13.9" spans="1:14">
      <c r="A2905" s="42" t="s">
        <v>1993</v>
      </c>
      <c r="B2905" s="11">
        <v>7192612</v>
      </c>
      <c r="D2905" s="11">
        <v>14</v>
      </c>
      <c r="E2905">
        <f t="shared" si="504"/>
        <v>14</v>
      </c>
      <c r="H2905">
        <f t="shared" si="506"/>
        <v>14000000</v>
      </c>
      <c r="I2905">
        <f t="shared" si="503"/>
        <v>6720000</v>
      </c>
      <c r="K2905">
        <f t="shared" si="502"/>
        <v>37136262</v>
      </c>
      <c r="M2905">
        <f t="shared" si="505"/>
        <v>7192612</v>
      </c>
      <c r="N2905">
        <f t="shared" si="501"/>
        <v>44328874</v>
      </c>
    </row>
    <row r="2906" ht="13.9" spans="1:14">
      <c r="A2906" s="42" t="s">
        <v>1994</v>
      </c>
      <c r="B2906" s="11">
        <v>7694837</v>
      </c>
      <c r="D2906" s="11">
        <v>12</v>
      </c>
      <c r="E2906">
        <f t="shared" si="504"/>
        <v>12</v>
      </c>
      <c r="H2906">
        <f t="shared" si="506"/>
        <v>12000000</v>
      </c>
      <c r="I2906">
        <f t="shared" si="503"/>
        <v>5760000</v>
      </c>
      <c r="K2906">
        <f t="shared" si="502"/>
        <v>29441425</v>
      </c>
      <c r="M2906">
        <f t="shared" si="505"/>
        <v>7694837</v>
      </c>
      <c r="N2906">
        <f t="shared" si="501"/>
        <v>37136262</v>
      </c>
    </row>
    <row r="2907" s="9" customFormat="1" ht="13.9" spans="1:14">
      <c r="A2907" s="47" t="s">
        <v>1995</v>
      </c>
      <c r="B2907" s="20">
        <v>8044227</v>
      </c>
      <c r="C2907" s="51"/>
      <c r="D2907" s="20">
        <v>10</v>
      </c>
      <c r="E2907" s="9">
        <f t="shared" si="504"/>
        <v>10</v>
      </c>
      <c r="H2907" s="9">
        <f t="shared" si="506"/>
        <v>10000000</v>
      </c>
      <c r="I2907">
        <f t="shared" si="503"/>
        <v>4800000</v>
      </c>
      <c r="K2907" s="9">
        <f t="shared" si="502"/>
        <v>21397198</v>
      </c>
      <c r="M2907" s="9">
        <f t="shared" si="505"/>
        <v>8044227</v>
      </c>
      <c r="N2907" s="9">
        <f t="shared" si="501"/>
        <v>29441425</v>
      </c>
    </row>
    <row r="2908" s="34" customFormat="1" ht="13.9" spans="1:13">
      <c r="A2908" s="56" t="s">
        <v>1996</v>
      </c>
      <c r="B2908" s="57">
        <v>21397198</v>
      </c>
      <c r="C2908" s="58"/>
      <c r="D2908" s="57">
        <v>66</v>
      </c>
      <c r="E2908" s="34">
        <f t="shared" si="504"/>
        <v>66</v>
      </c>
      <c r="H2908" s="34">
        <f t="shared" si="506"/>
        <v>66000000</v>
      </c>
      <c r="M2908" s="34">
        <f t="shared" si="505"/>
        <v>21397198</v>
      </c>
    </row>
  </sheetData>
  <hyperlinks>
    <hyperlink ref="D26" r:id="rId2" display=" 1.325B" tooltip="https://www.lottoreport.com/PB1BillionWin040624.htm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06"/>
  <sheetViews>
    <sheetView tabSelected="1" workbookViewId="0">
      <selection activeCell="D5" sqref="D5"/>
    </sheetView>
  </sheetViews>
  <sheetFormatPr defaultColWidth="9" defaultRowHeight="13.5" outlineLevelCol="4"/>
  <cols>
    <col min="2" max="2" width="16.3274336283186" customWidth="1"/>
    <col min="4" max="4" width="11.5575221238938" customWidth="1"/>
  </cols>
  <sheetData>
    <row r="1" ht="40.5" spans="1:5">
      <c r="A1" t="s">
        <v>1997</v>
      </c>
      <c r="B1" s="6" t="s">
        <v>1998</v>
      </c>
      <c r="C1" s="31" t="s">
        <v>3</v>
      </c>
      <c r="D1" t="s">
        <v>1999</v>
      </c>
      <c r="E1" t="s">
        <v>2000</v>
      </c>
    </row>
    <row r="2" ht="13.85" spans="1:5">
      <c r="A2">
        <f>ROW()-1</f>
        <v>1</v>
      </c>
      <c r="B2" s="13">
        <v>19034910</v>
      </c>
      <c r="C2" s="13">
        <v>143</v>
      </c>
      <c r="D2">
        <v>68640000</v>
      </c>
      <c r="E2">
        <v>2905</v>
      </c>
    </row>
    <row r="3" ht="13.85" spans="1:5">
      <c r="A3">
        <f t="shared" ref="A2:A65" si="0">ROW()-1</f>
        <v>2</v>
      </c>
      <c r="B3" s="11">
        <v>15091444</v>
      </c>
      <c r="C3" s="11">
        <v>131</v>
      </c>
      <c r="D3">
        <v>62880000</v>
      </c>
      <c r="E3">
        <v>2904</v>
      </c>
    </row>
    <row r="4" ht="13.85" spans="1:5">
      <c r="A4">
        <f t="shared" si="0"/>
        <v>3</v>
      </c>
      <c r="B4" s="11">
        <v>26333482</v>
      </c>
      <c r="C4" s="11">
        <v>120</v>
      </c>
      <c r="D4">
        <v>57600000</v>
      </c>
      <c r="E4">
        <v>2903</v>
      </c>
    </row>
    <row r="5" ht="13.85" spans="1:5">
      <c r="A5">
        <f t="shared" si="0"/>
        <v>4</v>
      </c>
      <c r="B5" s="11">
        <v>18259400</v>
      </c>
      <c r="C5" s="11">
        <v>100</v>
      </c>
      <c r="D5">
        <v>48000000</v>
      </c>
      <c r="E5">
        <v>2902</v>
      </c>
    </row>
    <row r="6" ht="13.85" spans="1:5">
      <c r="A6">
        <f t="shared" si="0"/>
        <v>5</v>
      </c>
      <c r="B6" s="11">
        <v>15260610</v>
      </c>
      <c r="C6" s="11">
        <v>88</v>
      </c>
      <c r="D6">
        <v>42240000</v>
      </c>
      <c r="E6">
        <v>2901</v>
      </c>
    </row>
    <row r="7" ht="13.85" spans="1:5">
      <c r="A7">
        <f t="shared" si="0"/>
        <v>6</v>
      </c>
      <c r="B7" s="11">
        <v>24397416</v>
      </c>
      <c r="C7" s="11">
        <v>77</v>
      </c>
      <c r="D7">
        <v>36960000</v>
      </c>
      <c r="E7">
        <v>2900</v>
      </c>
    </row>
    <row r="8" ht="13.85" spans="1:5">
      <c r="A8">
        <f t="shared" si="0"/>
        <v>7</v>
      </c>
      <c r="B8" s="11">
        <v>16842176</v>
      </c>
      <c r="C8" s="11">
        <v>59</v>
      </c>
      <c r="D8">
        <v>28320000</v>
      </c>
      <c r="E8">
        <v>2899</v>
      </c>
    </row>
    <row r="9" ht="13.85" spans="1:5">
      <c r="A9">
        <f t="shared" si="0"/>
        <v>8</v>
      </c>
      <c r="B9" s="11">
        <v>14631902</v>
      </c>
      <c r="C9" s="11">
        <v>47</v>
      </c>
      <c r="D9">
        <v>22560000</v>
      </c>
      <c r="E9">
        <v>2898</v>
      </c>
    </row>
    <row r="10" ht="13.85" spans="1:5">
      <c r="A10">
        <f t="shared" si="0"/>
        <v>9</v>
      </c>
      <c r="B10" s="11">
        <v>23781504</v>
      </c>
      <c r="C10" s="11">
        <v>36</v>
      </c>
      <c r="D10">
        <v>17280000</v>
      </c>
      <c r="E10">
        <v>2897</v>
      </c>
    </row>
    <row r="11" ht="13.85" spans="1:5">
      <c r="A11">
        <f t="shared" si="0"/>
        <v>10</v>
      </c>
      <c r="B11" s="11">
        <v>16543574</v>
      </c>
      <c r="C11" s="11">
        <v>20</v>
      </c>
      <c r="D11">
        <v>9600000</v>
      </c>
      <c r="E11">
        <v>2896</v>
      </c>
    </row>
    <row r="12" ht="13.85" spans="1:5">
      <c r="A12">
        <f t="shared" si="0"/>
        <v>11</v>
      </c>
      <c r="B12" s="11">
        <v>20100050</v>
      </c>
      <c r="C12" s="11">
        <v>214</v>
      </c>
      <c r="D12">
        <v>102720000</v>
      </c>
      <c r="E12">
        <v>2895</v>
      </c>
    </row>
    <row r="13" ht="13.85" spans="1:5">
      <c r="A13">
        <f t="shared" si="0"/>
        <v>12</v>
      </c>
      <c r="B13" s="11">
        <v>32198370</v>
      </c>
      <c r="C13" s="11">
        <v>203</v>
      </c>
      <c r="D13">
        <v>97440000</v>
      </c>
      <c r="E13">
        <v>2894</v>
      </c>
    </row>
    <row r="14" ht="13.85" spans="1:5">
      <c r="A14">
        <f t="shared" si="0"/>
        <v>13</v>
      </c>
      <c r="B14" s="11">
        <v>21738356</v>
      </c>
      <c r="C14" s="11">
        <v>178</v>
      </c>
      <c r="D14">
        <v>85440000</v>
      </c>
      <c r="E14">
        <v>2893</v>
      </c>
    </row>
    <row r="15" ht="13.85" spans="1:5">
      <c r="A15">
        <f t="shared" si="0"/>
        <v>14</v>
      </c>
      <c r="B15" s="11">
        <v>18697348</v>
      </c>
      <c r="C15" s="11">
        <v>164</v>
      </c>
      <c r="D15">
        <v>78720000</v>
      </c>
      <c r="E15">
        <v>2892</v>
      </c>
    </row>
    <row r="16" ht="13.85" spans="1:5">
      <c r="A16">
        <f t="shared" si="0"/>
        <v>15</v>
      </c>
      <c r="B16" s="11">
        <v>29733516</v>
      </c>
      <c r="C16" s="11">
        <v>149</v>
      </c>
      <c r="D16">
        <v>71520000</v>
      </c>
      <c r="E16">
        <v>2891</v>
      </c>
    </row>
    <row r="17" ht="13.85" spans="1:5">
      <c r="A17">
        <f t="shared" si="0"/>
        <v>16</v>
      </c>
      <c r="B17" s="11">
        <v>21019378</v>
      </c>
      <c r="C17" s="11">
        <v>129</v>
      </c>
      <c r="D17">
        <v>61920000</v>
      </c>
      <c r="E17">
        <v>2890</v>
      </c>
    </row>
    <row r="18" ht="13.85" spans="1:5">
      <c r="A18">
        <f t="shared" si="0"/>
        <v>17</v>
      </c>
      <c r="B18" s="11">
        <v>18414836</v>
      </c>
      <c r="C18" s="11">
        <v>115</v>
      </c>
      <c r="D18">
        <v>55200000</v>
      </c>
      <c r="E18">
        <v>2889</v>
      </c>
    </row>
    <row r="19" ht="13.85" spans="1:5">
      <c r="A19">
        <f t="shared" si="0"/>
        <v>18</v>
      </c>
      <c r="B19" s="11">
        <v>28166508</v>
      </c>
      <c r="C19" s="11">
        <v>98</v>
      </c>
      <c r="D19">
        <v>47040000</v>
      </c>
      <c r="E19">
        <v>2888</v>
      </c>
    </row>
    <row r="20" ht="13.85" spans="1:5">
      <c r="A20">
        <f t="shared" si="0"/>
        <v>19</v>
      </c>
      <c r="B20" s="11">
        <v>19452268</v>
      </c>
      <c r="C20" s="11">
        <v>78</v>
      </c>
      <c r="D20">
        <v>37440000</v>
      </c>
      <c r="E20">
        <v>2887</v>
      </c>
    </row>
    <row r="21" ht="13.85" spans="1:5">
      <c r="A21">
        <f t="shared" si="0"/>
        <v>20</v>
      </c>
      <c r="B21" s="11">
        <v>16993234</v>
      </c>
      <c r="C21" s="11">
        <v>63</v>
      </c>
      <c r="D21">
        <v>30240000</v>
      </c>
      <c r="E21">
        <v>2886</v>
      </c>
    </row>
    <row r="22" ht="13.85" spans="1:5">
      <c r="A22">
        <f t="shared" si="0"/>
        <v>21</v>
      </c>
      <c r="B22" s="11">
        <v>27334952</v>
      </c>
      <c r="C22" s="11">
        <v>46</v>
      </c>
      <c r="D22">
        <v>22080000</v>
      </c>
      <c r="E22">
        <v>2885</v>
      </c>
    </row>
    <row r="23" ht="13.85" spans="1:5">
      <c r="A23">
        <f t="shared" si="0"/>
        <v>22</v>
      </c>
      <c r="B23" s="11">
        <v>19615876</v>
      </c>
      <c r="C23" s="11">
        <v>31</v>
      </c>
      <c r="D23">
        <v>14880000</v>
      </c>
      <c r="E23">
        <v>2884</v>
      </c>
    </row>
    <row r="24" ht="13.85" spans="1:5">
      <c r="A24">
        <f t="shared" si="0"/>
        <v>23</v>
      </c>
      <c r="B24" s="11">
        <v>21033178</v>
      </c>
      <c r="C24" s="11">
        <v>20</v>
      </c>
      <c r="D24">
        <v>9600000</v>
      </c>
      <c r="E24">
        <v>2883</v>
      </c>
    </row>
    <row r="25" ht="13.9" spans="1:5">
      <c r="A25">
        <f t="shared" si="0"/>
        <v>24</v>
      </c>
      <c r="B25" s="11">
        <v>217930490</v>
      </c>
      <c r="C25" s="11" t="s">
        <v>27</v>
      </c>
      <c r="D25">
        <v>636000000</v>
      </c>
      <c r="E25">
        <v>2882</v>
      </c>
    </row>
    <row r="26" ht="13.9" spans="1:5">
      <c r="A26">
        <f t="shared" si="0"/>
        <v>25</v>
      </c>
      <c r="B26" s="11">
        <v>150329726</v>
      </c>
      <c r="C26" s="11" t="s">
        <v>28</v>
      </c>
      <c r="D26">
        <v>523200000</v>
      </c>
      <c r="E26">
        <v>2881</v>
      </c>
    </row>
    <row r="27" ht="13.9" spans="1:5">
      <c r="A27">
        <f t="shared" si="0"/>
        <v>26</v>
      </c>
      <c r="B27" s="11">
        <v>108410694</v>
      </c>
      <c r="C27" s="11" t="s">
        <v>29</v>
      </c>
      <c r="D27">
        <v>480000000</v>
      </c>
      <c r="E27">
        <v>2880</v>
      </c>
    </row>
    <row r="28" ht="13.85" spans="1:5">
      <c r="A28">
        <f t="shared" si="0"/>
        <v>27</v>
      </c>
      <c r="B28" s="11">
        <v>118655858</v>
      </c>
      <c r="C28" s="11">
        <v>935</v>
      </c>
      <c r="D28">
        <v>448800000</v>
      </c>
      <c r="E28">
        <v>2879</v>
      </c>
    </row>
    <row r="29" ht="13.85" spans="1:5">
      <c r="A29">
        <f t="shared" si="0"/>
        <v>28</v>
      </c>
      <c r="B29" s="11">
        <v>85196206</v>
      </c>
      <c r="C29" s="11">
        <v>865</v>
      </c>
      <c r="D29">
        <v>415200000</v>
      </c>
      <c r="E29">
        <v>2878</v>
      </c>
    </row>
    <row r="30" ht="13.85" spans="1:5">
      <c r="A30">
        <f t="shared" si="0"/>
        <v>29</v>
      </c>
      <c r="B30" s="11">
        <v>78074318</v>
      </c>
      <c r="C30" s="11">
        <v>800</v>
      </c>
      <c r="D30">
        <v>384000000</v>
      </c>
      <c r="E30">
        <v>2877</v>
      </c>
    </row>
    <row r="31" ht="13.85" spans="1:5">
      <c r="A31">
        <f t="shared" si="0"/>
        <v>30</v>
      </c>
      <c r="B31" s="11">
        <v>93912674</v>
      </c>
      <c r="C31" s="11">
        <v>750</v>
      </c>
      <c r="D31">
        <v>360000000</v>
      </c>
      <c r="E31">
        <v>2876</v>
      </c>
    </row>
    <row r="32" ht="13.85" spans="1:5">
      <c r="A32">
        <f t="shared" si="0"/>
        <v>31</v>
      </c>
      <c r="B32" s="11">
        <v>60346412</v>
      </c>
      <c r="C32" s="11">
        <v>687</v>
      </c>
      <c r="D32">
        <v>329760000</v>
      </c>
      <c r="E32">
        <v>2875</v>
      </c>
    </row>
    <row r="33" ht="13.85" spans="1:5">
      <c r="A33">
        <f t="shared" si="0"/>
        <v>32</v>
      </c>
      <c r="B33" s="11">
        <v>45504700</v>
      </c>
      <c r="C33" s="11">
        <v>645</v>
      </c>
      <c r="D33">
        <v>309600000</v>
      </c>
      <c r="E33">
        <v>2874</v>
      </c>
    </row>
    <row r="34" ht="13.85" spans="1:5">
      <c r="A34">
        <f t="shared" si="0"/>
        <v>33</v>
      </c>
      <c r="B34" s="11">
        <v>63824556</v>
      </c>
      <c r="C34" s="11">
        <v>600</v>
      </c>
      <c r="D34">
        <v>288000000</v>
      </c>
      <c r="E34">
        <v>2873</v>
      </c>
    </row>
    <row r="35" ht="13.85" spans="1:5">
      <c r="A35">
        <f t="shared" si="0"/>
        <v>34</v>
      </c>
      <c r="B35" s="11">
        <v>41645488</v>
      </c>
      <c r="C35" s="11">
        <v>559</v>
      </c>
      <c r="D35">
        <v>268320000</v>
      </c>
      <c r="E35">
        <v>2872</v>
      </c>
    </row>
    <row r="36" ht="13.85" spans="1:5">
      <c r="A36">
        <f t="shared" si="0"/>
        <v>35</v>
      </c>
      <c r="B36" s="11">
        <v>33190718</v>
      </c>
      <c r="C36" s="11">
        <v>532</v>
      </c>
      <c r="D36">
        <v>255360000</v>
      </c>
      <c r="E36">
        <v>2871</v>
      </c>
    </row>
    <row r="37" ht="13.85" spans="1:5">
      <c r="A37">
        <f t="shared" si="0"/>
        <v>36</v>
      </c>
      <c r="B37" s="11">
        <v>50419158</v>
      </c>
      <c r="C37" s="11">
        <v>521</v>
      </c>
      <c r="D37">
        <v>250080000</v>
      </c>
      <c r="E37">
        <v>2870</v>
      </c>
    </row>
    <row r="38" ht="13.85" spans="1:5">
      <c r="A38">
        <f t="shared" si="0"/>
        <v>37</v>
      </c>
      <c r="B38" s="11">
        <v>33222212</v>
      </c>
      <c r="C38" s="11">
        <v>485</v>
      </c>
      <c r="D38">
        <v>232800000</v>
      </c>
      <c r="E38">
        <v>2869</v>
      </c>
    </row>
    <row r="39" ht="13.85" spans="1:5">
      <c r="A39">
        <f t="shared" si="0"/>
        <v>38</v>
      </c>
      <c r="B39" s="11">
        <v>29158410</v>
      </c>
      <c r="C39" s="11">
        <v>460</v>
      </c>
      <c r="D39">
        <v>220800000</v>
      </c>
      <c r="E39">
        <v>2868</v>
      </c>
    </row>
    <row r="40" ht="13.85" spans="1:5">
      <c r="A40">
        <f t="shared" si="0"/>
        <v>39</v>
      </c>
      <c r="B40" s="11">
        <v>44910094</v>
      </c>
      <c r="C40" s="11">
        <v>443</v>
      </c>
      <c r="D40">
        <v>212640000</v>
      </c>
      <c r="E40">
        <v>2867</v>
      </c>
    </row>
    <row r="41" ht="13.85" spans="1:5">
      <c r="A41">
        <f t="shared" si="0"/>
        <v>40</v>
      </c>
      <c r="B41" s="11">
        <v>29438072</v>
      </c>
      <c r="C41" s="11">
        <v>412</v>
      </c>
      <c r="D41">
        <v>197760000</v>
      </c>
      <c r="E41">
        <v>2866</v>
      </c>
    </row>
    <row r="42" ht="13.85" spans="1:5">
      <c r="A42">
        <f t="shared" si="0"/>
        <v>41</v>
      </c>
      <c r="B42" s="11">
        <v>24431042</v>
      </c>
      <c r="C42" s="11">
        <v>391</v>
      </c>
      <c r="D42">
        <v>187680000</v>
      </c>
      <c r="E42">
        <v>2865</v>
      </c>
    </row>
    <row r="43" ht="13.85" spans="1:5">
      <c r="A43">
        <f t="shared" si="0"/>
        <v>42</v>
      </c>
      <c r="B43" s="11">
        <v>38075728</v>
      </c>
      <c r="C43" s="11">
        <v>376</v>
      </c>
      <c r="D43">
        <v>180480000</v>
      </c>
      <c r="E43">
        <v>2864</v>
      </c>
    </row>
    <row r="44" ht="13.85" spans="1:5">
      <c r="A44">
        <f t="shared" si="0"/>
        <v>43</v>
      </c>
      <c r="B44" s="11">
        <v>25982838</v>
      </c>
      <c r="C44" s="11">
        <v>348</v>
      </c>
      <c r="D44">
        <v>167040000</v>
      </c>
      <c r="E44">
        <v>2863</v>
      </c>
    </row>
    <row r="45" ht="13.85" spans="1:5">
      <c r="A45">
        <f t="shared" si="0"/>
        <v>44</v>
      </c>
      <c r="B45" s="11">
        <v>21981544</v>
      </c>
      <c r="C45" s="11">
        <v>330</v>
      </c>
      <c r="D45">
        <v>158400000</v>
      </c>
      <c r="E45">
        <v>2862</v>
      </c>
    </row>
    <row r="46" ht="13.85" spans="1:5">
      <c r="A46">
        <f t="shared" si="0"/>
        <v>45</v>
      </c>
      <c r="B46" s="11">
        <v>34666998</v>
      </c>
      <c r="C46" s="11">
        <v>306</v>
      </c>
      <c r="D46">
        <v>146880000</v>
      </c>
      <c r="E46">
        <v>2861</v>
      </c>
    </row>
    <row r="47" ht="13.85" spans="1:5">
      <c r="A47">
        <f t="shared" si="0"/>
        <v>46</v>
      </c>
      <c r="B47" s="11">
        <v>23262220</v>
      </c>
      <c r="C47" s="11">
        <v>285</v>
      </c>
      <c r="D47">
        <v>136800000</v>
      </c>
      <c r="E47">
        <v>2860</v>
      </c>
    </row>
    <row r="48" ht="13.85" spans="1:5">
      <c r="A48">
        <f t="shared" si="0"/>
        <v>47</v>
      </c>
      <c r="B48" s="11">
        <v>20020864</v>
      </c>
      <c r="C48" s="11">
        <v>270</v>
      </c>
      <c r="D48">
        <v>129600000</v>
      </c>
      <c r="E48">
        <v>2859</v>
      </c>
    </row>
    <row r="49" ht="13.85" spans="1:5">
      <c r="A49">
        <f t="shared" si="0"/>
        <v>48</v>
      </c>
      <c r="B49" s="11">
        <v>33820636</v>
      </c>
      <c r="C49" s="11">
        <v>248</v>
      </c>
      <c r="D49">
        <v>119040000</v>
      </c>
      <c r="E49">
        <v>2858</v>
      </c>
    </row>
    <row r="50" ht="13.85" spans="1:5">
      <c r="A50">
        <f t="shared" si="0"/>
        <v>49</v>
      </c>
      <c r="B50" s="11">
        <v>22433706</v>
      </c>
      <c r="C50" s="11">
        <v>228</v>
      </c>
      <c r="D50">
        <v>109440000</v>
      </c>
      <c r="E50">
        <v>2857</v>
      </c>
    </row>
    <row r="51" ht="13.85" spans="1:5">
      <c r="A51">
        <f t="shared" si="0"/>
        <v>50</v>
      </c>
      <c r="B51" s="11">
        <v>19376286</v>
      </c>
      <c r="C51" s="11">
        <v>214</v>
      </c>
      <c r="D51">
        <v>102720000</v>
      </c>
      <c r="E51">
        <v>2856</v>
      </c>
    </row>
    <row r="52" ht="13.85" spans="1:5">
      <c r="A52">
        <f t="shared" si="0"/>
        <v>51</v>
      </c>
      <c r="B52" s="11">
        <v>31812200</v>
      </c>
      <c r="C52" s="11">
        <v>206</v>
      </c>
      <c r="D52">
        <v>98880000</v>
      </c>
      <c r="E52">
        <v>2855</v>
      </c>
    </row>
    <row r="53" ht="13.85" spans="1:5">
      <c r="A53">
        <f t="shared" si="0"/>
        <v>52</v>
      </c>
      <c r="B53" s="11">
        <v>20947004</v>
      </c>
      <c r="C53" s="11">
        <v>188</v>
      </c>
      <c r="D53">
        <v>90240000</v>
      </c>
      <c r="E53">
        <v>2854</v>
      </c>
    </row>
    <row r="54" ht="13.85" spans="1:5">
      <c r="A54">
        <f t="shared" si="0"/>
        <v>53</v>
      </c>
      <c r="B54" s="11">
        <v>17876644</v>
      </c>
      <c r="C54" s="11">
        <v>174</v>
      </c>
      <c r="D54">
        <v>83520000</v>
      </c>
      <c r="E54">
        <v>2853</v>
      </c>
    </row>
    <row r="55" ht="13.85" spans="1:5">
      <c r="A55">
        <f t="shared" si="0"/>
        <v>54</v>
      </c>
      <c r="B55" s="11">
        <v>28864980</v>
      </c>
      <c r="C55" s="11">
        <v>164</v>
      </c>
      <c r="D55">
        <v>78720000</v>
      </c>
      <c r="E55">
        <v>2852</v>
      </c>
    </row>
    <row r="56" ht="13.85" spans="1:5">
      <c r="A56">
        <f t="shared" si="0"/>
        <v>55</v>
      </c>
      <c r="B56" s="11">
        <v>19805848</v>
      </c>
      <c r="C56" s="11">
        <v>145</v>
      </c>
      <c r="D56">
        <v>69600000</v>
      </c>
      <c r="E56">
        <v>2851</v>
      </c>
    </row>
    <row r="57" ht="13.85" spans="1:5">
      <c r="A57">
        <f t="shared" si="0"/>
        <v>56</v>
      </c>
      <c r="B57" s="11">
        <v>17237778</v>
      </c>
      <c r="C57" s="11">
        <v>133</v>
      </c>
      <c r="D57">
        <v>63840000</v>
      </c>
      <c r="E57">
        <v>2850</v>
      </c>
    </row>
    <row r="58" ht="13.85" spans="1:5">
      <c r="A58">
        <f t="shared" si="0"/>
        <v>57</v>
      </c>
      <c r="B58" s="11">
        <v>27024790</v>
      </c>
      <c r="C58" s="11">
        <v>120</v>
      </c>
      <c r="D58">
        <v>57600000</v>
      </c>
      <c r="E58">
        <v>2849</v>
      </c>
    </row>
    <row r="59" ht="13.85" spans="1:5">
      <c r="A59">
        <f t="shared" si="0"/>
        <v>58</v>
      </c>
      <c r="B59" s="11">
        <v>18396486</v>
      </c>
      <c r="C59" s="11">
        <v>102</v>
      </c>
      <c r="D59">
        <v>48960000</v>
      </c>
      <c r="E59">
        <v>2848</v>
      </c>
    </row>
    <row r="60" ht="13.85" spans="1:5">
      <c r="A60">
        <f t="shared" si="0"/>
        <v>59</v>
      </c>
      <c r="B60" s="11">
        <v>15247722</v>
      </c>
      <c r="C60" s="11">
        <v>88</v>
      </c>
      <c r="D60">
        <v>42240000</v>
      </c>
      <c r="E60">
        <v>2847</v>
      </c>
    </row>
    <row r="61" ht="13.85" spans="1:5">
      <c r="A61">
        <f t="shared" si="0"/>
        <v>60</v>
      </c>
      <c r="B61" s="11">
        <v>25835714</v>
      </c>
      <c r="C61" s="11">
        <v>77</v>
      </c>
      <c r="D61">
        <v>36960000</v>
      </c>
      <c r="E61">
        <v>2846</v>
      </c>
    </row>
    <row r="62" ht="13.85" spans="1:5">
      <c r="A62">
        <f t="shared" si="0"/>
        <v>61</v>
      </c>
      <c r="B62" s="11">
        <v>17553334</v>
      </c>
      <c r="C62" s="11">
        <v>60</v>
      </c>
      <c r="D62">
        <v>28800000</v>
      </c>
      <c r="E62">
        <v>2845</v>
      </c>
    </row>
    <row r="63" ht="13.85" spans="1:5">
      <c r="A63">
        <f t="shared" si="0"/>
        <v>62</v>
      </c>
      <c r="B63" s="11">
        <v>15731002</v>
      </c>
      <c r="C63" s="11">
        <v>46</v>
      </c>
      <c r="D63">
        <v>22080000</v>
      </c>
      <c r="E63">
        <v>2844</v>
      </c>
    </row>
    <row r="64" ht="13.85" spans="1:5">
      <c r="A64">
        <f t="shared" si="0"/>
        <v>63</v>
      </c>
      <c r="B64" s="11">
        <v>25261928</v>
      </c>
      <c r="C64" s="11">
        <v>35</v>
      </c>
      <c r="D64">
        <v>16800000</v>
      </c>
      <c r="E64">
        <v>2843</v>
      </c>
    </row>
    <row r="65" ht="13.85" spans="1:5">
      <c r="A65">
        <f t="shared" si="0"/>
        <v>64</v>
      </c>
      <c r="B65" s="11">
        <v>20452528</v>
      </c>
      <c r="C65" s="11">
        <v>20</v>
      </c>
      <c r="D65">
        <v>9600000</v>
      </c>
      <c r="E65">
        <v>2842</v>
      </c>
    </row>
    <row r="66" ht="13.85" spans="1:5">
      <c r="A66">
        <f t="shared" ref="A66:A129" si="1">ROW()-1</f>
        <v>65</v>
      </c>
      <c r="B66" s="11">
        <v>94583822</v>
      </c>
      <c r="C66" s="11">
        <v>842.4</v>
      </c>
      <c r="D66">
        <v>404352000</v>
      </c>
      <c r="E66">
        <v>2841</v>
      </c>
    </row>
    <row r="67" ht="13.85" spans="1:5">
      <c r="A67">
        <f t="shared" si="1"/>
        <v>66</v>
      </c>
      <c r="B67" s="13">
        <v>125802272</v>
      </c>
      <c r="C67" s="13">
        <v>760</v>
      </c>
      <c r="D67">
        <v>364800000</v>
      </c>
      <c r="E67">
        <v>2840</v>
      </c>
    </row>
    <row r="68" ht="13.85" spans="1:5">
      <c r="A68">
        <f t="shared" si="1"/>
        <v>67</v>
      </c>
      <c r="B68" s="11">
        <v>78521654</v>
      </c>
      <c r="C68" s="11">
        <v>685</v>
      </c>
      <c r="D68">
        <v>328800000</v>
      </c>
      <c r="E68">
        <v>2839</v>
      </c>
    </row>
    <row r="69" ht="13.85" spans="1:5">
      <c r="A69">
        <f t="shared" si="1"/>
        <v>68</v>
      </c>
      <c r="B69" s="11">
        <v>50426838</v>
      </c>
      <c r="C69" s="11">
        <v>638</v>
      </c>
      <c r="D69">
        <v>306240000</v>
      </c>
      <c r="E69">
        <v>2838</v>
      </c>
    </row>
    <row r="70" ht="13.85" spans="1:5">
      <c r="A70">
        <f t="shared" si="1"/>
        <v>69</v>
      </c>
      <c r="B70" s="11">
        <v>78684874</v>
      </c>
      <c r="C70" s="11">
        <v>620</v>
      </c>
      <c r="D70">
        <v>297600000</v>
      </c>
      <c r="E70">
        <v>2837</v>
      </c>
    </row>
    <row r="71" ht="13.85" spans="1:5">
      <c r="A71">
        <f t="shared" si="1"/>
        <v>70</v>
      </c>
      <c r="B71" s="11">
        <v>46495528</v>
      </c>
      <c r="C71" s="11">
        <v>572</v>
      </c>
      <c r="D71">
        <v>274560000</v>
      </c>
      <c r="E71">
        <v>2836</v>
      </c>
    </row>
    <row r="72" ht="13.85" spans="1:5">
      <c r="A72">
        <f t="shared" si="1"/>
        <v>71</v>
      </c>
      <c r="B72" s="11">
        <v>36108338</v>
      </c>
      <c r="C72" s="11">
        <v>543</v>
      </c>
      <c r="D72">
        <v>260640000</v>
      </c>
      <c r="E72">
        <v>2835</v>
      </c>
    </row>
    <row r="73" ht="13.85" spans="1:5">
      <c r="A73">
        <f t="shared" si="1"/>
        <v>72</v>
      </c>
      <c r="B73" s="11">
        <v>53107604</v>
      </c>
      <c r="C73" s="11">
        <v>535</v>
      </c>
      <c r="D73">
        <v>256800000</v>
      </c>
      <c r="E73">
        <v>2834</v>
      </c>
    </row>
    <row r="74" ht="13.85" spans="1:5">
      <c r="A74">
        <f t="shared" si="1"/>
        <v>73</v>
      </c>
      <c r="B74" s="11">
        <v>37416138</v>
      </c>
      <c r="C74" s="11">
        <v>500</v>
      </c>
      <c r="D74">
        <v>240000000</v>
      </c>
      <c r="E74">
        <v>2833</v>
      </c>
    </row>
    <row r="75" ht="13.85" spans="1:5">
      <c r="A75">
        <f t="shared" si="1"/>
        <v>74</v>
      </c>
      <c r="B75" s="11">
        <v>28391968</v>
      </c>
      <c r="C75" s="11">
        <v>477</v>
      </c>
      <c r="D75">
        <v>228960000</v>
      </c>
      <c r="E75">
        <v>2832</v>
      </c>
    </row>
    <row r="76" ht="13.85" spans="1:5">
      <c r="A76">
        <f t="shared" si="1"/>
        <v>75</v>
      </c>
      <c r="B76" s="11">
        <v>42838810</v>
      </c>
      <c r="C76" s="11">
        <v>468</v>
      </c>
      <c r="D76">
        <v>224640000</v>
      </c>
      <c r="E76">
        <v>2831</v>
      </c>
    </row>
    <row r="77" ht="13.85" spans="1:5">
      <c r="A77">
        <f t="shared" si="1"/>
        <v>76</v>
      </c>
      <c r="B77" s="11">
        <v>29567190</v>
      </c>
      <c r="C77" s="11">
        <v>435</v>
      </c>
      <c r="D77">
        <v>208800000</v>
      </c>
      <c r="E77">
        <v>2830</v>
      </c>
    </row>
    <row r="78" ht="13.85" spans="1:5">
      <c r="A78">
        <f t="shared" si="1"/>
        <v>77</v>
      </c>
      <c r="B78" s="11">
        <v>25822658</v>
      </c>
      <c r="C78" s="11">
        <v>412</v>
      </c>
      <c r="D78">
        <v>197760000</v>
      </c>
      <c r="E78">
        <v>2829</v>
      </c>
    </row>
    <row r="79" ht="13.85" spans="1:5">
      <c r="A79">
        <f t="shared" si="1"/>
        <v>78</v>
      </c>
      <c r="B79" s="11">
        <v>40347156</v>
      </c>
      <c r="C79" s="11">
        <v>400</v>
      </c>
      <c r="D79">
        <v>192000000</v>
      </c>
      <c r="E79">
        <v>2828</v>
      </c>
    </row>
    <row r="80" ht="13.85" spans="1:5">
      <c r="A80">
        <f t="shared" si="1"/>
        <v>79</v>
      </c>
      <c r="B80" s="11">
        <v>26276894</v>
      </c>
      <c r="C80" s="11">
        <v>374</v>
      </c>
      <c r="D80">
        <v>179520000</v>
      </c>
      <c r="E80">
        <v>2827</v>
      </c>
    </row>
    <row r="81" ht="13.85" spans="1:5">
      <c r="A81">
        <f t="shared" si="1"/>
        <v>80</v>
      </c>
      <c r="B81" s="11">
        <v>23147384</v>
      </c>
      <c r="C81" s="11">
        <v>352</v>
      </c>
      <c r="D81">
        <v>168960000</v>
      </c>
      <c r="E81">
        <v>2826</v>
      </c>
    </row>
    <row r="82" ht="13.85" spans="1:5">
      <c r="A82">
        <f t="shared" si="1"/>
        <v>81</v>
      </c>
      <c r="B82" s="11">
        <v>32925230</v>
      </c>
      <c r="C82" s="11">
        <v>340</v>
      </c>
      <c r="D82">
        <v>163200000</v>
      </c>
      <c r="E82">
        <v>2825</v>
      </c>
    </row>
    <row r="83" ht="13.85" spans="1:5">
      <c r="A83">
        <f t="shared" si="1"/>
        <v>82</v>
      </c>
      <c r="B83" s="11">
        <v>28456860</v>
      </c>
      <c r="C83" s="11">
        <v>313</v>
      </c>
      <c r="D83">
        <v>150240000</v>
      </c>
      <c r="E83">
        <v>2824</v>
      </c>
    </row>
    <row r="84" ht="13.85" spans="1:5">
      <c r="A84">
        <f t="shared" si="1"/>
        <v>83</v>
      </c>
      <c r="B84" s="11">
        <v>21733480</v>
      </c>
      <c r="C84" s="11">
        <v>295</v>
      </c>
      <c r="D84">
        <v>141600000</v>
      </c>
      <c r="E84">
        <v>2823</v>
      </c>
    </row>
    <row r="85" ht="13.85" spans="1:5">
      <c r="A85">
        <f t="shared" si="1"/>
        <v>84</v>
      </c>
      <c r="B85" s="11">
        <v>33743538</v>
      </c>
      <c r="C85" s="11">
        <v>280</v>
      </c>
      <c r="D85">
        <v>134400000</v>
      </c>
      <c r="E85">
        <v>2822</v>
      </c>
    </row>
    <row r="86" ht="13.85" spans="1:5">
      <c r="A86">
        <f t="shared" si="1"/>
        <v>85</v>
      </c>
      <c r="B86" s="11">
        <v>23592034</v>
      </c>
      <c r="C86" s="11">
        <v>255</v>
      </c>
      <c r="D86">
        <v>122400000</v>
      </c>
      <c r="E86">
        <v>2821</v>
      </c>
    </row>
    <row r="87" ht="13.85" spans="1:5">
      <c r="A87">
        <f t="shared" si="1"/>
        <v>86</v>
      </c>
      <c r="B87" s="11">
        <v>20613446</v>
      </c>
      <c r="C87" s="11">
        <v>235</v>
      </c>
      <c r="D87">
        <v>112800000</v>
      </c>
      <c r="E87">
        <v>2820</v>
      </c>
    </row>
    <row r="88" ht="13.85" spans="1:5">
      <c r="A88">
        <f t="shared" si="1"/>
        <v>87</v>
      </c>
      <c r="B88" s="11">
        <v>33095478</v>
      </c>
      <c r="C88" s="11">
        <v>220</v>
      </c>
      <c r="D88">
        <v>105600000</v>
      </c>
      <c r="E88">
        <v>2819</v>
      </c>
    </row>
    <row r="89" ht="13.85" spans="1:5">
      <c r="A89">
        <f t="shared" si="1"/>
        <v>88</v>
      </c>
      <c r="B89" s="11">
        <v>22948064</v>
      </c>
      <c r="C89" s="11">
        <v>196</v>
      </c>
      <c r="D89">
        <v>94080000</v>
      </c>
      <c r="E89">
        <v>2818</v>
      </c>
    </row>
    <row r="90" ht="13.85" spans="1:5">
      <c r="A90">
        <f t="shared" si="1"/>
        <v>89</v>
      </c>
      <c r="B90" s="11">
        <v>19352594</v>
      </c>
      <c r="C90" s="11">
        <v>179</v>
      </c>
      <c r="D90">
        <v>85920000</v>
      </c>
      <c r="E90">
        <v>2817</v>
      </c>
    </row>
    <row r="91" ht="13.85" spans="1:5">
      <c r="A91">
        <f t="shared" si="1"/>
        <v>90</v>
      </c>
      <c r="B91" s="11">
        <v>30934696</v>
      </c>
      <c r="C91" s="11">
        <v>173</v>
      </c>
      <c r="D91">
        <v>83040000</v>
      </c>
      <c r="E91">
        <v>2816</v>
      </c>
    </row>
    <row r="92" ht="13.85" spans="1:5">
      <c r="A92">
        <f t="shared" si="1"/>
        <v>91</v>
      </c>
      <c r="B92" s="11">
        <v>21608742</v>
      </c>
      <c r="C92" s="11">
        <v>152</v>
      </c>
      <c r="D92">
        <v>72960000</v>
      </c>
      <c r="E92">
        <v>2815</v>
      </c>
    </row>
    <row r="93" ht="13.85" spans="1:5">
      <c r="A93">
        <f t="shared" si="1"/>
        <v>92</v>
      </c>
      <c r="B93" s="11">
        <v>18466968</v>
      </c>
      <c r="C93" s="11">
        <v>137</v>
      </c>
      <c r="D93">
        <v>65760000</v>
      </c>
      <c r="E93">
        <v>2814</v>
      </c>
    </row>
    <row r="94" ht="13.85" spans="1:5">
      <c r="A94">
        <f t="shared" si="1"/>
        <v>93</v>
      </c>
      <c r="B94" s="11">
        <v>29395392</v>
      </c>
      <c r="C94" s="11">
        <v>125</v>
      </c>
      <c r="D94">
        <v>60000000</v>
      </c>
      <c r="E94">
        <v>2813</v>
      </c>
    </row>
    <row r="95" ht="13.85" spans="1:5">
      <c r="A95">
        <f t="shared" si="1"/>
        <v>94</v>
      </c>
      <c r="B95" s="11">
        <v>21190722</v>
      </c>
      <c r="C95" s="11">
        <v>100</v>
      </c>
      <c r="D95">
        <v>48000000</v>
      </c>
      <c r="E95">
        <v>2812</v>
      </c>
    </row>
    <row r="96" ht="13.85" spans="1:5">
      <c r="A96">
        <f t="shared" si="1"/>
        <v>95</v>
      </c>
      <c r="B96" s="11">
        <v>17235986</v>
      </c>
      <c r="C96" s="11">
        <v>85</v>
      </c>
      <c r="D96">
        <v>40800000</v>
      </c>
      <c r="E96">
        <v>2811</v>
      </c>
    </row>
    <row r="97" ht="13.85" spans="1:5">
      <c r="A97">
        <f t="shared" si="1"/>
        <v>96</v>
      </c>
      <c r="B97" s="11">
        <v>27148946</v>
      </c>
      <c r="C97" s="11">
        <v>70</v>
      </c>
      <c r="D97">
        <v>33600000</v>
      </c>
      <c r="E97">
        <v>2810</v>
      </c>
    </row>
    <row r="98" ht="13.85" spans="1:5">
      <c r="A98">
        <f t="shared" si="1"/>
        <v>97</v>
      </c>
      <c r="B98" s="11">
        <v>19479414</v>
      </c>
      <c r="C98" s="11">
        <v>49</v>
      </c>
      <c r="D98">
        <v>23520000</v>
      </c>
      <c r="E98">
        <v>2809</v>
      </c>
    </row>
    <row r="99" ht="13.85" spans="1:5">
      <c r="A99">
        <f t="shared" si="1"/>
        <v>98</v>
      </c>
      <c r="B99" s="11">
        <v>16673960</v>
      </c>
      <c r="C99" s="11">
        <v>34</v>
      </c>
      <c r="D99">
        <v>16320000</v>
      </c>
      <c r="E99">
        <v>2808</v>
      </c>
    </row>
    <row r="100" ht="13.85" spans="1:5">
      <c r="A100">
        <f t="shared" si="1"/>
        <v>99</v>
      </c>
      <c r="B100" s="11">
        <v>30383978</v>
      </c>
      <c r="C100" s="11">
        <v>20</v>
      </c>
      <c r="D100">
        <v>9600000</v>
      </c>
      <c r="E100">
        <v>2807</v>
      </c>
    </row>
    <row r="101" ht="13.9" spans="1:5">
      <c r="A101">
        <f t="shared" si="1"/>
        <v>100</v>
      </c>
      <c r="B101" s="11">
        <v>258496088</v>
      </c>
      <c r="C101" s="11" t="s">
        <v>78</v>
      </c>
      <c r="D101">
        <v>846720000</v>
      </c>
      <c r="E101">
        <v>2806</v>
      </c>
    </row>
    <row r="102" ht="13.9" spans="1:5">
      <c r="A102">
        <f t="shared" si="1"/>
        <v>101</v>
      </c>
      <c r="B102" s="11">
        <v>186354714</v>
      </c>
      <c r="C102" s="11" t="s">
        <v>79</v>
      </c>
      <c r="D102">
        <v>744000000</v>
      </c>
      <c r="E102">
        <v>2805</v>
      </c>
    </row>
    <row r="103" ht="13.9" spans="1:5">
      <c r="A103">
        <f t="shared" si="1"/>
        <v>102</v>
      </c>
      <c r="B103" s="11">
        <v>230840180</v>
      </c>
      <c r="C103" s="11" t="s">
        <v>80</v>
      </c>
      <c r="D103">
        <v>672000000</v>
      </c>
      <c r="E103">
        <v>2804</v>
      </c>
    </row>
    <row r="104" ht="13.9" spans="1:5">
      <c r="A104">
        <f t="shared" si="1"/>
        <v>103</v>
      </c>
      <c r="B104" s="11">
        <v>170736364</v>
      </c>
      <c r="C104" s="11" t="s">
        <v>81</v>
      </c>
      <c r="D104">
        <v>576000000</v>
      </c>
      <c r="E104">
        <v>2803</v>
      </c>
    </row>
    <row r="105" ht="13.9" spans="1:5">
      <c r="A105">
        <f t="shared" si="1"/>
        <v>104</v>
      </c>
      <c r="B105" s="11">
        <v>132679996</v>
      </c>
      <c r="C105" s="11" t="s">
        <v>82</v>
      </c>
      <c r="D105">
        <v>499200000</v>
      </c>
      <c r="E105">
        <v>2802</v>
      </c>
    </row>
    <row r="106" ht="13.85" spans="1:5">
      <c r="A106">
        <f t="shared" si="1"/>
        <v>105</v>
      </c>
      <c r="B106" s="11">
        <v>132789220</v>
      </c>
      <c r="C106" s="27">
        <v>960</v>
      </c>
      <c r="D106">
        <v>460800000</v>
      </c>
      <c r="E106">
        <v>2801</v>
      </c>
    </row>
    <row r="107" ht="13.85" spans="1:5">
      <c r="A107">
        <f t="shared" si="1"/>
        <v>106</v>
      </c>
      <c r="B107" s="11">
        <v>86133114</v>
      </c>
      <c r="C107" s="27">
        <v>850</v>
      </c>
      <c r="D107">
        <v>408000000</v>
      </c>
      <c r="E107">
        <v>2800</v>
      </c>
    </row>
    <row r="108" ht="13.85" spans="1:5">
      <c r="A108">
        <f t="shared" si="1"/>
        <v>107</v>
      </c>
      <c r="B108" s="11">
        <v>62431608</v>
      </c>
      <c r="C108" s="11">
        <v>785</v>
      </c>
      <c r="D108">
        <v>376800000</v>
      </c>
      <c r="E108">
        <v>2799</v>
      </c>
    </row>
    <row r="109" ht="13.85" spans="1:5">
      <c r="A109">
        <f t="shared" si="1"/>
        <v>108</v>
      </c>
      <c r="B109" s="11">
        <v>79717540</v>
      </c>
      <c r="C109" s="27">
        <v>750</v>
      </c>
      <c r="D109">
        <v>360000000</v>
      </c>
      <c r="E109">
        <v>2798</v>
      </c>
    </row>
    <row r="110" ht="13.85" spans="1:5">
      <c r="A110">
        <f t="shared" si="1"/>
        <v>109</v>
      </c>
      <c r="B110" s="11">
        <v>53800630</v>
      </c>
      <c r="C110" s="11">
        <v>672</v>
      </c>
      <c r="D110">
        <v>322560000</v>
      </c>
      <c r="E110">
        <v>2797</v>
      </c>
    </row>
    <row r="111" ht="13.85" spans="1:5">
      <c r="A111">
        <f t="shared" si="1"/>
        <v>110</v>
      </c>
      <c r="B111" s="11">
        <v>43475072</v>
      </c>
      <c r="C111" s="11">
        <v>638</v>
      </c>
      <c r="D111">
        <v>306240000</v>
      </c>
      <c r="E111">
        <v>2796</v>
      </c>
    </row>
    <row r="112" ht="13.85" spans="1:5">
      <c r="A112">
        <f t="shared" si="1"/>
        <v>111</v>
      </c>
      <c r="B112" s="11">
        <v>60455554</v>
      </c>
      <c r="C112" s="11">
        <v>596</v>
      </c>
      <c r="D112">
        <v>286080000</v>
      </c>
      <c r="E112">
        <v>2795</v>
      </c>
    </row>
    <row r="113" ht="13.85" spans="1:5">
      <c r="A113">
        <f t="shared" si="1"/>
        <v>112</v>
      </c>
      <c r="B113" s="11">
        <v>43178314</v>
      </c>
      <c r="C113" s="11">
        <v>550</v>
      </c>
      <c r="D113">
        <v>264000000</v>
      </c>
      <c r="E113">
        <v>2794</v>
      </c>
    </row>
    <row r="114" ht="13.85" spans="1:5">
      <c r="A114">
        <f t="shared" si="1"/>
        <v>113</v>
      </c>
      <c r="B114" s="11">
        <v>36054066</v>
      </c>
      <c r="C114" s="11">
        <v>522</v>
      </c>
      <c r="D114">
        <v>250560000</v>
      </c>
      <c r="E114">
        <v>2793</v>
      </c>
    </row>
    <row r="115" ht="13.85" spans="1:5">
      <c r="A115">
        <f t="shared" si="1"/>
        <v>114</v>
      </c>
      <c r="B115" s="11">
        <v>53684174</v>
      </c>
      <c r="C115" s="11">
        <v>500</v>
      </c>
      <c r="D115">
        <v>240000000</v>
      </c>
      <c r="E115">
        <v>2792</v>
      </c>
    </row>
    <row r="116" ht="13.85" spans="1:5">
      <c r="A116">
        <f t="shared" si="1"/>
        <v>115</v>
      </c>
      <c r="B116" s="11">
        <v>35939466</v>
      </c>
      <c r="C116" s="11">
        <v>461</v>
      </c>
      <c r="D116">
        <v>221280000</v>
      </c>
      <c r="E116">
        <v>2791</v>
      </c>
    </row>
    <row r="117" ht="13.85" spans="1:5">
      <c r="A117">
        <f t="shared" si="1"/>
        <v>116</v>
      </c>
      <c r="B117" s="11">
        <v>27985582</v>
      </c>
      <c r="C117" s="11">
        <v>435</v>
      </c>
      <c r="D117">
        <v>208800000</v>
      </c>
      <c r="E117">
        <v>2790</v>
      </c>
    </row>
    <row r="118" ht="13.85" spans="1:5">
      <c r="A118">
        <f t="shared" si="1"/>
        <v>117</v>
      </c>
      <c r="B118" s="11">
        <v>48913912</v>
      </c>
      <c r="C118" s="11">
        <v>420</v>
      </c>
      <c r="D118">
        <v>201600000</v>
      </c>
      <c r="E118">
        <v>2789</v>
      </c>
    </row>
    <row r="119" ht="13.85" spans="1:5">
      <c r="A119">
        <f t="shared" si="1"/>
        <v>118</v>
      </c>
      <c r="B119" s="11">
        <v>32508310</v>
      </c>
      <c r="C119" s="11">
        <v>386</v>
      </c>
      <c r="D119">
        <v>185280000</v>
      </c>
      <c r="E119">
        <v>2788</v>
      </c>
    </row>
    <row r="120" ht="13.85" spans="1:5">
      <c r="A120">
        <f t="shared" si="1"/>
        <v>119</v>
      </c>
      <c r="B120" s="11">
        <v>28061404</v>
      </c>
      <c r="C120" s="11">
        <v>363</v>
      </c>
      <c r="D120">
        <v>174240000</v>
      </c>
      <c r="E120">
        <v>2787</v>
      </c>
    </row>
    <row r="121" ht="13.85" spans="1:5">
      <c r="A121">
        <f t="shared" si="1"/>
        <v>120</v>
      </c>
      <c r="B121" s="11">
        <v>43420358</v>
      </c>
      <c r="C121" s="11">
        <v>345</v>
      </c>
      <c r="D121">
        <v>165600000</v>
      </c>
      <c r="E121">
        <v>2786</v>
      </c>
    </row>
    <row r="122" ht="13.85" spans="1:5">
      <c r="A122">
        <f t="shared" si="1"/>
        <v>121</v>
      </c>
      <c r="B122" s="11">
        <v>31269544</v>
      </c>
      <c r="C122" s="11">
        <v>313</v>
      </c>
      <c r="D122">
        <v>150240000</v>
      </c>
      <c r="E122">
        <v>2785</v>
      </c>
    </row>
    <row r="123" ht="13.85" spans="1:5">
      <c r="A123">
        <f t="shared" si="1"/>
        <v>122</v>
      </c>
      <c r="B123" s="11">
        <v>25665004</v>
      </c>
      <c r="C123" s="11">
        <v>291</v>
      </c>
      <c r="D123">
        <v>139680000</v>
      </c>
      <c r="E123">
        <v>2784</v>
      </c>
    </row>
    <row r="124" ht="13.85" spans="1:5">
      <c r="A124">
        <f t="shared" si="1"/>
        <v>123</v>
      </c>
      <c r="B124" s="11">
        <v>40899844</v>
      </c>
      <c r="C124" s="11">
        <v>264</v>
      </c>
      <c r="D124">
        <v>126720000</v>
      </c>
      <c r="E124">
        <v>2783</v>
      </c>
    </row>
    <row r="125" ht="13.85" spans="1:5">
      <c r="A125">
        <f t="shared" si="1"/>
        <v>124</v>
      </c>
      <c r="B125" s="11">
        <v>28861496</v>
      </c>
      <c r="C125" s="11">
        <v>236</v>
      </c>
      <c r="D125">
        <v>113280000</v>
      </c>
      <c r="E125">
        <v>2782</v>
      </c>
    </row>
    <row r="126" ht="13.85" spans="1:5">
      <c r="A126">
        <f t="shared" si="1"/>
        <v>125</v>
      </c>
      <c r="B126" s="11">
        <v>24041658</v>
      </c>
      <c r="C126" s="11">
        <v>215</v>
      </c>
      <c r="D126">
        <v>103200000</v>
      </c>
      <c r="E126">
        <v>2781</v>
      </c>
    </row>
    <row r="127" ht="13.85" spans="1:5">
      <c r="A127">
        <f t="shared" si="1"/>
        <v>126</v>
      </c>
      <c r="B127" s="11">
        <v>37718640</v>
      </c>
      <c r="C127" s="11">
        <v>194</v>
      </c>
      <c r="D127">
        <v>93120000</v>
      </c>
      <c r="E127">
        <v>2780</v>
      </c>
    </row>
    <row r="128" ht="13.85" spans="1:5">
      <c r="A128">
        <f t="shared" si="1"/>
        <v>127</v>
      </c>
      <c r="B128" s="11">
        <v>32979038</v>
      </c>
      <c r="C128" s="11">
        <v>170</v>
      </c>
      <c r="D128">
        <v>81600000</v>
      </c>
      <c r="E128">
        <v>2779</v>
      </c>
    </row>
    <row r="129" ht="13.85" spans="1:5">
      <c r="A129">
        <f t="shared" si="1"/>
        <v>128</v>
      </c>
      <c r="B129" s="11">
        <v>27298470</v>
      </c>
      <c r="C129" s="11">
        <v>145</v>
      </c>
      <c r="D129">
        <v>69600000</v>
      </c>
      <c r="E129">
        <v>2778</v>
      </c>
    </row>
    <row r="130" ht="13.85" spans="1:5">
      <c r="A130">
        <f t="shared" ref="A130:A193" si="2">ROW()-1</f>
        <v>129</v>
      </c>
      <c r="B130" s="11">
        <v>44325386</v>
      </c>
      <c r="C130" s="11">
        <v>124</v>
      </c>
      <c r="D130">
        <v>59520000</v>
      </c>
      <c r="E130">
        <v>2777</v>
      </c>
    </row>
    <row r="131" ht="13.85" spans="1:5">
      <c r="A131">
        <f t="shared" si="2"/>
        <v>130</v>
      </c>
      <c r="B131" s="11">
        <v>28927868</v>
      </c>
      <c r="C131" s="11">
        <v>95</v>
      </c>
      <c r="D131">
        <v>45600000</v>
      </c>
      <c r="E131">
        <v>2776</v>
      </c>
    </row>
    <row r="132" ht="13.85" spans="1:5">
      <c r="A132">
        <f t="shared" si="2"/>
        <v>131</v>
      </c>
      <c r="B132" s="11">
        <v>21060326</v>
      </c>
      <c r="C132" s="11">
        <v>74</v>
      </c>
      <c r="D132">
        <v>35520000</v>
      </c>
      <c r="E132">
        <v>2775</v>
      </c>
    </row>
    <row r="133" ht="13.85" spans="1:5">
      <c r="A133">
        <f t="shared" si="2"/>
        <v>132</v>
      </c>
      <c r="B133" s="11">
        <v>31976268</v>
      </c>
      <c r="C133" s="11">
        <v>60</v>
      </c>
      <c r="D133">
        <v>28800000</v>
      </c>
      <c r="E133">
        <v>2774</v>
      </c>
    </row>
    <row r="134" ht="13.85" spans="1:5">
      <c r="A134">
        <f t="shared" si="2"/>
        <v>133</v>
      </c>
      <c r="B134" s="11">
        <v>21221120</v>
      </c>
      <c r="C134" s="11">
        <v>41</v>
      </c>
      <c r="D134">
        <v>19680000</v>
      </c>
      <c r="E134">
        <v>2773</v>
      </c>
    </row>
    <row r="135" ht="13.85" spans="1:5">
      <c r="A135">
        <f t="shared" si="2"/>
        <v>134</v>
      </c>
      <c r="B135" s="11">
        <v>17023904</v>
      </c>
      <c r="C135" s="11">
        <v>28</v>
      </c>
      <c r="D135">
        <v>13440000</v>
      </c>
      <c r="E135">
        <v>2772</v>
      </c>
    </row>
    <row r="136" ht="13.85" spans="1:5">
      <c r="A136">
        <f t="shared" si="2"/>
        <v>135</v>
      </c>
      <c r="B136" s="11">
        <v>31824578</v>
      </c>
      <c r="C136" s="11">
        <v>20</v>
      </c>
      <c r="D136">
        <v>9600000</v>
      </c>
      <c r="E136">
        <v>2771</v>
      </c>
    </row>
    <row r="137" ht="13.9" spans="1:5">
      <c r="A137">
        <f t="shared" si="2"/>
        <v>136</v>
      </c>
      <c r="B137" s="11">
        <v>240717270</v>
      </c>
      <c r="C137" s="11" t="s">
        <v>105</v>
      </c>
      <c r="D137">
        <v>480000000</v>
      </c>
      <c r="E137">
        <v>2770</v>
      </c>
    </row>
    <row r="138" ht="13.85" spans="1:5">
      <c r="A138">
        <f t="shared" si="2"/>
        <v>137</v>
      </c>
      <c r="B138" s="11">
        <v>141352742</v>
      </c>
      <c r="C138" s="11">
        <v>900</v>
      </c>
      <c r="D138">
        <v>432000000</v>
      </c>
      <c r="E138">
        <v>2769</v>
      </c>
    </row>
    <row r="139" ht="13.85" spans="1:5">
      <c r="A139">
        <f t="shared" si="2"/>
        <v>138</v>
      </c>
      <c r="B139" s="11">
        <v>152749722</v>
      </c>
      <c r="C139" s="11">
        <v>829</v>
      </c>
      <c r="D139">
        <v>397920000</v>
      </c>
      <c r="E139">
        <v>2768</v>
      </c>
    </row>
    <row r="140" ht="13.85" spans="1:5">
      <c r="A140">
        <f t="shared" si="2"/>
        <v>139</v>
      </c>
      <c r="B140" s="11">
        <v>97673974</v>
      </c>
      <c r="C140" s="27">
        <v>750</v>
      </c>
      <c r="D140">
        <v>360000000</v>
      </c>
      <c r="E140">
        <v>2767</v>
      </c>
    </row>
    <row r="141" ht="13.85" spans="1:5">
      <c r="A141">
        <f t="shared" si="2"/>
        <v>140</v>
      </c>
      <c r="B141" s="11">
        <v>75038572</v>
      </c>
      <c r="C141" s="27">
        <v>675</v>
      </c>
      <c r="D141">
        <v>324000000</v>
      </c>
      <c r="E141">
        <v>2766</v>
      </c>
    </row>
    <row r="142" ht="13.85" spans="1:5">
      <c r="A142">
        <f t="shared" si="2"/>
        <v>141</v>
      </c>
      <c r="B142" s="11">
        <v>90594722</v>
      </c>
      <c r="C142" s="27">
        <v>615</v>
      </c>
      <c r="D142">
        <v>295200000</v>
      </c>
      <c r="E142">
        <v>2765</v>
      </c>
    </row>
    <row r="143" ht="13.85" spans="1:5">
      <c r="A143">
        <f t="shared" si="2"/>
        <v>142</v>
      </c>
      <c r="B143" s="11">
        <v>43971202</v>
      </c>
      <c r="C143" s="11">
        <v>546</v>
      </c>
      <c r="D143">
        <v>262080000</v>
      </c>
      <c r="E143">
        <v>2764</v>
      </c>
    </row>
    <row r="144" ht="13.85" spans="1:5">
      <c r="A144">
        <f t="shared" si="2"/>
        <v>143</v>
      </c>
      <c r="B144" s="11">
        <v>39082756</v>
      </c>
      <c r="C144" s="11">
        <v>522</v>
      </c>
      <c r="D144">
        <v>250560000</v>
      </c>
      <c r="E144">
        <v>2763</v>
      </c>
    </row>
    <row r="145" ht="13.85" spans="1:5">
      <c r="A145">
        <f t="shared" si="2"/>
        <v>144</v>
      </c>
      <c r="B145" s="11">
        <v>49162842</v>
      </c>
      <c r="C145" s="11">
        <v>493</v>
      </c>
      <c r="D145">
        <v>236640000</v>
      </c>
      <c r="E145">
        <v>2762</v>
      </c>
    </row>
    <row r="146" ht="13.85" spans="1:5">
      <c r="A146">
        <f t="shared" si="2"/>
        <v>145</v>
      </c>
      <c r="B146" s="11">
        <v>32878326</v>
      </c>
      <c r="C146" s="11">
        <v>462</v>
      </c>
      <c r="D146">
        <v>221760000</v>
      </c>
      <c r="E146">
        <v>2761</v>
      </c>
    </row>
    <row r="147" ht="13.85" spans="1:5">
      <c r="A147">
        <f t="shared" si="2"/>
        <v>146</v>
      </c>
      <c r="B147" s="11">
        <v>27417914</v>
      </c>
      <c r="C147" s="11">
        <v>440</v>
      </c>
      <c r="D147">
        <v>211200000</v>
      </c>
      <c r="E147">
        <v>2760</v>
      </c>
    </row>
    <row r="148" ht="13.85" spans="1:5">
      <c r="A148">
        <f t="shared" si="2"/>
        <v>147</v>
      </c>
      <c r="B148" s="11">
        <v>43684074</v>
      </c>
      <c r="C148" s="11">
        <v>427</v>
      </c>
      <c r="D148">
        <v>204960000</v>
      </c>
      <c r="E148">
        <v>2759</v>
      </c>
    </row>
    <row r="149" ht="13.85" spans="1:5">
      <c r="A149">
        <f t="shared" si="2"/>
        <v>148</v>
      </c>
      <c r="B149" s="11">
        <v>30202674</v>
      </c>
      <c r="C149" s="11">
        <v>400</v>
      </c>
      <c r="D149">
        <v>192000000</v>
      </c>
      <c r="E149">
        <v>2758</v>
      </c>
    </row>
    <row r="150" ht="13.85" spans="1:5">
      <c r="A150">
        <f t="shared" si="2"/>
        <v>149</v>
      </c>
      <c r="B150" s="11">
        <v>23390724</v>
      </c>
      <c r="C150" s="11">
        <v>380</v>
      </c>
      <c r="D150">
        <v>182400000</v>
      </c>
      <c r="E150">
        <v>2757</v>
      </c>
    </row>
    <row r="151" ht="13.85" spans="1:5">
      <c r="A151">
        <f t="shared" si="2"/>
        <v>150</v>
      </c>
      <c r="B151" s="11">
        <v>37832746</v>
      </c>
      <c r="C151" s="11">
        <v>366</v>
      </c>
      <c r="D151">
        <v>175680000</v>
      </c>
      <c r="E151">
        <v>2756</v>
      </c>
    </row>
    <row r="152" ht="13.85" spans="1:5">
      <c r="A152">
        <f t="shared" si="2"/>
        <v>151</v>
      </c>
      <c r="B152" s="11">
        <v>25936844</v>
      </c>
      <c r="C152" s="11">
        <v>340</v>
      </c>
      <c r="D152">
        <v>163200000</v>
      </c>
      <c r="E152">
        <v>2755</v>
      </c>
    </row>
    <row r="153" ht="13.85" spans="1:5">
      <c r="A153">
        <f t="shared" si="2"/>
        <v>152</v>
      </c>
      <c r="B153" s="11">
        <v>21843690</v>
      </c>
      <c r="C153" s="11">
        <v>324</v>
      </c>
      <c r="D153">
        <v>155520000</v>
      </c>
      <c r="E153">
        <v>2754</v>
      </c>
    </row>
    <row r="154" ht="13.85" spans="1:5">
      <c r="A154">
        <f t="shared" si="2"/>
        <v>153</v>
      </c>
      <c r="B154" s="11">
        <v>35017240</v>
      </c>
      <c r="C154" s="11">
        <v>308</v>
      </c>
      <c r="D154">
        <v>147840000</v>
      </c>
      <c r="E154">
        <v>2753</v>
      </c>
    </row>
    <row r="155" ht="13.85" spans="1:5">
      <c r="A155">
        <f t="shared" si="2"/>
        <v>154</v>
      </c>
      <c r="B155" s="11">
        <v>23101890</v>
      </c>
      <c r="C155" s="11">
        <v>285</v>
      </c>
      <c r="D155">
        <v>136800000</v>
      </c>
      <c r="E155">
        <v>2752</v>
      </c>
    </row>
    <row r="156" ht="13.85" spans="1:5">
      <c r="A156">
        <f t="shared" si="2"/>
        <v>155</v>
      </c>
      <c r="B156" s="11">
        <v>19859934</v>
      </c>
      <c r="C156" s="11">
        <v>269</v>
      </c>
      <c r="D156">
        <v>129120000</v>
      </c>
      <c r="E156">
        <v>2751</v>
      </c>
    </row>
    <row r="157" ht="13.85" spans="1:5">
      <c r="A157">
        <f t="shared" si="2"/>
        <v>156</v>
      </c>
      <c r="B157" s="11">
        <v>32669946</v>
      </c>
      <c r="C157" s="11">
        <v>262</v>
      </c>
      <c r="D157">
        <v>125760000</v>
      </c>
      <c r="E157">
        <v>2750</v>
      </c>
    </row>
    <row r="158" ht="13.85" spans="1:5">
      <c r="A158">
        <f t="shared" si="2"/>
        <v>157</v>
      </c>
      <c r="B158" s="11">
        <v>22340696</v>
      </c>
      <c r="C158" s="11">
        <v>239</v>
      </c>
      <c r="D158">
        <v>114720000</v>
      </c>
      <c r="E158">
        <v>2749</v>
      </c>
    </row>
    <row r="159" ht="13.85" spans="1:5">
      <c r="A159">
        <f t="shared" si="2"/>
        <v>158</v>
      </c>
      <c r="B159" s="11">
        <v>17085688</v>
      </c>
      <c r="C159" s="11">
        <v>226</v>
      </c>
      <c r="D159">
        <v>108480000</v>
      </c>
      <c r="E159">
        <v>2748</v>
      </c>
    </row>
    <row r="160" ht="13.85" spans="1:5">
      <c r="A160">
        <f t="shared" si="2"/>
        <v>159</v>
      </c>
      <c r="B160" s="11">
        <v>30334250</v>
      </c>
      <c r="C160" s="11">
        <v>211</v>
      </c>
      <c r="D160">
        <v>101280000</v>
      </c>
      <c r="E160">
        <v>2747</v>
      </c>
    </row>
    <row r="161" ht="13.85" spans="1:5">
      <c r="A161">
        <f t="shared" si="2"/>
        <v>160</v>
      </c>
      <c r="B161" s="11">
        <v>20258334</v>
      </c>
      <c r="C161" s="11">
        <v>190</v>
      </c>
      <c r="D161">
        <v>91200000</v>
      </c>
      <c r="E161">
        <v>2746</v>
      </c>
    </row>
    <row r="162" ht="13.85" spans="1:5">
      <c r="A162">
        <f t="shared" si="2"/>
        <v>161</v>
      </c>
      <c r="B162" s="11">
        <v>17029294</v>
      </c>
      <c r="C162" s="11">
        <v>179</v>
      </c>
      <c r="D162">
        <v>85920000</v>
      </c>
      <c r="E162">
        <v>2745</v>
      </c>
    </row>
    <row r="163" ht="13.85" spans="1:5">
      <c r="A163">
        <f t="shared" si="2"/>
        <v>162</v>
      </c>
      <c r="B163" s="11">
        <v>27743830</v>
      </c>
      <c r="C163" s="11">
        <v>162</v>
      </c>
      <c r="D163">
        <v>77760000</v>
      </c>
      <c r="E163">
        <v>2744</v>
      </c>
    </row>
    <row r="164" ht="13.85" spans="1:5">
      <c r="A164">
        <f t="shared" si="2"/>
        <v>163</v>
      </c>
      <c r="B164" s="11">
        <v>19388766</v>
      </c>
      <c r="C164" s="11">
        <v>146</v>
      </c>
      <c r="D164">
        <v>70080000</v>
      </c>
      <c r="E164">
        <v>2743</v>
      </c>
    </row>
    <row r="165" ht="13.85" spans="1:5">
      <c r="A165">
        <f t="shared" si="2"/>
        <v>164</v>
      </c>
      <c r="B165" s="11">
        <v>16440602</v>
      </c>
      <c r="C165" s="11">
        <v>135</v>
      </c>
      <c r="D165">
        <v>64800000</v>
      </c>
      <c r="E165">
        <v>2742</v>
      </c>
    </row>
    <row r="166" ht="13.85" spans="1:5">
      <c r="A166">
        <f t="shared" si="2"/>
        <v>165</v>
      </c>
      <c r="B166" s="11">
        <v>27114778</v>
      </c>
      <c r="C166" s="11">
        <v>125</v>
      </c>
      <c r="D166">
        <v>60000000</v>
      </c>
      <c r="E166">
        <v>2741</v>
      </c>
    </row>
    <row r="167" ht="13.85" spans="1:5">
      <c r="A167">
        <f t="shared" si="2"/>
        <v>166</v>
      </c>
      <c r="B167" s="11">
        <v>18657734</v>
      </c>
      <c r="C167" s="11">
        <v>109</v>
      </c>
      <c r="D167">
        <v>52320000</v>
      </c>
      <c r="E167">
        <v>2740</v>
      </c>
    </row>
    <row r="168" ht="13.85" spans="1:5">
      <c r="A168">
        <f t="shared" si="2"/>
        <v>167</v>
      </c>
      <c r="B168" s="11">
        <v>15309084</v>
      </c>
      <c r="C168" s="11">
        <v>97</v>
      </c>
      <c r="D168">
        <v>46560000</v>
      </c>
      <c r="E168">
        <v>2739</v>
      </c>
    </row>
    <row r="169" ht="13.85" spans="1:5">
      <c r="A169">
        <f t="shared" si="2"/>
        <v>168</v>
      </c>
      <c r="B169" s="11">
        <v>24668806</v>
      </c>
      <c r="C169" s="11">
        <v>87</v>
      </c>
      <c r="D169">
        <v>41760000</v>
      </c>
      <c r="E169">
        <v>2738</v>
      </c>
    </row>
    <row r="170" ht="13.85" spans="1:5">
      <c r="A170">
        <f t="shared" si="2"/>
        <v>169</v>
      </c>
      <c r="B170" s="11">
        <v>17319518</v>
      </c>
      <c r="C170" s="11">
        <v>71</v>
      </c>
      <c r="D170">
        <v>34080000</v>
      </c>
      <c r="E170">
        <v>2737</v>
      </c>
    </row>
    <row r="171" ht="13.85" spans="1:5">
      <c r="A171">
        <f t="shared" si="2"/>
        <v>170</v>
      </c>
      <c r="B171" s="11">
        <v>14414700</v>
      </c>
      <c r="C171" s="11">
        <v>60</v>
      </c>
      <c r="D171">
        <v>28800000</v>
      </c>
      <c r="E171">
        <v>2736</v>
      </c>
    </row>
    <row r="172" ht="13.85" spans="1:5">
      <c r="A172">
        <f t="shared" si="2"/>
        <v>171</v>
      </c>
      <c r="B172" s="11">
        <v>23083576</v>
      </c>
      <c r="C172" s="11">
        <v>51</v>
      </c>
      <c r="D172">
        <v>24480000</v>
      </c>
      <c r="E172">
        <v>2735</v>
      </c>
    </row>
    <row r="173" ht="13.85" spans="1:5">
      <c r="A173">
        <f t="shared" si="2"/>
        <v>172</v>
      </c>
      <c r="B173" s="11">
        <v>15423526</v>
      </c>
      <c r="C173" s="11">
        <v>37</v>
      </c>
      <c r="D173">
        <v>17760000</v>
      </c>
      <c r="E173">
        <v>2734</v>
      </c>
    </row>
    <row r="174" ht="13.85" spans="1:5">
      <c r="A174">
        <f t="shared" si="2"/>
        <v>173</v>
      </c>
      <c r="B174" s="11">
        <v>12731852</v>
      </c>
      <c r="C174" s="11">
        <v>28</v>
      </c>
      <c r="D174">
        <v>13440000</v>
      </c>
      <c r="E174">
        <v>2733</v>
      </c>
    </row>
    <row r="175" ht="13.85" spans="1:5">
      <c r="A175">
        <f t="shared" si="2"/>
        <v>174</v>
      </c>
      <c r="B175" s="11">
        <v>21171482</v>
      </c>
      <c r="C175" s="11">
        <v>20</v>
      </c>
      <c r="D175">
        <v>9600000</v>
      </c>
      <c r="E175">
        <v>2732</v>
      </c>
    </row>
    <row r="176" ht="13.85" spans="1:5">
      <c r="A176">
        <f t="shared" si="2"/>
        <v>175</v>
      </c>
      <c r="B176" s="11">
        <v>24137170</v>
      </c>
      <c r="C176" s="11">
        <v>252.6</v>
      </c>
      <c r="D176">
        <v>121248000</v>
      </c>
      <c r="E176">
        <v>2731</v>
      </c>
    </row>
    <row r="177" ht="13.85" spans="1:5">
      <c r="A177">
        <f t="shared" si="2"/>
        <v>176</v>
      </c>
      <c r="B177" s="11">
        <v>19958812</v>
      </c>
      <c r="C177" s="11">
        <v>239</v>
      </c>
      <c r="D177">
        <v>114720000</v>
      </c>
      <c r="E177">
        <v>2730</v>
      </c>
    </row>
    <row r="178" ht="13.85" spans="1:5">
      <c r="A178">
        <f t="shared" si="2"/>
        <v>177</v>
      </c>
      <c r="B178" s="11">
        <v>30584908</v>
      </c>
      <c r="C178" s="11">
        <v>219</v>
      </c>
      <c r="D178">
        <v>105120000</v>
      </c>
      <c r="E178">
        <v>2729</v>
      </c>
    </row>
    <row r="179" ht="13.85" spans="1:5">
      <c r="A179">
        <f t="shared" si="2"/>
        <v>178</v>
      </c>
      <c r="B179" s="11">
        <v>21150810</v>
      </c>
      <c r="C179" s="11">
        <v>202</v>
      </c>
      <c r="D179">
        <v>96960000</v>
      </c>
      <c r="E179">
        <v>2728</v>
      </c>
    </row>
    <row r="180" ht="13.85" spans="1:5">
      <c r="A180">
        <f t="shared" si="2"/>
        <v>179</v>
      </c>
      <c r="B180" s="11">
        <v>16724846</v>
      </c>
      <c r="C180" s="11">
        <v>192</v>
      </c>
      <c r="D180">
        <v>92160000</v>
      </c>
      <c r="E180">
        <v>2727</v>
      </c>
    </row>
    <row r="181" ht="13.85" spans="1:5">
      <c r="A181">
        <f t="shared" si="2"/>
        <v>180</v>
      </c>
      <c r="B181" s="11">
        <v>28450002</v>
      </c>
      <c r="C181" s="11">
        <v>186</v>
      </c>
      <c r="D181">
        <v>89280000</v>
      </c>
      <c r="E181">
        <v>2726</v>
      </c>
    </row>
    <row r="182" ht="13.85" spans="1:5">
      <c r="A182">
        <f t="shared" si="2"/>
        <v>181</v>
      </c>
      <c r="B182" s="11">
        <v>19226554</v>
      </c>
      <c r="C182" s="11">
        <v>170</v>
      </c>
      <c r="D182">
        <v>81600000</v>
      </c>
      <c r="E182">
        <v>2725</v>
      </c>
    </row>
    <row r="183" ht="13.85" spans="1:5">
      <c r="A183">
        <f t="shared" si="2"/>
        <v>182</v>
      </c>
      <c r="B183" s="11">
        <v>16677834</v>
      </c>
      <c r="C183" s="11">
        <v>159</v>
      </c>
      <c r="D183">
        <v>76320000</v>
      </c>
      <c r="E183">
        <v>2724</v>
      </c>
    </row>
    <row r="184" ht="13.85" spans="1:5">
      <c r="A184">
        <f t="shared" si="2"/>
        <v>183</v>
      </c>
      <c r="B184" s="11">
        <v>27266330</v>
      </c>
      <c r="C184" s="11">
        <v>147</v>
      </c>
      <c r="D184">
        <v>70560000</v>
      </c>
      <c r="E184">
        <v>2723</v>
      </c>
    </row>
    <row r="185" ht="13.85" spans="1:5">
      <c r="A185">
        <f t="shared" si="2"/>
        <v>184</v>
      </c>
      <c r="B185" s="11">
        <v>18486630</v>
      </c>
      <c r="C185" s="11">
        <v>132</v>
      </c>
      <c r="D185">
        <v>63360000</v>
      </c>
      <c r="E185">
        <v>2722</v>
      </c>
    </row>
    <row r="186" ht="13.85" spans="1:5">
      <c r="A186">
        <f t="shared" si="2"/>
        <v>185</v>
      </c>
      <c r="B186" s="11">
        <v>15709262</v>
      </c>
      <c r="C186" s="11">
        <v>122</v>
      </c>
      <c r="D186">
        <v>58560000</v>
      </c>
      <c r="E186">
        <v>2721</v>
      </c>
    </row>
    <row r="187" ht="13.85" spans="1:5">
      <c r="A187">
        <f t="shared" si="2"/>
        <v>186</v>
      </c>
      <c r="B187" s="11">
        <v>25602336</v>
      </c>
      <c r="C187" s="11">
        <v>112</v>
      </c>
      <c r="D187">
        <v>53760000</v>
      </c>
      <c r="E187">
        <v>2720</v>
      </c>
    </row>
    <row r="188" ht="13.85" spans="1:5">
      <c r="A188">
        <f t="shared" si="2"/>
        <v>187</v>
      </c>
      <c r="B188" s="11">
        <v>17140160</v>
      </c>
      <c r="C188" s="11">
        <v>96</v>
      </c>
      <c r="D188">
        <v>46080000</v>
      </c>
      <c r="E188">
        <v>2719</v>
      </c>
    </row>
    <row r="189" ht="13.85" spans="1:5">
      <c r="A189">
        <f t="shared" si="2"/>
        <v>188</v>
      </c>
      <c r="B189" s="11">
        <v>14260568</v>
      </c>
      <c r="C189" s="11">
        <v>86</v>
      </c>
      <c r="D189">
        <v>41280000</v>
      </c>
      <c r="E189">
        <v>2718</v>
      </c>
    </row>
    <row r="190" ht="13.85" spans="1:5">
      <c r="A190">
        <f t="shared" si="2"/>
        <v>189</v>
      </c>
      <c r="B190" s="11">
        <v>23714174</v>
      </c>
      <c r="C190" s="11">
        <v>78</v>
      </c>
      <c r="D190">
        <v>37440000</v>
      </c>
      <c r="E190">
        <v>2717</v>
      </c>
    </row>
    <row r="191" ht="13.85" spans="1:5">
      <c r="A191">
        <f t="shared" si="2"/>
        <v>190</v>
      </c>
      <c r="B191" s="11">
        <v>16273664</v>
      </c>
      <c r="C191" s="11">
        <v>63</v>
      </c>
      <c r="D191">
        <v>30240000</v>
      </c>
      <c r="E191">
        <v>2716</v>
      </c>
    </row>
    <row r="192" ht="13.85" spans="1:5">
      <c r="A192">
        <f t="shared" si="2"/>
        <v>191</v>
      </c>
      <c r="B192" s="11">
        <v>13588642</v>
      </c>
      <c r="C192" s="11">
        <v>52</v>
      </c>
      <c r="D192">
        <v>24960000</v>
      </c>
      <c r="E192">
        <v>2715</v>
      </c>
    </row>
    <row r="193" ht="13.85" spans="1:5">
      <c r="A193">
        <f t="shared" si="2"/>
        <v>192</v>
      </c>
      <c r="B193" s="11">
        <v>22974232</v>
      </c>
      <c r="C193" s="11">
        <v>45</v>
      </c>
      <c r="D193">
        <v>21600000</v>
      </c>
      <c r="E193">
        <v>2714</v>
      </c>
    </row>
    <row r="194" ht="13.85" spans="1:5">
      <c r="A194">
        <f t="shared" ref="A194:A257" si="3">ROW()-1</f>
        <v>193</v>
      </c>
      <c r="B194" s="11">
        <v>15728942</v>
      </c>
      <c r="C194" s="11">
        <v>31</v>
      </c>
      <c r="D194">
        <v>14880000</v>
      </c>
      <c r="E194">
        <v>2713</v>
      </c>
    </row>
    <row r="195" ht="13.85" spans="1:5">
      <c r="A195">
        <f t="shared" si="3"/>
        <v>194</v>
      </c>
      <c r="B195" s="11">
        <v>13136438</v>
      </c>
      <c r="C195" s="11">
        <v>20</v>
      </c>
      <c r="D195">
        <v>9600000</v>
      </c>
      <c r="E195">
        <v>2712</v>
      </c>
    </row>
    <row r="196" ht="13.85" spans="1:5">
      <c r="A196">
        <f t="shared" si="3"/>
        <v>195</v>
      </c>
      <c r="B196" s="11">
        <v>30430438</v>
      </c>
      <c r="C196" s="11">
        <v>162.6</v>
      </c>
      <c r="D196">
        <v>78048000</v>
      </c>
      <c r="E196">
        <v>2711</v>
      </c>
    </row>
    <row r="197" ht="13.85" spans="1:5">
      <c r="A197">
        <f t="shared" si="3"/>
        <v>196</v>
      </c>
      <c r="B197" s="11">
        <v>21217054</v>
      </c>
      <c r="C197" s="11">
        <v>143</v>
      </c>
      <c r="D197">
        <v>68640000</v>
      </c>
      <c r="E197">
        <v>2710</v>
      </c>
    </row>
    <row r="198" ht="13.85" spans="1:5">
      <c r="A198">
        <f t="shared" si="3"/>
        <v>197</v>
      </c>
      <c r="B198" s="11">
        <v>17998308</v>
      </c>
      <c r="C198" s="11">
        <v>131</v>
      </c>
      <c r="D198">
        <v>62880000</v>
      </c>
      <c r="E198">
        <v>2709</v>
      </c>
    </row>
    <row r="199" ht="13.85" spans="1:5">
      <c r="A199">
        <f t="shared" si="3"/>
        <v>198</v>
      </c>
      <c r="B199" s="11">
        <v>28585302</v>
      </c>
      <c r="C199" s="11">
        <v>119</v>
      </c>
      <c r="D199">
        <v>57120000</v>
      </c>
      <c r="E199">
        <v>2708</v>
      </c>
    </row>
    <row r="200" ht="13.85" spans="1:5">
      <c r="A200">
        <f t="shared" si="3"/>
        <v>199</v>
      </c>
      <c r="B200" s="11">
        <v>20248448</v>
      </c>
      <c r="C200" s="11">
        <v>100</v>
      </c>
      <c r="D200">
        <v>48000000</v>
      </c>
      <c r="E200">
        <v>2707</v>
      </c>
    </row>
    <row r="201" ht="13.85" spans="1:5">
      <c r="A201">
        <f t="shared" si="3"/>
        <v>200</v>
      </c>
      <c r="B201" s="11">
        <v>16078804</v>
      </c>
      <c r="C201" s="11">
        <v>87</v>
      </c>
      <c r="D201">
        <v>41760000</v>
      </c>
      <c r="E201">
        <v>2706</v>
      </c>
    </row>
    <row r="202" ht="13.85" spans="1:5">
      <c r="A202">
        <f t="shared" si="3"/>
        <v>201</v>
      </c>
      <c r="B202" s="11">
        <v>26213678</v>
      </c>
      <c r="C202" s="11">
        <v>73</v>
      </c>
      <c r="D202">
        <v>35040000</v>
      </c>
      <c r="E202">
        <v>2705</v>
      </c>
    </row>
    <row r="203" ht="13.85" spans="1:5">
      <c r="A203">
        <f t="shared" si="3"/>
        <v>202</v>
      </c>
      <c r="B203" s="11">
        <v>18097494</v>
      </c>
      <c r="C203" s="11">
        <v>57</v>
      </c>
      <c r="D203">
        <v>27360000</v>
      </c>
      <c r="E203">
        <v>2704</v>
      </c>
    </row>
    <row r="204" ht="13.85" spans="1:5">
      <c r="A204">
        <f t="shared" si="3"/>
        <v>203</v>
      </c>
      <c r="B204" s="11">
        <v>15201586</v>
      </c>
      <c r="C204" s="11">
        <v>45</v>
      </c>
      <c r="D204">
        <v>21600000</v>
      </c>
      <c r="E204">
        <v>2703</v>
      </c>
    </row>
    <row r="205" ht="13.85" spans="1:5">
      <c r="A205">
        <f t="shared" si="3"/>
        <v>204</v>
      </c>
      <c r="B205" s="11">
        <v>25614208</v>
      </c>
      <c r="C205" s="11">
        <v>34</v>
      </c>
      <c r="D205">
        <v>16320000</v>
      </c>
      <c r="E205">
        <v>2702</v>
      </c>
    </row>
    <row r="206" ht="13.85" spans="1:5">
      <c r="A206">
        <f t="shared" si="3"/>
        <v>205</v>
      </c>
      <c r="B206" s="11">
        <v>19769974</v>
      </c>
      <c r="C206" s="11">
        <v>20</v>
      </c>
      <c r="D206">
        <v>9600000</v>
      </c>
      <c r="E206">
        <v>2701</v>
      </c>
    </row>
    <row r="207" ht="13.85" spans="1:5">
      <c r="A207">
        <f t="shared" si="3"/>
        <v>206</v>
      </c>
      <c r="B207" s="11">
        <v>79585614</v>
      </c>
      <c r="C207" s="11">
        <v>747</v>
      </c>
      <c r="D207">
        <v>358560000</v>
      </c>
      <c r="E207">
        <v>2700</v>
      </c>
    </row>
    <row r="208" ht="13.85" spans="1:5">
      <c r="A208">
        <f t="shared" si="3"/>
        <v>207</v>
      </c>
      <c r="B208" s="11">
        <v>97962628</v>
      </c>
      <c r="C208" s="11">
        <v>700</v>
      </c>
      <c r="D208">
        <v>336000000</v>
      </c>
      <c r="E208">
        <v>2699</v>
      </c>
    </row>
    <row r="209" ht="13.85" spans="1:5">
      <c r="A209">
        <f t="shared" si="3"/>
        <v>208</v>
      </c>
      <c r="B209" s="11">
        <v>62431620</v>
      </c>
      <c r="C209" s="11">
        <v>653</v>
      </c>
      <c r="D209">
        <v>313440000</v>
      </c>
      <c r="E209">
        <v>2698</v>
      </c>
    </row>
    <row r="210" ht="13.85" spans="1:5">
      <c r="A210">
        <f t="shared" si="3"/>
        <v>209</v>
      </c>
      <c r="B210" s="11">
        <v>47533734</v>
      </c>
      <c r="C210" s="11">
        <v>613</v>
      </c>
      <c r="D210">
        <v>294240000</v>
      </c>
      <c r="E210">
        <v>2697</v>
      </c>
    </row>
    <row r="211" ht="13.85" spans="1:5">
      <c r="A211">
        <f t="shared" si="3"/>
        <v>210</v>
      </c>
      <c r="B211" s="11">
        <v>68295498</v>
      </c>
      <c r="C211" s="11">
        <v>572</v>
      </c>
      <c r="D211">
        <v>274560000</v>
      </c>
      <c r="E211">
        <v>2696</v>
      </c>
    </row>
    <row r="212" ht="13.85" spans="1:5">
      <c r="A212">
        <f t="shared" si="3"/>
        <v>211</v>
      </c>
      <c r="B212" s="11">
        <v>46745988</v>
      </c>
      <c r="C212" s="11">
        <v>526</v>
      </c>
      <c r="D212">
        <v>252480000</v>
      </c>
      <c r="E212">
        <v>2695</v>
      </c>
    </row>
    <row r="213" ht="13.85" spans="1:5">
      <c r="A213">
        <f t="shared" si="3"/>
        <v>212</v>
      </c>
      <c r="B213" s="11">
        <v>38015492</v>
      </c>
      <c r="C213" s="11">
        <v>502</v>
      </c>
      <c r="D213">
        <v>240960000</v>
      </c>
      <c r="E213">
        <v>2694</v>
      </c>
    </row>
    <row r="214" ht="13.85" spans="1:5">
      <c r="A214">
        <f t="shared" si="3"/>
        <v>213</v>
      </c>
      <c r="B214" s="11">
        <v>55592238</v>
      </c>
      <c r="C214" s="11">
        <v>473</v>
      </c>
      <c r="D214">
        <v>227040000</v>
      </c>
      <c r="E214">
        <v>2693</v>
      </c>
    </row>
    <row r="215" ht="13.85" spans="1:5">
      <c r="A215">
        <f t="shared" si="3"/>
        <v>214</v>
      </c>
      <c r="B215" s="11">
        <v>38598782</v>
      </c>
      <c r="C215" s="11">
        <v>439</v>
      </c>
      <c r="D215">
        <v>210720000</v>
      </c>
      <c r="E215">
        <v>2692</v>
      </c>
    </row>
    <row r="216" ht="13.85" spans="1:5">
      <c r="A216">
        <f t="shared" si="3"/>
        <v>215</v>
      </c>
      <c r="B216" s="11">
        <v>30965038</v>
      </c>
      <c r="C216" s="11">
        <v>416</v>
      </c>
      <c r="D216">
        <v>199680000</v>
      </c>
      <c r="E216">
        <v>2691</v>
      </c>
    </row>
    <row r="217" ht="13.85" spans="1:5">
      <c r="A217">
        <f t="shared" si="3"/>
        <v>216</v>
      </c>
      <c r="B217" s="11">
        <v>65100880</v>
      </c>
      <c r="C217" s="11">
        <v>404</v>
      </c>
      <c r="D217">
        <v>193920000</v>
      </c>
      <c r="E217">
        <v>2690</v>
      </c>
    </row>
    <row r="218" ht="13.85" spans="1:5">
      <c r="A218">
        <f t="shared" si="3"/>
        <v>217</v>
      </c>
      <c r="B218" s="11">
        <v>40515398</v>
      </c>
      <c r="C218" s="11">
        <v>360</v>
      </c>
      <c r="D218">
        <v>172800000</v>
      </c>
      <c r="E218">
        <v>2689</v>
      </c>
    </row>
    <row r="219" ht="13.85" spans="1:5">
      <c r="A219">
        <f t="shared" si="3"/>
        <v>218</v>
      </c>
      <c r="B219" s="11">
        <v>32102758</v>
      </c>
      <c r="C219" s="11">
        <v>340</v>
      </c>
      <c r="D219">
        <v>163200000</v>
      </c>
      <c r="E219">
        <v>2688</v>
      </c>
    </row>
    <row r="220" ht="13.85" spans="1:5">
      <c r="A220">
        <f t="shared" si="3"/>
        <v>219</v>
      </c>
      <c r="B220" s="11">
        <v>51567424</v>
      </c>
      <c r="C220" s="11">
        <v>325</v>
      </c>
      <c r="D220">
        <v>156000000</v>
      </c>
      <c r="E220">
        <v>2687</v>
      </c>
    </row>
    <row r="221" ht="13.85" spans="1:5">
      <c r="A221">
        <f t="shared" si="3"/>
        <v>220</v>
      </c>
      <c r="B221" s="11">
        <v>32137216</v>
      </c>
      <c r="C221" s="11">
        <v>291</v>
      </c>
      <c r="D221">
        <v>139680000</v>
      </c>
      <c r="E221">
        <v>2686</v>
      </c>
    </row>
    <row r="222" ht="13.85" spans="1:5">
      <c r="A222">
        <f t="shared" si="3"/>
        <v>221</v>
      </c>
      <c r="B222" s="15">
        <v>23626690</v>
      </c>
      <c r="C222" s="15">
        <v>265</v>
      </c>
      <c r="D222">
        <v>127200000</v>
      </c>
      <c r="E222">
        <v>2685</v>
      </c>
    </row>
    <row r="223" ht="13.85" spans="1:5">
      <c r="A223">
        <f t="shared" si="3"/>
        <v>222</v>
      </c>
      <c r="B223" s="13">
        <v>46016634</v>
      </c>
      <c r="C223" s="13">
        <v>246</v>
      </c>
      <c r="D223">
        <v>118080000</v>
      </c>
      <c r="E223">
        <v>2684</v>
      </c>
    </row>
    <row r="224" ht="13.85" spans="1:5">
      <c r="A224">
        <f t="shared" si="3"/>
        <v>223</v>
      </c>
      <c r="B224" s="11">
        <v>27020776</v>
      </c>
      <c r="C224" s="11">
        <v>215</v>
      </c>
      <c r="D224">
        <v>103200000</v>
      </c>
      <c r="E224">
        <v>2683</v>
      </c>
    </row>
    <row r="225" ht="13.85" spans="1:5">
      <c r="A225">
        <f t="shared" si="3"/>
        <v>224</v>
      </c>
      <c r="B225" s="11">
        <v>17275696</v>
      </c>
      <c r="C225" s="11">
        <v>201</v>
      </c>
      <c r="D225">
        <v>96480000</v>
      </c>
      <c r="E225">
        <v>2682</v>
      </c>
    </row>
    <row r="226" ht="13.85" spans="1:5">
      <c r="A226">
        <f t="shared" si="3"/>
        <v>225</v>
      </c>
      <c r="B226" s="11">
        <v>32420758</v>
      </c>
      <c r="C226" s="11">
        <v>186</v>
      </c>
      <c r="D226">
        <v>89280000</v>
      </c>
      <c r="E226">
        <v>2681</v>
      </c>
    </row>
    <row r="227" ht="13.85" spans="1:5">
      <c r="A227">
        <f t="shared" si="3"/>
        <v>226</v>
      </c>
      <c r="B227" s="11">
        <v>20727660</v>
      </c>
      <c r="C227" s="11">
        <v>170</v>
      </c>
      <c r="D227">
        <v>81600000</v>
      </c>
      <c r="E227">
        <v>2680</v>
      </c>
    </row>
    <row r="228" ht="13.85" spans="1:5">
      <c r="A228">
        <f t="shared" si="3"/>
        <v>227</v>
      </c>
      <c r="B228" s="11">
        <v>16293226</v>
      </c>
      <c r="C228" s="11">
        <v>158</v>
      </c>
      <c r="D228">
        <v>75840000</v>
      </c>
      <c r="E228">
        <v>2679</v>
      </c>
    </row>
    <row r="229" ht="13.85" spans="1:5">
      <c r="A229">
        <f t="shared" si="3"/>
        <v>228</v>
      </c>
      <c r="B229" s="11">
        <v>26568000</v>
      </c>
      <c r="C229" s="11">
        <v>149</v>
      </c>
      <c r="D229">
        <v>71520000</v>
      </c>
      <c r="E229">
        <v>2678</v>
      </c>
    </row>
    <row r="230" ht="13.85" spans="1:5">
      <c r="A230">
        <f t="shared" si="3"/>
        <v>229</v>
      </c>
      <c r="B230" s="11">
        <v>18762858</v>
      </c>
      <c r="C230" s="11">
        <v>134</v>
      </c>
      <c r="D230">
        <v>64320000</v>
      </c>
      <c r="E230">
        <v>2677</v>
      </c>
    </row>
    <row r="231" ht="13.85" spans="1:5">
      <c r="A231">
        <f t="shared" si="3"/>
        <v>230</v>
      </c>
      <c r="B231" s="11">
        <v>15666080</v>
      </c>
      <c r="C231" s="11">
        <v>124</v>
      </c>
      <c r="D231">
        <v>59520000</v>
      </c>
      <c r="E231">
        <v>2676</v>
      </c>
    </row>
    <row r="232" ht="13.85" spans="1:5">
      <c r="A232">
        <f t="shared" si="3"/>
        <v>231</v>
      </c>
      <c r="B232" s="11">
        <v>25613420</v>
      </c>
      <c r="C232" s="11">
        <v>116</v>
      </c>
      <c r="D232">
        <v>55680000</v>
      </c>
      <c r="E232">
        <v>2675</v>
      </c>
    </row>
    <row r="233" ht="13.85" spans="1:5">
      <c r="A233">
        <f t="shared" si="3"/>
        <v>232</v>
      </c>
      <c r="B233" s="11">
        <v>18196538</v>
      </c>
      <c r="C233" s="11">
        <v>100</v>
      </c>
      <c r="D233">
        <v>48000000</v>
      </c>
      <c r="E233">
        <v>2674</v>
      </c>
    </row>
    <row r="234" ht="13.85" spans="1:5">
      <c r="A234">
        <f t="shared" si="3"/>
        <v>233</v>
      </c>
      <c r="B234" s="11">
        <v>14346430</v>
      </c>
      <c r="C234" s="11">
        <v>89</v>
      </c>
      <c r="D234">
        <v>42720000</v>
      </c>
      <c r="E234">
        <v>2673</v>
      </c>
    </row>
    <row r="235" ht="13.85" spans="1:5">
      <c r="A235">
        <f t="shared" si="3"/>
        <v>234</v>
      </c>
      <c r="B235" s="11">
        <v>24121516</v>
      </c>
      <c r="C235" s="11">
        <v>81</v>
      </c>
      <c r="D235">
        <v>38880000</v>
      </c>
      <c r="E235">
        <v>2672</v>
      </c>
    </row>
    <row r="236" ht="13.85" spans="1:5">
      <c r="A236">
        <f t="shared" si="3"/>
        <v>235</v>
      </c>
      <c r="B236" s="11">
        <v>16470676</v>
      </c>
      <c r="C236" s="11">
        <v>65</v>
      </c>
      <c r="D236">
        <v>31200000</v>
      </c>
      <c r="E236">
        <v>2671</v>
      </c>
    </row>
    <row r="237" ht="13.85" spans="1:5">
      <c r="A237">
        <f t="shared" si="3"/>
        <v>236</v>
      </c>
      <c r="B237" s="11">
        <v>14030532</v>
      </c>
      <c r="C237" s="11">
        <v>56</v>
      </c>
      <c r="D237">
        <v>26880000</v>
      </c>
      <c r="E237">
        <v>2670</v>
      </c>
    </row>
    <row r="238" ht="13.85" spans="1:5">
      <c r="A238">
        <f t="shared" si="3"/>
        <v>237</v>
      </c>
      <c r="B238" s="11">
        <v>21448726</v>
      </c>
      <c r="C238" s="11">
        <v>48</v>
      </c>
      <c r="D238">
        <v>23040000</v>
      </c>
      <c r="E238">
        <v>2669</v>
      </c>
    </row>
    <row r="239" ht="13.85" spans="1:5">
      <c r="A239">
        <f t="shared" si="3"/>
        <v>238</v>
      </c>
      <c r="B239" s="11">
        <v>18305856</v>
      </c>
      <c r="C239" s="11">
        <v>30</v>
      </c>
      <c r="D239">
        <v>14400000</v>
      </c>
      <c r="E239">
        <v>2668</v>
      </c>
    </row>
    <row r="240" ht="13.85" spans="1:5">
      <c r="A240">
        <f t="shared" si="3"/>
        <v>239</v>
      </c>
      <c r="B240" s="11">
        <v>13911550</v>
      </c>
      <c r="C240" s="11">
        <v>20</v>
      </c>
      <c r="D240">
        <v>9600000</v>
      </c>
      <c r="E240">
        <v>2667</v>
      </c>
    </row>
    <row r="241" ht="13.85" spans="1:5">
      <c r="A241">
        <f t="shared" si="3"/>
        <v>240</v>
      </c>
      <c r="B241" s="11">
        <v>26934826</v>
      </c>
      <c r="C241" s="27">
        <v>92.9</v>
      </c>
      <c r="D241">
        <v>44592000</v>
      </c>
      <c r="E241">
        <v>2666</v>
      </c>
    </row>
    <row r="242" ht="13.85" spans="1:5">
      <c r="A242">
        <f t="shared" si="3"/>
        <v>241</v>
      </c>
      <c r="B242" s="11">
        <v>19322054</v>
      </c>
      <c r="C242" s="11">
        <v>76</v>
      </c>
      <c r="D242">
        <v>36480000</v>
      </c>
      <c r="E242">
        <v>2665</v>
      </c>
    </row>
    <row r="243" ht="13.85" spans="1:5">
      <c r="A243">
        <f t="shared" si="3"/>
        <v>242</v>
      </c>
      <c r="B243" s="11">
        <v>17015176</v>
      </c>
      <c r="C243" s="11">
        <v>59</v>
      </c>
      <c r="D243">
        <v>28320000</v>
      </c>
      <c r="E243">
        <v>2664</v>
      </c>
    </row>
    <row r="244" ht="13.85" spans="1:5">
      <c r="A244">
        <f t="shared" si="3"/>
        <v>243</v>
      </c>
      <c r="B244" s="11">
        <v>29737456</v>
      </c>
      <c r="C244" s="11">
        <v>47</v>
      </c>
      <c r="D244">
        <v>22560000</v>
      </c>
      <c r="E244">
        <v>2663</v>
      </c>
    </row>
    <row r="245" ht="13.85" spans="1:5">
      <c r="A245">
        <f t="shared" si="3"/>
        <v>244</v>
      </c>
      <c r="B245" s="11">
        <v>46109504</v>
      </c>
      <c r="C245" s="11">
        <v>20</v>
      </c>
      <c r="D245">
        <v>9600000</v>
      </c>
      <c r="E245">
        <v>2662</v>
      </c>
    </row>
    <row r="246" ht="13.9" spans="1:5">
      <c r="A246">
        <f t="shared" si="3"/>
        <v>245</v>
      </c>
      <c r="B246" s="11">
        <v>551846856</v>
      </c>
      <c r="C246" s="11" t="s">
        <v>178</v>
      </c>
      <c r="D246">
        <v>979200000</v>
      </c>
      <c r="E246">
        <v>2661</v>
      </c>
    </row>
    <row r="247" ht="13.9" spans="1:5">
      <c r="A247">
        <f t="shared" si="3"/>
        <v>246</v>
      </c>
      <c r="B247" s="11">
        <v>558539942</v>
      </c>
      <c r="C247" s="11" t="s">
        <v>180</v>
      </c>
      <c r="D247">
        <v>768000000</v>
      </c>
      <c r="E247">
        <v>2660</v>
      </c>
    </row>
    <row r="248" ht="13.9" spans="1:5">
      <c r="A248">
        <f t="shared" si="3"/>
        <v>247</v>
      </c>
      <c r="B248" s="11">
        <v>366180580</v>
      </c>
      <c r="C248" s="11" t="s">
        <v>182</v>
      </c>
      <c r="D248">
        <v>576000000</v>
      </c>
      <c r="E248">
        <v>2659</v>
      </c>
    </row>
    <row r="249" ht="13.9" spans="1:5">
      <c r="A249">
        <f t="shared" si="3"/>
        <v>248</v>
      </c>
      <c r="B249" s="11">
        <v>263321992</v>
      </c>
      <c r="C249" s="11" t="s">
        <v>105</v>
      </c>
      <c r="D249">
        <v>480000000</v>
      </c>
      <c r="E249">
        <v>2658</v>
      </c>
    </row>
    <row r="250" ht="13.85" spans="1:5">
      <c r="A250">
        <f t="shared" si="3"/>
        <v>249</v>
      </c>
      <c r="B250" s="11">
        <v>197077702</v>
      </c>
      <c r="C250" s="11">
        <v>825</v>
      </c>
      <c r="D250">
        <v>396000000</v>
      </c>
      <c r="E250">
        <v>2657</v>
      </c>
    </row>
    <row r="251" ht="13.85" spans="1:5">
      <c r="A251">
        <f t="shared" si="3"/>
        <v>250</v>
      </c>
      <c r="B251" s="11">
        <v>111388660</v>
      </c>
      <c r="C251" s="11">
        <v>700</v>
      </c>
      <c r="D251">
        <v>336000000</v>
      </c>
      <c r="E251">
        <v>2656</v>
      </c>
    </row>
    <row r="252" ht="13.85" spans="1:5">
      <c r="A252">
        <f t="shared" si="3"/>
        <v>251</v>
      </c>
      <c r="B252" s="11">
        <v>66776572</v>
      </c>
      <c r="C252" s="11">
        <v>625</v>
      </c>
      <c r="D252">
        <v>300000000</v>
      </c>
      <c r="E252">
        <v>2655</v>
      </c>
    </row>
    <row r="253" ht="13.85" spans="1:5">
      <c r="A253">
        <f t="shared" si="3"/>
        <v>252</v>
      </c>
      <c r="B253" s="11">
        <v>70462566</v>
      </c>
      <c r="C253" s="11">
        <v>580</v>
      </c>
      <c r="D253">
        <v>278400000</v>
      </c>
      <c r="E253">
        <v>2654</v>
      </c>
    </row>
    <row r="254" ht="13.85" spans="1:5">
      <c r="A254">
        <f t="shared" si="3"/>
        <v>253</v>
      </c>
      <c r="B254" s="11">
        <v>46034534</v>
      </c>
      <c r="C254" s="11">
        <v>508</v>
      </c>
      <c r="D254">
        <v>243840000</v>
      </c>
      <c r="E254">
        <v>2653</v>
      </c>
    </row>
    <row r="255" ht="13.85" spans="1:5">
      <c r="A255">
        <f t="shared" si="3"/>
        <v>254</v>
      </c>
      <c r="B255" s="11">
        <v>30460864</v>
      </c>
      <c r="C255" s="11">
        <v>480</v>
      </c>
      <c r="D255">
        <v>230400000</v>
      </c>
      <c r="E255">
        <v>2652</v>
      </c>
    </row>
    <row r="256" ht="13.85" spans="1:5">
      <c r="A256">
        <f t="shared" si="3"/>
        <v>255</v>
      </c>
      <c r="B256" s="11">
        <v>49827386</v>
      </c>
      <c r="C256" s="11">
        <v>454</v>
      </c>
      <c r="D256">
        <v>217920000</v>
      </c>
      <c r="E256">
        <v>2651</v>
      </c>
    </row>
    <row r="257" ht="13.85" spans="1:5">
      <c r="A257">
        <f t="shared" si="3"/>
        <v>256</v>
      </c>
      <c r="B257" s="11">
        <v>32674188</v>
      </c>
      <c r="C257" s="11">
        <v>420</v>
      </c>
      <c r="D257">
        <v>201600000</v>
      </c>
      <c r="E257">
        <v>2650</v>
      </c>
    </row>
    <row r="258" ht="13.85" spans="1:5">
      <c r="A258">
        <f t="shared" ref="A258:A321" si="4">ROW()-1</f>
        <v>257</v>
      </c>
      <c r="B258" s="11">
        <v>23585636</v>
      </c>
      <c r="C258" s="11">
        <v>401</v>
      </c>
      <c r="D258">
        <v>192480000</v>
      </c>
      <c r="E258">
        <v>2649</v>
      </c>
    </row>
    <row r="259" ht="13.85" spans="1:5">
      <c r="A259">
        <f t="shared" si="4"/>
        <v>258</v>
      </c>
      <c r="B259" s="11">
        <v>38243704</v>
      </c>
      <c r="C259" s="11">
        <v>378</v>
      </c>
      <c r="D259">
        <v>181440000</v>
      </c>
      <c r="E259">
        <v>2648</v>
      </c>
    </row>
    <row r="260" ht="13.85" spans="1:5">
      <c r="A260">
        <f t="shared" si="4"/>
        <v>259</v>
      </c>
      <c r="B260" s="11">
        <v>25942898</v>
      </c>
      <c r="C260" s="11">
        <v>353</v>
      </c>
      <c r="D260">
        <v>169440000</v>
      </c>
      <c r="E260">
        <v>2647</v>
      </c>
    </row>
    <row r="261" ht="13.85" spans="1:5">
      <c r="A261">
        <f t="shared" si="4"/>
        <v>260</v>
      </c>
      <c r="B261" s="11">
        <v>20032578</v>
      </c>
      <c r="C261" s="11">
        <v>336</v>
      </c>
      <c r="D261">
        <v>161280000</v>
      </c>
      <c r="E261">
        <v>2646</v>
      </c>
    </row>
    <row r="262" ht="13.85" spans="1:5">
      <c r="A262">
        <f t="shared" si="4"/>
        <v>261</v>
      </c>
      <c r="B262" s="11">
        <v>34701906</v>
      </c>
      <c r="C262" s="11">
        <v>322</v>
      </c>
      <c r="D262">
        <v>154560000</v>
      </c>
      <c r="E262">
        <v>2645</v>
      </c>
    </row>
    <row r="263" ht="13.85" spans="1:5">
      <c r="A263">
        <f t="shared" si="4"/>
        <v>262</v>
      </c>
      <c r="B263" s="11">
        <v>23334696</v>
      </c>
      <c r="C263" s="11">
        <v>300</v>
      </c>
      <c r="D263">
        <v>144000000</v>
      </c>
      <c r="E263">
        <v>2644</v>
      </c>
    </row>
    <row r="264" ht="13.85" spans="1:5">
      <c r="A264">
        <f t="shared" si="4"/>
        <v>263</v>
      </c>
      <c r="B264" s="11">
        <v>17775150</v>
      </c>
      <c r="C264" s="11">
        <v>285</v>
      </c>
      <c r="D264">
        <v>136800000</v>
      </c>
      <c r="E264">
        <v>2643</v>
      </c>
    </row>
    <row r="265" ht="13.85" spans="1:5">
      <c r="A265">
        <f t="shared" si="4"/>
        <v>264</v>
      </c>
      <c r="B265" s="11">
        <v>30561306</v>
      </c>
      <c r="C265" s="11">
        <v>270</v>
      </c>
      <c r="D265">
        <v>129600000</v>
      </c>
      <c r="E265">
        <v>2642</v>
      </c>
    </row>
    <row r="266" ht="13.85" spans="1:5">
      <c r="A266">
        <f t="shared" si="4"/>
        <v>265</v>
      </c>
      <c r="B266" s="11">
        <v>21247448</v>
      </c>
      <c r="C266" s="11">
        <v>251</v>
      </c>
      <c r="D266">
        <v>120480000</v>
      </c>
      <c r="E266">
        <v>2641</v>
      </c>
    </row>
    <row r="267" ht="13.85" spans="1:5">
      <c r="A267">
        <f t="shared" si="4"/>
        <v>266</v>
      </c>
      <c r="B267" s="11">
        <v>16524030</v>
      </c>
      <c r="C267" s="11">
        <v>238</v>
      </c>
      <c r="D267">
        <v>114240000</v>
      </c>
      <c r="E267">
        <v>2640</v>
      </c>
    </row>
    <row r="268" ht="13.85" spans="1:5">
      <c r="A268">
        <f t="shared" si="4"/>
        <v>267</v>
      </c>
      <c r="B268" s="11">
        <v>29253624</v>
      </c>
      <c r="C268" s="11">
        <v>225</v>
      </c>
      <c r="D268">
        <v>108000000</v>
      </c>
      <c r="E268">
        <v>2639</v>
      </c>
    </row>
    <row r="269" ht="13.85" spans="1:5">
      <c r="A269">
        <f t="shared" si="4"/>
        <v>268</v>
      </c>
      <c r="B269" s="11">
        <v>20099106</v>
      </c>
      <c r="C269" s="11">
        <v>206</v>
      </c>
      <c r="D269">
        <v>98880000</v>
      </c>
      <c r="E269">
        <v>2638</v>
      </c>
    </row>
    <row r="270" ht="13.85" spans="1:5">
      <c r="A270">
        <f t="shared" si="4"/>
        <v>269</v>
      </c>
      <c r="B270" s="11">
        <v>15453836</v>
      </c>
      <c r="C270" s="11">
        <v>193</v>
      </c>
      <c r="D270">
        <v>92640000</v>
      </c>
      <c r="E270">
        <v>2637</v>
      </c>
    </row>
    <row r="271" ht="13.85" spans="1:5">
      <c r="A271">
        <f t="shared" si="4"/>
        <v>270</v>
      </c>
      <c r="B271" s="11">
        <v>26779216</v>
      </c>
      <c r="C271" s="11">
        <v>186</v>
      </c>
      <c r="D271">
        <v>89280000</v>
      </c>
      <c r="E271">
        <v>2636</v>
      </c>
    </row>
    <row r="272" ht="13.85" spans="1:5">
      <c r="A272">
        <f t="shared" si="4"/>
        <v>271</v>
      </c>
      <c r="B272" s="11">
        <v>18623166</v>
      </c>
      <c r="C272" s="11">
        <v>170</v>
      </c>
      <c r="D272">
        <v>81600000</v>
      </c>
      <c r="E272">
        <v>2635</v>
      </c>
    </row>
    <row r="273" ht="13.85" spans="1:5">
      <c r="A273">
        <f t="shared" si="4"/>
        <v>272</v>
      </c>
      <c r="B273" s="11">
        <v>13764518</v>
      </c>
      <c r="C273" s="11">
        <v>159</v>
      </c>
      <c r="D273">
        <v>76320000</v>
      </c>
      <c r="E273">
        <v>2634</v>
      </c>
    </row>
    <row r="274" ht="13.85" spans="1:5">
      <c r="A274">
        <f t="shared" si="4"/>
        <v>273</v>
      </c>
      <c r="B274" s="11">
        <v>26367498</v>
      </c>
      <c r="C274" s="11">
        <v>148</v>
      </c>
      <c r="D274">
        <v>71040000</v>
      </c>
      <c r="E274">
        <v>2633</v>
      </c>
    </row>
    <row r="275" ht="13.85" spans="1:5">
      <c r="A275">
        <f t="shared" si="4"/>
        <v>274</v>
      </c>
      <c r="B275" s="11">
        <v>18108202</v>
      </c>
      <c r="C275" s="11">
        <v>134</v>
      </c>
      <c r="D275">
        <v>64320000</v>
      </c>
      <c r="E275">
        <v>2632</v>
      </c>
    </row>
    <row r="276" ht="13.85" spans="1:5">
      <c r="A276">
        <f t="shared" si="4"/>
        <v>275</v>
      </c>
      <c r="B276" s="11">
        <v>14280724</v>
      </c>
      <c r="C276" s="11">
        <v>124</v>
      </c>
      <c r="D276">
        <v>59520000</v>
      </c>
      <c r="E276">
        <v>2631</v>
      </c>
    </row>
    <row r="277" ht="13.85" spans="1:5">
      <c r="A277">
        <f t="shared" si="4"/>
        <v>276</v>
      </c>
      <c r="B277" s="11">
        <v>24781010</v>
      </c>
      <c r="C277" s="11">
        <v>115</v>
      </c>
      <c r="D277">
        <v>55200000</v>
      </c>
      <c r="E277">
        <v>2630</v>
      </c>
    </row>
    <row r="278" ht="13.85" spans="1:5">
      <c r="A278">
        <f t="shared" si="4"/>
        <v>277</v>
      </c>
      <c r="B278" s="11">
        <v>17630936</v>
      </c>
      <c r="C278" s="11">
        <v>100</v>
      </c>
      <c r="D278">
        <v>48000000</v>
      </c>
      <c r="E278">
        <v>2629</v>
      </c>
    </row>
    <row r="279" ht="13.85" spans="1:5">
      <c r="A279">
        <f t="shared" si="4"/>
        <v>278</v>
      </c>
      <c r="B279" s="11">
        <v>13363952</v>
      </c>
      <c r="C279" s="11">
        <v>90</v>
      </c>
      <c r="D279">
        <v>43200000</v>
      </c>
      <c r="E279">
        <v>2628</v>
      </c>
    </row>
    <row r="280" ht="13.85" spans="1:5">
      <c r="A280">
        <f t="shared" si="4"/>
        <v>279</v>
      </c>
      <c r="B280" s="11">
        <v>23170068</v>
      </c>
      <c r="C280" s="11">
        <v>80</v>
      </c>
      <c r="D280">
        <v>38400000</v>
      </c>
      <c r="E280">
        <v>2627</v>
      </c>
    </row>
    <row r="281" ht="13.85" spans="1:5">
      <c r="A281">
        <f t="shared" si="4"/>
        <v>280</v>
      </c>
      <c r="B281" s="11">
        <v>16122758</v>
      </c>
      <c r="C281" s="11">
        <v>66</v>
      </c>
      <c r="D281">
        <v>31680000</v>
      </c>
      <c r="E281">
        <v>2626</v>
      </c>
    </row>
    <row r="282" ht="13.85" spans="1:5">
      <c r="A282">
        <f t="shared" si="4"/>
        <v>281</v>
      </c>
      <c r="B282" s="11">
        <v>12790442</v>
      </c>
      <c r="C282" s="11">
        <v>56</v>
      </c>
      <c r="D282">
        <v>26880000</v>
      </c>
      <c r="E282">
        <v>2625</v>
      </c>
    </row>
    <row r="283" ht="13.85" spans="1:5">
      <c r="A283">
        <f t="shared" si="4"/>
        <v>282</v>
      </c>
      <c r="B283" s="11">
        <v>22148946</v>
      </c>
      <c r="C283" s="11">
        <v>48</v>
      </c>
      <c r="D283">
        <v>23040000</v>
      </c>
      <c r="E283">
        <v>2624</v>
      </c>
    </row>
    <row r="284" ht="13.85" spans="1:5">
      <c r="A284">
        <f t="shared" si="4"/>
        <v>283</v>
      </c>
      <c r="B284" s="11">
        <v>15466484</v>
      </c>
      <c r="C284" s="11">
        <v>35</v>
      </c>
      <c r="D284">
        <v>16800000</v>
      </c>
      <c r="E284">
        <v>2623</v>
      </c>
    </row>
    <row r="285" ht="13.85" spans="1:5">
      <c r="A285">
        <f t="shared" si="4"/>
        <v>284</v>
      </c>
      <c r="B285" s="11">
        <v>12372578</v>
      </c>
      <c r="C285" s="11">
        <v>26</v>
      </c>
      <c r="D285">
        <v>12480000</v>
      </c>
      <c r="E285">
        <v>2622</v>
      </c>
    </row>
    <row r="286" ht="13.85" spans="1:5">
      <c r="A286">
        <f t="shared" si="4"/>
        <v>285</v>
      </c>
      <c r="B286" s="11">
        <v>22404882</v>
      </c>
      <c r="C286" s="11">
        <v>20</v>
      </c>
      <c r="D286">
        <v>9600000</v>
      </c>
      <c r="E286">
        <v>2621</v>
      </c>
    </row>
    <row r="287" ht="13.85" spans="1:5">
      <c r="A287">
        <f t="shared" si="4"/>
        <v>286</v>
      </c>
      <c r="B287" s="11">
        <v>27683462</v>
      </c>
      <c r="C287" s="11">
        <v>206.9</v>
      </c>
      <c r="D287">
        <v>99312000</v>
      </c>
      <c r="E287">
        <v>2620</v>
      </c>
    </row>
    <row r="288" ht="13.85" spans="1:5">
      <c r="A288">
        <f t="shared" si="4"/>
        <v>287</v>
      </c>
      <c r="B288" s="11">
        <v>21600466</v>
      </c>
      <c r="C288" s="11">
        <v>187</v>
      </c>
      <c r="D288">
        <v>89760000</v>
      </c>
      <c r="E288">
        <v>2619</v>
      </c>
    </row>
    <row r="289" ht="13.85" spans="1:5">
      <c r="A289">
        <f t="shared" si="4"/>
        <v>288</v>
      </c>
      <c r="B289" s="11">
        <v>53015030</v>
      </c>
      <c r="C289" s="11">
        <v>170</v>
      </c>
      <c r="D289">
        <v>81600000</v>
      </c>
      <c r="E289">
        <v>2618</v>
      </c>
    </row>
    <row r="290" ht="13.85" spans="1:5">
      <c r="A290">
        <f t="shared" si="4"/>
        <v>289</v>
      </c>
      <c r="B290" s="11">
        <v>34218290</v>
      </c>
      <c r="C290" s="11">
        <v>145</v>
      </c>
      <c r="D290">
        <v>69600000</v>
      </c>
      <c r="E290">
        <v>2617</v>
      </c>
    </row>
    <row r="291" ht="13.85" spans="1:5">
      <c r="A291">
        <f t="shared" si="4"/>
        <v>290</v>
      </c>
      <c r="B291" s="11">
        <v>21625480</v>
      </c>
      <c r="C291" s="11">
        <v>130</v>
      </c>
      <c r="D291">
        <v>62400000</v>
      </c>
      <c r="E291">
        <v>2616</v>
      </c>
    </row>
    <row r="292" ht="13.85" spans="1:5">
      <c r="A292">
        <f t="shared" si="4"/>
        <v>291</v>
      </c>
      <c r="B292" s="11">
        <v>36297290</v>
      </c>
      <c r="C292" s="11">
        <v>119</v>
      </c>
      <c r="D292">
        <v>57120000</v>
      </c>
      <c r="E292">
        <v>2615</v>
      </c>
    </row>
    <row r="293" ht="13.85" spans="1:5">
      <c r="A293">
        <f t="shared" si="4"/>
        <v>292</v>
      </c>
      <c r="B293" s="11">
        <v>23515852</v>
      </c>
      <c r="C293" s="11">
        <v>101</v>
      </c>
      <c r="D293">
        <v>48480000</v>
      </c>
      <c r="E293">
        <v>2614</v>
      </c>
    </row>
    <row r="294" ht="13.85" spans="1:5">
      <c r="A294">
        <f t="shared" si="4"/>
        <v>293</v>
      </c>
      <c r="B294" s="11">
        <v>15301166</v>
      </c>
      <c r="C294" s="11">
        <v>89</v>
      </c>
      <c r="D294">
        <v>42720000</v>
      </c>
      <c r="E294">
        <v>2613</v>
      </c>
    </row>
    <row r="295" ht="13.85" spans="1:5">
      <c r="A295">
        <f t="shared" si="4"/>
        <v>294</v>
      </c>
      <c r="B295" s="11">
        <v>25983100</v>
      </c>
      <c r="C295" s="11">
        <v>82</v>
      </c>
      <c r="D295">
        <v>39360000</v>
      </c>
      <c r="E295">
        <v>2612</v>
      </c>
    </row>
    <row r="296" ht="13.85" spans="1:5">
      <c r="A296">
        <f t="shared" si="4"/>
        <v>295</v>
      </c>
      <c r="B296" s="11">
        <v>17096590</v>
      </c>
      <c r="C296" s="11">
        <v>66</v>
      </c>
      <c r="D296">
        <v>31680000</v>
      </c>
      <c r="E296">
        <v>2611</v>
      </c>
    </row>
    <row r="297" ht="13.85" spans="1:5">
      <c r="A297">
        <f t="shared" si="4"/>
        <v>296</v>
      </c>
      <c r="B297" s="11">
        <v>13007094</v>
      </c>
      <c r="C297" s="11">
        <v>56</v>
      </c>
      <c r="D297">
        <v>26880000</v>
      </c>
      <c r="E297">
        <v>2610</v>
      </c>
    </row>
    <row r="298" ht="13.85" spans="1:5">
      <c r="A298">
        <f t="shared" si="4"/>
        <v>297</v>
      </c>
      <c r="B298" s="11">
        <v>22680930</v>
      </c>
      <c r="C298" s="11">
        <v>48</v>
      </c>
      <c r="D298">
        <v>23040000</v>
      </c>
      <c r="E298">
        <v>2609</v>
      </c>
    </row>
    <row r="299" ht="13.85" spans="1:5">
      <c r="A299">
        <f t="shared" si="4"/>
        <v>298</v>
      </c>
      <c r="B299" s="11">
        <v>15338120</v>
      </c>
      <c r="C299" s="11">
        <v>35</v>
      </c>
      <c r="D299">
        <v>16800000</v>
      </c>
      <c r="E299">
        <v>2608</v>
      </c>
    </row>
    <row r="300" ht="13.85" spans="1:5">
      <c r="A300">
        <f t="shared" si="4"/>
        <v>299</v>
      </c>
      <c r="B300" s="11">
        <v>10904828</v>
      </c>
      <c r="C300" s="11">
        <v>26</v>
      </c>
      <c r="D300">
        <v>12480000</v>
      </c>
      <c r="E300">
        <v>2607</v>
      </c>
    </row>
    <row r="301" ht="13.85" spans="1:5">
      <c r="A301">
        <f t="shared" si="4"/>
        <v>300</v>
      </c>
      <c r="B301" s="11">
        <v>23334880</v>
      </c>
      <c r="C301" s="11">
        <v>20</v>
      </c>
      <c r="D301">
        <v>9600000</v>
      </c>
      <c r="E301">
        <v>2606</v>
      </c>
    </row>
    <row r="302" ht="13.85" spans="1:5">
      <c r="A302">
        <f t="shared" si="4"/>
        <v>301</v>
      </c>
      <c r="B302" s="11">
        <v>31437830</v>
      </c>
      <c r="C302" s="11">
        <v>365</v>
      </c>
      <c r="D302">
        <v>175200000</v>
      </c>
      <c r="E302">
        <v>2605</v>
      </c>
    </row>
    <row r="303" ht="13.85" spans="1:5">
      <c r="A303">
        <f t="shared" si="4"/>
        <v>302</v>
      </c>
      <c r="B303" s="11">
        <v>24691360</v>
      </c>
      <c r="C303" s="11">
        <v>346</v>
      </c>
      <c r="D303">
        <v>166080000</v>
      </c>
      <c r="E303">
        <v>2604</v>
      </c>
    </row>
    <row r="304" ht="13.85" spans="1:5">
      <c r="A304">
        <f t="shared" si="4"/>
        <v>303</v>
      </c>
      <c r="B304" s="11">
        <v>40843168</v>
      </c>
      <c r="C304" s="11">
        <v>335</v>
      </c>
      <c r="D304">
        <v>160800000</v>
      </c>
      <c r="E304">
        <v>2603</v>
      </c>
    </row>
    <row r="305" ht="13.85" spans="1:5">
      <c r="A305">
        <f t="shared" si="4"/>
        <v>304</v>
      </c>
      <c r="B305" s="11">
        <v>28408512</v>
      </c>
      <c r="C305" s="11">
        <v>312</v>
      </c>
      <c r="D305">
        <v>149760000</v>
      </c>
      <c r="E305">
        <v>2602</v>
      </c>
    </row>
    <row r="306" ht="13.85" spans="1:5">
      <c r="A306">
        <f t="shared" si="4"/>
        <v>305</v>
      </c>
      <c r="B306" s="11">
        <v>20871942</v>
      </c>
      <c r="C306" s="11">
        <v>296</v>
      </c>
      <c r="D306">
        <v>142080000</v>
      </c>
      <c r="E306">
        <v>2601</v>
      </c>
    </row>
    <row r="307" ht="13.85" spans="1:5">
      <c r="A307">
        <f t="shared" si="4"/>
        <v>306</v>
      </c>
      <c r="B307" s="11">
        <v>35111100</v>
      </c>
      <c r="C307" s="11">
        <v>279</v>
      </c>
      <c r="D307">
        <v>133920000</v>
      </c>
      <c r="E307">
        <v>2600</v>
      </c>
    </row>
    <row r="308" ht="13.85" spans="1:5">
      <c r="A308">
        <f t="shared" si="4"/>
        <v>307</v>
      </c>
      <c r="B308" s="11">
        <v>24460132</v>
      </c>
      <c r="C308" s="11">
        <v>258</v>
      </c>
      <c r="D308">
        <v>123840000</v>
      </c>
      <c r="E308">
        <v>2599</v>
      </c>
    </row>
    <row r="309" ht="13.85" spans="1:5">
      <c r="A309">
        <f t="shared" si="4"/>
        <v>308</v>
      </c>
      <c r="B309" s="11">
        <v>19540502</v>
      </c>
      <c r="C309" s="11">
        <v>243</v>
      </c>
      <c r="D309">
        <v>116640000</v>
      </c>
      <c r="E309">
        <v>2598</v>
      </c>
    </row>
    <row r="310" ht="13.85" spans="1:5">
      <c r="A310">
        <f t="shared" si="4"/>
        <v>309</v>
      </c>
      <c r="B310" s="11">
        <v>33343086</v>
      </c>
      <c r="C310" s="11">
        <v>229</v>
      </c>
      <c r="D310">
        <v>109920000</v>
      </c>
      <c r="E310">
        <v>2597</v>
      </c>
    </row>
    <row r="311" ht="13.85" spans="1:5">
      <c r="A311">
        <f t="shared" si="4"/>
        <v>310</v>
      </c>
      <c r="B311" s="11">
        <v>22792674</v>
      </c>
      <c r="C311" s="11">
        <v>210</v>
      </c>
      <c r="D311">
        <v>100800000</v>
      </c>
      <c r="E311">
        <v>2596</v>
      </c>
    </row>
    <row r="312" ht="13.85" spans="1:5">
      <c r="A312">
        <f t="shared" si="4"/>
        <v>311</v>
      </c>
      <c r="B312" s="11">
        <v>17588148</v>
      </c>
      <c r="C312" s="11">
        <v>198</v>
      </c>
      <c r="D312">
        <v>95040000</v>
      </c>
      <c r="E312">
        <v>2595</v>
      </c>
    </row>
    <row r="313" ht="13.85" spans="1:5">
      <c r="A313">
        <f t="shared" si="4"/>
        <v>312</v>
      </c>
      <c r="B313" s="11">
        <v>29820522</v>
      </c>
      <c r="C313" s="11">
        <v>184</v>
      </c>
      <c r="D313">
        <v>88320000</v>
      </c>
      <c r="E313">
        <v>2594</v>
      </c>
    </row>
    <row r="314" ht="13.85" spans="1:5">
      <c r="A314">
        <f t="shared" si="4"/>
        <v>313</v>
      </c>
      <c r="B314" s="11">
        <v>20580864</v>
      </c>
      <c r="C314" s="11">
        <v>168</v>
      </c>
      <c r="D314">
        <v>80640000</v>
      </c>
      <c r="E314">
        <v>2593</v>
      </c>
    </row>
    <row r="315" ht="13.85" spans="1:5">
      <c r="A315">
        <f t="shared" si="4"/>
        <v>314</v>
      </c>
      <c r="B315" s="11">
        <v>14662632</v>
      </c>
      <c r="C315" s="11">
        <v>157</v>
      </c>
      <c r="D315">
        <v>75360000</v>
      </c>
      <c r="E315">
        <v>2592</v>
      </c>
    </row>
    <row r="316" ht="13.85" spans="1:5">
      <c r="A316">
        <f t="shared" si="4"/>
        <v>315</v>
      </c>
      <c r="B316" s="11">
        <v>28064636</v>
      </c>
      <c r="C316" s="11">
        <v>150</v>
      </c>
      <c r="D316">
        <v>72000000</v>
      </c>
      <c r="E316">
        <v>2591</v>
      </c>
    </row>
    <row r="317" ht="13.85" spans="1:5">
      <c r="A317">
        <f t="shared" si="4"/>
        <v>316</v>
      </c>
      <c r="B317" s="11">
        <v>19412468</v>
      </c>
      <c r="C317" s="11">
        <v>135</v>
      </c>
      <c r="D317">
        <v>64800000</v>
      </c>
      <c r="E317">
        <v>2590</v>
      </c>
    </row>
    <row r="318" ht="13.85" spans="1:5">
      <c r="A318">
        <f t="shared" si="4"/>
        <v>317</v>
      </c>
      <c r="B318" s="11">
        <v>15446688</v>
      </c>
      <c r="C318" s="11">
        <v>125</v>
      </c>
      <c r="D318">
        <v>60000000</v>
      </c>
      <c r="E318">
        <v>2589</v>
      </c>
    </row>
    <row r="319" ht="13.85" spans="1:5">
      <c r="A319">
        <f t="shared" si="4"/>
        <v>318</v>
      </c>
      <c r="B319" s="11">
        <v>26657476</v>
      </c>
      <c r="C319" s="11">
        <v>117</v>
      </c>
      <c r="D319">
        <v>56160000</v>
      </c>
      <c r="E319">
        <v>2588</v>
      </c>
    </row>
    <row r="320" ht="13.85" spans="1:5">
      <c r="A320">
        <f t="shared" si="4"/>
        <v>319</v>
      </c>
      <c r="B320" s="11">
        <v>19029508</v>
      </c>
      <c r="C320" s="11">
        <v>101</v>
      </c>
      <c r="D320">
        <v>48480000</v>
      </c>
      <c r="E320">
        <v>2587</v>
      </c>
    </row>
    <row r="321" ht="13.85" spans="1:5">
      <c r="A321">
        <f t="shared" si="4"/>
        <v>320</v>
      </c>
      <c r="B321" s="11">
        <v>14207704</v>
      </c>
      <c r="C321" s="11">
        <v>90</v>
      </c>
      <c r="D321">
        <v>43200000</v>
      </c>
      <c r="E321">
        <v>2586</v>
      </c>
    </row>
    <row r="322" ht="13.85" spans="1:5">
      <c r="A322">
        <f t="shared" ref="A322:A385" si="5">ROW()-1</f>
        <v>321</v>
      </c>
      <c r="B322" s="11">
        <v>25021656</v>
      </c>
      <c r="C322" s="11">
        <v>83</v>
      </c>
      <c r="D322">
        <v>39840000</v>
      </c>
      <c r="E322">
        <v>2585</v>
      </c>
    </row>
    <row r="323" ht="13.85" spans="1:5">
      <c r="A323">
        <f t="shared" si="5"/>
        <v>322</v>
      </c>
      <c r="B323" s="11">
        <v>16948102</v>
      </c>
      <c r="C323" s="11">
        <v>68</v>
      </c>
      <c r="D323">
        <v>32640000</v>
      </c>
      <c r="E323">
        <v>2584</v>
      </c>
    </row>
    <row r="324" ht="13.85" spans="1:5">
      <c r="A324">
        <f t="shared" si="5"/>
        <v>323</v>
      </c>
      <c r="B324" s="11">
        <v>13200086</v>
      </c>
      <c r="C324" s="11">
        <v>59</v>
      </c>
      <c r="D324">
        <v>28320000</v>
      </c>
      <c r="E324">
        <v>2583</v>
      </c>
    </row>
    <row r="325" ht="13.85" spans="1:5">
      <c r="A325">
        <f t="shared" si="5"/>
        <v>324</v>
      </c>
      <c r="B325" s="11">
        <v>23286238</v>
      </c>
      <c r="C325" s="11">
        <v>51</v>
      </c>
      <c r="D325">
        <v>24480000</v>
      </c>
      <c r="E325">
        <v>2582</v>
      </c>
    </row>
    <row r="326" ht="13.85" spans="1:5">
      <c r="A326">
        <f t="shared" si="5"/>
        <v>325</v>
      </c>
      <c r="B326" s="11">
        <v>16331888</v>
      </c>
      <c r="C326" s="11">
        <v>37</v>
      </c>
      <c r="D326">
        <v>17760000</v>
      </c>
      <c r="E326">
        <v>2581</v>
      </c>
    </row>
    <row r="327" ht="13.85" spans="1:5">
      <c r="A327">
        <f t="shared" si="5"/>
        <v>326</v>
      </c>
      <c r="B327" s="11">
        <v>12559790</v>
      </c>
      <c r="C327" s="11">
        <v>27</v>
      </c>
      <c r="D327">
        <v>12960000</v>
      </c>
      <c r="E327">
        <v>2580</v>
      </c>
    </row>
    <row r="328" ht="13.85" spans="1:5">
      <c r="A328">
        <f t="shared" si="5"/>
        <v>327</v>
      </c>
      <c r="B328" s="11">
        <v>24084248</v>
      </c>
      <c r="C328" s="11">
        <v>20</v>
      </c>
      <c r="D328">
        <v>9600000</v>
      </c>
      <c r="E328">
        <v>2579</v>
      </c>
    </row>
    <row r="329" ht="13.85" spans="1:5">
      <c r="A329">
        <f t="shared" si="5"/>
        <v>328</v>
      </c>
      <c r="B329" s="11">
        <v>68604994</v>
      </c>
      <c r="C329" s="27">
        <v>473.1</v>
      </c>
      <c r="D329">
        <v>227088000</v>
      </c>
      <c r="E329">
        <v>2578</v>
      </c>
    </row>
    <row r="330" ht="13.85" spans="1:5">
      <c r="A330">
        <f t="shared" si="5"/>
        <v>329</v>
      </c>
      <c r="B330" s="11">
        <v>45811120</v>
      </c>
      <c r="C330" s="11">
        <v>421</v>
      </c>
      <c r="D330">
        <v>202080000</v>
      </c>
      <c r="E330">
        <v>2577</v>
      </c>
    </row>
    <row r="331" ht="13.85" spans="1:5">
      <c r="A331">
        <f t="shared" si="5"/>
        <v>330</v>
      </c>
      <c r="B331" s="11">
        <v>61617186</v>
      </c>
      <c r="C331" s="11">
        <v>400</v>
      </c>
      <c r="D331">
        <v>192000000</v>
      </c>
      <c r="E331">
        <v>2576</v>
      </c>
    </row>
    <row r="332" ht="13.85" spans="1:5">
      <c r="A332">
        <f t="shared" si="5"/>
        <v>331</v>
      </c>
      <c r="B332" s="11">
        <v>36541778</v>
      </c>
      <c r="C332" s="11">
        <v>370</v>
      </c>
      <c r="D332">
        <v>177600000</v>
      </c>
      <c r="E332">
        <v>2575</v>
      </c>
    </row>
    <row r="333" ht="13.85" spans="1:5">
      <c r="A333">
        <f t="shared" si="5"/>
        <v>332</v>
      </c>
      <c r="B333" s="11">
        <v>26791842</v>
      </c>
      <c r="C333" s="11">
        <v>348</v>
      </c>
      <c r="D333">
        <v>167040000</v>
      </c>
      <c r="E333">
        <v>2574</v>
      </c>
    </row>
    <row r="334" ht="13.85" spans="1:5">
      <c r="A334">
        <f t="shared" si="5"/>
        <v>333</v>
      </c>
      <c r="B334" s="11">
        <v>45678386</v>
      </c>
      <c r="C334" s="11">
        <v>325</v>
      </c>
      <c r="D334">
        <v>156000000</v>
      </c>
      <c r="E334">
        <v>2573</v>
      </c>
    </row>
    <row r="335" ht="13.85" spans="1:5">
      <c r="A335">
        <f t="shared" si="5"/>
        <v>334</v>
      </c>
      <c r="B335" s="11">
        <v>30713438</v>
      </c>
      <c r="C335" s="11">
        <v>302</v>
      </c>
      <c r="D335">
        <v>144960000</v>
      </c>
      <c r="E335">
        <v>2572</v>
      </c>
    </row>
    <row r="336" ht="13.85" spans="1:5">
      <c r="A336">
        <f t="shared" si="5"/>
        <v>335</v>
      </c>
      <c r="B336" s="11">
        <v>21902222</v>
      </c>
      <c r="C336" s="11">
        <v>288</v>
      </c>
      <c r="D336">
        <v>138240000</v>
      </c>
      <c r="E336">
        <v>2571</v>
      </c>
    </row>
    <row r="337" ht="13.85" spans="1:5">
      <c r="A337">
        <f t="shared" si="5"/>
        <v>336</v>
      </c>
      <c r="B337" s="11">
        <v>37933870</v>
      </c>
      <c r="C337" s="11">
        <v>268</v>
      </c>
      <c r="D337">
        <v>128640000</v>
      </c>
      <c r="E337">
        <v>2570</v>
      </c>
    </row>
    <row r="338" ht="13.85" spans="1:5">
      <c r="A338">
        <f t="shared" si="5"/>
        <v>337</v>
      </c>
      <c r="B338" s="11">
        <v>26789786</v>
      </c>
      <c r="C338" s="11">
        <v>246</v>
      </c>
      <c r="D338">
        <v>118080000</v>
      </c>
      <c r="E338">
        <v>2569</v>
      </c>
    </row>
    <row r="339" ht="13.85" spans="1:5">
      <c r="A339">
        <f t="shared" si="5"/>
        <v>338</v>
      </c>
      <c r="B339" s="11">
        <v>21203762</v>
      </c>
      <c r="C339" s="11">
        <v>231</v>
      </c>
      <c r="D339">
        <v>110880000</v>
      </c>
      <c r="E339">
        <v>2568</v>
      </c>
    </row>
    <row r="340" ht="13.85" spans="1:5">
      <c r="A340">
        <f t="shared" si="5"/>
        <v>339</v>
      </c>
      <c r="B340" s="11">
        <v>37842638</v>
      </c>
      <c r="C340" s="11">
        <v>222</v>
      </c>
      <c r="D340">
        <v>106560000</v>
      </c>
      <c r="E340">
        <v>2567</v>
      </c>
    </row>
    <row r="341" ht="13.85" spans="1:5">
      <c r="A341">
        <f t="shared" si="5"/>
        <v>340</v>
      </c>
      <c r="B341" s="11">
        <v>24333820</v>
      </c>
      <c r="C341" s="11">
        <v>206</v>
      </c>
      <c r="D341">
        <v>98880000</v>
      </c>
      <c r="E341">
        <v>2566</v>
      </c>
    </row>
    <row r="342" ht="13.85" spans="1:5">
      <c r="A342">
        <f t="shared" si="5"/>
        <v>341</v>
      </c>
      <c r="B342" s="11">
        <v>17967912</v>
      </c>
      <c r="C342" s="11">
        <v>195</v>
      </c>
      <c r="D342">
        <v>93600000</v>
      </c>
      <c r="E342">
        <v>2565</v>
      </c>
    </row>
    <row r="343" ht="13.85" spans="1:5">
      <c r="A343">
        <f t="shared" si="5"/>
        <v>342</v>
      </c>
      <c r="B343" s="11">
        <v>31071596</v>
      </c>
      <c r="C343" s="11">
        <v>181</v>
      </c>
      <c r="D343">
        <v>86880000</v>
      </c>
      <c r="E343">
        <v>2564</v>
      </c>
    </row>
    <row r="344" ht="13.85" spans="1:5">
      <c r="A344">
        <f t="shared" si="5"/>
        <v>343</v>
      </c>
      <c r="B344" s="11">
        <v>21578640</v>
      </c>
      <c r="C344" s="11">
        <v>167</v>
      </c>
      <c r="D344">
        <v>80160000</v>
      </c>
      <c r="E344">
        <v>2563</v>
      </c>
    </row>
    <row r="345" ht="13.85" spans="1:5">
      <c r="A345">
        <f t="shared" si="5"/>
        <v>344</v>
      </c>
      <c r="B345" s="11">
        <v>17073024</v>
      </c>
      <c r="C345" s="11">
        <v>156</v>
      </c>
      <c r="D345">
        <v>74880000</v>
      </c>
      <c r="E345">
        <v>2562</v>
      </c>
    </row>
    <row r="346" ht="13.85" spans="1:5">
      <c r="A346">
        <f t="shared" si="5"/>
        <v>345</v>
      </c>
      <c r="B346" s="11">
        <v>29622396</v>
      </c>
      <c r="C346" s="11">
        <v>147</v>
      </c>
      <c r="D346">
        <v>70560000</v>
      </c>
      <c r="E346">
        <v>2561</v>
      </c>
    </row>
    <row r="347" ht="13.85" spans="1:5">
      <c r="A347">
        <f t="shared" si="5"/>
        <v>346</v>
      </c>
      <c r="B347" s="11">
        <v>20641968</v>
      </c>
      <c r="C347" s="11">
        <v>133</v>
      </c>
      <c r="D347">
        <v>63840000</v>
      </c>
      <c r="E347">
        <v>2560</v>
      </c>
    </row>
    <row r="348" ht="13.85" spans="1:5">
      <c r="A348">
        <f t="shared" si="5"/>
        <v>347</v>
      </c>
      <c r="B348" s="11">
        <v>15783550</v>
      </c>
      <c r="C348" s="11">
        <v>124</v>
      </c>
      <c r="D348">
        <v>59520000</v>
      </c>
      <c r="E348">
        <v>2559</v>
      </c>
    </row>
    <row r="349" ht="13.85" spans="1:5">
      <c r="A349">
        <f t="shared" si="5"/>
        <v>348</v>
      </c>
      <c r="B349" s="11">
        <v>27316848</v>
      </c>
      <c r="C349" s="11">
        <v>112</v>
      </c>
      <c r="D349">
        <v>53760000</v>
      </c>
      <c r="E349">
        <v>2558</v>
      </c>
    </row>
    <row r="350" ht="13.85" spans="1:5">
      <c r="A350">
        <f t="shared" si="5"/>
        <v>349</v>
      </c>
      <c r="B350" s="11">
        <v>17876472</v>
      </c>
      <c r="C350" s="11">
        <v>99</v>
      </c>
      <c r="D350">
        <v>47520000</v>
      </c>
      <c r="E350">
        <v>2557</v>
      </c>
    </row>
    <row r="351" ht="13.85" spans="1:5">
      <c r="A351">
        <f t="shared" si="5"/>
        <v>350</v>
      </c>
      <c r="B351" s="11">
        <v>13618306</v>
      </c>
      <c r="C351" s="11">
        <v>90</v>
      </c>
      <c r="D351">
        <v>43200000</v>
      </c>
      <c r="E351">
        <v>2556</v>
      </c>
    </row>
    <row r="352" ht="13.85" spans="1:5">
      <c r="A352">
        <f t="shared" si="5"/>
        <v>351</v>
      </c>
      <c r="B352" s="11">
        <v>24524232</v>
      </c>
      <c r="C352" s="11">
        <v>85</v>
      </c>
      <c r="D352">
        <v>40800000</v>
      </c>
      <c r="E352">
        <v>2555</v>
      </c>
    </row>
    <row r="353" ht="13.85" spans="1:5">
      <c r="A353">
        <f t="shared" si="5"/>
        <v>352</v>
      </c>
      <c r="B353" s="11">
        <v>17112584</v>
      </c>
      <c r="C353" s="11">
        <v>73</v>
      </c>
      <c r="D353">
        <v>35040000</v>
      </c>
      <c r="E353">
        <v>2554</v>
      </c>
    </row>
    <row r="354" ht="13.85" spans="1:5">
      <c r="A354">
        <f t="shared" si="5"/>
        <v>353</v>
      </c>
      <c r="B354" s="11">
        <v>13091210</v>
      </c>
      <c r="C354" s="11">
        <v>65</v>
      </c>
      <c r="D354">
        <v>31200000</v>
      </c>
      <c r="E354">
        <v>2553</v>
      </c>
    </row>
    <row r="355" ht="13.85" spans="1:5">
      <c r="A355">
        <f t="shared" si="5"/>
        <v>354</v>
      </c>
      <c r="B355" s="11">
        <v>22978302</v>
      </c>
      <c r="C355" s="11">
        <v>58</v>
      </c>
      <c r="D355">
        <v>27840000</v>
      </c>
      <c r="E355">
        <v>2552</v>
      </c>
    </row>
    <row r="356" ht="13.85" spans="1:5">
      <c r="A356">
        <f t="shared" si="5"/>
        <v>355</v>
      </c>
      <c r="B356" s="11">
        <v>16994224</v>
      </c>
      <c r="C356" s="11">
        <v>45</v>
      </c>
      <c r="D356">
        <v>21600000</v>
      </c>
      <c r="E356">
        <v>2551</v>
      </c>
    </row>
    <row r="357" ht="13.85" spans="1:5">
      <c r="A357">
        <f t="shared" si="5"/>
        <v>356</v>
      </c>
      <c r="B357" s="11">
        <v>12436190</v>
      </c>
      <c r="C357" s="11">
        <v>37</v>
      </c>
      <c r="D357">
        <v>17760000</v>
      </c>
      <c r="E357">
        <v>2550</v>
      </c>
    </row>
    <row r="358" ht="13.85" spans="1:5">
      <c r="A358">
        <f t="shared" si="5"/>
        <v>357</v>
      </c>
      <c r="B358" s="11">
        <v>22308852</v>
      </c>
      <c r="C358" s="11">
        <v>31</v>
      </c>
      <c r="D358">
        <v>14880000</v>
      </c>
      <c r="E358">
        <v>2549</v>
      </c>
    </row>
    <row r="359" ht="13.85" spans="1:5">
      <c r="A359">
        <f t="shared" si="5"/>
        <v>358</v>
      </c>
      <c r="B359" s="11">
        <v>16104444</v>
      </c>
      <c r="C359" s="11">
        <v>20</v>
      </c>
      <c r="D359">
        <v>9600000</v>
      </c>
      <c r="E359">
        <v>2548</v>
      </c>
    </row>
    <row r="360" ht="13.85" spans="1:5">
      <c r="A360">
        <f t="shared" si="5"/>
        <v>359</v>
      </c>
      <c r="B360" s="11">
        <v>18598334</v>
      </c>
      <c r="C360" s="11">
        <v>185.3</v>
      </c>
      <c r="D360">
        <v>88944000</v>
      </c>
      <c r="E360">
        <v>2547</v>
      </c>
    </row>
    <row r="361" ht="13.85" spans="1:5">
      <c r="A361">
        <f t="shared" si="5"/>
        <v>360</v>
      </c>
      <c r="B361" s="11">
        <v>33514002</v>
      </c>
      <c r="C361" s="11">
        <v>172</v>
      </c>
      <c r="D361">
        <v>82560000</v>
      </c>
      <c r="E361">
        <v>2546</v>
      </c>
    </row>
    <row r="362" ht="13.85" spans="1:5">
      <c r="A362">
        <f t="shared" si="5"/>
        <v>361</v>
      </c>
      <c r="B362" s="11">
        <v>23326354</v>
      </c>
      <c r="C362" s="11">
        <v>158</v>
      </c>
      <c r="D362">
        <v>75840000</v>
      </c>
      <c r="E362">
        <v>2545</v>
      </c>
    </row>
    <row r="363" ht="13.85" spans="1:5">
      <c r="A363">
        <f t="shared" si="5"/>
        <v>362</v>
      </c>
      <c r="B363" s="11">
        <v>17885522</v>
      </c>
      <c r="C363" s="11">
        <v>147</v>
      </c>
      <c r="D363">
        <v>70560000</v>
      </c>
      <c r="E363">
        <v>2544</v>
      </c>
    </row>
    <row r="364" ht="13.85" spans="1:5">
      <c r="A364">
        <f t="shared" si="5"/>
        <v>363</v>
      </c>
      <c r="B364" s="11">
        <v>30181282</v>
      </c>
      <c r="C364" s="11">
        <v>137</v>
      </c>
      <c r="D364">
        <v>65760000</v>
      </c>
      <c r="E364">
        <v>2543</v>
      </c>
    </row>
    <row r="365" ht="13.85" spans="1:5">
      <c r="A365">
        <f t="shared" si="5"/>
        <v>364</v>
      </c>
      <c r="B365" s="11">
        <v>22991996</v>
      </c>
      <c r="C365" s="11">
        <v>123</v>
      </c>
      <c r="D365">
        <v>59040000</v>
      </c>
      <c r="E365">
        <v>2542</v>
      </c>
    </row>
    <row r="366" ht="13.85" spans="1:5">
      <c r="A366">
        <f t="shared" si="5"/>
        <v>365</v>
      </c>
      <c r="B366" s="11">
        <v>16666730</v>
      </c>
      <c r="C366" s="11">
        <v>113</v>
      </c>
      <c r="D366">
        <v>54240000</v>
      </c>
      <c r="E366">
        <v>2541</v>
      </c>
    </row>
    <row r="367" ht="13.85" spans="1:5">
      <c r="A367">
        <f t="shared" si="5"/>
        <v>366</v>
      </c>
      <c r="B367" s="11">
        <v>28184708</v>
      </c>
      <c r="C367" s="11">
        <v>104</v>
      </c>
      <c r="D367">
        <v>49920000</v>
      </c>
      <c r="E367">
        <v>2540</v>
      </c>
    </row>
    <row r="368" ht="13.85" spans="1:5">
      <c r="A368">
        <f t="shared" si="5"/>
        <v>367</v>
      </c>
      <c r="B368" s="11">
        <v>18927136</v>
      </c>
      <c r="C368" s="11">
        <v>91</v>
      </c>
      <c r="D368">
        <v>43680000</v>
      </c>
      <c r="E368">
        <v>2539</v>
      </c>
    </row>
    <row r="369" ht="13.85" spans="1:5">
      <c r="A369">
        <f t="shared" si="5"/>
        <v>368</v>
      </c>
      <c r="B369" s="11">
        <v>13998672</v>
      </c>
      <c r="C369" s="11">
        <v>82</v>
      </c>
      <c r="D369">
        <v>39360000</v>
      </c>
      <c r="E369">
        <v>2538</v>
      </c>
    </row>
    <row r="370" ht="13.85" spans="1:5">
      <c r="A370">
        <f t="shared" si="5"/>
        <v>369</v>
      </c>
      <c r="B370" s="11">
        <v>25291710</v>
      </c>
      <c r="C370" s="11">
        <v>76</v>
      </c>
      <c r="D370">
        <v>36480000</v>
      </c>
      <c r="E370">
        <v>2537</v>
      </c>
    </row>
    <row r="371" ht="13.85" spans="1:5">
      <c r="A371">
        <f t="shared" si="5"/>
        <v>370</v>
      </c>
      <c r="B371" s="11">
        <v>18225484</v>
      </c>
      <c r="C371" s="11">
        <v>62</v>
      </c>
      <c r="D371">
        <v>29760000</v>
      </c>
      <c r="E371">
        <v>2536</v>
      </c>
    </row>
    <row r="372" ht="13.85" spans="1:5">
      <c r="A372">
        <f t="shared" si="5"/>
        <v>371</v>
      </c>
      <c r="B372" s="11">
        <v>13001464</v>
      </c>
      <c r="C372" s="11">
        <v>53</v>
      </c>
      <c r="D372">
        <v>25440000</v>
      </c>
      <c r="E372">
        <v>2535</v>
      </c>
    </row>
    <row r="373" ht="13.85" spans="1:5">
      <c r="A373">
        <f t="shared" si="5"/>
        <v>372</v>
      </c>
      <c r="B373" s="11">
        <v>25588194</v>
      </c>
      <c r="C373" s="11">
        <v>48</v>
      </c>
      <c r="D373">
        <v>23040000</v>
      </c>
      <c r="E373">
        <v>2534</v>
      </c>
    </row>
    <row r="374" ht="13.85" spans="1:5">
      <c r="A374">
        <f t="shared" si="5"/>
        <v>373</v>
      </c>
      <c r="B374" s="11">
        <v>17831644</v>
      </c>
      <c r="C374" s="11">
        <v>38</v>
      </c>
      <c r="D374">
        <v>18240000</v>
      </c>
      <c r="E374">
        <v>2533</v>
      </c>
    </row>
    <row r="375" ht="13.85" spans="1:5">
      <c r="A375">
        <f t="shared" si="5"/>
        <v>374</v>
      </c>
      <c r="B375" s="11">
        <v>13776000</v>
      </c>
      <c r="C375" s="11">
        <v>27</v>
      </c>
      <c r="D375">
        <v>12960000</v>
      </c>
      <c r="E375">
        <v>2532</v>
      </c>
    </row>
    <row r="376" ht="13.85" spans="1:5">
      <c r="A376">
        <f t="shared" si="5"/>
        <v>375</v>
      </c>
      <c r="B376" s="11">
        <v>28043620</v>
      </c>
      <c r="C376" s="11">
        <v>20</v>
      </c>
      <c r="D376">
        <v>9600000</v>
      </c>
      <c r="E376">
        <v>2531</v>
      </c>
    </row>
    <row r="377" ht="13.85" spans="1:5">
      <c r="A377">
        <f t="shared" si="5"/>
        <v>376</v>
      </c>
      <c r="B377" s="11">
        <v>151615008</v>
      </c>
      <c r="C377" s="27">
        <v>632.6</v>
      </c>
      <c r="D377">
        <v>303648000</v>
      </c>
      <c r="E377">
        <v>2530</v>
      </c>
    </row>
    <row r="378" ht="13.85" spans="1:5">
      <c r="A378">
        <f t="shared" si="5"/>
        <v>377</v>
      </c>
      <c r="B378" s="11">
        <v>95189636</v>
      </c>
      <c r="C378" s="11">
        <v>540</v>
      </c>
      <c r="D378">
        <v>259200000</v>
      </c>
      <c r="E378">
        <v>2529</v>
      </c>
    </row>
    <row r="379" ht="13.85" spans="1:5">
      <c r="A379">
        <f t="shared" si="5"/>
        <v>378</v>
      </c>
      <c r="B379" s="13">
        <v>127637060</v>
      </c>
      <c r="C379" s="30">
        <v>500</v>
      </c>
      <c r="D379">
        <v>240000000</v>
      </c>
      <c r="E379">
        <v>2528</v>
      </c>
    </row>
    <row r="380" ht="13.85" spans="1:5">
      <c r="A380">
        <f t="shared" si="5"/>
        <v>379</v>
      </c>
      <c r="B380" s="11">
        <v>73366878</v>
      </c>
      <c r="C380" s="11">
        <v>441</v>
      </c>
      <c r="D380">
        <v>211680000</v>
      </c>
      <c r="E380">
        <v>2527</v>
      </c>
    </row>
    <row r="381" ht="13.85" spans="1:5">
      <c r="A381">
        <f t="shared" si="5"/>
        <v>380</v>
      </c>
      <c r="B381" s="11">
        <v>45567044</v>
      </c>
      <c r="C381" s="11">
        <v>416</v>
      </c>
      <c r="D381">
        <v>199680000</v>
      </c>
      <c r="E381">
        <v>2526</v>
      </c>
    </row>
    <row r="382" ht="13.85" spans="1:5">
      <c r="A382">
        <f t="shared" si="5"/>
        <v>381</v>
      </c>
      <c r="B382" s="11">
        <v>62764096</v>
      </c>
      <c r="C382" s="11">
        <v>400</v>
      </c>
      <c r="D382">
        <v>192000000</v>
      </c>
      <c r="E382">
        <v>2525</v>
      </c>
    </row>
    <row r="383" ht="13.85" spans="1:5">
      <c r="A383">
        <f t="shared" si="5"/>
        <v>382</v>
      </c>
      <c r="B383" s="11">
        <v>37322970</v>
      </c>
      <c r="C383" s="11">
        <v>378</v>
      </c>
      <c r="D383">
        <v>181440000</v>
      </c>
      <c r="E383">
        <v>2524</v>
      </c>
    </row>
    <row r="384" ht="13.85" spans="1:5">
      <c r="A384">
        <f t="shared" si="5"/>
        <v>383</v>
      </c>
      <c r="B384" s="11">
        <v>26999222</v>
      </c>
      <c r="C384" s="11">
        <v>363</v>
      </c>
      <c r="D384">
        <v>174240000</v>
      </c>
      <c r="E384">
        <v>2523</v>
      </c>
    </row>
    <row r="385" ht="13.85" spans="1:5">
      <c r="A385">
        <f t="shared" si="5"/>
        <v>384</v>
      </c>
      <c r="B385" s="11">
        <v>47019810</v>
      </c>
      <c r="C385" s="11">
        <v>353</v>
      </c>
      <c r="D385">
        <v>169440000</v>
      </c>
      <c r="E385">
        <v>2522</v>
      </c>
    </row>
    <row r="386" ht="13.85" spans="1:5">
      <c r="A386">
        <f t="shared" ref="A386:A449" si="6">ROW()-1</f>
        <v>385</v>
      </c>
      <c r="B386" s="11">
        <v>33712302</v>
      </c>
      <c r="C386" s="11">
        <v>333</v>
      </c>
      <c r="D386">
        <v>159840000</v>
      </c>
      <c r="E386">
        <v>2521</v>
      </c>
    </row>
    <row r="387" ht="13.85" spans="1:5">
      <c r="A387">
        <f t="shared" si="6"/>
        <v>386</v>
      </c>
      <c r="B387" s="11">
        <v>24453952</v>
      </c>
      <c r="C387" s="11">
        <v>320</v>
      </c>
      <c r="D387">
        <v>153600000</v>
      </c>
      <c r="E387">
        <v>2520</v>
      </c>
    </row>
    <row r="388" ht="13.85" spans="1:5">
      <c r="A388">
        <f t="shared" si="6"/>
        <v>387</v>
      </c>
      <c r="B388" s="11">
        <v>42746648</v>
      </c>
      <c r="C388" s="11">
        <v>307</v>
      </c>
      <c r="D388">
        <v>147360000</v>
      </c>
      <c r="E388">
        <v>2519</v>
      </c>
    </row>
    <row r="389" ht="13.85" spans="1:5">
      <c r="A389">
        <f t="shared" si="6"/>
        <v>388</v>
      </c>
      <c r="B389" s="11">
        <v>28124210</v>
      </c>
      <c r="C389" s="11">
        <v>291</v>
      </c>
      <c r="D389">
        <v>139680000</v>
      </c>
      <c r="E389">
        <v>2518</v>
      </c>
    </row>
    <row r="390" ht="13.85" spans="1:5">
      <c r="A390">
        <f t="shared" si="6"/>
        <v>389</v>
      </c>
      <c r="B390" s="11">
        <v>21183058</v>
      </c>
      <c r="C390" s="11">
        <v>280</v>
      </c>
      <c r="D390">
        <v>134400000</v>
      </c>
      <c r="E390">
        <v>2517</v>
      </c>
    </row>
    <row r="391" ht="13.85" spans="1:5">
      <c r="A391">
        <f t="shared" si="6"/>
        <v>390</v>
      </c>
      <c r="B391" s="11">
        <v>38231854</v>
      </c>
      <c r="C391" s="11">
        <v>278</v>
      </c>
      <c r="D391">
        <v>133440000</v>
      </c>
      <c r="E391">
        <v>2516</v>
      </c>
    </row>
    <row r="392" ht="13.85" spans="1:5">
      <c r="A392">
        <f t="shared" si="6"/>
        <v>391</v>
      </c>
      <c r="B392" s="11">
        <v>27334776</v>
      </c>
      <c r="C392" s="11">
        <v>264</v>
      </c>
      <c r="D392">
        <v>126720000</v>
      </c>
      <c r="E392">
        <v>2515</v>
      </c>
    </row>
    <row r="393" ht="13.85" spans="1:5">
      <c r="A393">
        <f t="shared" si="6"/>
        <v>392</v>
      </c>
      <c r="B393" s="11">
        <v>20327170</v>
      </c>
      <c r="C393" s="11">
        <v>253</v>
      </c>
      <c r="D393">
        <v>121440000</v>
      </c>
      <c r="E393">
        <v>2514</v>
      </c>
    </row>
    <row r="394" ht="13.85" spans="1:5">
      <c r="A394">
        <f t="shared" si="6"/>
        <v>393</v>
      </c>
      <c r="B394" s="11">
        <v>33010232</v>
      </c>
      <c r="C394" s="11">
        <v>243</v>
      </c>
      <c r="D394">
        <v>116640000</v>
      </c>
      <c r="E394">
        <v>2513</v>
      </c>
    </row>
    <row r="395" ht="13.85" spans="1:5">
      <c r="A395">
        <f t="shared" si="6"/>
        <v>394</v>
      </c>
      <c r="B395" s="11">
        <v>28030492</v>
      </c>
      <c r="C395" s="11">
        <v>224</v>
      </c>
      <c r="D395">
        <v>107520000</v>
      </c>
      <c r="E395">
        <v>2512</v>
      </c>
    </row>
    <row r="396" ht="13.85" spans="1:5">
      <c r="A396">
        <f t="shared" si="6"/>
        <v>395</v>
      </c>
      <c r="B396" s="11">
        <v>19186948</v>
      </c>
      <c r="C396" s="11">
        <v>213</v>
      </c>
      <c r="D396">
        <v>102240000</v>
      </c>
      <c r="E396">
        <v>2511</v>
      </c>
    </row>
    <row r="397" ht="13.85" spans="1:5">
      <c r="A397">
        <f t="shared" si="6"/>
        <v>396</v>
      </c>
      <c r="B397" s="11">
        <v>34749910</v>
      </c>
      <c r="C397" s="11">
        <v>205</v>
      </c>
      <c r="D397">
        <v>98400000</v>
      </c>
      <c r="E397">
        <v>2510</v>
      </c>
    </row>
    <row r="398" ht="13.85" spans="1:5">
      <c r="A398">
        <f t="shared" si="6"/>
        <v>397</v>
      </c>
      <c r="B398" s="11">
        <v>23540840</v>
      </c>
      <c r="C398" s="11">
        <v>190</v>
      </c>
      <c r="D398">
        <v>91200000</v>
      </c>
      <c r="E398">
        <v>2509</v>
      </c>
    </row>
    <row r="399" ht="13.85" spans="1:5">
      <c r="A399">
        <f t="shared" si="6"/>
        <v>398</v>
      </c>
      <c r="B399" s="11">
        <v>17452546</v>
      </c>
      <c r="C399" s="11">
        <v>180</v>
      </c>
      <c r="D399">
        <v>86400000</v>
      </c>
      <c r="E399">
        <v>2508</v>
      </c>
    </row>
    <row r="400" ht="13.85" spans="1:5">
      <c r="A400">
        <f t="shared" si="6"/>
        <v>399</v>
      </c>
      <c r="B400" s="11">
        <v>32196454</v>
      </c>
      <c r="C400" s="11">
        <v>173</v>
      </c>
      <c r="D400">
        <v>83040000</v>
      </c>
      <c r="E400">
        <v>2507</v>
      </c>
    </row>
    <row r="401" ht="13.85" spans="1:5">
      <c r="A401">
        <f t="shared" si="6"/>
        <v>400</v>
      </c>
      <c r="B401" s="11">
        <v>22583956</v>
      </c>
      <c r="C401" s="11">
        <v>160</v>
      </c>
      <c r="D401">
        <v>76800000</v>
      </c>
      <c r="E401">
        <v>2506</v>
      </c>
    </row>
    <row r="402" ht="13.85" spans="1:5">
      <c r="A402">
        <f t="shared" si="6"/>
        <v>401</v>
      </c>
      <c r="B402" s="11">
        <v>16818412</v>
      </c>
      <c r="C402" s="11">
        <v>151</v>
      </c>
      <c r="D402">
        <v>72480000</v>
      </c>
      <c r="E402">
        <v>2505</v>
      </c>
    </row>
    <row r="403" ht="13.85" spans="1:5">
      <c r="A403">
        <f t="shared" si="6"/>
        <v>402</v>
      </c>
      <c r="B403" s="11">
        <v>30888254</v>
      </c>
      <c r="C403" s="11">
        <v>146</v>
      </c>
      <c r="D403">
        <v>70080000</v>
      </c>
      <c r="E403">
        <v>2504</v>
      </c>
    </row>
    <row r="404" ht="13.85" spans="1:5">
      <c r="A404">
        <f t="shared" si="6"/>
        <v>403</v>
      </c>
      <c r="B404" s="11">
        <v>21734132</v>
      </c>
      <c r="C404" s="11">
        <v>132</v>
      </c>
      <c r="D404">
        <v>63360000</v>
      </c>
      <c r="E404">
        <v>2503</v>
      </c>
    </row>
    <row r="405" ht="13.85" spans="1:5">
      <c r="A405">
        <f t="shared" si="6"/>
        <v>404</v>
      </c>
      <c r="B405" s="11">
        <v>16069378</v>
      </c>
      <c r="C405" s="11">
        <v>123</v>
      </c>
      <c r="D405">
        <v>59040000</v>
      </c>
      <c r="E405">
        <v>2502</v>
      </c>
    </row>
    <row r="406" ht="13.85" spans="1:5">
      <c r="A406">
        <f t="shared" si="6"/>
        <v>405</v>
      </c>
      <c r="B406" s="11">
        <v>29842334</v>
      </c>
      <c r="C406" s="11">
        <v>116</v>
      </c>
      <c r="D406">
        <v>55680000</v>
      </c>
      <c r="E406">
        <v>2501</v>
      </c>
    </row>
    <row r="407" ht="13.85" spans="1:5">
      <c r="A407">
        <f t="shared" si="6"/>
        <v>406</v>
      </c>
      <c r="B407" s="11">
        <v>20441000</v>
      </c>
      <c r="C407" s="11">
        <v>102</v>
      </c>
      <c r="D407">
        <v>48960000</v>
      </c>
      <c r="E407">
        <v>2500</v>
      </c>
    </row>
    <row r="408" ht="13.85" spans="1:5">
      <c r="A408">
        <f t="shared" si="6"/>
        <v>407</v>
      </c>
      <c r="B408" s="11">
        <v>14271568</v>
      </c>
      <c r="C408" s="11">
        <v>93</v>
      </c>
      <c r="D408">
        <v>44640000</v>
      </c>
      <c r="E408">
        <v>2499</v>
      </c>
    </row>
    <row r="409" ht="13.85" spans="1:5">
      <c r="A409">
        <f t="shared" si="6"/>
        <v>408</v>
      </c>
      <c r="B409" s="11">
        <v>25920970</v>
      </c>
      <c r="C409" s="11">
        <v>86</v>
      </c>
      <c r="D409">
        <v>41280000</v>
      </c>
      <c r="E409">
        <v>2498</v>
      </c>
    </row>
    <row r="410" ht="13.85" spans="1:5">
      <c r="A410">
        <f t="shared" si="6"/>
        <v>409</v>
      </c>
      <c r="B410" s="11">
        <v>17993180</v>
      </c>
      <c r="C410" s="11">
        <v>73</v>
      </c>
      <c r="D410">
        <v>35040000</v>
      </c>
      <c r="E410">
        <v>2497</v>
      </c>
    </row>
    <row r="411" ht="13.85" spans="1:5">
      <c r="A411">
        <f t="shared" si="6"/>
        <v>410</v>
      </c>
      <c r="B411" s="11">
        <v>13223386</v>
      </c>
      <c r="C411" s="11">
        <v>65</v>
      </c>
      <c r="D411">
        <v>31200000</v>
      </c>
      <c r="E411">
        <v>2496</v>
      </c>
    </row>
    <row r="412" ht="13.85" spans="1:5">
      <c r="A412">
        <f t="shared" si="6"/>
        <v>411</v>
      </c>
      <c r="B412" s="11">
        <v>25018054</v>
      </c>
      <c r="C412" s="11">
        <v>60</v>
      </c>
      <c r="D412">
        <v>28800000</v>
      </c>
      <c r="E412">
        <v>2495</v>
      </c>
    </row>
    <row r="413" ht="13.85" spans="1:5">
      <c r="A413">
        <f t="shared" si="6"/>
        <v>412</v>
      </c>
      <c r="B413" s="11">
        <v>17463970</v>
      </c>
      <c r="C413" s="11">
        <v>50</v>
      </c>
      <c r="D413">
        <v>24000000</v>
      </c>
      <c r="E413">
        <v>2494</v>
      </c>
    </row>
    <row r="414" ht="13.85" spans="1:5">
      <c r="A414">
        <f t="shared" si="6"/>
        <v>413</v>
      </c>
      <c r="B414" s="11">
        <v>12853798</v>
      </c>
      <c r="C414" s="11">
        <v>38</v>
      </c>
      <c r="D414">
        <v>18240000</v>
      </c>
      <c r="E414">
        <v>2493</v>
      </c>
    </row>
    <row r="415" ht="13.85" spans="1:5">
      <c r="A415">
        <f t="shared" si="6"/>
        <v>414</v>
      </c>
      <c r="B415" s="11">
        <v>25014678</v>
      </c>
      <c r="C415" s="11">
        <v>31</v>
      </c>
      <c r="D415">
        <v>14880000</v>
      </c>
      <c r="E415">
        <v>2492</v>
      </c>
    </row>
    <row r="416" ht="13.85" spans="1:5">
      <c r="A416">
        <f t="shared" si="6"/>
        <v>415</v>
      </c>
      <c r="B416" s="11">
        <v>22311330</v>
      </c>
      <c r="C416" s="11">
        <v>20</v>
      </c>
      <c r="D416">
        <v>9600000</v>
      </c>
      <c r="E416">
        <v>2491</v>
      </c>
    </row>
    <row r="417" ht="13.85" spans="1:5">
      <c r="A417">
        <f t="shared" si="6"/>
        <v>416</v>
      </c>
      <c r="B417" s="11">
        <v>114554180</v>
      </c>
      <c r="C417" s="11">
        <v>699.8</v>
      </c>
      <c r="D417">
        <v>335904000</v>
      </c>
      <c r="E417">
        <v>2490</v>
      </c>
    </row>
    <row r="418" ht="13.85" spans="1:5">
      <c r="A418">
        <f t="shared" si="6"/>
        <v>417</v>
      </c>
      <c r="B418" s="11">
        <v>145923260</v>
      </c>
      <c r="C418" s="11">
        <v>635</v>
      </c>
      <c r="D418">
        <v>304800000</v>
      </c>
      <c r="E418">
        <v>2489</v>
      </c>
    </row>
    <row r="419" ht="13.85" spans="1:5">
      <c r="A419">
        <f t="shared" si="6"/>
        <v>418</v>
      </c>
      <c r="B419" s="11">
        <v>75627064</v>
      </c>
      <c r="C419" s="11">
        <v>570</v>
      </c>
      <c r="D419">
        <v>273600000</v>
      </c>
      <c r="E419">
        <v>2488</v>
      </c>
    </row>
    <row r="420" ht="13.85" spans="1:5">
      <c r="A420">
        <f t="shared" si="6"/>
        <v>419</v>
      </c>
      <c r="B420" s="11">
        <v>48854736</v>
      </c>
      <c r="C420" s="11">
        <v>545</v>
      </c>
      <c r="D420">
        <v>261600000</v>
      </c>
      <c r="E420">
        <v>2487</v>
      </c>
    </row>
    <row r="421" ht="13.85" spans="1:5">
      <c r="A421">
        <f t="shared" si="6"/>
        <v>420</v>
      </c>
      <c r="B421" s="11">
        <v>76934602</v>
      </c>
      <c r="C421" s="11">
        <v>523</v>
      </c>
      <c r="D421">
        <v>251040000</v>
      </c>
      <c r="E421">
        <v>2486</v>
      </c>
    </row>
    <row r="422" ht="13.85" spans="1:5">
      <c r="A422">
        <f t="shared" si="6"/>
        <v>421</v>
      </c>
      <c r="B422" s="11">
        <v>48260868</v>
      </c>
      <c r="C422" s="11">
        <v>490</v>
      </c>
      <c r="D422">
        <v>235200000</v>
      </c>
      <c r="E422">
        <v>2485</v>
      </c>
    </row>
    <row r="423" ht="13.85" spans="1:5">
      <c r="A423">
        <f t="shared" si="6"/>
        <v>422</v>
      </c>
      <c r="B423" s="11">
        <v>30395710</v>
      </c>
      <c r="C423" s="11">
        <v>472</v>
      </c>
      <c r="D423">
        <v>226560000</v>
      </c>
      <c r="E423">
        <v>2484</v>
      </c>
    </row>
    <row r="424" ht="13.85" spans="1:5">
      <c r="A424">
        <f t="shared" si="6"/>
        <v>423</v>
      </c>
      <c r="B424" s="11">
        <v>58721522</v>
      </c>
      <c r="C424" s="11">
        <v>457</v>
      </c>
      <c r="D424">
        <v>219360000</v>
      </c>
      <c r="E424">
        <v>2483</v>
      </c>
    </row>
    <row r="425" ht="13.85" spans="1:5">
      <c r="A425">
        <f t="shared" si="6"/>
        <v>424</v>
      </c>
      <c r="B425" s="11">
        <v>40105280</v>
      </c>
      <c r="C425" s="11">
        <v>432</v>
      </c>
      <c r="D425">
        <v>207360000</v>
      </c>
      <c r="E425">
        <v>2482</v>
      </c>
    </row>
    <row r="426" ht="13.85" spans="1:5">
      <c r="A426">
        <f t="shared" si="6"/>
        <v>425</v>
      </c>
      <c r="B426" s="11">
        <v>26517974</v>
      </c>
      <c r="C426" s="11">
        <v>416</v>
      </c>
      <c r="D426">
        <v>199680000</v>
      </c>
      <c r="E426">
        <v>2481</v>
      </c>
    </row>
    <row r="427" ht="13.85" spans="1:5">
      <c r="A427">
        <f t="shared" si="6"/>
        <v>426</v>
      </c>
      <c r="B427" s="11">
        <v>51497768</v>
      </c>
      <c r="C427" s="11">
        <v>409</v>
      </c>
      <c r="D427">
        <v>196320000</v>
      </c>
      <c r="E427">
        <v>2480</v>
      </c>
    </row>
    <row r="428" ht="13.85" spans="1:5">
      <c r="A428">
        <f t="shared" si="6"/>
        <v>427</v>
      </c>
      <c r="B428" s="11">
        <v>33501306</v>
      </c>
      <c r="C428" s="11">
        <v>388</v>
      </c>
      <c r="D428">
        <v>186240000</v>
      </c>
      <c r="E428">
        <v>2479</v>
      </c>
    </row>
    <row r="429" ht="13.85" spans="1:5">
      <c r="A429">
        <f t="shared" si="6"/>
        <v>428</v>
      </c>
      <c r="B429" s="11">
        <v>20181750</v>
      </c>
      <c r="C429" s="11">
        <v>375</v>
      </c>
      <c r="D429">
        <v>180000000</v>
      </c>
      <c r="E429">
        <v>2478</v>
      </c>
    </row>
    <row r="430" ht="13.85" spans="1:5">
      <c r="A430">
        <f t="shared" si="6"/>
        <v>429</v>
      </c>
      <c r="B430" s="11">
        <v>45475288</v>
      </c>
      <c r="C430" s="11">
        <v>367</v>
      </c>
      <c r="D430">
        <v>176160000</v>
      </c>
      <c r="E430">
        <v>2477</v>
      </c>
    </row>
    <row r="431" ht="13.85" spans="1:5">
      <c r="A431">
        <f t="shared" si="6"/>
        <v>430</v>
      </c>
      <c r="B431" s="11">
        <v>31703086</v>
      </c>
      <c r="C431" s="11">
        <v>345</v>
      </c>
      <c r="D431">
        <v>165600000</v>
      </c>
      <c r="E431">
        <v>2476</v>
      </c>
    </row>
    <row r="432" ht="13.85" spans="1:5">
      <c r="A432">
        <f t="shared" si="6"/>
        <v>431</v>
      </c>
      <c r="B432" s="11">
        <v>19989408</v>
      </c>
      <c r="C432" s="11">
        <v>332</v>
      </c>
      <c r="D432">
        <v>159360000</v>
      </c>
      <c r="E432">
        <v>2475</v>
      </c>
    </row>
    <row r="433" ht="13.85" spans="1:5">
      <c r="A433">
        <f t="shared" si="6"/>
        <v>432</v>
      </c>
      <c r="B433" s="11">
        <v>42540594</v>
      </c>
      <c r="C433" s="11">
        <v>322</v>
      </c>
      <c r="D433">
        <v>154560000</v>
      </c>
      <c r="E433">
        <v>2474</v>
      </c>
    </row>
    <row r="434" ht="13.85" spans="1:5">
      <c r="A434">
        <f t="shared" si="6"/>
        <v>433</v>
      </c>
      <c r="B434" s="11">
        <v>27518670</v>
      </c>
      <c r="C434" s="11">
        <v>304</v>
      </c>
      <c r="D434">
        <v>145920000</v>
      </c>
      <c r="E434">
        <v>2473</v>
      </c>
    </row>
    <row r="435" ht="13.85" spans="1:5">
      <c r="A435">
        <f t="shared" si="6"/>
        <v>434</v>
      </c>
      <c r="B435" s="11">
        <v>15770788</v>
      </c>
      <c r="C435" s="11">
        <v>293</v>
      </c>
      <c r="D435">
        <v>140640000</v>
      </c>
      <c r="E435">
        <v>2472</v>
      </c>
    </row>
    <row r="436" ht="13.85" spans="1:5">
      <c r="A436">
        <f t="shared" si="6"/>
        <v>435</v>
      </c>
      <c r="B436" s="11">
        <v>39631416</v>
      </c>
      <c r="C436" s="11">
        <v>290</v>
      </c>
      <c r="D436">
        <v>139200000</v>
      </c>
      <c r="E436">
        <v>2471</v>
      </c>
    </row>
    <row r="437" ht="13.85" spans="1:5">
      <c r="A437">
        <f t="shared" si="6"/>
        <v>436</v>
      </c>
      <c r="B437" s="11">
        <v>35770770</v>
      </c>
      <c r="C437" s="11">
        <v>274</v>
      </c>
      <c r="D437">
        <v>131520000</v>
      </c>
      <c r="E437">
        <v>2470</v>
      </c>
    </row>
    <row r="438" ht="13.85" spans="1:5">
      <c r="A438">
        <f t="shared" si="6"/>
        <v>437</v>
      </c>
      <c r="B438" s="11">
        <v>38093434</v>
      </c>
      <c r="C438" s="11">
        <v>258</v>
      </c>
      <c r="D438">
        <v>123840000</v>
      </c>
      <c r="E438">
        <v>2469</v>
      </c>
    </row>
    <row r="439" ht="13.85" spans="1:5">
      <c r="A439">
        <f t="shared" si="6"/>
        <v>438</v>
      </c>
      <c r="B439" s="11">
        <v>34408300</v>
      </c>
      <c r="C439" s="11">
        <v>241</v>
      </c>
      <c r="D439">
        <v>115680000</v>
      </c>
      <c r="E439">
        <v>2468</v>
      </c>
    </row>
    <row r="440" ht="13.85" spans="1:5">
      <c r="A440">
        <f t="shared" si="6"/>
        <v>439</v>
      </c>
      <c r="B440" s="11">
        <v>36227646</v>
      </c>
      <c r="C440" s="11">
        <v>226</v>
      </c>
      <c r="D440">
        <v>108480000</v>
      </c>
      <c r="E440">
        <v>2467</v>
      </c>
    </row>
    <row r="441" ht="13.85" spans="1:5">
      <c r="A441">
        <f t="shared" si="6"/>
        <v>440</v>
      </c>
      <c r="B441" s="11">
        <v>32925456</v>
      </c>
      <c r="C441" s="11">
        <v>211</v>
      </c>
      <c r="D441">
        <v>101280000</v>
      </c>
      <c r="E441">
        <v>2466</v>
      </c>
    </row>
    <row r="442" ht="13.85" spans="1:5">
      <c r="A442">
        <f t="shared" si="6"/>
        <v>441</v>
      </c>
      <c r="B442" s="11">
        <v>33899762</v>
      </c>
      <c r="C442" s="11">
        <v>199</v>
      </c>
      <c r="D442">
        <v>95520000</v>
      </c>
      <c r="E442">
        <v>2465</v>
      </c>
    </row>
    <row r="443" ht="13.85" spans="1:5">
      <c r="A443">
        <f t="shared" si="6"/>
        <v>442</v>
      </c>
      <c r="B443" s="11">
        <v>29583886</v>
      </c>
      <c r="C443" s="11">
        <v>186</v>
      </c>
      <c r="D443">
        <v>89280000</v>
      </c>
      <c r="E443">
        <v>2464</v>
      </c>
    </row>
    <row r="444" ht="13.85" spans="1:5">
      <c r="A444">
        <f t="shared" si="6"/>
        <v>443</v>
      </c>
      <c r="B444" s="11">
        <v>31441454</v>
      </c>
      <c r="C444" s="11">
        <v>174</v>
      </c>
      <c r="D444">
        <v>83520000</v>
      </c>
      <c r="E444">
        <v>2463</v>
      </c>
    </row>
    <row r="445" ht="13.85" spans="1:5">
      <c r="A445">
        <f t="shared" si="6"/>
        <v>444</v>
      </c>
      <c r="B445" s="11">
        <v>28503806</v>
      </c>
      <c r="C445" s="11">
        <v>161</v>
      </c>
      <c r="D445">
        <v>77280000</v>
      </c>
      <c r="E445">
        <v>2462</v>
      </c>
    </row>
    <row r="446" ht="13.85" spans="1:5">
      <c r="A446">
        <f t="shared" si="6"/>
        <v>445</v>
      </c>
      <c r="B446" s="11">
        <v>30357186</v>
      </c>
      <c r="C446" s="11">
        <v>150</v>
      </c>
      <c r="D446">
        <v>72000000</v>
      </c>
      <c r="E446">
        <v>2461</v>
      </c>
    </row>
    <row r="447" ht="13.85" spans="1:5">
      <c r="A447">
        <f t="shared" si="6"/>
        <v>446</v>
      </c>
      <c r="B447" s="11">
        <v>27556082</v>
      </c>
      <c r="C447" s="11">
        <v>137</v>
      </c>
      <c r="D447">
        <v>65760000</v>
      </c>
      <c r="E447">
        <v>2460</v>
      </c>
    </row>
    <row r="448" ht="13.85" spans="1:5">
      <c r="A448">
        <f t="shared" si="6"/>
        <v>447</v>
      </c>
      <c r="B448" s="11">
        <v>29160514</v>
      </c>
      <c r="C448" s="11">
        <v>127</v>
      </c>
      <c r="D448">
        <v>60960000</v>
      </c>
      <c r="E448">
        <v>2459</v>
      </c>
    </row>
    <row r="449" ht="13.85" spans="1:5">
      <c r="A449">
        <f t="shared" si="6"/>
        <v>448</v>
      </c>
      <c r="B449" s="11">
        <v>26108076</v>
      </c>
      <c r="C449" s="11">
        <v>113</v>
      </c>
      <c r="D449">
        <v>54240000</v>
      </c>
      <c r="E449">
        <v>2458</v>
      </c>
    </row>
    <row r="450" ht="13.85" spans="1:5">
      <c r="A450">
        <f t="shared" ref="A450:A513" si="7">ROW()-1</f>
        <v>449</v>
      </c>
      <c r="B450" s="11">
        <v>29272136</v>
      </c>
      <c r="C450" s="11">
        <v>101</v>
      </c>
      <c r="D450">
        <v>48480000</v>
      </c>
      <c r="E450">
        <v>2457</v>
      </c>
    </row>
    <row r="451" ht="13.85" spans="1:5">
      <c r="A451">
        <f t="shared" si="7"/>
        <v>450</v>
      </c>
      <c r="B451" s="11">
        <v>23855048</v>
      </c>
      <c r="C451" s="11">
        <v>88</v>
      </c>
      <c r="D451">
        <v>42240000</v>
      </c>
      <c r="E451">
        <v>2456</v>
      </c>
    </row>
    <row r="452" ht="13.85" spans="1:5">
      <c r="A452">
        <f t="shared" si="7"/>
        <v>451</v>
      </c>
      <c r="B452" s="11">
        <v>25479456</v>
      </c>
      <c r="C452" s="11">
        <v>75</v>
      </c>
      <c r="D452">
        <v>36000000</v>
      </c>
      <c r="E452">
        <v>2455</v>
      </c>
    </row>
    <row r="453" ht="13.85" spans="1:5">
      <c r="A453">
        <f t="shared" si="7"/>
        <v>452</v>
      </c>
      <c r="B453" s="11">
        <v>22925266</v>
      </c>
      <c r="C453" s="11">
        <v>63</v>
      </c>
      <c r="D453">
        <v>30240000</v>
      </c>
      <c r="E453">
        <v>2454</v>
      </c>
    </row>
    <row r="454" ht="13.85" spans="1:5">
      <c r="A454">
        <f t="shared" si="7"/>
        <v>453</v>
      </c>
      <c r="B454" s="11">
        <v>24704830</v>
      </c>
      <c r="C454" s="11">
        <v>52</v>
      </c>
      <c r="D454">
        <v>24960000</v>
      </c>
      <c r="E454">
        <v>2453</v>
      </c>
    </row>
    <row r="455" ht="13.85" spans="1:5">
      <c r="A455">
        <f t="shared" si="7"/>
        <v>454</v>
      </c>
      <c r="B455" s="11">
        <v>21725452</v>
      </c>
      <c r="C455" s="11">
        <v>40</v>
      </c>
      <c r="D455">
        <v>19200000</v>
      </c>
      <c r="E455">
        <v>2452</v>
      </c>
    </row>
    <row r="456" ht="13.85" spans="1:5">
      <c r="A456">
        <f t="shared" si="7"/>
        <v>455</v>
      </c>
      <c r="B456" s="11">
        <v>22953084</v>
      </c>
      <c r="C456" s="11">
        <v>31</v>
      </c>
      <c r="D456">
        <v>14880000</v>
      </c>
      <c r="E456">
        <v>2451</v>
      </c>
    </row>
    <row r="457" ht="13.85" spans="1:5">
      <c r="A457">
        <f t="shared" si="7"/>
        <v>456</v>
      </c>
      <c r="B457" s="11">
        <v>20887428</v>
      </c>
      <c r="C457" s="11">
        <v>20</v>
      </c>
      <c r="D457">
        <v>9600000</v>
      </c>
      <c r="E457">
        <v>2450</v>
      </c>
    </row>
    <row r="458" ht="13.85" spans="1:5">
      <c r="A458">
        <f t="shared" si="7"/>
        <v>457</v>
      </c>
      <c r="B458" s="11">
        <v>40881164</v>
      </c>
      <c r="C458" s="11">
        <v>285.6</v>
      </c>
      <c r="D458">
        <v>137088000</v>
      </c>
      <c r="E458">
        <v>2449</v>
      </c>
    </row>
    <row r="459" ht="13.85" spans="1:5">
      <c r="A459">
        <f t="shared" si="7"/>
        <v>458</v>
      </c>
      <c r="B459" s="11">
        <v>37049466</v>
      </c>
      <c r="C459" s="11">
        <v>268</v>
      </c>
      <c r="D459">
        <v>128640000</v>
      </c>
      <c r="E459">
        <v>2448</v>
      </c>
    </row>
    <row r="460" ht="13.85" spans="1:5">
      <c r="A460">
        <f t="shared" si="7"/>
        <v>459</v>
      </c>
      <c r="B460" s="11">
        <v>39926970</v>
      </c>
      <c r="C460" s="11">
        <v>253</v>
      </c>
      <c r="D460">
        <v>121440000</v>
      </c>
      <c r="E460">
        <v>2447</v>
      </c>
    </row>
    <row r="461" ht="13.85" spans="1:5">
      <c r="A461">
        <f t="shared" si="7"/>
        <v>460</v>
      </c>
      <c r="B461" s="11">
        <v>35862274</v>
      </c>
      <c r="C461" s="11">
        <v>236</v>
      </c>
      <c r="D461">
        <v>113280000</v>
      </c>
      <c r="E461">
        <v>2446</v>
      </c>
    </row>
    <row r="462" ht="13.85" spans="1:5">
      <c r="A462">
        <f t="shared" si="7"/>
        <v>461</v>
      </c>
      <c r="B462" s="11">
        <v>39451952</v>
      </c>
      <c r="C462" s="11">
        <v>218</v>
      </c>
      <c r="D462">
        <v>104640000</v>
      </c>
      <c r="E462">
        <v>2445</v>
      </c>
    </row>
    <row r="463" ht="13.85" spans="1:5">
      <c r="A463">
        <f t="shared" si="7"/>
        <v>462</v>
      </c>
      <c r="B463" s="11">
        <v>34820106</v>
      </c>
      <c r="C463" s="11">
        <v>201</v>
      </c>
      <c r="D463">
        <v>96480000</v>
      </c>
      <c r="E463">
        <v>2444</v>
      </c>
    </row>
    <row r="464" ht="13.85" spans="1:5">
      <c r="A464">
        <f t="shared" si="7"/>
        <v>463</v>
      </c>
      <c r="B464" s="11">
        <v>34244304</v>
      </c>
      <c r="C464" s="11">
        <v>183</v>
      </c>
      <c r="D464">
        <v>87840000</v>
      </c>
      <c r="E464">
        <v>2443</v>
      </c>
    </row>
    <row r="465" ht="13.85" spans="1:5">
      <c r="A465">
        <f t="shared" si="7"/>
        <v>464</v>
      </c>
      <c r="B465" s="11">
        <v>30035704</v>
      </c>
      <c r="C465" s="11">
        <v>168</v>
      </c>
      <c r="D465">
        <v>80640000</v>
      </c>
      <c r="E465">
        <v>2442</v>
      </c>
    </row>
    <row r="466" ht="13.85" spans="1:5">
      <c r="A466">
        <f t="shared" si="7"/>
        <v>465</v>
      </c>
      <c r="B466" s="11">
        <v>31857260</v>
      </c>
      <c r="C466" s="11">
        <v>157</v>
      </c>
      <c r="D466">
        <v>75360000</v>
      </c>
      <c r="E466">
        <v>2441</v>
      </c>
    </row>
    <row r="467" ht="13.85" spans="1:5">
      <c r="A467">
        <f t="shared" si="7"/>
        <v>466</v>
      </c>
      <c r="B467" s="11">
        <v>28323522</v>
      </c>
      <c r="C467" s="11">
        <v>142</v>
      </c>
      <c r="D467">
        <v>68160000</v>
      </c>
      <c r="E467">
        <v>2440</v>
      </c>
    </row>
    <row r="468" ht="13.85" spans="1:5">
      <c r="A468">
        <f t="shared" si="7"/>
        <v>467</v>
      </c>
      <c r="B468" s="11">
        <v>30319874</v>
      </c>
      <c r="C468" s="11">
        <v>129</v>
      </c>
      <c r="D468">
        <v>61920000</v>
      </c>
      <c r="E468">
        <v>2439</v>
      </c>
    </row>
    <row r="469" ht="13.85" spans="1:5">
      <c r="A469">
        <f t="shared" si="7"/>
        <v>468</v>
      </c>
      <c r="B469" s="11">
        <v>26387972</v>
      </c>
      <c r="C469" s="11">
        <v>116</v>
      </c>
      <c r="D469">
        <v>55680000</v>
      </c>
      <c r="E469">
        <v>2438</v>
      </c>
    </row>
    <row r="470" ht="13.85" spans="1:5">
      <c r="A470">
        <f t="shared" si="7"/>
        <v>469</v>
      </c>
      <c r="B470" s="11">
        <v>28372042</v>
      </c>
      <c r="C470" s="11">
        <v>104</v>
      </c>
      <c r="D470">
        <v>49920000</v>
      </c>
      <c r="E470">
        <v>2437</v>
      </c>
    </row>
    <row r="471" ht="13.85" spans="1:5">
      <c r="A471">
        <f t="shared" si="7"/>
        <v>470</v>
      </c>
      <c r="B471" s="11">
        <v>23768138</v>
      </c>
      <c r="C471" s="11">
        <v>90</v>
      </c>
      <c r="D471">
        <v>43200000</v>
      </c>
      <c r="E471">
        <v>2436</v>
      </c>
    </row>
    <row r="472" ht="13.85" spans="1:5">
      <c r="A472">
        <f t="shared" si="7"/>
        <v>471</v>
      </c>
      <c r="B472" s="11">
        <v>25759548</v>
      </c>
      <c r="C472" s="11">
        <v>79</v>
      </c>
      <c r="D472">
        <v>37920000</v>
      </c>
      <c r="E472">
        <v>2435</v>
      </c>
    </row>
    <row r="473" ht="13.85" spans="1:5">
      <c r="A473">
        <f t="shared" si="7"/>
        <v>472</v>
      </c>
      <c r="B473" s="11">
        <v>22891984</v>
      </c>
      <c r="C473" s="11">
        <v>67</v>
      </c>
      <c r="D473">
        <v>32160000</v>
      </c>
      <c r="E473">
        <v>2434</v>
      </c>
    </row>
    <row r="474" ht="13.85" spans="1:5">
      <c r="A474">
        <f t="shared" si="7"/>
        <v>473</v>
      </c>
      <c r="B474" s="11">
        <v>25091756</v>
      </c>
      <c r="C474" s="11">
        <v>55</v>
      </c>
      <c r="D474">
        <v>26400000</v>
      </c>
      <c r="E474">
        <v>2433</v>
      </c>
    </row>
    <row r="475" ht="13.85" spans="1:5">
      <c r="A475">
        <f t="shared" si="7"/>
        <v>474</v>
      </c>
      <c r="B475" s="11">
        <v>21928592</v>
      </c>
      <c r="C475" s="11">
        <v>43</v>
      </c>
      <c r="D475">
        <v>20640000</v>
      </c>
      <c r="E475">
        <v>2432</v>
      </c>
    </row>
    <row r="476" ht="13.85" spans="1:5">
      <c r="A476">
        <f t="shared" si="7"/>
        <v>475</v>
      </c>
      <c r="B476" s="11">
        <v>24642144</v>
      </c>
      <c r="C476" s="11">
        <v>32</v>
      </c>
      <c r="D476">
        <v>15360000</v>
      </c>
      <c r="E476">
        <v>2431</v>
      </c>
    </row>
    <row r="477" ht="13.85" spans="1:5">
      <c r="A477">
        <f t="shared" si="7"/>
        <v>476</v>
      </c>
      <c r="B477" s="11">
        <v>21647194</v>
      </c>
      <c r="C477" s="11">
        <v>20</v>
      </c>
      <c r="D477">
        <v>9600000</v>
      </c>
      <c r="E477">
        <v>2430</v>
      </c>
    </row>
    <row r="478" ht="13.85" spans="1:5">
      <c r="A478">
        <f t="shared" si="7"/>
        <v>477</v>
      </c>
      <c r="B478" s="11">
        <v>38614990</v>
      </c>
      <c r="C478" s="27">
        <v>235.4</v>
      </c>
      <c r="D478">
        <v>112992000</v>
      </c>
      <c r="E478">
        <v>2429</v>
      </c>
    </row>
    <row r="479" ht="13.85" spans="1:5">
      <c r="A479">
        <f t="shared" si="7"/>
        <v>478</v>
      </c>
      <c r="B479" s="11">
        <v>35302650</v>
      </c>
      <c r="C479" s="11">
        <v>220</v>
      </c>
      <c r="D479">
        <v>105600000</v>
      </c>
      <c r="E479">
        <v>2428</v>
      </c>
    </row>
    <row r="480" ht="13.85" spans="1:5">
      <c r="A480">
        <f t="shared" si="7"/>
        <v>479</v>
      </c>
      <c r="B480" s="11">
        <v>37754552</v>
      </c>
      <c r="C480" s="11">
        <v>200</v>
      </c>
      <c r="D480">
        <v>96000000</v>
      </c>
      <c r="E480">
        <v>2427</v>
      </c>
    </row>
    <row r="481" ht="13.85" spans="1:5">
      <c r="A481">
        <f t="shared" si="7"/>
        <v>480</v>
      </c>
      <c r="B481" s="11">
        <v>32887128</v>
      </c>
      <c r="C481" s="11">
        <v>184</v>
      </c>
      <c r="D481">
        <v>88320000</v>
      </c>
      <c r="E481">
        <v>2426</v>
      </c>
    </row>
    <row r="482" ht="13.85" spans="1:5">
      <c r="A482">
        <f t="shared" si="7"/>
        <v>481</v>
      </c>
      <c r="B482" s="11">
        <v>34159586</v>
      </c>
      <c r="C482" s="11">
        <v>169</v>
      </c>
      <c r="D482">
        <v>81120000</v>
      </c>
      <c r="E482">
        <v>2425</v>
      </c>
    </row>
    <row r="483" ht="13.85" spans="1:5">
      <c r="A483">
        <f t="shared" si="7"/>
        <v>482</v>
      </c>
      <c r="B483" s="11">
        <v>30408090</v>
      </c>
      <c r="C483" s="11">
        <v>155</v>
      </c>
      <c r="D483">
        <v>74400000</v>
      </c>
      <c r="E483">
        <v>2424</v>
      </c>
    </row>
    <row r="484" ht="13.85" spans="1:5">
      <c r="A484">
        <f t="shared" si="7"/>
        <v>483</v>
      </c>
      <c r="B484" s="11">
        <v>32552540</v>
      </c>
      <c r="C484" s="11">
        <v>138</v>
      </c>
      <c r="D484">
        <v>66240000</v>
      </c>
      <c r="E484">
        <v>2423</v>
      </c>
    </row>
    <row r="485" ht="13.85" spans="1:5">
      <c r="A485">
        <f t="shared" si="7"/>
        <v>484</v>
      </c>
      <c r="B485" s="11">
        <v>29889256</v>
      </c>
      <c r="C485" s="11">
        <v>123</v>
      </c>
      <c r="D485">
        <v>59040000</v>
      </c>
      <c r="E485">
        <v>2422</v>
      </c>
    </row>
    <row r="486" ht="13.85" spans="1:5">
      <c r="A486">
        <f t="shared" si="7"/>
        <v>485</v>
      </c>
      <c r="B486" s="11">
        <v>31550048</v>
      </c>
      <c r="C486" s="11">
        <v>106</v>
      </c>
      <c r="D486">
        <v>50880000</v>
      </c>
      <c r="E486">
        <v>2421</v>
      </c>
    </row>
    <row r="487" ht="13.85" spans="1:5">
      <c r="A487">
        <f t="shared" si="7"/>
        <v>486</v>
      </c>
      <c r="B487" s="11">
        <v>26720712</v>
      </c>
      <c r="C487" s="11">
        <v>90</v>
      </c>
      <c r="D487">
        <v>43200000</v>
      </c>
      <c r="E487">
        <v>2420</v>
      </c>
    </row>
    <row r="488" ht="13.85" spans="1:5">
      <c r="A488">
        <f t="shared" si="7"/>
        <v>487</v>
      </c>
      <c r="B488" s="11">
        <v>26969680</v>
      </c>
      <c r="C488" s="11">
        <v>78</v>
      </c>
      <c r="D488">
        <v>37440000</v>
      </c>
      <c r="E488">
        <v>2419</v>
      </c>
    </row>
    <row r="489" ht="13.85" spans="1:5">
      <c r="A489">
        <f t="shared" si="7"/>
        <v>488</v>
      </c>
      <c r="B489" s="11">
        <v>22240084</v>
      </c>
      <c r="C489" s="11">
        <v>66</v>
      </c>
      <c r="D489">
        <v>31680000</v>
      </c>
      <c r="E489">
        <v>2418</v>
      </c>
    </row>
    <row r="490" ht="13.85" spans="1:5">
      <c r="A490">
        <f t="shared" si="7"/>
        <v>489</v>
      </c>
      <c r="B490" s="11">
        <v>26784704</v>
      </c>
      <c r="C490" s="11">
        <v>56</v>
      </c>
      <c r="D490">
        <v>26880000</v>
      </c>
      <c r="E490">
        <v>2417</v>
      </c>
    </row>
    <row r="491" ht="13.85" spans="1:5">
      <c r="A491">
        <f t="shared" si="7"/>
        <v>490</v>
      </c>
      <c r="B491" s="11">
        <v>23483028</v>
      </c>
      <c r="C491" s="11">
        <v>42</v>
      </c>
      <c r="D491">
        <v>20160000</v>
      </c>
      <c r="E491">
        <v>2416</v>
      </c>
    </row>
    <row r="492" ht="13.85" spans="1:5">
      <c r="A492">
        <f t="shared" si="7"/>
        <v>491</v>
      </c>
      <c r="B492" s="11">
        <v>27098750</v>
      </c>
      <c r="C492" s="11">
        <v>30</v>
      </c>
      <c r="D492">
        <v>14400000</v>
      </c>
      <c r="E492">
        <v>2415</v>
      </c>
    </row>
    <row r="493" ht="13.85" spans="1:5">
      <c r="A493">
        <f t="shared" si="7"/>
        <v>492</v>
      </c>
      <c r="B493" s="11">
        <v>23450236</v>
      </c>
      <c r="C493" s="11">
        <v>20</v>
      </c>
      <c r="D493">
        <v>9600000</v>
      </c>
      <c r="E493">
        <v>2414</v>
      </c>
    </row>
    <row r="494" ht="13.85" spans="1:5">
      <c r="A494">
        <f t="shared" si="7"/>
        <v>493</v>
      </c>
      <c r="B494" s="11">
        <v>28997246</v>
      </c>
      <c r="C494" s="27">
        <v>33.2</v>
      </c>
      <c r="D494">
        <v>15936000</v>
      </c>
      <c r="E494">
        <v>2413</v>
      </c>
    </row>
    <row r="495" ht="13.85" spans="1:5">
      <c r="A495">
        <f t="shared" si="7"/>
        <v>494</v>
      </c>
      <c r="B495" s="11">
        <v>25948124</v>
      </c>
      <c r="C495" s="11">
        <v>20</v>
      </c>
      <c r="D495">
        <v>9600000</v>
      </c>
      <c r="E495">
        <v>2412</v>
      </c>
    </row>
    <row r="496" ht="13.85" spans="1:5">
      <c r="A496">
        <f t="shared" si="7"/>
        <v>495</v>
      </c>
      <c r="B496" s="11">
        <v>51041966</v>
      </c>
      <c r="C496" s="11">
        <v>23.2</v>
      </c>
      <c r="D496">
        <v>11136000</v>
      </c>
      <c r="E496">
        <v>2411</v>
      </c>
    </row>
    <row r="497" ht="13.85" spans="1:5">
      <c r="A497">
        <f t="shared" si="7"/>
        <v>496</v>
      </c>
      <c r="B497" s="11">
        <v>228560798</v>
      </c>
      <c r="C497" s="11">
        <v>730</v>
      </c>
      <c r="D497">
        <v>350400000</v>
      </c>
      <c r="E497">
        <v>2410</v>
      </c>
    </row>
    <row r="498" ht="13.85" spans="1:5">
      <c r="A498">
        <f t="shared" si="7"/>
        <v>497</v>
      </c>
      <c r="B498" s="11">
        <v>206147690</v>
      </c>
      <c r="C498" s="11">
        <v>640</v>
      </c>
      <c r="D498">
        <v>307200000</v>
      </c>
      <c r="E498">
        <v>2409</v>
      </c>
    </row>
    <row r="499" ht="13.85" spans="1:5">
      <c r="A499">
        <f t="shared" si="7"/>
        <v>498</v>
      </c>
      <c r="B499" s="11">
        <v>167292390</v>
      </c>
      <c r="C499" s="11">
        <v>550</v>
      </c>
      <c r="D499">
        <v>264000000</v>
      </c>
      <c r="E499">
        <v>2408</v>
      </c>
    </row>
    <row r="500" ht="13.85" spans="1:5">
      <c r="A500">
        <f t="shared" si="7"/>
        <v>499</v>
      </c>
      <c r="B500" s="11">
        <v>122088036</v>
      </c>
      <c r="C500" s="11">
        <v>470</v>
      </c>
      <c r="D500">
        <v>225600000</v>
      </c>
      <c r="E500">
        <v>2407</v>
      </c>
    </row>
    <row r="501" ht="13.85" spans="1:5">
      <c r="A501">
        <f t="shared" si="7"/>
        <v>500</v>
      </c>
      <c r="B501" s="11">
        <v>94880774</v>
      </c>
      <c r="C501" s="11">
        <v>410</v>
      </c>
      <c r="D501">
        <v>196800000</v>
      </c>
      <c r="E501">
        <v>2406</v>
      </c>
    </row>
    <row r="502" ht="13.85" spans="1:5">
      <c r="A502">
        <f t="shared" si="7"/>
        <v>501</v>
      </c>
      <c r="B502" s="15">
        <v>66902728</v>
      </c>
      <c r="C502" s="15">
        <v>384</v>
      </c>
      <c r="D502">
        <v>184320000</v>
      </c>
      <c r="E502">
        <v>2405</v>
      </c>
    </row>
    <row r="503" ht="13.85" spans="1:5">
      <c r="A503">
        <f t="shared" si="7"/>
        <v>502</v>
      </c>
      <c r="B503" s="13">
        <v>57637090</v>
      </c>
      <c r="C503" s="13">
        <v>363</v>
      </c>
      <c r="D503">
        <v>174240000</v>
      </c>
      <c r="E503">
        <v>2404</v>
      </c>
    </row>
    <row r="504" ht="13.85" spans="1:5">
      <c r="A504">
        <f t="shared" si="7"/>
        <v>503</v>
      </c>
      <c r="B504" s="11">
        <v>46437676</v>
      </c>
      <c r="C504" s="11">
        <v>341</v>
      </c>
      <c r="D504">
        <v>163680000</v>
      </c>
      <c r="E504">
        <v>2403</v>
      </c>
    </row>
    <row r="505" ht="13.85" spans="1:5">
      <c r="A505">
        <f t="shared" si="7"/>
        <v>504</v>
      </c>
      <c r="B505" s="11">
        <v>48014748</v>
      </c>
      <c r="C505" s="11">
        <v>321</v>
      </c>
      <c r="D505">
        <v>154080000</v>
      </c>
      <c r="E505">
        <v>2402</v>
      </c>
    </row>
    <row r="506" ht="13.85" spans="1:5">
      <c r="A506">
        <f t="shared" si="7"/>
        <v>505</v>
      </c>
      <c r="B506" s="11">
        <v>43407516</v>
      </c>
      <c r="C506" s="11">
        <v>304</v>
      </c>
      <c r="D506">
        <v>145920000</v>
      </c>
      <c r="E506">
        <v>2401</v>
      </c>
    </row>
    <row r="507" ht="13.85" spans="1:5">
      <c r="A507">
        <f t="shared" si="7"/>
        <v>506</v>
      </c>
      <c r="B507" s="11">
        <v>36793454</v>
      </c>
      <c r="C507" s="11">
        <v>287</v>
      </c>
      <c r="D507">
        <v>137760000</v>
      </c>
      <c r="E507">
        <v>2400</v>
      </c>
    </row>
    <row r="508" ht="13.85" spans="1:5">
      <c r="A508">
        <f t="shared" si="7"/>
        <v>507</v>
      </c>
      <c r="B508" s="11">
        <v>38752946</v>
      </c>
      <c r="C508" s="11">
        <v>277</v>
      </c>
      <c r="D508">
        <v>132960000</v>
      </c>
      <c r="E508">
        <v>2399</v>
      </c>
    </row>
    <row r="509" ht="13.85" spans="1:5">
      <c r="A509">
        <f t="shared" si="7"/>
        <v>508</v>
      </c>
      <c r="B509" s="11">
        <v>34736422</v>
      </c>
      <c r="C509" s="11">
        <v>262</v>
      </c>
      <c r="D509">
        <v>125760000</v>
      </c>
      <c r="E509">
        <v>2398</v>
      </c>
    </row>
    <row r="510" ht="13.85" spans="1:5">
      <c r="A510">
        <f t="shared" si="7"/>
        <v>509</v>
      </c>
      <c r="B510" s="11">
        <v>36717220</v>
      </c>
      <c r="C510" s="11">
        <v>243</v>
      </c>
      <c r="D510">
        <v>116640000</v>
      </c>
      <c r="E510">
        <v>2397</v>
      </c>
    </row>
    <row r="511" ht="13.85" spans="1:5">
      <c r="A511">
        <f t="shared" si="7"/>
        <v>510</v>
      </c>
      <c r="B511" s="11">
        <v>32564116</v>
      </c>
      <c r="C511" s="11">
        <v>231</v>
      </c>
      <c r="D511">
        <v>110880000</v>
      </c>
      <c r="E511">
        <v>2396</v>
      </c>
    </row>
    <row r="512" ht="13.85" spans="1:5">
      <c r="A512">
        <f t="shared" si="7"/>
        <v>511</v>
      </c>
      <c r="B512" s="11">
        <v>31422426</v>
      </c>
      <c r="C512" s="11">
        <v>216</v>
      </c>
      <c r="D512">
        <v>103680000</v>
      </c>
      <c r="E512">
        <v>2395</v>
      </c>
    </row>
    <row r="513" ht="13.85" spans="1:5">
      <c r="A513">
        <f t="shared" si="7"/>
        <v>512</v>
      </c>
      <c r="B513" s="11">
        <v>33485282</v>
      </c>
      <c r="C513" s="11">
        <v>202</v>
      </c>
      <c r="D513">
        <v>96960000</v>
      </c>
      <c r="E513">
        <v>2394</v>
      </c>
    </row>
    <row r="514" ht="13.85" spans="1:5">
      <c r="A514">
        <f t="shared" ref="A514:A577" si="8">ROW()-1</f>
        <v>513</v>
      </c>
      <c r="B514" s="11">
        <v>31533938</v>
      </c>
      <c r="C514" s="11">
        <v>192</v>
      </c>
      <c r="D514">
        <v>92160000</v>
      </c>
      <c r="E514">
        <v>2393</v>
      </c>
    </row>
    <row r="515" ht="13.85" spans="1:5">
      <c r="A515">
        <f t="shared" si="8"/>
        <v>514</v>
      </c>
      <c r="B515" s="11">
        <v>27134382</v>
      </c>
      <c r="C515" s="11">
        <v>179</v>
      </c>
      <c r="D515">
        <v>85920000</v>
      </c>
      <c r="E515">
        <v>2392</v>
      </c>
    </row>
    <row r="516" ht="13.85" spans="1:5">
      <c r="A516">
        <f t="shared" si="8"/>
        <v>515</v>
      </c>
      <c r="B516" s="11">
        <v>29775220</v>
      </c>
      <c r="C516" s="11">
        <v>168</v>
      </c>
      <c r="D516">
        <v>80640000</v>
      </c>
      <c r="E516">
        <v>2391</v>
      </c>
    </row>
    <row r="517" ht="13.85" spans="1:5">
      <c r="A517">
        <f t="shared" si="8"/>
        <v>516</v>
      </c>
      <c r="B517" s="11">
        <v>25908860</v>
      </c>
      <c r="C517" s="11">
        <v>158</v>
      </c>
      <c r="D517">
        <v>75840000</v>
      </c>
      <c r="E517">
        <v>2390</v>
      </c>
    </row>
    <row r="518" ht="13.85" spans="1:5">
      <c r="A518">
        <f t="shared" si="8"/>
        <v>517</v>
      </c>
      <c r="B518" s="11">
        <v>28168102</v>
      </c>
      <c r="C518" s="11">
        <v>149</v>
      </c>
      <c r="D518">
        <v>71520000</v>
      </c>
      <c r="E518">
        <v>2389</v>
      </c>
    </row>
    <row r="519" ht="13.85" spans="1:5">
      <c r="A519">
        <f t="shared" si="8"/>
        <v>518</v>
      </c>
      <c r="B519" s="11">
        <v>25241986</v>
      </c>
      <c r="C519" s="11">
        <v>137</v>
      </c>
      <c r="D519">
        <v>65760000</v>
      </c>
      <c r="E519">
        <v>2388</v>
      </c>
    </row>
    <row r="520" ht="13.85" spans="1:5">
      <c r="A520">
        <f t="shared" si="8"/>
        <v>519</v>
      </c>
      <c r="B520" s="11">
        <v>28070898</v>
      </c>
      <c r="C520" s="11">
        <v>127</v>
      </c>
      <c r="D520">
        <v>60960000</v>
      </c>
      <c r="E520">
        <v>2387</v>
      </c>
    </row>
    <row r="521" ht="13.85" spans="1:5">
      <c r="A521">
        <f t="shared" si="8"/>
        <v>520</v>
      </c>
      <c r="B521" s="11">
        <v>24295340</v>
      </c>
      <c r="C521" s="11">
        <v>116</v>
      </c>
      <c r="D521">
        <v>55680000</v>
      </c>
      <c r="E521">
        <v>2386</v>
      </c>
    </row>
    <row r="522" ht="13.85" spans="1:5">
      <c r="A522">
        <f t="shared" si="8"/>
        <v>521</v>
      </c>
      <c r="B522" s="11">
        <v>26672768</v>
      </c>
      <c r="C522" s="11">
        <v>102</v>
      </c>
      <c r="D522">
        <v>48960000</v>
      </c>
      <c r="E522">
        <v>2385</v>
      </c>
    </row>
    <row r="523" ht="13.85" spans="1:5">
      <c r="A523">
        <f t="shared" si="8"/>
        <v>522</v>
      </c>
      <c r="B523" s="11">
        <v>22460198</v>
      </c>
      <c r="C523" s="11">
        <v>91</v>
      </c>
      <c r="D523">
        <v>43680000</v>
      </c>
      <c r="E523">
        <v>2384</v>
      </c>
    </row>
    <row r="524" ht="13.85" spans="1:5">
      <c r="A524">
        <f t="shared" si="8"/>
        <v>523</v>
      </c>
      <c r="B524" s="11">
        <v>24292664</v>
      </c>
      <c r="C524" s="11">
        <v>82</v>
      </c>
      <c r="D524">
        <v>39360000</v>
      </c>
      <c r="E524">
        <v>2383</v>
      </c>
    </row>
    <row r="525" ht="13.85" spans="1:5">
      <c r="A525">
        <f t="shared" si="8"/>
        <v>524</v>
      </c>
      <c r="B525" s="11">
        <v>21028702</v>
      </c>
      <c r="C525" s="11">
        <v>72</v>
      </c>
      <c r="D525">
        <v>34560000</v>
      </c>
      <c r="E525">
        <v>2382</v>
      </c>
    </row>
    <row r="526" ht="13.85" spans="1:5">
      <c r="A526">
        <f t="shared" si="8"/>
        <v>525</v>
      </c>
      <c r="B526" s="11">
        <v>22981446</v>
      </c>
      <c r="C526" s="11">
        <v>62</v>
      </c>
      <c r="D526">
        <v>29760000</v>
      </c>
      <c r="E526">
        <v>2381</v>
      </c>
    </row>
    <row r="527" ht="13.85" spans="1:5">
      <c r="A527">
        <f t="shared" si="8"/>
        <v>526</v>
      </c>
      <c r="B527" s="11">
        <v>20303728</v>
      </c>
      <c r="C527" s="11">
        <v>52</v>
      </c>
      <c r="D527">
        <v>24960000</v>
      </c>
      <c r="E527">
        <v>2380</v>
      </c>
    </row>
    <row r="528" ht="13.85" spans="1:5">
      <c r="A528">
        <f t="shared" si="8"/>
        <v>527</v>
      </c>
      <c r="B528" s="11">
        <v>22491604</v>
      </c>
      <c r="C528" s="11">
        <v>43</v>
      </c>
      <c r="D528">
        <v>20640000</v>
      </c>
      <c r="E528">
        <v>2379</v>
      </c>
    </row>
    <row r="529" ht="13.85" spans="1:5">
      <c r="A529">
        <f t="shared" si="8"/>
        <v>528</v>
      </c>
      <c r="B529" s="11">
        <v>19156752</v>
      </c>
      <c r="C529" s="11">
        <v>34</v>
      </c>
      <c r="D529">
        <v>16320000</v>
      </c>
      <c r="E529">
        <v>2378</v>
      </c>
    </row>
    <row r="530" ht="13.85" spans="1:5">
      <c r="A530">
        <f t="shared" si="8"/>
        <v>529</v>
      </c>
      <c r="B530" s="11">
        <v>20959364</v>
      </c>
      <c r="C530" s="11">
        <v>25</v>
      </c>
      <c r="D530">
        <v>12000000</v>
      </c>
      <c r="E530">
        <v>2377</v>
      </c>
    </row>
    <row r="531" ht="13.85" spans="1:5">
      <c r="A531">
        <f t="shared" si="8"/>
        <v>530</v>
      </c>
      <c r="B531" s="11">
        <v>18665548</v>
      </c>
      <c r="C531" s="11">
        <v>22</v>
      </c>
      <c r="D531">
        <v>10560000</v>
      </c>
      <c r="E531">
        <v>2376</v>
      </c>
    </row>
    <row r="532" ht="13.85" spans="1:5">
      <c r="A532">
        <f t="shared" si="8"/>
        <v>531</v>
      </c>
      <c r="B532" s="11">
        <v>20759948</v>
      </c>
      <c r="C532" s="11">
        <v>20</v>
      </c>
      <c r="D532">
        <v>9600000</v>
      </c>
      <c r="E532">
        <v>2375</v>
      </c>
    </row>
    <row r="533" ht="13.85" spans="1:5">
      <c r="A533">
        <f t="shared" si="8"/>
        <v>532</v>
      </c>
      <c r="B533" s="11">
        <v>22633558</v>
      </c>
      <c r="C533" s="11">
        <v>94.8</v>
      </c>
      <c r="D533">
        <v>45504000</v>
      </c>
      <c r="E533">
        <v>2374</v>
      </c>
    </row>
    <row r="534" ht="13.85" spans="1:5">
      <c r="A534">
        <f t="shared" si="8"/>
        <v>533</v>
      </c>
      <c r="B534" s="11">
        <v>24136624</v>
      </c>
      <c r="C534" s="11">
        <v>85</v>
      </c>
      <c r="D534">
        <v>40800000</v>
      </c>
      <c r="E534">
        <v>2373</v>
      </c>
    </row>
    <row r="535" ht="13.85" spans="1:5">
      <c r="A535">
        <f t="shared" si="8"/>
        <v>534</v>
      </c>
      <c r="B535" s="11">
        <v>20793390</v>
      </c>
      <c r="C535" s="11">
        <v>75</v>
      </c>
      <c r="D535">
        <v>36000000</v>
      </c>
      <c r="E535">
        <v>2372</v>
      </c>
    </row>
    <row r="536" ht="13.85" spans="1:5">
      <c r="A536">
        <f t="shared" si="8"/>
        <v>535</v>
      </c>
      <c r="B536" s="11">
        <v>23489822</v>
      </c>
      <c r="C536" s="11">
        <v>66</v>
      </c>
      <c r="D536">
        <v>31680000</v>
      </c>
      <c r="E536">
        <v>2371</v>
      </c>
    </row>
    <row r="537" ht="13.85" spans="1:5">
      <c r="A537">
        <f t="shared" si="8"/>
        <v>536</v>
      </c>
      <c r="B537" s="11">
        <v>20511612</v>
      </c>
      <c r="C537" s="11">
        <v>56</v>
      </c>
      <c r="D537">
        <v>26880000</v>
      </c>
      <c r="E537">
        <v>2370</v>
      </c>
    </row>
    <row r="538" ht="13.85" spans="1:5">
      <c r="A538">
        <f t="shared" si="8"/>
        <v>537</v>
      </c>
      <c r="B538" s="11">
        <v>22132880</v>
      </c>
      <c r="C538" s="11">
        <v>47</v>
      </c>
      <c r="D538">
        <v>22560000</v>
      </c>
      <c r="E538">
        <v>2369</v>
      </c>
    </row>
    <row r="539" ht="13.85" spans="1:5">
      <c r="A539">
        <f t="shared" si="8"/>
        <v>538</v>
      </c>
      <c r="B539" s="11">
        <v>19385944</v>
      </c>
      <c r="C539" s="11">
        <v>37</v>
      </c>
      <c r="D539">
        <v>17760000</v>
      </c>
      <c r="E539">
        <v>2368</v>
      </c>
    </row>
    <row r="540" ht="13.85" spans="1:5">
      <c r="A540">
        <f t="shared" si="8"/>
        <v>539</v>
      </c>
      <c r="B540" s="11">
        <v>21393774</v>
      </c>
      <c r="C540" s="11">
        <v>29</v>
      </c>
      <c r="D540">
        <v>13920000</v>
      </c>
      <c r="E540">
        <v>2367</v>
      </c>
    </row>
    <row r="541" ht="13.85" spans="1:5">
      <c r="A541">
        <f t="shared" si="8"/>
        <v>540</v>
      </c>
      <c r="B541" s="11">
        <v>18752270</v>
      </c>
      <c r="C541" s="11">
        <v>22</v>
      </c>
      <c r="D541">
        <v>10560000</v>
      </c>
      <c r="E541">
        <v>2366</v>
      </c>
    </row>
    <row r="542" ht="13.85" spans="1:5">
      <c r="A542">
        <f t="shared" si="8"/>
        <v>541</v>
      </c>
      <c r="B542" s="11">
        <v>21718260</v>
      </c>
      <c r="C542" s="11">
        <v>20</v>
      </c>
      <c r="D542">
        <v>9600000</v>
      </c>
      <c r="E542">
        <v>2365</v>
      </c>
    </row>
    <row r="543" ht="13.85" spans="1:5">
      <c r="A543">
        <f t="shared" si="8"/>
        <v>542</v>
      </c>
      <c r="B543" s="11">
        <v>30143916</v>
      </c>
      <c r="C543" s="11">
        <v>169</v>
      </c>
      <c r="D543">
        <v>81120000</v>
      </c>
      <c r="E543">
        <v>2364</v>
      </c>
    </row>
    <row r="544" ht="13.85" spans="1:5">
      <c r="A544">
        <f t="shared" si="8"/>
        <v>543</v>
      </c>
      <c r="B544" s="11">
        <v>32162676</v>
      </c>
      <c r="C544" s="11">
        <v>158</v>
      </c>
      <c r="D544">
        <v>75840000</v>
      </c>
      <c r="E544">
        <v>2363</v>
      </c>
    </row>
    <row r="545" ht="13.85" spans="1:5">
      <c r="A545">
        <f t="shared" si="8"/>
        <v>544</v>
      </c>
      <c r="B545" s="11">
        <v>28536716</v>
      </c>
      <c r="C545" s="11">
        <v>147</v>
      </c>
      <c r="D545">
        <v>70560000</v>
      </c>
      <c r="E545">
        <v>2362</v>
      </c>
    </row>
    <row r="546" ht="13.85" spans="1:5">
      <c r="A546">
        <f t="shared" si="8"/>
        <v>545</v>
      </c>
      <c r="B546" s="11">
        <v>30216158</v>
      </c>
      <c r="C546" s="11">
        <v>137</v>
      </c>
      <c r="D546">
        <v>65760000</v>
      </c>
      <c r="E546">
        <v>2361</v>
      </c>
    </row>
    <row r="547" ht="13.85" spans="1:5">
      <c r="A547">
        <f t="shared" si="8"/>
        <v>546</v>
      </c>
      <c r="B547" s="11">
        <v>26263738</v>
      </c>
      <c r="C547" s="11">
        <v>126</v>
      </c>
      <c r="D547">
        <v>60480000</v>
      </c>
      <c r="E547">
        <v>2360</v>
      </c>
    </row>
    <row r="548" ht="13.85" spans="1:5">
      <c r="A548">
        <f t="shared" si="8"/>
        <v>547</v>
      </c>
      <c r="B548" s="11">
        <v>26604814</v>
      </c>
      <c r="C548" s="11">
        <v>117</v>
      </c>
      <c r="D548">
        <v>56160000</v>
      </c>
      <c r="E548">
        <v>2359</v>
      </c>
    </row>
    <row r="549" ht="13.85" spans="1:5">
      <c r="A549">
        <f t="shared" si="8"/>
        <v>548</v>
      </c>
      <c r="B549" s="11">
        <v>22875778</v>
      </c>
      <c r="C549" s="11">
        <v>106</v>
      </c>
      <c r="D549">
        <v>50880000</v>
      </c>
      <c r="E549">
        <v>2358</v>
      </c>
    </row>
    <row r="550" ht="13.85" spans="1:5">
      <c r="A550">
        <f t="shared" si="8"/>
        <v>549</v>
      </c>
      <c r="B550" s="11">
        <v>24453758</v>
      </c>
      <c r="C550" s="11">
        <v>97</v>
      </c>
      <c r="D550">
        <v>46560000</v>
      </c>
      <c r="E550">
        <v>2357</v>
      </c>
    </row>
    <row r="551" ht="13.85" spans="1:5">
      <c r="A551">
        <f t="shared" si="8"/>
        <v>550</v>
      </c>
      <c r="B551" s="11">
        <v>21359176</v>
      </c>
      <c r="C551" s="11">
        <v>87</v>
      </c>
      <c r="D551">
        <v>41760000</v>
      </c>
      <c r="E551">
        <v>2356</v>
      </c>
    </row>
    <row r="552" ht="13.85" spans="1:5">
      <c r="A552">
        <f t="shared" si="8"/>
        <v>551</v>
      </c>
      <c r="B552" s="11">
        <v>23194662</v>
      </c>
      <c r="C552" s="11">
        <v>79</v>
      </c>
      <c r="D552">
        <v>37920000</v>
      </c>
      <c r="E552">
        <v>2355</v>
      </c>
    </row>
    <row r="553" ht="13.85" spans="1:5">
      <c r="A553">
        <f t="shared" si="8"/>
        <v>552</v>
      </c>
      <c r="B553" s="11">
        <v>20502906</v>
      </c>
      <c r="C553" s="11">
        <v>69</v>
      </c>
      <c r="D553">
        <v>33120000</v>
      </c>
      <c r="E553">
        <v>2354</v>
      </c>
    </row>
    <row r="554" ht="13.85" spans="1:5">
      <c r="A554">
        <f t="shared" si="8"/>
        <v>553</v>
      </c>
      <c r="B554" s="11">
        <v>22252722</v>
      </c>
      <c r="C554" s="11">
        <v>60</v>
      </c>
      <c r="D554">
        <v>28800000</v>
      </c>
      <c r="E554">
        <v>2353</v>
      </c>
    </row>
    <row r="555" ht="13.85" spans="1:5">
      <c r="A555">
        <f t="shared" si="8"/>
        <v>554</v>
      </c>
      <c r="B555" s="11">
        <v>19949412</v>
      </c>
      <c r="C555" s="11">
        <v>51</v>
      </c>
      <c r="D555">
        <v>24480000</v>
      </c>
      <c r="E555">
        <v>2352</v>
      </c>
    </row>
    <row r="556" ht="13.85" spans="1:5">
      <c r="A556">
        <f t="shared" si="8"/>
        <v>555</v>
      </c>
      <c r="B556" s="11">
        <v>21604578</v>
      </c>
      <c r="C556" s="11">
        <v>42</v>
      </c>
      <c r="D556">
        <v>20160000</v>
      </c>
      <c r="E556">
        <v>2351</v>
      </c>
    </row>
    <row r="557" ht="13.85" spans="1:5">
      <c r="A557">
        <f t="shared" si="8"/>
        <v>556</v>
      </c>
      <c r="B557" s="11">
        <v>18992320</v>
      </c>
      <c r="C557" s="11">
        <v>33</v>
      </c>
      <c r="D557">
        <v>15840000</v>
      </c>
      <c r="E557">
        <v>2350</v>
      </c>
    </row>
    <row r="558" ht="13.85" spans="1:5">
      <c r="A558">
        <f t="shared" si="8"/>
        <v>557</v>
      </c>
      <c r="B558" s="11">
        <v>20749918</v>
      </c>
      <c r="C558" s="11">
        <v>25</v>
      </c>
      <c r="D558">
        <v>12000000</v>
      </c>
      <c r="E558">
        <v>2349</v>
      </c>
    </row>
    <row r="559" ht="13.85" spans="1:5">
      <c r="A559">
        <f t="shared" si="8"/>
        <v>558</v>
      </c>
      <c r="B559" s="11">
        <v>18487574</v>
      </c>
      <c r="C559" s="11">
        <v>22</v>
      </c>
      <c r="D559">
        <v>10560000</v>
      </c>
      <c r="E559">
        <v>2348</v>
      </c>
    </row>
    <row r="560" ht="13.85" spans="1:5">
      <c r="A560">
        <f t="shared" si="8"/>
        <v>559</v>
      </c>
      <c r="B560" s="11">
        <v>20013212</v>
      </c>
      <c r="C560" s="11">
        <v>20</v>
      </c>
      <c r="D560">
        <v>9600000</v>
      </c>
      <c r="E560">
        <v>2347</v>
      </c>
    </row>
    <row r="561" ht="13.85" spans="1:5">
      <c r="A561">
        <f t="shared" si="8"/>
        <v>560</v>
      </c>
      <c r="B561" s="11">
        <v>19176584</v>
      </c>
      <c r="C561" s="11">
        <v>22</v>
      </c>
      <c r="D561">
        <v>10560000</v>
      </c>
      <c r="E561">
        <v>2346</v>
      </c>
    </row>
    <row r="562" ht="13.85" spans="1:5">
      <c r="A562">
        <f t="shared" si="8"/>
        <v>561</v>
      </c>
      <c r="B562" s="11">
        <v>21351224</v>
      </c>
      <c r="C562" s="11">
        <v>20</v>
      </c>
      <c r="D562">
        <v>9600000</v>
      </c>
      <c r="E562">
        <v>2345</v>
      </c>
    </row>
    <row r="563" ht="13.85" spans="1:5">
      <c r="A563">
        <f t="shared" si="8"/>
        <v>562</v>
      </c>
      <c r="B563" s="11">
        <v>24006142</v>
      </c>
      <c r="C563" s="26">
        <v>136.4</v>
      </c>
      <c r="D563">
        <v>65472000</v>
      </c>
      <c r="E563">
        <v>2344</v>
      </c>
    </row>
    <row r="564" ht="13.85" spans="1:5">
      <c r="A564">
        <f t="shared" si="8"/>
        <v>563</v>
      </c>
      <c r="B564" s="11">
        <v>25933546</v>
      </c>
      <c r="C564" s="11">
        <v>125</v>
      </c>
      <c r="D564">
        <v>60000000</v>
      </c>
      <c r="E564">
        <v>2343</v>
      </c>
    </row>
    <row r="565" ht="13.85" spans="1:5">
      <c r="A565">
        <f t="shared" si="8"/>
        <v>564</v>
      </c>
      <c r="B565" s="11">
        <v>22234160</v>
      </c>
      <c r="C565" s="11">
        <v>114</v>
      </c>
      <c r="D565">
        <v>54720000</v>
      </c>
      <c r="E565">
        <v>2342</v>
      </c>
    </row>
    <row r="566" ht="13.85" spans="1:5">
      <c r="A566">
        <f t="shared" si="8"/>
        <v>565</v>
      </c>
      <c r="B566" s="11">
        <v>24191340</v>
      </c>
      <c r="C566" s="11">
        <v>104</v>
      </c>
      <c r="D566">
        <v>49920000</v>
      </c>
      <c r="E566">
        <v>2341</v>
      </c>
    </row>
    <row r="567" ht="13.85" spans="1:5">
      <c r="A567">
        <f t="shared" si="8"/>
        <v>566</v>
      </c>
      <c r="B567" s="11">
        <v>20128138</v>
      </c>
      <c r="C567" s="11">
        <v>95</v>
      </c>
      <c r="D567">
        <v>45600000</v>
      </c>
      <c r="E567">
        <v>2340</v>
      </c>
    </row>
    <row r="568" ht="13.85" spans="1:5">
      <c r="A568">
        <f t="shared" si="8"/>
        <v>567</v>
      </c>
      <c r="B568" s="11">
        <v>21682760</v>
      </c>
      <c r="C568" s="11">
        <v>86</v>
      </c>
      <c r="D568">
        <v>41280000</v>
      </c>
      <c r="E568">
        <v>2339</v>
      </c>
    </row>
    <row r="569" ht="13.85" spans="1:5">
      <c r="A569">
        <f t="shared" si="8"/>
        <v>568</v>
      </c>
      <c r="B569" s="11">
        <v>19005404</v>
      </c>
      <c r="C569" s="11">
        <v>77</v>
      </c>
      <c r="D569">
        <v>36960000</v>
      </c>
      <c r="E569">
        <v>2338</v>
      </c>
    </row>
    <row r="570" ht="13.85" spans="1:5">
      <c r="A570">
        <f t="shared" si="8"/>
        <v>569</v>
      </c>
      <c r="B570" s="11">
        <v>20749764</v>
      </c>
      <c r="C570" s="11">
        <v>68</v>
      </c>
      <c r="D570">
        <v>32640000</v>
      </c>
      <c r="E570">
        <v>2337</v>
      </c>
    </row>
    <row r="571" ht="13.85" spans="1:5">
      <c r="A571">
        <f t="shared" si="8"/>
        <v>570</v>
      </c>
      <c r="B571" s="11">
        <v>17973304</v>
      </c>
      <c r="C571" s="11">
        <v>59</v>
      </c>
      <c r="D571">
        <v>28320000</v>
      </c>
      <c r="E571">
        <v>2336</v>
      </c>
    </row>
    <row r="572" ht="13.85" spans="1:5">
      <c r="A572">
        <f t="shared" si="8"/>
        <v>571</v>
      </c>
      <c r="B572" s="11">
        <v>19893974</v>
      </c>
      <c r="C572" s="11">
        <v>51</v>
      </c>
      <c r="D572">
        <v>24480000</v>
      </c>
      <c r="E572">
        <v>2335</v>
      </c>
    </row>
    <row r="573" ht="13.85" spans="1:5">
      <c r="A573">
        <f t="shared" si="8"/>
        <v>572</v>
      </c>
      <c r="B573" s="11">
        <v>16707322</v>
      </c>
      <c r="C573" s="11">
        <v>43</v>
      </c>
      <c r="D573">
        <v>20640000</v>
      </c>
      <c r="E573">
        <v>2334</v>
      </c>
    </row>
    <row r="574" ht="13.85" spans="1:5">
      <c r="A574">
        <f t="shared" si="8"/>
        <v>573</v>
      </c>
      <c r="B574" s="11">
        <v>17953036</v>
      </c>
      <c r="C574" s="11">
        <v>37</v>
      </c>
      <c r="D574">
        <v>17760000</v>
      </c>
      <c r="E574">
        <v>2333</v>
      </c>
    </row>
    <row r="575" ht="13.85" spans="1:5">
      <c r="A575">
        <f t="shared" si="8"/>
        <v>574</v>
      </c>
      <c r="B575" s="11">
        <v>15771892</v>
      </c>
      <c r="C575" s="11">
        <v>29</v>
      </c>
      <c r="D575">
        <v>13920000</v>
      </c>
      <c r="E575">
        <v>2332</v>
      </c>
    </row>
    <row r="576" ht="13.85" spans="1:5">
      <c r="A576">
        <f t="shared" si="8"/>
        <v>575</v>
      </c>
      <c r="B576" s="11">
        <v>17479330</v>
      </c>
      <c r="C576" s="11">
        <v>24</v>
      </c>
      <c r="D576">
        <v>11520000</v>
      </c>
      <c r="E576">
        <v>2331</v>
      </c>
    </row>
    <row r="577" ht="13.85" spans="1:5">
      <c r="A577">
        <f t="shared" si="8"/>
        <v>576</v>
      </c>
      <c r="B577" s="11">
        <v>15139292</v>
      </c>
      <c r="C577" s="11">
        <v>22</v>
      </c>
      <c r="D577">
        <v>10560000</v>
      </c>
      <c r="E577">
        <v>2330</v>
      </c>
    </row>
    <row r="578" ht="13.85" spans="1:5">
      <c r="A578">
        <f t="shared" ref="A578:A641" si="9">ROW()-1</f>
        <v>577</v>
      </c>
      <c r="B578" s="20">
        <v>17109068</v>
      </c>
      <c r="C578" s="20">
        <v>20</v>
      </c>
      <c r="D578">
        <v>9600000</v>
      </c>
      <c r="E578">
        <v>2329</v>
      </c>
    </row>
    <row r="579" ht="13.85" spans="1:5">
      <c r="A579">
        <f t="shared" si="9"/>
        <v>578</v>
      </c>
      <c r="B579" s="11">
        <v>21813044</v>
      </c>
      <c r="C579" s="11">
        <v>190</v>
      </c>
      <c r="D579">
        <v>91200000</v>
      </c>
      <c r="E579">
        <v>2328</v>
      </c>
    </row>
    <row r="580" ht="13.85" spans="1:5">
      <c r="A580">
        <f t="shared" si="9"/>
        <v>579</v>
      </c>
      <c r="B580" s="11">
        <v>23581666</v>
      </c>
      <c r="C580" s="11">
        <v>180</v>
      </c>
      <c r="D580">
        <v>86400000</v>
      </c>
      <c r="E580">
        <v>2327</v>
      </c>
    </row>
    <row r="581" ht="13.85" spans="1:5">
      <c r="A581">
        <f t="shared" si="9"/>
        <v>580</v>
      </c>
      <c r="B581" s="11">
        <v>21751484</v>
      </c>
      <c r="C581" s="11">
        <v>170</v>
      </c>
      <c r="D581">
        <v>81600000</v>
      </c>
      <c r="E581">
        <v>2326</v>
      </c>
    </row>
    <row r="582" ht="13.85" spans="1:5">
      <c r="A582">
        <f t="shared" si="9"/>
        <v>581</v>
      </c>
      <c r="B582" s="11">
        <v>23640446</v>
      </c>
      <c r="C582" s="11">
        <v>160</v>
      </c>
      <c r="D582">
        <v>76800000</v>
      </c>
      <c r="E582">
        <v>2325</v>
      </c>
    </row>
    <row r="583" ht="13.85" spans="1:5">
      <c r="A583">
        <f t="shared" si="9"/>
        <v>582</v>
      </c>
      <c r="B583" s="11">
        <v>21695328</v>
      </c>
      <c r="C583" s="11">
        <v>150</v>
      </c>
      <c r="D583">
        <v>72000000</v>
      </c>
      <c r="E583">
        <v>2324</v>
      </c>
    </row>
    <row r="584" ht="13.85" spans="1:5">
      <c r="A584">
        <f t="shared" si="9"/>
        <v>583</v>
      </c>
      <c r="B584" s="11">
        <v>24886102</v>
      </c>
      <c r="C584" s="11">
        <v>140</v>
      </c>
      <c r="D584">
        <v>67200000</v>
      </c>
      <c r="E584">
        <v>2323</v>
      </c>
    </row>
    <row r="585" ht="13.85" spans="1:5">
      <c r="A585">
        <f t="shared" si="9"/>
        <v>584</v>
      </c>
      <c r="B585" s="11">
        <v>24274682</v>
      </c>
      <c r="C585" s="11">
        <v>130</v>
      </c>
      <c r="D585">
        <v>62400000</v>
      </c>
      <c r="E585">
        <v>2322</v>
      </c>
    </row>
    <row r="586" ht="13.85" spans="1:5">
      <c r="A586">
        <f t="shared" si="9"/>
        <v>585</v>
      </c>
      <c r="B586" s="11">
        <v>29098764</v>
      </c>
      <c r="C586" s="11">
        <v>120</v>
      </c>
      <c r="D586">
        <v>57600000</v>
      </c>
      <c r="E586">
        <v>2321</v>
      </c>
    </row>
    <row r="587" ht="13.85" spans="1:5">
      <c r="A587">
        <f t="shared" si="9"/>
        <v>586</v>
      </c>
      <c r="B587" s="11">
        <v>26668372</v>
      </c>
      <c r="C587" s="11">
        <v>110</v>
      </c>
      <c r="D587">
        <v>52800000</v>
      </c>
      <c r="E587">
        <v>2320</v>
      </c>
    </row>
    <row r="588" ht="13.85" spans="1:5">
      <c r="A588">
        <f t="shared" si="9"/>
        <v>587</v>
      </c>
      <c r="B588" s="11">
        <v>29661166</v>
      </c>
      <c r="C588" s="11">
        <v>100</v>
      </c>
      <c r="D588">
        <v>48000000</v>
      </c>
      <c r="E588">
        <v>2319</v>
      </c>
    </row>
    <row r="589" ht="13.85" spans="1:5">
      <c r="A589">
        <f t="shared" si="9"/>
        <v>588</v>
      </c>
      <c r="B589" s="11">
        <v>25046520</v>
      </c>
      <c r="C589" s="11">
        <v>90</v>
      </c>
      <c r="D589">
        <v>43200000</v>
      </c>
      <c r="E589">
        <v>2318</v>
      </c>
    </row>
    <row r="590" ht="13.85" spans="1:5">
      <c r="A590">
        <f t="shared" si="9"/>
        <v>589</v>
      </c>
      <c r="B590" s="11">
        <v>26838898</v>
      </c>
      <c r="C590" s="11">
        <v>80</v>
      </c>
      <c r="D590">
        <v>38400000</v>
      </c>
      <c r="E590">
        <v>2317</v>
      </c>
    </row>
    <row r="591" ht="13.85" spans="1:5">
      <c r="A591">
        <f t="shared" si="9"/>
        <v>590</v>
      </c>
      <c r="B591" s="11">
        <v>23023408</v>
      </c>
      <c r="C591" s="11">
        <v>70</v>
      </c>
      <c r="D591">
        <v>33600000</v>
      </c>
      <c r="E591">
        <v>2316</v>
      </c>
    </row>
    <row r="592" ht="13.85" spans="1:5">
      <c r="A592">
        <f t="shared" si="9"/>
        <v>591</v>
      </c>
      <c r="B592" s="11">
        <v>24964420</v>
      </c>
      <c r="C592" s="11">
        <v>60</v>
      </c>
      <c r="D592">
        <v>28800000</v>
      </c>
      <c r="E592">
        <v>2315</v>
      </c>
    </row>
    <row r="593" ht="13.85" spans="1:5">
      <c r="A593">
        <f t="shared" si="9"/>
        <v>592</v>
      </c>
      <c r="B593" s="11">
        <v>21532056</v>
      </c>
      <c r="C593" s="11">
        <v>50</v>
      </c>
      <c r="D593">
        <v>24000000</v>
      </c>
      <c r="E593">
        <v>2314</v>
      </c>
    </row>
    <row r="594" ht="13.85" spans="1:5">
      <c r="A594">
        <f t="shared" si="9"/>
        <v>593</v>
      </c>
      <c r="B594" s="11">
        <v>23183108</v>
      </c>
      <c r="C594" s="11">
        <v>40</v>
      </c>
      <c r="D594">
        <v>19200000</v>
      </c>
      <c r="E594">
        <v>2313</v>
      </c>
    </row>
    <row r="595" ht="13.85" spans="1:5">
      <c r="A595">
        <f t="shared" si="9"/>
        <v>594</v>
      </c>
      <c r="B595" s="11">
        <v>22449966</v>
      </c>
      <c r="C595" s="11">
        <v>70</v>
      </c>
      <c r="D595">
        <v>33600000</v>
      </c>
      <c r="E595">
        <v>2312</v>
      </c>
    </row>
    <row r="596" ht="13.85" spans="1:5">
      <c r="A596">
        <f t="shared" si="9"/>
        <v>595</v>
      </c>
      <c r="B596" s="11">
        <v>24540412</v>
      </c>
      <c r="C596" s="11">
        <v>60</v>
      </c>
      <c r="D596">
        <v>28800000</v>
      </c>
      <c r="E596">
        <v>2311</v>
      </c>
    </row>
    <row r="597" ht="13.85" spans="1:5">
      <c r="A597">
        <f t="shared" si="9"/>
        <v>596</v>
      </c>
      <c r="B597" s="11">
        <v>21863684</v>
      </c>
      <c r="C597" s="11">
        <v>50</v>
      </c>
      <c r="D597">
        <v>24000000</v>
      </c>
      <c r="E597">
        <v>2310</v>
      </c>
    </row>
    <row r="598" ht="13.85" spans="1:5">
      <c r="A598">
        <f t="shared" si="9"/>
        <v>597</v>
      </c>
      <c r="B598" s="17">
        <v>26779120</v>
      </c>
      <c r="C598" s="17">
        <v>40</v>
      </c>
      <c r="D598">
        <v>19200000</v>
      </c>
      <c r="E598">
        <v>2309</v>
      </c>
    </row>
    <row r="599" ht="13.85" spans="1:5">
      <c r="A599">
        <f t="shared" si="9"/>
        <v>598</v>
      </c>
      <c r="B599" s="11">
        <v>70266218</v>
      </c>
      <c r="C599" s="27">
        <v>396.9</v>
      </c>
      <c r="D599">
        <v>190512000</v>
      </c>
      <c r="E599">
        <v>2308</v>
      </c>
    </row>
    <row r="600" ht="13.85" spans="1:5">
      <c r="A600">
        <f t="shared" si="9"/>
        <v>599</v>
      </c>
      <c r="B600" s="11">
        <v>64724734</v>
      </c>
      <c r="C600" s="11">
        <v>373</v>
      </c>
      <c r="D600">
        <v>179040000</v>
      </c>
      <c r="E600">
        <v>2307</v>
      </c>
    </row>
    <row r="601" ht="13.85" spans="1:5">
      <c r="A601">
        <f t="shared" si="9"/>
        <v>600</v>
      </c>
      <c r="B601" s="11">
        <v>55403528</v>
      </c>
      <c r="C601" s="11">
        <v>343</v>
      </c>
      <c r="D601">
        <v>164640000</v>
      </c>
      <c r="E601">
        <v>2306</v>
      </c>
    </row>
    <row r="602" ht="13.85" spans="1:5">
      <c r="A602">
        <f t="shared" si="9"/>
        <v>601</v>
      </c>
      <c r="B602" s="11">
        <v>53922262</v>
      </c>
      <c r="C602" s="11">
        <v>321</v>
      </c>
      <c r="D602">
        <v>154080000</v>
      </c>
      <c r="E602">
        <v>2305</v>
      </c>
    </row>
    <row r="603" ht="13.85" spans="1:5">
      <c r="A603">
        <f t="shared" si="9"/>
        <v>602</v>
      </c>
      <c r="B603" s="11">
        <v>46583580</v>
      </c>
      <c r="C603" s="11">
        <v>296</v>
      </c>
      <c r="D603">
        <v>142080000</v>
      </c>
      <c r="E603">
        <v>2304</v>
      </c>
    </row>
    <row r="604" ht="13.85" spans="1:5">
      <c r="A604">
        <f t="shared" si="9"/>
        <v>603</v>
      </c>
      <c r="B604" s="11">
        <v>45374522</v>
      </c>
      <c r="C604" s="11">
        <v>277</v>
      </c>
      <c r="D604">
        <v>132960000</v>
      </c>
      <c r="E604">
        <v>2303</v>
      </c>
    </row>
    <row r="605" ht="13.85" spans="1:5">
      <c r="A605">
        <f t="shared" si="9"/>
        <v>604</v>
      </c>
      <c r="B605" s="11">
        <v>41431080</v>
      </c>
      <c r="C605" s="11">
        <v>258</v>
      </c>
      <c r="D605">
        <v>123840000</v>
      </c>
      <c r="E605">
        <v>2302</v>
      </c>
    </row>
    <row r="606" ht="13.85" spans="1:5">
      <c r="A606">
        <f t="shared" si="9"/>
        <v>605</v>
      </c>
      <c r="B606" s="11">
        <v>42762008</v>
      </c>
      <c r="C606" s="11">
        <v>237</v>
      </c>
      <c r="D606">
        <v>113760000</v>
      </c>
      <c r="E606">
        <v>2301</v>
      </c>
    </row>
    <row r="607" ht="13.85" spans="1:5">
      <c r="A607">
        <f t="shared" si="9"/>
        <v>606</v>
      </c>
      <c r="B607" s="15">
        <v>40639188</v>
      </c>
      <c r="C607" s="15">
        <v>220</v>
      </c>
      <c r="D607">
        <v>105600000</v>
      </c>
      <c r="E607">
        <v>2300</v>
      </c>
    </row>
    <row r="608" ht="13.85" spans="1:5">
      <c r="A608">
        <f t="shared" si="9"/>
        <v>607</v>
      </c>
      <c r="B608" s="13">
        <v>38340572</v>
      </c>
      <c r="C608" s="13">
        <v>200</v>
      </c>
      <c r="D608">
        <v>96000000</v>
      </c>
      <c r="E608">
        <v>2299</v>
      </c>
    </row>
    <row r="609" ht="13.85" spans="1:5">
      <c r="A609">
        <f t="shared" si="9"/>
        <v>608</v>
      </c>
      <c r="B609" s="11">
        <v>34600190</v>
      </c>
      <c r="C609" s="11">
        <v>183</v>
      </c>
      <c r="D609">
        <v>87840000</v>
      </c>
      <c r="E609">
        <v>2298</v>
      </c>
    </row>
    <row r="610" ht="13.85" spans="1:5">
      <c r="A610">
        <f t="shared" si="9"/>
        <v>609</v>
      </c>
      <c r="B610" s="11">
        <v>32983042</v>
      </c>
      <c r="C610" s="11">
        <v>171</v>
      </c>
      <c r="D610">
        <v>82080000</v>
      </c>
      <c r="E610">
        <v>2297</v>
      </c>
    </row>
    <row r="611" ht="13.85" spans="1:5">
      <c r="A611">
        <f t="shared" si="9"/>
        <v>610</v>
      </c>
      <c r="B611" s="11">
        <v>28351566</v>
      </c>
      <c r="C611" s="11">
        <v>160</v>
      </c>
      <c r="D611">
        <v>76800000</v>
      </c>
      <c r="E611">
        <v>2296</v>
      </c>
    </row>
    <row r="612" ht="13.85" spans="1:5">
      <c r="A612">
        <f t="shared" si="9"/>
        <v>611</v>
      </c>
      <c r="B612" s="11">
        <v>30869152</v>
      </c>
      <c r="C612" s="11">
        <v>150</v>
      </c>
      <c r="D612">
        <v>72000000</v>
      </c>
      <c r="E612">
        <v>2295</v>
      </c>
    </row>
    <row r="613" ht="13.85" spans="1:5">
      <c r="A613">
        <f t="shared" si="9"/>
        <v>612</v>
      </c>
      <c r="B613" s="11">
        <v>26474224</v>
      </c>
      <c r="C613" s="11">
        <v>140</v>
      </c>
      <c r="D613">
        <v>67200000</v>
      </c>
      <c r="E613">
        <v>2294</v>
      </c>
    </row>
    <row r="614" ht="13.85" spans="1:5">
      <c r="A614">
        <f t="shared" si="9"/>
        <v>613</v>
      </c>
      <c r="B614" s="11">
        <v>28385826</v>
      </c>
      <c r="C614" s="11">
        <v>130</v>
      </c>
      <c r="D614">
        <v>62400000</v>
      </c>
      <c r="E614">
        <v>2293</v>
      </c>
    </row>
    <row r="615" ht="13.85" spans="1:5">
      <c r="A615">
        <f t="shared" si="9"/>
        <v>614</v>
      </c>
      <c r="B615" s="11">
        <v>24991734</v>
      </c>
      <c r="C615" s="11">
        <v>120</v>
      </c>
      <c r="D615">
        <v>57600000</v>
      </c>
      <c r="E615">
        <v>2292</v>
      </c>
    </row>
    <row r="616" ht="13.85" spans="1:5">
      <c r="A616">
        <f t="shared" si="9"/>
        <v>615</v>
      </c>
      <c r="B616" s="11">
        <v>25270730</v>
      </c>
      <c r="C616" s="11">
        <v>110</v>
      </c>
      <c r="D616">
        <v>52800000</v>
      </c>
      <c r="E616">
        <v>2291</v>
      </c>
    </row>
    <row r="617" ht="13.85" spans="1:5">
      <c r="A617">
        <f t="shared" si="9"/>
        <v>616</v>
      </c>
      <c r="B617" s="11">
        <v>25983076</v>
      </c>
      <c r="C617" s="11">
        <v>100</v>
      </c>
      <c r="D617">
        <v>48000000</v>
      </c>
      <c r="E617">
        <v>2290</v>
      </c>
    </row>
    <row r="618" ht="13.85" spans="1:5">
      <c r="A618">
        <f t="shared" si="9"/>
        <v>617</v>
      </c>
      <c r="B618" s="11">
        <v>24267798</v>
      </c>
      <c r="C618" s="11">
        <v>90</v>
      </c>
      <c r="D618">
        <v>43200000</v>
      </c>
      <c r="E618">
        <v>2289</v>
      </c>
    </row>
    <row r="619" ht="13.85" spans="1:5">
      <c r="A619">
        <f t="shared" si="9"/>
        <v>618</v>
      </c>
      <c r="B619" s="11">
        <v>20724806</v>
      </c>
      <c r="C619" s="11">
        <v>80</v>
      </c>
      <c r="D619">
        <v>38400000</v>
      </c>
      <c r="E619">
        <v>2288</v>
      </c>
    </row>
    <row r="620" ht="13.85" spans="1:5">
      <c r="A620">
        <f t="shared" si="9"/>
        <v>619</v>
      </c>
      <c r="B620" s="11">
        <v>22937318</v>
      </c>
      <c r="C620" s="11">
        <v>70</v>
      </c>
      <c r="D620">
        <v>33600000</v>
      </c>
      <c r="E620">
        <v>2287</v>
      </c>
    </row>
    <row r="621" ht="13.85" spans="1:5">
      <c r="A621">
        <f t="shared" si="9"/>
        <v>620</v>
      </c>
      <c r="B621" s="11">
        <v>19307576</v>
      </c>
      <c r="C621" s="11">
        <v>60</v>
      </c>
      <c r="D621">
        <v>28800000</v>
      </c>
      <c r="E621">
        <v>2286</v>
      </c>
    </row>
    <row r="622" ht="13.85" spans="1:5">
      <c r="A622">
        <f t="shared" si="9"/>
        <v>621</v>
      </c>
      <c r="B622" s="11">
        <v>21905868</v>
      </c>
      <c r="C622" s="11">
        <v>50</v>
      </c>
      <c r="D622">
        <v>24000000</v>
      </c>
      <c r="E622">
        <v>2285</v>
      </c>
    </row>
    <row r="623" ht="13.85" spans="1:5">
      <c r="A623">
        <f t="shared" si="9"/>
        <v>622</v>
      </c>
      <c r="B623" s="11">
        <v>19617064</v>
      </c>
      <c r="C623" s="11">
        <v>40</v>
      </c>
      <c r="D623">
        <v>19200000</v>
      </c>
      <c r="E623">
        <v>2284</v>
      </c>
    </row>
    <row r="624" ht="13.85" spans="1:5">
      <c r="A624">
        <f t="shared" si="9"/>
        <v>623</v>
      </c>
      <c r="B624" s="11">
        <v>31468570</v>
      </c>
      <c r="C624" s="11">
        <v>150</v>
      </c>
      <c r="D624">
        <v>72000000</v>
      </c>
      <c r="E624">
        <v>2283</v>
      </c>
    </row>
    <row r="625" ht="13.85" spans="1:5">
      <c r="A625">
        <f t="shared" si="9"/>
        <v>624</v>
      </c>
      <c r="B625" s="11">
        <v>27111780</v>
      </c>
      <c r="C625" s="11">
        <v>140</v>
      </c>
      <c r="D625">
        <v>67200000</v>
      </c>
      <c r="E625">
        <v>2282</v>
      </c>
    </row>
    <row r="626" ht="13.85" spans="1:5">
      <c r="A626">
        <f t="shared" si="9"/>
        <v>625</v>
      </c>
      <c r="B626" s="11">
        <v>29430834</v>
      </c>
      <c r="C626" s="11">
        <v>130</v>
      </c>
      <c r="D626">
        <v>62400000</v>
      </c>
      <c r="E626">
        <v>2281</v>
      </c>
    </row>
    <row r="627" ht="13.85" spans="1:5">
      <c r="A627">
        <f t="shared" si="9"/>
        <v>626</v>
      </c>
      <c r="B627" s="11">
        <v>26489444</v>
      </c>
      <c r="C627" s="11">
        <v>120</v>
      </c>
      <c r="D627">
        <v>57600000</v>
      </c>
      <c r="E627">
        <v>2280</v>
      </c>
    </row>
    <row r="628" ht="13.85" spans="1:5">
      <c r="A628">
        <f t="shared" si="9"/>
        <v>627</v>
      </c>
      <c r="B628" s="11">
        <v>28559858</v>
      </c>
      <c r="C628" s="11">
        <v>110</v>
      </c>
      <c r="D628">
        <v>52800000</v>
      </c>
      <c r="E628">
        <v>2279</v>
      </c>
    </row>
    <row r="629" ht="13.85" spans="1:5">
      <c r="A629">
        <f t="shared" si="9"/>
        <v>628</v>
      </c>
      <c r="B629" s="11">
        <v>25644498</v>
      </c>
      <c r="C629" s="11">
        <v>100</v>
      </c>
      <c r="D629">
        <v>48000000</v>
      </c>
      <c r="E629">
        <v>2278</v>
      </c>
    </row>
    <row r="630" ht="13.85" spans="1:5">
      <c r="A630">
        <f t="shared" si="9"/>
        <v>629</v>
      </c>
      <c r="B630" s="11">
        <v>25604480</v>
      </c>
      <c r="C630" s="11">
        <v>90</v>
      </c>
      <c r="D630">
        <v>43200000</v>
      </c>
      <c r="E630">
        <v>2277</v>
      </c>
    </row>
    <row r="631" ht="13.85" spans="1:5">
      <c r="A631">
        <f t="shared" si="9"/>
        <v>630</v>
      </c>
      <c r="B631" s="11">
        <v>22291872</v>
      </c>
      <c r="C631" s="11">
        <v>80</v>
      </c>
      <c r="D631">
        <v>38400000</v>
      </c>
      <c r="E631">
        <v>2276</v>
      </c>
    </row>
    <row r="632" ht="13.85" spans="1:5">
      <c r="A632">
        <f t="shared" si="9"/>
        <v>631</v>
      </c>
      <c r="B632" s="11">
        <v>24400266</v>
      </c>
      <c r="C632" s="11">
        <v>70</v>
      </c>
      <c r="D632">
        <v>33600000</v>
      </c>
      <c r="E632">
        <v>2275</v>
      </c>
    </row>
    <row r="633" ht="13.85" spans="1:5">
      <c r="A633">
        <f t="shared" si="9"/>
        <v>632</v>
      </c>
      <c r="B633" s="11">
        <v>20939222</v>
      </c>
      <c r="C633" s="11">
        <v>60</v>
      </c>
      <c r="D633">
        <v>28800000</v>
      </c>
      <c r="E633">
        <v>2274</v>
      </c>
    </row>
    <row r="634" ht="13.85" spans="1:5">
      <c r="A634">
        <f t="shared" si="9"/>
        <v>633</v>
      </c>
      <c r="B634" s="11">
        <v>22403034</v>
      </c>
      <c r="C634" s="11">
        <v>50</v>
      </c>
      <c r="D634">
        <v>24000000</v>
      </c>
      <c r="E634">
        <v>2273</v>
      </c>
    </row>
    <row r="635" ht="13.85" spans="1:5">
      <c r="A635">
        <f t="shared" si="9"/>
        <v>634</v>
      </c>
      <c r="B635" s="11">
        <v>19354386</v>
      </c>
      <c r="C635" s="11">
        <v>40</v>
      </c>
      <c r="D635">
        <v>19200000</v>
      </c>
      <c r="E635">
        <v>2272</v>
      </c>
    </row>
    <row r="636" ht="13.85" spans="1:5">
      <c r="A636">
        <f t="shared" si="9"/>
        <v>635</v>
      </c>
      <c r="B636" s="11">
        <v>24132312</v>
      </c>
      <c r="C636" s="11">
        <v>80</v>
      </c>
      <c r="D636">
        <v>38400000</v>
      </c>
      <c r="E636">
        <v>2271</v>
      </c>
    </row>
    <row r="637" ht="13.85" spans="1:5">
      <c r="A637">
        <f t="shared" si="9"/>
        <v>636</v>
      </c>
      <c r="B637" s="11">
        <v>20897362</v>
      </c>
      <c r="C637" s="11">
        <v>70</v>
      </c>
      <c r="D637">
        <v>33600000</v>
      </c>
      <c r="E637">
        <v>2270</v>
      </c>
    </row>
    <row r="638" ht="13.85" spans="1:5">
      <c r="A638">
        <f t="shared" si="9"/>
        <v>637</v>
      </c>
      <c r="B638" s="11">
        <v>23515014</v>
      </c>
      <c r="C638" s="11">
        <v>60</v>
      </c>
      <c r="D638">
        <v>28800000</v>
      </c>
      <c r="E638">
        <v>2269</v>
      </c>
    </row>
    <row r="639" ht="13.85" spans="1:5">
      <c r="A639">
        <f t="shared" si="9"/>
        <v>638</v>
      </c>
      <c r="B639" s="11">
        <v>20138040</v>
      </c>
      <c r="C639" s="11">
        <v>50</v>
      </c>
      <c r="D639">
        <v>24000000</v>
      </c>
      <c r="E639">
        <v>2268</v>
      </c>
    </row>
    <row r="640" ht="13.85" spans="1:5">
      <c r="A640">
        <f t="shared" si="9"/>
        <v>639</v>
      </c>
      <c r="B640" s="11">
        <v>22474504</v>
      </c>
      <c r="C640" s="11">
        <v>40</v>
      </c>
      <c r="D640">
        <v>19200000</v>
      </c>
      <c r="E640">
        <v>2267</v>
      </c>
    </row>
    <row r="641" ht="13.85" spans="1:5">
      <c r="A641">
        <f t="shared" si="9"/>
        <v>640</v>
      </c>
      <c r="B641" s="11">
        <v>21440056</v>
      </c>
      <c r="C641" s="11">
        <v>80</v>
      </c>
      <c r="D641">
        <v>38400000</v>
      </c>
      <c r="E641">
        <v>2266</v>
      </c>
    </row>
    <row r="642" ht="13.85" spans="1:5">
      <c r="A642">
        <f t="shared" ref="A642:A705" si="10">ROW()-1</f>
        <v>641</v>
      </c>
      <c r="B642" s="11">
        <v>24626346</v>
      </c>
      <c r="C642" s="11">
        <v>70</v>
      </c>
      <c r="D642">
        <v>33600000</v>
      </c>
      <c r="E642">
        <v>2265</v>
      </c>
    </row>
    <row r="643" ht="13.85" spans="1:5">
      <c r="A643">
        <f t="shared" si="10"/>
        <v>642</v>
      </c>
      <c r="B643" s="11">
        <v>20525070</v>
      </c>
      <c r="C643" s="11">
        <v>60</v>
      </c>
      <c r="D643">
        <v>28800000</v>
      </c>
      <c r="E643">
        <v>2264</v>
      </c>
    </row>
    <row r="644" ht="13.85" spans="1:5">
      <c r="A644">
        <f t="shared" si="10"/>
        <v>643</v>
      </c>
      <c r="B644" s="11">
        <v>23038718</v>
      </c>
      <c r="C644" s="11">
        <v>50</v>
      </c>
      <c r="D644">
        <v>24000000</v>
      </c>
      <c r="E644">
        <v>2263</v>
      </c>
    </row>
    <row r="645" ht="13.85" spans="1:5">
      <c r="A645">
        <f t="shared" si="10"/>
        <v>644</v>
      </c>
      <c r="B645" s="11">
        <v>20120560</v>
      </c>
      <c r="C645" s="11">
        <v>40</v>
      </c>
      <c r="D645">
        <v>19200000</v>
      </c>
      <c r="E645">
        <v>2262</v>
      </c>
    </row>
    <row r="646" ht="13.85" spans="1:5">
      <c r="A646">
        <f t="shared" si="10"/>
        <v>645</v>
      </c>
      <c r="B646" s="11">
        <v>31077718</v>
      </c>
      <c r="C646" s="25">
        <v>148</v>
      </c>
      <c r="D646">
        <v>71040000</v>
      </c>
      <c r="E646">
        <v>2261</v>
      </c>
    </row>
    <row r="647" ht="13.85" spans="1:5">
      <c r="A647">
        <f t="shared" si="10"/>
        <v>646</v>
      </c>
      <c r="B647" s="11">
        <v>27774488</v>
      </c>
      <c r="C647" s="11">
        <v>138</v>
      </c>
      <c r="D647">
        <v>66240000</v>
      </c>
      <c r="E647">
        <v>2260</v>
      </c>
    </row>
    <row r="648" ht="13.85" spans="1:5">
      <c r="A648">
        <f t="shared" si="10"/>
        <v>647</v>
      </c>
      <c r="B648" s="11">
        <v>30035168</v>
      </c>
      <c r="C648" s="11">
        <v>128</v>
      </c>
      <c r="D648">
        <v>61440000</v>
      </c>
      <c r="E648">
        <v>2259</v>
      </c>
    </row>
    <row r="649" ht="13.85" spans="1:5">
      <c r="A649">
        <f t="shared" si="10"/>
        <v>648</v>
      </c>
      <c r="B649" s="11">
        <v>26430256</v>
      </c>
      <c r="C649" s="11">
        <v>112</v>
      </c>
      <c r="D649">
        <v>53760000</v>
      </c>
      <c r="E649">
        <v>2258</v>
      </c>
    </row>
    <row r="650" ht="13.85" spans="1:5">
      <c r="A650">
        <f t="shared" si="10"/>
        <v>649</v>
      </c>
      <c r="B650" s="11">
        <v>29019746</v>
      </c>
      <c r="C650" s="11">
        <v>102</v>
      </c>
      <c r="D650">
        <v>48960000</v>
      </c>
      <c r="E650">
        <v>2257</v>
      </c>
    </row>
    <row r="651" ht="13.85" spans="1:5">
      <c r="A651">
        <f t="shared" si="10"/>
        <v>650</v>
      </c>
      <c r="B651" s="11">
        <v>23322524</v>
      </c>
      <c r="C651" s="11">
        <v>88</v>
      </c>
      <c r="D651">
        <v>42240000</v>
      </c>
      <c r="E651">
        <v>2256</v>
      </c>
    </row>
    <row r="652" ht="13.85" spans="1:5">
      <c r="A652">
        <f t="shared" si="10"/>
        <v>651</v>
      </c>
      <c r="B652" s="11">
        <v>24837348</v>
      </c>
      <c r="C652" s="11">
        <v>75</v>
      </c>
      <c r="D652">
        <v>36000000</v>
      </c>
      <c r="E652">
        <v>2255</v>
      </c>
    </row>
    <row r="653" ht="13.85" spans="1:5">
      <c r="A653">
        <f t="shared" si="10"/>
        <v>652</v>
      </c>
      <c r="B653" s="11">
        <v>21130652</v>
      </c>
      <c r="C653" s="11">
        <v>63</v>
      </c>
      <c r="D653">
        <v>30240000</v>
      </c>
      <c r="E653">
        <v>2254</v>
      </c>
    </row>
    <row r="654" ht="13.85" spans="1:5">
      <c r="A654">
        <f t="shared" si="10"/>
        <v>653</v>
      </c>
      <c r="B654" s="11">
        <v>23390330</v>
      </c>
      <c r="C654" s="11">
        <v>53</v>
      </c>
      <c r="D654">
        <v>25440000</v>
      </c>
      <c r="E654">
        <v>2253</v>
      </c>
    </row>
    <row r="655" ht="13.85" spans="1:5">
      <c r="A655">
        <f t="shared" si="10"/>
        <v>654</v>
      </c>
      <c r="B655" s="11">
        <v>20947706</v>
      </c>
      <c r="C655" s="11">
        <v>40</v>
      </c>
      <c r="D655">
        <v>19200000</v>
      </c>
      <c r="E655">
        <v>2252</v>
      </c>
    </row>
    <row r="656" ht="13.85" spans="1:5">
      <c r="A656">
        <f t="shared" si="10"/>
        <v>655</v>
      </c>
      <c r="B656" s="11">
        <v>34316816</v>
      </c>
      <c r="C656" s="11">
        <v>198</v>
      </c>
      <c r="D656">
        <v>95040000</v>
      </c>
      <c r="E656">
        <v>2251</v>
      </c>
    </row>
    <row r="657" ht="13.85" spans="1:5">
      <c r="A657">
        <f t="shared" si="10"/>
        <v>656</v>
      </c>
      <c r="B657" s="11">
        <v>30509312</v>
      </c>
      <c r="C657" s="11">
        <v>180</v>
      </c>
      <c r="D657">
        <v>86400000</v>
      </c>
      <c r="E657">
        <v>2250</v>
      </c>
    </row>
    <row r="658" ht="13.85" spans="1:5">
      <c r="A658">
        <f t="shared" si="10"/>
        <v>657</v>
      </c>
      <c r="B658" s="11">
        <v>30943566</v>
      </c>
      <c r="C658" s="11">
        <v>165</v>
      </c>
      <c r="D658">
        <v>79200000</v>
      </c>
      <c r="E658">
        <v>2249</v>
      </c>
    </row>
    <row r="659" ht="13.85" spans="1:5">
      <c r="A659">
        <f t="shared" si="10"/>
        <v>658</v>
      </c>
      <c r="B659" s="11">
        <v>30568732</v>
      </c>
      <c r="C659" s="11">
        <v>150</v>
      </c>
      <c r="D659">
        <v>72000000</v>
      </c>
      <c r="E659">
        <v>2248</v>
      </c>
    </row>
    <row r="660" ht="13.85" spans="1:5">
      <c r="A660">
        <f t="shared" si="10"/>
        <v>659</v>
      </c>
      <c r="B660" s="11">
        <v>31833050</v>
      </c>
      <c r="C660" s="11">
        <v>137</v>
      </c>
      <c r="D660">
        <v>65760000</v>
      </c>
      <c r="E660">
        <v>2247</v>
      </c>
    </row>
    <row r="661" ht="13.85" spans="1:5">
      <c r="A661">
        <f t="shared" si="10"/>
        <v>660</v>
      </c>
      <c r="B661" s="11">
        <v>28456434</v>
      </c>
      <c r="C661" s="11">
        <v>122</v>
      </c>
      <c r="D661">
        <v>58560000</v>
      </c>
      <c r="E661">
        <v>2246</v>
      </c>
    </row>
    <row r="662" ht="13.85" spans="1:5">
      <c r="A662">
        <f t="shared" si="10"/>
        <v>661</v>
      </c>
      <c r="B662" s="11">
        <v>30316974</v>
      </c>
      <c r="C662" s="11">
        <v>108</v>
      </c>
      <c r="D662">
        <v>51840000</v>
      </c>
      <c r="E662">
        <v>2245</v>
      </c>
    </row>
    <row r="663" ht="13.85" spans="1:5">
      <c r="A663">
        <f t="shared" si="10"/>
        <v>662</v>
      </c>
      <c r="B663" s="11">
        <v>25537240</v>
      </c>
      <c r="C663" s="11">
        <v>92</v>
      </c>
      <c r="D663">
        <v>44160000</v>
      </c>
      <c r="E663">
        <v>2244</v>
      </c>
    </row>
    <row r="664" ht="13.85" spans="1:5">
      <c r="A664">
        <f t="shared" si="10"/>
        <v>663</v>
      </c>
      <c r="B664" s="11">
        <v>27032132</v>
      </c>
      <c r="C664" s="11">
        <v>79</v>
      </c>
      <c r="D664">
        <v>37920000</v>
      </c>
      <c r="E664">
        <v>2243</v>
      </c>
    </row>
    <row r="665" ht="13.85" spans="1:5">
      <c r="A665">
        <f t="shared" si="10"/>
        <v>664</v>
      </c>
      <c r="B665" s="11">
        <v>23294356</v>
      </c>
      <c r="C665" s="11">
        <v>66</v>
      </c>
      <c r="D665">
        <v>31680000</v>
      </c>
      <c r="E665">
        <v>2242</v>
      </c>
    </row>
    <row r="666" ht="13.85" spans="1:5">
      <c r="A666">
        <f t="shared" si="10"/>
        <v>665</v>
      </c>
      <c r="B666" s="11">
        <v>27122574</v>
      </c>
      <c r="C666" s="11">
        <v>53</v>
      </c>
      <c r="D666">
        <v>25440000</v>
      </c>
      <c r="E666">
        <v>2241</v>
      </c>
    </row>
    <row r="667" ht="13.85" spans="1:5">
      <c r="A667">
        <f t="shared" si="10"/>
        <v>666</v>
      </c>
      <c r="B667" s="11">
        <v>25506384</v>
      </c>
      <c r="C667" s="11">
        <v>40</v>
      </c>
      <c r="D667">
        <v>19200000</v>
      </c>
      <c r="E667">
        <v>2240</v>
      </c>
    </row>
    <row r="668" ht="13.85" spans="1:5">
      <c r="A668">
        <f t="shared" si="10"/>
        <v>667</v>
      </c>
      <c r="B668" s="11">
        <v>55741142</v>
      </c>
      <c r="C668" s="27">
        <v>344.6</v>
      </c>
      <c r="D668">
        <v>165408000</v>
      </c>
      <c r="E668">
        <v>2239</v>
      </c>
    </row>
    <row r="669" ht="13.85" spans="1:5">
      <c r="A669">
        <f t="shared" si="10"/>
        <v>668</v>
      </c>
      <c r="B669" s="11">
        <v>43138472</v>
      </c>
      <c r="C669" s="11">
        <v>325</v>
      </c>
      <c r="D669">
        <v>156000000</v>
      </c>
      <c r="E669">
        <v>2238</v>
      </c>
    </row>
    <row r="670" ht="13.85" spans="1:5">
      <c r="A670">
        <f t="shared" si="10"/>
        <v>669</v>
      </c>
      <c r="B670" s="11">
        <v>45012196</v>
      </c>
      <c r="C670" s="11">
        <v>308</v>
      </c>
      <c r="D670">
        <v>147840000</v>
      </c>
      <c r="E670">
        <v>2237</v>
      </c>
    </row>
    <row r="671" ht="13.85" spans="1:5">
      <c r="A671">
        <f t="shared" si="10"/>
        <v>670</v>
      </c>
      <c r="B671" s="11">
        <v>38466844</v>
      </c>
      <c r="C671" s="11">
        <v>288</v>
      </c>
      <c r="D671">
        <v>138240000</v>
      </c>
      <c r="E671">
        <v>2236</v>
      </c>
    </row>
    <row r="672" ht="13.85" spans="1:5">
      <c r="A672">
        <f t="shared" si="10"/>
        <v>671</v>
      </c>
      <c r="B672" s="11">
        <v>40260874</v>
      </c>
      <c r="C672" s="11">
        <v>270</v>
      </c>
      <c r="D672">
        <v>129600000</v>
      </c>
      <c r="E672">
        <v>2235</v>
      </c>
    </row>
    <row r="673" ht="13.85" spans="1:5">
      <c r="A673">
        <f t="shared" si="10"/>
        <v>672</v>
      </c>
      <c r="B673" s="11">
        <v>36645264</v>
      </c>
      <c r="C673" s="11">
        <v>250</v>
      </c>
      <c r="D673">
        <v>120000000</v>
      </c>
      <c r="E673">
        <v>2234</v>
      </c>
    </row>
    <row r="674" ht="13.85" spans="1:5">
      <c r="A674">
        <f t="shared" si="10"/>
        <v>673</v>
      </c>
      <c r="B674" s="11">
        <v>39207904</v>
      </c>
      <c r="C674" s="11">
        <v>235</v>
      </c>
      <c r="D674">
        <v>112800000</v>
      </c>
      <c r="E674">
        <v>2233</v>
      </c>
    </row>
    <row r="675" ht="13.85" spans="1:5">
      <c r="A675">
        <f t="shared" si="10"/>
        <v>674</v>
      </c>
      <c r="B675" s="11">
        <v>34369104</v>
      </c>
      <c r="C675" s="11">
        <v>215</v>
      </c>
      <c r="D675">
        <v>103200000</v>
      </c>
      <c r="E675">
        <v>2232</v>
      </c>
    </row>
    <row r="676" ht="13.85" spans="1:5">
      <c r="A676">
        <f t="shared" si="10"/>
        <v>675</v>
      </c>
      <c r="B676" s="11">
        <v>36666644</v>
      </c>
      <c r="C676" s="11">
        <v>199</v>
      </c>
      <c r="D676">
        <v>95520000</v>
      </c>
      <c r="E676">
        <v>2231</v>
      </c>
    </row>
    <row r="677" ht="13.85" spans="1:5">
      <c r="A677">
        <f t="shared" si="10"/>
        <v>676</v>
      </c>
      <c r="B677" s="11">
        <v>32038000</v>
      </c>
      <c r="C677" s="11">
        <v>181</v>
      </c>
      <c r="D677">
        <v>86880000</v>
      </c>
      <c r="E677">
        <v>2230</v>
      </c>
    </row>
    <row r="678" ht="13.85" spans="1:5">
      <c r="A678">
        <f t="shared" si="10"/>
        <v>677</v>
      </c>
      <c r="B678" s="11">
        <v>34408304</v>
      </c>
      <c r="C678" s="11">
        <v>166</v>
      </c>
      <c r="D678">
        <v>79680000</v>
      </c>
      <c r="E678">
        <v>2229</v>
      </c>
    </row>
    <row r="679" ht="13.85" spans="1:5">
      <c r="A679">
        <f t="shared" si="10"/>
        <v>678</v>
      </c>
      <c r="B679" s="11">
        <v>30245200</v>
      </c>
      <c r="C679" s="11">
        <v>150</v>
      </c>
      <c r="D679">
        <v>72000000</v>
      </c>
      <c r="E679">
        <v>2228</v>
      </c>
    </row>
    <row r="680" ht="13.85" spans="1:5">
      <c r="A680">
        <f t="shared" si="10"/>
        <v>679</v>
      </c>
      <c r="B680" s="11">
        <v>32845004</v>
      </c>
      <c r="C680" s="11">
        <v>136</v>
      </c>
      <c r="D680">
        <v>65280000</v>
      </c>
      <c r="E680">
        <v>2227</v>
      </c>
    </row>
    <row r="681" ht="13.85" spans="1:5">
      <c r="A681">
        <f t="shared" si="10"/>
        <v>680</v>
      </c>
      <c r="B681" s="11">
        <v>28944416</v>
      </c>
      <c r="C681" s="11">
        <v>118</v>
      </c>
      <c r="D681">
        <v>56640000</v>
      </c>
      <c r="E681">
        <v>2226</v>
      </c>
    </row>
    <row r="682" ht="13.85" spans="1:5">
      <c r="A682">
        <f t="shared" si="10"/>
        <v>681</v>
      </c>
      <c r="B682" s="11">
        <v>31326012</v>
      </c>
      <c r="C682" s="11">
        <v>101</v>
      </c>
      <c r="D682">
        <v>48480000</v>
      </c>
      <c r="E682">
        <v>2225</v>
      </c>
    </row>
    <row r="683" ht="13.85" spans="1:5">
      <c r="A683">
        <f t="shared" si="10"/>
        <v>682</v>
      </c>
      <c r="B683" s="11">
        <v>26521906</v>
      </c>
      <c r="C683" s="11">
        <v>84</v>
      </c>
      <c r="D683">
        <v>40320000</v>
      </c>
      <c r="E683">
        <v>2224</v>
      </c>
    </row>
    <row r="684" ht="13.85" spans="1:5">
      <c r="A684">
        <f t="shared" si="10"/>
        <v>683</v>
      </c>
      <c r="B684" s="11">
        <v>29051180</v>
      </c>
      <c r="C684" s="11">
        <v>68</v>
      </c>
      <c r="D684">
        <v>32640000</v>
      </c>
      <c r="E684">
        <v>2223</v>
      </c>
    </row>
    <row r="685" ht="13.85" spans="1:5">
      <c r="A685">
        <f t="shared" si="10"/>
        <v>684</v>
      </c>
      <c r="B685" s="11">
        <v>26437826</v>
      </c>
      <c r="C685" s="11">
        <v>54</v>
      </c>
      <c r="D685">
        <v>25920000</v>
      </c>
      <c r="E685">
        <v>2222</v>
      </c>
    </row>
    <row r="686" ht="13.85" spans="1:5">
      <c r="A686">
        <f t="shared" si="10"/>
        <v>685</v>
      </c>
      <c r="B686" s="11">
        <v>29940006</v>
      </c>
      <c r="C686" s="11">
        <v>40</v>
      </c>
      <c r="D686">
        <v>19200000</v>
      </c>
      <c r="E686">
        <v>2221</v>
      </c>
    </row>
    <row r="687" ht="13.85" spans="1:5">
      <c r="A687">
        <f t="shared" si="10"/>
        <v>686</v>
      </c>
      <c r="B687" s="11">
        <v>268121884</v>
      </c>
      <c r="C687" s="27">
        <v>768.4</v>
      </c>
      <c r="D687">
        <v>368832000</v>
      </c>
      <c r="E687">
        <v>2220</v>
      </c>
    </row>
    <row r="688" ht="13.85" spans="1:5">
      <c r="A688">
        <f t="shared" si="10"/>
        <v>687</v>
      </c>
      <c r="B688" s="11">
        <v>180596274</v>
      </c>
      <c r="C688" s="11">
        <v>625</v>
      </c>
      <c r="D688">
        <v>300000000</v>
      </c>
      <c r="E688">
        <v>2219</v>
      </c>
    </row>
    <row r="689" ht="13.85" spans="1:5">
      <c r="A689">
        <f t="shared" si="10"/>
        <v>688</v>
      </c>
      <c r="B689" s="11">
        <v>142059682</v>
      </c>
      <c r="C689" s="11">
        <v>550</v>
      </c>
      <c r="D689">
        <v>264000000</v>
      </c>
      <c r="E689">
        <v>2218</v>
      </c>
    </row>
    <row r="690" ht="13.85" spans="1:5">
      <c r="A690">
        <f t="shared" si="10"/>
        <v>689</v>
      </c>
      <c r="B690" s="11">
        <v>92996352</v>
      </c>
      <c r="C690" s="11">
        <v>495</v>
      </c>
      <c r="D690">
        <v>237600000</v>
      </c>
      <c r="E690">
        <v>2217</v>
      </c>
    </row>
    <row r="691" ht="13.85" spans="1:5">
      <c r="A691">
        <f t="shared" si="10"/>
        <v>690</v>
      </c>
      <c r="B691" s="11">
        <v>74586756</v>
      </c>
      <c r="C691" s="11">
        <v>448</v>
      </c>
      <c r="D691">
        <v>215040000</v>
      </c>
      <c r="E691">
        <v>2216</v>
      </c>
    </row>
    <row r="692" ht="13.85" spans="1:5">
      <c r="A692">
        <f t="shared" si="10"/>
        <v>691</v>
      </c>
      <c r="B692" s="11">
        <v>68792532</v>
      </c>
      <c r="C692" s="11">
        <v>414</v>
      </c>
      <c r="D692">
        <v>198720000</v>
      </c>
      <c r="E692">
        <v>2215</v>
      </c>
    </row>
    <row r="693" ht="13.85" spans="1:5">
      <c r="A693">
        <f t="shared" si="10"/>
        <v>692</v>
      </c>
      <c r="B693" s="11">
        <v>52008350</v>
      </c>
      <c r="C693" s="11">
        <v>381</v>
      </c>
      <c r="D693">
        <v>182880000</v>
      </c>
      <c r="E693">
        <v>2214</v>
      </c>
    </row>
    <row r="694" ht="13.85" spans="1:5">
      <c r="A694">
        <f t="shared" si="10"/>
        <v>693</v>
      </c>
      <c r="B694" s="11">
        <v>52518062</v>
      </c>
      <c r="C694" s="11">
        <v>348</v>
      </c>
      <c r="D694">
        <v>167040000</v>
      </c>
      <c r="E694">
        <v>2213</v>
      </c>
    </row>
    <row r="695" ht="13.85" spans="1:5">
      <c r="A695">
        <f t="shared" si="10"/>
        <v>694</v>
      </c>
      <c r="B695" s="11">
        <v>44592024</v>
      </c>
      <c r="C695" s="11">
        <v>322</v>
      </c>
      <c r="D695">
        <v>154560000</v>
      </c>
      <c r="E695">
        <v>2212</v>
      </c>
    </row>
    <row r="696" ht="13.85" spans="1:5">
      <c r="A696">
        <f t="shared" si="10"/>
        <v>695</v>
      </c>
      <c r="B696" s="11">
        <v>45766604</v>
      </c>
      <c r="C696" s="11">
        <v>304</v>
      </c>
      <c r="D696">
        <v>145920000</v>
      </c>
      <c r="E696">
        <v>2211</v>
      </c>
    </row>
    <row r="697" ht="13.85" spans="1:5">
      <c r="A697">
        <f t="shared" si="10"/>
        <v>696</v>
      </c>
      <c r="B697" s="11">
        <v>36639354</v>
      </c>
      <c r="C697" s="11">
        <v>282</v>
      </c>
      <c r="D697">
        <v>135360000</v>
      </c>
      <c r="E697">
        <v>2210</v>
      </c>
    </row>
    <row r="698" ht="13.85" spans="1:5">
      <c r="A698">
        <f t="shared" si="10"/>
        <v>697</v>
      </c>
      <c r="B698" s="11">
        <v>39845202</v>
      </c>
      <c r="C698" s="11">
        <v>260</v>
      </c>
      <c r="D698">
        <v>124800000</v>
      </c>
      <c r="E698">
        <v>2209</v>
      </c>
    </row>
    <row r="699" ht="13.85" spans="1:5">
      <c r="A699">
        <f t="shared" si="10"/>
        <v>698</v>
      </c>
      <c r="B699" s="11">
        <v>35041034</v>
      </c>
      <c r="C699" s="11">
        <v>242</v>
      </c>
      <c r="D699">
        <v>116160000</v>
      </c>
      <c r="E699">
        <v>2208</v>
      </c>
    </row>
    <row r="700" ht="13.85" spans="1:5">
      <c r="A700">
        <f t="shared" si="10"/>
        <v>699</v>
      </c>
      <c r="B700" s="11">
        <v>37420258</v>
      </c>
      <c r="C700" s="11">
        <v>224</v>
      </c>
      <c r="D700">
        <v>107520000</v>
      </c>
      <c r="E700">
        <v>2207</v>
      </c>
    </row>
    <row r="701" ht="13.85" spans="1:5">
      <c r="A701">
        <f t="shared" si="10"/>
        <v>700</v>
      </c>
      <c r="B701" s="11">
        <v>33693472</v>
      </c>
      <c r="C701" s="11">
        <v>204</v>
      </c>
      <c r="D701">
        <v>97920000</v>
      </c>
      <c r="E701">
        <v>2206</v>
      </c>
    </row>
    <row r="702" ht="13.85" spans="1:5">
      <c r="A702">
        <f t="shared" si="10"/>
        <v>701</v>
      </c>
      <c r="B702" s="11">
        <v>34817016</v>
      </c>
      <c r="C702" s="11">
        <v>191</v>
      </c>
      <c r="D702">
        <v>91680000</v>
      </c>
      <c r="E702">
        <v>2205</v>
      </c>
    </row>
    <row r="703" ht="13.85" spans="1:5">
      <c r="A703">
        <f t="shared" si="10"/>
        <v>702</v>
      </c>
      <c r="B703" s="11">
        <v>29129006</v>
      </c>
      <c r="C703" s="11">
        <v>174</v>
      </c>
      <c r="D703">
        <v>83520000</v>
      </c>
      <c r="E703">
        <v>2204</v>
      </c>
    </row>
    <row r="704" ht="13.85" spans="1:5">
      <c r="A704">
        <f t="shared" si="10"/>
        <v>703</v>
      </c>
      <c r="B704" s="11">
        <v>31955010</v>
      </c>
      <c r="C704" s="11">
        <v>161</v>
      </c>
      <c r="D704">
        <v>77280000</v>
      </c>
      <c r="E704">
        <v>2203</v>
      </c>
    </row>
    <row r="705" ht="13.85" spans="1:5">
      <c r="A705">
        <f t="shared" si="10"/>
        <v>704</v>
      </c>
      <c r="B705" s="11">
        <v>27564294</v>
      </c>
      <c r="C705" s="11">
        <v>144</v>
      </c>
      <c r="D705">
        <v>69120000</v>
      </c>
      <c r="E705">
        <v>2202</v>
      </c>
    </row>
    <row r="706" ht="13.85" spans="1:5">
      <c r="A706">
        <f t="shared" ref="A706:A769" si="11">ROW()-1</f>
        <v>705</v>
      </c>
      <c r="B706" s="11">
        <v>31171388</v>
      </c>
      <c r="C706" s="11">
        <v>129</v>
      </c>
      <c r="D706">
        <v>61920000</v>
      </c>
      <c r="E706">
        <v>2201</v>
      </c>
    </row>
    <row r="707" ht="13.85" spans="1:5">
      <c r="A707">
        <f t="shared" si="11"/>
        <v>706</v>
      </c>
      <c r="B707" s="11">
        <v>27117258</v>
      </c>
      <c r="C707" s="11">
        <v>112</v>
      </c>
      <c r="D707">
        <v>53760000</v>
      </c>
      <c r="E707">
        <v>2200</v>
      </c>
    </row>
    <row r="708" ht="13.85" spans="1:5">
      <c r="A708">
        <f t="shared" si="11"/>
        <v>707</v>
      </c>
      <c r="B708" s="11">
        <v>27908520</v>
      </c>
      <c r="C708" s="11">
        <v>96</v>
      </c>
      <c r="D708">
        <v>46080000</v>
      </c>
      <c r="E708">
        <v>2199</v>
      </c>
    </row>
    <row r="709" ht="13.85" spans="1:5">
      <c r="A709">
        <f t="shared" si="11"/>
        <v>708</v>
      </c>
      <c r="B709" s="11">
        <v>24147638</v>
      </c>
      <c r="C709" s="11">
        <v>82</v>
      </c>
      <c r="D709">
        <v>39360000</v>
      </c>
      <c r="E709">
        <v>2198</v>
      </c>
    </row>
    <row r="710" ht="13.85" spans="1:5">
      <c r="A710">
        <f t="shared" si="11"/>
        <v>709</v>
      </c>
      <c r="B710" s="11">
        <v>25968734</v>
      </c>
      <c r="C710" s="11">
        <v>69</v>
      </c>
      <c r="D710">
        <v>33120000</v>
      </c>
      <c r="E710">
        <v>2197</v>
      </c>
    </row>
    <row r="711" ht="13.85" spans="1:5">
      <c r="A711">
        <f t="shared" si="11"/>
        <v>710</v>
      </c>
      <c r="B711" s="15">
        <v>25950558</v>
      </c>
      <c r="C711" s="15">
        <v>53</v>
      </c>
      <c r="D711">
        <v>25440000</v>
      </c>
      <c r="E711">
        <v>2196</v>
      </c>
    </row>
    <row r="712" ht="13.85" spans="1:5">
      <c r="A712">
        <f t="shared" si="11"/>
        <v>711</v>
      </c>
      <c r="B712" s="13">
        <v>28671968</v>
      </c>
      <c r="C712" s="13">
        <v>40</v>
      </c>
      <c r="D712">
        <v>19200000</v>
      </c>
      <c r="E712">
        <v>2195</v>
      </c>
    </row>
    <row r="713" ht="13.85" spans="1:5">
      <c r="A713">
        <f t="shared" si="11"/>
        <v>712</v>
      </c>
      <c r="B713" s="11">
        <v>43501602</v>
      </c>
      <c r="C713" s="27">
        <v>298.3</v>
      </c>
      <c r="D713">
        <v>143184000</v>
      </c>
      <c r="E713">
        <v>2194</v>
      </c>
    </row>
    <row r="714" ht="13.85" spans="1:5">
      <c r="A714">
        <f t="shared" si="11"/>
        <v>713</v>
      </c>
      <c r="B714" s="11">
        <v>38994362</v>
      </c>
      <c r="C714" s="11">
        <v>281</v>
      </c>
      <c r="D714">
        <v>134880000</v>
      </c>
      <c r="E714">
        <v>2193</v>
      </c>
    </row>
    <row r="715" ht="13.85" spans="1:5">
      <c r="A715">
        <f t="shared" si="11"/>
        <v>714</v>
      </c>
      <c r="B715" s="11">
        <v>33480578</v>
      </c>
      <c r="C715" s="11">
        <v>262</v>
      </c>
      <c r="D715">
        <v>125760000</v>
      </c>
      <c r="E715">
        <v>2192</v>
      </c>
    </row>
    <row r="716" ht="13.85" spans="1:5">
      <c r="A716">
        <f t="shared" si="11"/>
        <v>715</v>
      </c>
      <c r="B716" s="11">
        <v>35483600</v>
      </c>
      <c r="C716" s="11">
        <v>246</v>
      </c>
      <c r="D716">
        <v>118080000</v>
      </c>
      <c r="E716">
        <v>2191</v>
      </c>
    </row>
    <row r="717" ht="13.85" spans="1:5">
      <c r="A717">
        <f t="shared" si="11"/>
        <v>716</v>
      </c>
      <c r="B717" s="11">
        <v>31379884</v>
      </c>
      <c r="C717" s="11">
        <v>230</v>
      </c>
      <c r="D717">
        <v>110400000</v>
      </c>
      <c r="E717">
        <v>2190</v>
      </c>
    </row>
    <row r="718" ht="13.85" spans="1:5">
      <c r="A718">
        <f t="shared" si="11"/>
        <v>717</v>
      </c>
      <c r="B718" s="11">
        <v>33448932</v>
      </c>
      <c r="C718" s="11">
        <v>217</v>
      </c>
      <c r="D718">
        <v>104160000</v>
      </c>
      <c r="E718">
        <v>2189</v>
      </c>
    </row>
    <row r="719" ht="13.85" spans="1:5">
      <c r="A719">
        <f t="shared" si="11"/>
        <v>718</v>
      </c>
      <c r="B719" s="11">
        <v>30543054</v>
      </c>
      <c r="C719" s="11">
        <v>200</v>
      </c>
      <c r="D719">
        <v>96000000</v>
      </c>
      <c r="E719">
        <v>2188</v>
      </c>
    </row>
    <row r="720" ht="13.85" spans="1:5">
      <c r="A720">
        <f t="shared" si="11"/>
        <v>719</v>
      </c>
      <c r="B720" s="11">
        <v>31609290</v>
      </c>
      <c r="C720" s="11">
        <v>183</v>
      </c>
      <c r="D720">
        <v>87840000</v>
      </c>
      <c r="E720">
        <v>2187</v>
      </c>
    </row>
    <row r="721" ht="13.85" spans="1:5">
      <c r="A721">
        <f t="shared" si="11"/>
        <v>720</v>
      </c>
      <c r="B721" s="11">
        <v>27877814</v>
      </c>
      <c r="C721" s="11">
        <v>171</v>
      </c>
      <c r="D721">
        <v>82080000</v>
      </c>
      <c r="E721">
        <v>2186</v>
      </c>
    </row>
    <row r="722" ht="13.85" spans="1:5">
      <c r="A722">
        <f t="shared" si="11"/>
        <v>721</v>
      </c>
      <c r="B722" s="11">
        <v>28250576</v>
      </c>
      <c r="C722" s="11">
        <v>155</v>
      </c>
      <c r="D722">
        <v>74400000</v>
      </c>
      <c r="E722">
        <v>2185</v>
      </c>
    </row>
    <row r="723" ht="13.85" spans="1:5">
      <c r="A723">
        <f t="shared" si="11"/>
        <v>722</v>
      </c>
      <c r="B723" s="11">
        <v>30136074</v>
      </c>
      <c r="C723" s="11">
        <v>139</v>
      </c>
      <c r="D723">
        <v>66720000</v>
      </c>
      <c r="E723">
        <v>2184</v>
      </c>
    </row>
    <row r="724" ht="13.85" spans="1:5">
      <c r="A724">
        <f t="shared" si="11"/>
        <v>723</v>
      </c>
      <c r="B724" s="11">
        <v>30385258</v>
      </c>
      <c r="C724" s="11">
        <v>124</v>
      </c>
      <c r="D724">
        <v>59520000</v>
      </c>
      <c r="E724">
        <v>2183</v>
      </c>
    </row>
    <row r="725" ht="13.85" spans="1:5">
      <c r="A725">
        <f t="shared" si="11"/>
        <v>724</v>
      </c>
      <c r="B725" s="11">
        <v>26871040</v>
      </c>
      <c r="C725" s="11">
        <v>107</v>
      </c>
      <c r="D725">
        <v>51360000</v>
      </c>
      <c r="E725">
        <v>2182</v>
      </c>
    </row>
    <row r="726" ht="13.85" spans="1:5">
      <c r="A726">
        <f t="shared" si="11"/>
        <v>725</v>
      </c>
      <c r="B726" s="11">
        <v>28910624</v>
      </c>
      <c r="C726" s="11">
        <v>92</v>
      </c>
      <c r="D726">
        <v>44160000</v>
      </c>
      <c r="E726">
        <v>2181</v>
      </c>
    </row>
    <row r="727" ht="13.85" spans="1:5">
      <c r="A727">
        <f t="shared" si="11"/>
        <v>726</v>
      </c>
      <c r="B727" s="11">
        <v>25704060</v>
      </c>
      <c r="C727" s="11">
        <v>71</v>
      </c>
      <c r="D727">
        <v>34080000</v>
      </c>
      <c r="E727">
        <v>2180</v>
      </c>
    </row>
    <row r="728" ht="13.85" spans="1:5">
      <c r="A728">
        <f t="shared" si="11"/>
        <v>727</v>
      </c>
      <c r="B728" s="11">
        <v>29445326</v>
      </c>
      <c r="C728" s="11">
        <v>53</v>
      </c>
      <c r="D728">
        <v>25440000</v>
      </c>
      <c r="E728">
        <v>2179</v>
      </c>
    </row>
    <row r="729" ht="13.85" spans="1:5">
      <c r="A729">
        <f t="shared" si="11"/>
        <v>728</v>
      </c>
      <c r="B729" s="11">
        <v>27779792</v>
      </c>
      <c r="C729" s="11">
        <v>40</v>
      </c>
      <c r="D729">
        <v>19200000</v>
      </c>
      <c r="E729">
        <v>2178</v>
      </c>
    </row>
    <row r="730" ht="13.85" spans="1:5">
      <c r="A730">
        <f t="shared" si="11"/>
        <v>729</v>
      </c>
      <c r="B730" s="11">
        <v>172827840</v>
      </c>
      <c r="C730" s="11">
        <v>687.8</v>
      </c>
      <c r="D730">
        <v>330144000</v>
      </c>
      <c r="E730">
        <v>2177</v>
      </c>
    </row>
    <row r="731" ht="13.85" spans="1:5">
      <c r="A731">
        <f t="shared" si="11"/>
        <v>730</v>
      </c>
      <c r="B731" s="11">
        <v>239698028</v>
      </c>
      <c r="C731" s="11">
        <v>620</v>
      </c>
      <c r="D731">
        <v>297600000</v>
      </c>
      <c r="E731">
        <v>2176</v>
      </c>
    </row>
    <row r="732" ht="13.85" spans="1:5">
      <c r="A732">
        <f t="shared" si="11"/>
        <v>731</v>
      </c>
      <c r="B732" s="11">
        <v>181349524</v>
      </c>
      <c r="C732" s="11">
        <v>430</v>
      </c>
      <c r="D732">
        <v>206400000</v>
      </c>
      <c r="E732">
        <v>2175</v>
      </c>
    </row>
    <row r="733" ht="13.85" spans="1:5">
      <c r="A733">
        <f t="shared" si="11"/>
        <v>732</v>
      </c>
      <c r="B733" s="11">
        <v>111342204</v>
      </c>
      <c r="C733" s="11">
        <v>345</v>
      </c>
      <c r="D733">
        <v>165600000</v>
      </c>
      <c r="E733">
        <v>2174</v>
      </c>
    </row>
    <row r="734" ht="13.85" spans="1:5">
      <c r="A734">
        <f t="shared" si="11"/>
        <v>733</v>
      </c>
      <c r="B734" s="11">
        <v>67461068</v>
      </c>
      <c r="C734" s="11">
        <v>314</v>
      </c>
      <c r="D734">
        <v>150720000</v>
      </c>
      <c r="E734">
        <v>2173</v>
      </c>
    </row>
    <row r="735" ht="13.85" spans="1:5">
      <c r="A735">
        <f t="shared" si="11"/>
        <v>734</v>
      </c>
      <c r="B735" s="11">
        <v>48050510</v>
      </c>
      <c r="C735" s="11">
        <v>282</v>
      </c>
      <c r="D735">
        <v>135360000</v>
      </c>
      <c r="E735">
        <v>2172</v>
      </c>
    </row>
    <row r="736" ht="13.85" spans="1:5">
      <c r="A736">
        <f t="shared" si="11"/>
        <v>735</v>
      </c>
      <c r="B736" s="11">
        <v>45213008</v>
      </c>
      <c r="C736" s="11">
        <v>253</v>
      </c>
      <c r="D736">
        <v>121440000</v>
      </c>
      <c r="E736">
        <v>2171</v>
      </c>
    </row>
    <row r="737" ht="13.85" spans="1:5">
      <c r="A737">
        <f t="shared" si="11"/>
        <v>736</v>
      </c>
      <c r="B737" s="11">
        <v>37318426</v>
      </c>
      <c r="C737" s="11">
        <v>229</v>
      </c>
      <c r="D737">
        <v>109920000</v>
      </c>
      <c r="E737">
        <v>2170</v>
      </c>
    </row>
    <row r="738" ht="13.85" spans="1:5">
      <c r="A738">
        <f t="shared" si="11"/>
        <v>737</v>
      </c>
      <c r="B738" s="11">
        <v>37015830</v>
      </c>
      <c r="C738" s="11">
        <v>213</v>
      </c>
      <c r="D738">
        <v>102240000</v>
      </c>
      <c r="E738">
        <v>2169</v>
      </c>
    </row>
    <row r="739" ht="13.85" spans="1:5">
      <c r="A739">
        <f t="shared" si="11"/>
        <v>738</v>
      </c>
      <c r="B739" s="11">
        <v>30337722</v>
      </c>
      <c r="C739" s="11">
        <v>193</v>
      </c>
      <c r="D739">
        <v>92640000</v>
      </c>
      <c r="E739">
        <v>2168</v>
      </c>
    </row>
    <row r="740" ht="13.85" spans="1:5">
      <c r="A740">
        <f t="shared" si="11"/>
        <v>739</v>
      </c>
      <c r="B740" s="11">
        <v>31598040</v>
      </c>
      <c r="C740" s="11">
        <v>178</v>
      </c>
      <c r="D740">
        <v>85440000</v>
      </c>
      <c r="E740">
        <v>2167</v>
      </c>
    </row>
    <row r="741" ht="13.85" spans="1:5">
      <c r="A741">
        <f t="shared" si="11"/>
        <v>740</v>
      </c>
      <c r="B741" s="11">
        <v>27395698</v>
      </c>
      <c r="C741" s="11">
        <v>163</v>
      </c>
      <c r="D741">
        <v>78240000</v>
      </c>
      <c r="E741">
        <v>2166</v>
      </c>
    </row>
    <row r="742" ht="13.85" spans="1:5">
      <c r="A742">
        <f t="shared" si="11"/>
        <v>741</v>
      </c>
      <c r="B742" s="11">
        <v>29733888</v>
      </c>
      <c r="C742" s="11">
        <v>147</v>
      </c>
      <c r="D742">
        <v>70560000</v>
      </c>
      <c r="E742">
        <v>2165</v>
      </c>
    </row>
    <row r="743" ht="13.85" spans="1:5">
      <c r="A743">
        <f t="shared" si="11"/>
        <v>742</v>
      </c>
      <c r="B743" s="11">
        <v>26297552</v>
      </c>
      <c r="C743" s="11">
        <v>132</v>
      </c>
      <c r="D743">
        <v>63360000</v>
      </c>
      <c r="E743">
        <v>2164</v>
      </c>
    </row>
    <row r="744" ht="13.85" spans="1:5">
      <c r="A744">
        <f t="shared" si="11"/>
        <v>743</v>
      </c>
      <c r="B744" s="11">
        <v>28315432</v>
      </c>
      <c r="C744" s="11">
        <v>114</v>
      </c>
      <c r="D744">
        <v>54720000</v>
      </c>
      <c r="E744">
        <v>2163</v>
      </c>
    </row>
    <row r="745" ht="13.85" spans="1:5">
      <c r="A745">
        <f t="shared" si="11"/>
        <v>744</v>
      </c>
      <c r="B745" s="11">
        <v>24136414</v>
      </c>
      <c r="C745" s="11">
        <v>100</v>
      </c>
      <c r="D745">
        <v>48000000</v>
      </c>
      <c r="E745">
        <v>2162</v>
      </c>
    </row>
    <row r="746" ht="13.85" spans="1:5">
      <c r="A746">
        <f t="shared" si="11"/>
        <v>745</v>
      </c>
      <c r="B746" s="11">
        <v>26042204</v>
      </c>
      <c r="C746" s="11">
        <v>90</v>
      </c>
      <c r="D746">
        <v>43200000</v>
      </c>
      <c r="E746">
        <v>2161</v>
      </c>
    </row>
    <row r="747" ht="13.85" spans="1:5">
      <c r="A747">
        <f t="shared" si="11"/>
        <v>746</v>
      </c>
      <c r="B747" s="11">
        <v>21737270</v>
      </c>
      <c r="C747" s="11">
        <v>80</v>
      </c>
      <c r="D747">
        <v>38400000</v>
      </c>
      <c r="E747">
        <v>2160</v>
      </c>
    </row>
    <row r="748" ht="13.85" spans="1:5">
      <c r="A748">
        <f t="shared" si="11"/>
        <v>747</v>
      </c>
      <c r="B748" s="11">
        <v>24605038</v>
      </c>
      <c r="C748" s="11">
        <v>70</v>
      </c>
      <c r="D748">
        <v>33600000</v>
      </c>
      <c r="E748">
        <v>2159</v>
      </c>
    </row>
    <row r="749" ht="13.85" spans="1:5">
      <c r="A749">
        <f t="shared" si="11"/>
        <v>748</v>
      </c>
      <c r="B749" s="11">
        <v>21466574</v>
      </c>
      <c r="C749" s="11">
        <v>60</v>
      </c>
      <c r="D749">
        <v>28800000</v>
      </c>
      <c r="E749">
        <v>2158</v>
      </c>
    </row>
    <row r="750" ht="13.85" spans="1:5">
      <c r="A750">
        <f t="shared" si="11"/>
        <v>749</v>
      </c>
      <c r="B750" s="11">
        <v>24232630</v>
      </c>
      <c r="C750" s="11">
        <v>50</v>
      </c>
      <c r="D750">
        <v>24000000</v>
      </c>
      <c r="E750">
        <v>2157</v>
      </c>
    </row>
    <row r="751" ht="13.85" spans="1:5">
      <c r="A751">
        <f t="shared" si="11"/>
        <v>750</v>
      </c>
      <c r="B751" s="11">
        <v>21516982</v>
      </c>
      <c r="C751" s="11">
        <v>40</v>
      </c>
      <c r="D751">
        <v>19200000</v>
      </c>
      <c r="E751">
        <v>2156</v>
      </c>
    </row>
    <row r="752" ht="13.85" spans="1:5">
      <c r="A752">
        <f t="shared" si="11"/>
        <v>751</v>
      </c>
      <c r="B752" s="11">
        <v>44202534</v>
      </c>
      <c r="C752" s="27">
        <v>245.6</v>
      </c>
      <c r="D752">
        <v>117888000</v>
      </c>
      <c r="E752">
        <v>2155</v>
      </c>
    </row>
    <row r="753" ht="13.85" spans="1:5">
      <c r="A753">
        <f t="shared" si="11"/>
        <v>752</v>
      </c>
      <c r="B753" s="11">
        <v>40026648</v>
      </c>
      <c r="C753" s="11">
        <v>223</v>
      </c>
      <c r="D753">
        <v>107040000</v>
      </c>
      <c r="E753">
        <v>2154</v>
      </c>
    </row>
    <row r="754" ht="13.85" spans="1:5">
      <c r="A754">
        <f t="shared" si="11"/>
        <v>753</v>
      </c>
      <c r="B754" s="11">
        <v>40160196</v>
      </c>
      <c r="C754" s="11">
        <v>203</v>
      </c>
      <c r="D754">
        <v>97440000</v>
      </c>
      <c r="E754">
        <v>2153</v>
      </c>
    </row>
    <row r="755" ht="13.85" spans="1:5">
      <c r="A755">
        <f t="shared" si="11"/>
        <v>754</v>
      </c>
      <c r="B755" s="11">
        <v>32829698</v>
      </c>
      <c r="C755" s="11">
        <v>187</v>
      </c>
      <c r="D755">
        <v>89760000</v>
      </c>
      <c r="E755">
        <v>2152</v>
      </c>
    </row>
    <row r="756" ht="13.85" spans="1:5">
      <c r="A756">
        <f t="shared" si="11"/>
        <v>755</v>
      </c>
      <c r="B756" s="11">
        <v>33377746</v>
      </c>
      <c r="C756" s="11">
        <v>168</v>
      </c>
      <c r="D756">
        <v>80640000</v>
      </c>
      <c r="E756">
        <v>2151</v>
      </c>
    </row>
    <row r="757" ht="13.85" spans="1:5">
      <c r="A757">
        <f t="shared" si="11"/>
        <v>756</v>
      </c>
      <c r="B757" s="11">
        <v>35691998</v>
      </c>
      <c r="C757" s="11">
        <v>147</v>
      </c>
      <c r="D757">
        <v>70560000</v>
      </c>
      <c r="E757">
        <v>2150</v>
      </c>
    </row>
    <row r="758" ht="13.85" spans="1:5">
      <c r="A758">
        <f t="shared" si="11"/>
        <v>757</v>
      </c>
      <c r="B758" s="11">
        <v>34669862</v>
      </c>
      <c r="C758" s="11">
        <v>130</v>
      </c>
      <c r="D758">
        <v>62400000</v>
      </c>
      <c r="E758">
        <v>2149</v>
      </c>
    </row>
    <row r="759" ht="13.85" spans="1:5">
      <c r="A759">
        <f t="shared" si="11"/>
        <v>758</v>
      </c>
      <c r="B759" s="11">
        <v>27916646</v>
      </c>
      <c r="C759" s="11">
        <v>110</v>
      </c>
      <c r="D759">
        <v>52800000</v>
      </c>
      <c r="E759">
        <v>2148</v>
      </c>
    </row>
    <row r="760" ht="13.85" spans="1:5">
      <c r="A760">
        <f t="shared" si="11"/>
        <v>759</v>
      </c>
      <c r="B760" s="11">
        <v>30023546</v>
      </c>
      <c r="C760" s="11">
        <v>100</v>
      </c>
      <c r="D760">
        <v>48000000</v>
      </c>
      <c r="E760">
        <v>2147</v>
      </c>
    </row>
    <row r="761" ht="13.85" spans="1:5">
      <c r="A761">
        <f t="shared" si="11"/>
        <v>760</v>
      </c>
      <c r="B761" s="11">
        <v>23623992</v>
      </c>
      <c r="C761" s="11">
        <v>90</v>
      </c>
      <c r="D761">
        <v>43200000</v>
      </c>
      <c r="E761">
        <v>2146</v>
      </c>
    </row>
    <row r="762" ht="13.85" spans="1:5">
      <c r="A762">
        <f t="shared" si="11"/>
        <v>761</v>
      </c>
      <c r="B762" s="11">
        <v>25167654</v>
      </c>
      <c r="C762" s="11">
        <v>80</v>
      </c>
      <c r="D762">
        <v>38400000</v>
      </c>
      <c r="E762">
        <v>2145</v>
      </c>
    </row>
    <row r="763" ht="13.85" spans="1:5">
      <c r="A763">
        <f t="shared" si="11"/>
        <v>762</v>
      </c>
      <c r="B763" s="11">
        <v>21648058</v>
      </c>
      <c r="C763" s="11">
        <v>70</v>
      </c>
      <c r="D763">
        <v>33600000</v>
      </c>
      <c r="E763">
        <v>2144</v>
      </c>
    </row>
    <row r="764" ht="13.85" spans="1:5">
      <c r="A764">
        <f t="shared" si="11"/>
        <v>763</v>
      </c>
      <c r="B764" s="11">
        <v>24592874</v>
      </c>
      <c r="C764" s="11">
        <v>60</v>
      </c>
      <c r="D764">
        <v>28800000</v>
      </c>
      <c r="E764">
        <v>2143</v>
      </c>
    </row>
    <row r="765" ht="13.85" spans="1:5">
      <c r="A765">
        <f t="shared" si="11"/>
        <v>764</v>
      </c>
      <c r="B765" s="11">
        <v>21089532</v>
      </c>
      <c r="C765" s="11">
        <v>50</v>
      </c>
      <c r="D765">
        <v>24000000</v>
      </c>
      <c r="E765">
        <v>2142</v>
      </c>
    </row>
    <row r="766" ht="13.85" spans="1:5">
      <c r="A766">
        <f t="shared" si="11"/>
        <v>765</v>
      </c>
      <c r="B766" s="11">
        <v>24224306</v>
      </c>
      <c r="C766" s="11">
        <v>40</v>
      </c>
      <c r="D766">
        <v>19200000</v>
      </c>
      <c r="E766">
        <v>2141</v>
      </c>
    </row>
    <row r="767" ht="13.85" spans="1:5">
      <c r="A767">
        <f t="shared" si="11"/>
        <v>766</v>
      </c>
      <c r="B767" s="11">
        <v>28824036</v>
      </c>
      <c r="C767" s="11">
        <v>150.4</v>
      </c>
      <c r="D767">
        <v>72192000</v>
      </c>
      <c r="E767">
        <v>2140</v>
      </c>
    </row>
    <row r="768" ht="13.85" spans="1:5">
      <c r="A768">
        <f t="shared" si="11"/>
        <v>767</v>
      </c>
      <c r="B768" s="11">
        <v>31639224</v>
      </c>
      <c r="C768" s="11">
        <v>137</v>
      </c>
      <c r="D768">
        <v>65760000</v>
      </c>
      <c r="E768">
        <v>2139</v>
      </c>
    </row>
    <row r="769" ht="13.85" spans="1:5">
      <c r="A769">
        <f t="shared" si="11"/>
        <v>768</v>
      </c>
      <c r="B769" s="11">
        <v>27631664</v>
      </c>
      <c r="C769" s="11">
        <v>121</v>
      </c>
      <c r="D769">
        <v>58080000</v>
      </c>
      <c r="E769">
        <v>2138</v>
      </c>
    </row>
    <row r="770" ht="13.85" spans="1:5">
      <c r="A770">
        <f t="shared" ref="A770:A833" si="12">ROW()-1</f>
        <v>769</v>
      </c>
      <c r="B770" s="11">
        <v>29527152</v>
      </c>
      <c r="C770" s="11">
        <v>105</v>
      </c>
      <c r="D770">
        <v>50400000</v>
      </c>
      <c r="E770">
        <v>2137</v>
      </c>
    </row>
    <row r="771" ht="13.85" spans="1:5">
      <c r="A771">
        <f t="shared" si="12"/>
        <v>770</v>
      </c>
      <c r="B771" s="11">
        <v>24522080</v>
      </c>
      <c r="C771" s="11">
        <v>87</v>
      </c>
      <c r="D771">
        <v>41760000</v>
      </c>
      <c r="E771">
        <v>2136</v>
      </c>
    </row>
    <row r="772" ht="13.85" spans="1:5">
      <c r="A772">
        <f t="shared" si="12"/>
        <v>771</v>
      </c>
      <c r="B772" s="11">
        <v>27371306</v>
      </c>
      <c r="C772" s="11">
        <v>74</v>
      </c>
      <c r="D772">
        <v>35520000</v>
      </c>
      <c r="E772">
        <v>2135</v>
      </c>
    </row>
    <row r="773" ht="13.85" spans="1:5">
      <c r="A773">
        <f t="shared" si="12"/>
        <v>772</v>
      </c>
      <c r="B773" s="11">
        <v>22131814</v>
      </c>
      <c r="C773" s="11">
        <v>60</v>
      </c>
      <c r="D773">
        <v>28800000</v>
      </c>
      <c r="E773">
        <v>2134</v>
      </c>
    </row>
    <row r="774" ht="13.85" spans="1:5">
      <c r="A774">
        <f t="shared" si="12"/>
        <v>773</v>
      </c>
      <c r="B774" s="11">
        <v>25745054</v>
      </c>
      <c r="C774" s="11">
        <v>50</v>
      </c>
      <c r="D774">
        <v>24000000</v>
      </c>
      <c r="E774">
        <v>2133</v>
      </c>
    </row>
    <row r="775" ht="13.85" spans="1:5">
      <c r="A775">
        <f t="shared" si="12"/>
        <v>774</v>
      </c>
      <c r="B775" s="11">
        <v>22910442</v>
      </c>
      <c r="C775" s="11">
        <v>40</v>
      </c>
      <c r="D775">
        <v>19200000</v>
      </c>
      <c r="E775">
        <v>2132</v>
      </c>
    </row>
    <row r="776" ht="13.85" spans="1:5">
      <c r="A776">
        <f t="shared" si="12"/>
        <v>775</v>
      </c>
      <c r="B776" s="11">
        <v>53547824</v>
      </c>
      <c r="C776" s="27">
        <v>315</v>
      </c>
      <c r="D776">
        <v>151200000</v>
      </c>
      <c r="E776">
        <v>2131</v>
      </c>
    </row>
    <row r="777" ht="13.85" spans="1:5">
      <c r="A777">
        <f t="shared" si="12"/>
        <v>776</v>
      </c>
      <c r="B777" s="11">
        <v>43653326</v>
      </c>
      <c r="C777" s="11">
        <v>280</v>
      </c>
      <c r="D777">
        <v>134400000</v>
      </c>
      <c r="E777">
        <v>2130</v>
      </c>
    </row>
    <row r="778" ht="13.85" spans="1:5">
      <c r="A778">
        <f t="shared" si="12"/>
        <v>777</v>
      </c>
      <c r="B778" s="11">
        <v>45947538</v>
      </c>
      <c r="C778" s="11">
        <v>257</v>
      </c>
      <c r="D778">
        <v>123360000</v>
      </c>
      <c r="E778">
        <v>2129</v>
      </c>
    </row>
    <row r="779" ht="13.85" spans="1:5">
      <c r="A779">
        <f t="shared" si="12"/>
        <v>778</v>
      </c>
      <c r="B779" s="11">
        <v>40479512</v>
      </c>
      <c r="C779" s="11">
        <v>233</v>
      </c>
      <c r="D779">
        <v>111840000</v>
      </c>
      <c r="E779">
        <v>2128</v>
      </c>
    </row>
    <row r="780" ht="13.85" spans="1:5">
      <c r="A780">
        <f t="shared" si="12"/>
        <v>779</v>
      </c>
      <c r="B780" s="11">
        <v>40602162</v>
      </c>
      <c r="C780" s="11">
        <v>215</v>
      </c>
      <c r="D780">
        <v>103200000</v>
      </c>
      <c r="E780">
        <v>2127</v>
      </c>
    </row>
    <row r="781" ht="13.85" spans="1:5">
      <c r="A781">
        <f t="shared" si="12"/>
        <v>780</v>
      </c>
      <c r="B781" s="11">
        <v>34439020</v>
      </c>
      <c r="C781" s="11">
        <v>195</v>
      </c>
      <c r="D781">
        <v>93600000</v>
      </c>
      <c r="E781">
        <v>2126</v>
      </c>
    </row>
    <row r="782" ht="13.85" spans="1:5">
      <c r="A782">
        <f t="shared" si="12"/>
        <v>781</v>
      </c>
      <c r="B782" s="11">
        <v>36210458</v>
      </c>
      <c r="C782" s="11">
        <v>177</v>
      </c>
      <c r="D782">
        <v>84960000</v>
      </c>
      <c r="E782">
        <v>2125</v>
      </c>
    </row>
    <row r="783" ht="13.85" spans="1:5">
      <c r="A783">
        <f t="shared" si="12"/>
        <v>782</v>
      </c>
      <c r="B783" s="11">
        <v>31911952</v>
      </c>
      <c r="C783" s="11">
        <v>158</v>
      </c>
      <c r="D783">
        <v>75840000</v>
      </c>
      <c r="E783">
        <v>2124</v>
      </c>
    </row>
    <row r="784" ht="13.85" spans="1:5">
      <c r="A784">
        <f t="shared" si="12"/>
        <v>783</v>
      </c>
      <c r="B784" s="11">
        <v>34586912</v>
      </c>
      <c r="C784" s="11">
        <v>142</v>
      </c>
      <c r="D784">
        <v>68160000</v>
      </c>
      <c r="E784">
        <v>2123</v>
      </c>
    </row>
    <row r="785" ht="13.85" spans="1:5">
      <c r="A785">
        <f t="shared" si="12"/>
        <v>784</v>
      </c>
      <c r="B785" s="11">
        <v>29848500</v>
      </c>
      <c r="C785" s="11">
        <v>122</v>
      </c>
      <c r="D785">
        <v>58560000</v>
      </c>
      <c r="E785">
        <v>2122</v>
      </c>
    </row>
    <row r="786" ht="13.85" spans="1:5">
      <c r="A786">
        <f t="shared" si="12"/>
        <v>785</v>
      </c>
      <c r="B786" s="11">
        <v>32426648</v>
      </c>
      <c r="C786" s="11">
        <v>106</v>
      </c>
      <c r="D786">
        <v>50880000</v>
      </c>
      <c r="E786">
        <v>2121</v>
      </c>
    </row>
    <row r="787" ht="13.85" spans="1:5">
      <c r="A787">
        <f t="shared" si="12"/>
        <v>786</v>
      </c>
      <c r="B787" s="11">
        <v>26108290</v>
      </c>
      <c r="C787" s="11">
        <v>89</v>
      </c>
      <c r="D787">
        <v>42720000</v>
      </c>
      <c r="E787">
        <v>2120</v>
      </c>
    </row>
    <row r="788" ht="13.85" spans="1:5">
      <c r="A788">
        <f t="shared" si="12"/>
        <v>787</v>
      </c>
      <c r="B788" s="11">
        <v>28615434</v>
      </c>
      <c r="C788" s="11">
        <v>74</v>
      </c>
      <c r="D788">
        <v>35520000</v>
      </c>
      <c r="E788">
        <v>2119</v>
      </c>
    </row>
    <row r="789" ht="13.85" spans="1:5">
      <c r="A789">
        <f t="shared" si="12"/>
        <v>788</v>
      </c>
      <c r="B789" s="11">
        <v>23836474</v>
      </c>
      <c r="C789" s="11">
        <v>60</v>
      </c>
      <c r="D789">
        <v>28800000</v>
      </c>
      <c r="E789">
        <v>2118</v>
      </c>
    </row>
    <row r="790" ht="13.85" spans="1:5">
      <c r="A790">
        <f t="shared" si="12"/>
        <v>789</v>
      </c>
      <c r="B790" s="11">
        <v>31875956</v>
      </c>
      <c r="C790" s="11">
        <v>50</v>
      </c>
      <c r="D790">
        <v>24000000</v>
      </c>
      <c r="E790">
        <v>2117</v>
      </c>
    </row>
    <row r="791" ht="13.85" spans="1:5">
      <c r="A791">
        <f t="shared" si="12"/>
        <v>790</v>
      </c>
      <c r="B791" s="11">
        <v>24894038</v>
      </c>
      <c r="C791" s="11">
        <v>40</v>
      </c>
      <c r="D791">
        <v>19200000</v>
      </c>
      <c r="E791">
        <v>2116</v>
      </c>
    </row>
    <row r="792" ht="13.85" spans="1:5">
      <c r="A792">
        <f t="shared" si="12"/>
        <v>791</v>
      </c>
      <c r="B792" s="11">
        <v>28206532</v>
      </c>
      <c r="C792" s="11">
        <v>55.9</v>
      </c>
      <c r="D792">
        <v>26832000</v>
      </c>
      <c r="E792">
        <v>2115</v>
      </c>
    </row>
    <row r="793" ht="13.85" spans="1:5">
      <c r="A793">
        <f t="shared" si="12"/>
        <v>792</v>
      </c>
      <c r="B793" s="11">
        <v>24681712</v>
      </c>
      <c r="C793" s="11">
        <v>40</v>
      </c>
      <c r="D793">
        <v>19200000</v>
      </c>
      <c r="E793">
        <v>2114</v>
      </c>
    </row>
    <row r="794" ht="13.85" spans="1:5">
      <c r="A794">
        <f t="shared" si="12"/>
        <v>793</v>
      </c>
      <c r="B794" s="11">
        <v>89582428</v>
      </c>
      <c r="C794" s="27">
        <v>456.7</v>
      </c>
      <c r="D794">
        <v>219216000</v>
      </c>
      <c r="E794">
        <v>2113</v>
      </c>
    </row>
    <row r="795" ht="13.85" spans="1:5">
      <c r="A795">
        <f t="shared" si="12"/>
        <v>794</v>
      </c>
      <c r="B795" s="11">
        <v>72492378</v>
      </c>
      <c r="C795" s="11">
        <v>420</v>
      </c>
      <c r="D795">
        <v>201600000</v>
      </c>
      <c r="E795">
        <v>2112</v>
      </c>
    </row>
    <row r="796" ht="13.85" spans="1:5">
      <c r="A796">
        <f t="shared" si="12"/>
        <v>795</v>
      </c>
      <c r="B796" s="11">
        <v>63191186</v>
      </c>
      <c r="C796" s="11">
        <v>385</v>
      </c>
      <c r="D796">
        <v>184800000</v>
      </c>
      <c r="E796">
        <v>2111</v>
      </c>
    </row>
    <row r="797" ht="13.85" spans="1:5">
      <c r="A797">
        <f t="shared" si="12"/>
        <v>796</v>
      </c>
      <c r="B797" s="11">
        <v>54714824</v>
      </c>
      <c r="C797" s="11">
        <v>348</v>
      </c>
      <c r="D797">
        <v>167040000</v>
      </c>
      <c r="E797">
        <v>2110</v>
      </c>
    </row>
    <row r="798" ht="13.85" spans="1:5">
      <c r="A798">
        <f t="shared" si="12"/>
        <v>797</v>
      </c>
      <c r="B798" s="11">
        <v>55422738</v>
      </c>
      <c r="C798" s="11">
        <v>321</v>
      </c>
      <c r="D798">
        <v>154080000</v>
      </c>
      <c r="E798">
        <v>2109</v>
      </c>
    </row>
    <row r="799" ht="13.85" spans="1:5">
      <c r="A799">
        <f t="shared" si="12"/>
        <v>798</v>
      </c>
      <c r="B799" s="11">
        <v>45712126</v>
      </c>
      <c r="C799" s="11">
        <v>293</v>
      </c>
      <c r="D799">
        <v>140640000</v>
      </c>
      <c r="E799">
        <v>2108</v>
      </c>
    </row>
    <row r="800" ht="13.85" spans="1:5">
      <c r="A800" s="18">
        <f t="shared" si="12"/>
        <v>799</v>
      </c>
      <c r="B800" s="11">
        <v>45733736</v>
      </c>
      <c r="C800" s="11">
        <v>269</v>
      </c>
      <c r="D800">
        <v>129120000</v>
      </c>
      <c r="E800">
        <v>2107</v>
      </c>
    </row>
    <row r="801" ht="13.85" spans="1:5">
      <c r="A801">
        <f t="shared" si="12"/>
        <v>800</v>
      </c>
      <c r="B801" s="11">
        <v>39219666</v>
      </c>
      <c r="C801" s="11">
        <v>246</v>
      </c>
      <c r="D801">
        <v>118080000</v>
      </c>
      <c r="E801">
        <v>2106</v>
      </c>
    </row>
    <row r="802" ht="13.85" spans="1:5">
      <c r="A802">
        <f t="shared" si="12"/>
        <v>801</v>
      </c>
      <c r="B802" s="11">
        <v>42525078</v>
      </c>
      <c r="C802" s="11">
        <v>223</v>
      </c>
      <c r="D802">
        <v>107040000</v>
      </c>
      <c r="E802">
        <v>2105</v>
      </c>
    </row>
    <row r="803" ht="13.85" spans="1:5">
      <c r="A803">
        <f t="shared" si="12"/>
        <v>802</v>
      </c>
      <c r="B803" s="11">
        <v>37030108</v>
      </c>
      <c r="C803" s="11">
        <v>203</v>
      </c>
      <c r="D803">
        <v>97440000</v>
      </c>
      <c r="E803">
        <v>2104</v>
      </c>
    </row>
    <row r="804" ht="13.85" spans="1:5">
      <c r="A804">
        <f t="shared" si="12"/>
        <v>803</v>
      </c>
      <c r="B804" s="11">
        <v>36681166</v>
      </c>
      <c r="C804" s="11">
        <v>184</v>
      </c>
      <c r="D804">
        <v>88320000</v>
      </c>
      <c r="E804">
        <v>2103</v>
      </c>
    </row>
    <row r="805" ht="13.85" spans="1:5">
      <c r="A805">
        <f t="shared" si="12"/>
        <v>804</v>
      </c>
      <c r="B805" s="11">
        <v>31305276</v>
      </c>
      <c r="C805" s="11">
        <v>165</v>
      </c>
      <c r="D805">
        <v>79200000</v>
      </c>
      <c r="E805">
        <v>2102</v>
      </c>
    </row>
    <row r="806" ht="13.85" spans="1:5">
      <c r="A806">
        <f t="shared" si="12"/>
        <v>805</v>
      </c>
      <c r="B806" s="11">
        <v>35875122</v>
      </c>
      <c r="C806" s="11">
        <v>145</v>
      </c>
      <c r="D806">
        <v>69600000</v>
      </c>
      <c r="E806">
        <v>2101</v>
      </c>
    </row>
    <row r="807" ht="13.85" spans="1:5">
      <c r="A807">
        <f t="shared" si="12"/>
        <v>806</v>
      </c>
      <c r="B807" s="11">
        <v>30194364</v>
      </c>
      <c r="C807" s="11">
        <v>127</v>
      </c>
      <c r="D807">
        <v>60960000</v>
      </c>
      <c r="E807">
        <v>2100</v>
      </c>
    </row>
    <row r="808" ht="13.85" spans="1:5">
      <c r="A808">
        <f t="shared" si="12"/>
        <v>807</v>
      </c>
      <c r="B808" s="11">
        <v>33101656</v>
      </c>
      <c r="C808" s="11">
        <v>112</v>
      </c>
      <c r="D808">
        <v>53760000</v>
      </c>
      <c r="E808">
        <v>2099</v>
      </c>
    </row>
    <row r="809" ht="13.85" spans="1:5">
      <c r="A809">
        <f t="shared" si="12"/>
        <v>808</v>
      </c>
      <c r="B809" s="11">
        <v>27141800</v>
      </c>
      <c r="C809" s="11">
        <v>92</v>
      </c>
      <c r="D809">
        <v>44160000</v>
      </c>
      <c r="E809">
        <v>2098</v>
      </c>
    </row>
    <row r="810" ht="13.85" spans="1:5">
      <c r="A810">
        <f t="shared" si="12"/>
        <v>809</v>
      </c>
      <c r="B810" s="11">
        <v>30049118</v>
      </c>
      <c r="C810" s="11">
        <v>78</v>
      </c>
      <c r="D810">
        <v>37440000</v>
      </c>
      <c r="E810">
        <v>2097</v>
      </c>
    </row>
    <row r="811" ht="13.85" spans="1:5">
      <c r="A811">
        <f t="shared" si="12"/>
        <v>810</v>
      </c>
      <c r="B811" s="11">
        <v>24774300</v>
      </c>
      <c r="C811" s="11">
        <v>62</v>
      </c>
      <c r="D811">
        <v>29760000</v>
      </c>
      <c r="E811">
        <v>2096</v>
      </c>
    </row>
    <row r="812" ht="13.85" spans="1:5">
      <c r="A812">
        <f t="shared" si="12"/>
        <v>811</v>
      </c>
      <c r="B812" s="11">
        <v>28587842</v>
      </c>
      <c r="C812" s="11">
        <v>50</v>
      </c>
      <c r="D812">
        <v>24000000</v>
      </c>
      <c r="E812">
        <v>2095</v>
      </c>
    </row>
    <row r="813" ht="13.85" spans="1:5">
      <c r="A813">
        <f t="shared" si="12"/>
        <v>812</v>
      </c>
      <c r="B813" s="11">
        <v>26996476</v>
      </c>
      <c r="C813" s="11">
        <v>40</v>
      </c>
      <c r="D813">
        <v>19200000</v>
      </c>
      <c r="E813">
        <v>2094</v>
      </c>
    </row>
    <row r="814" ht="13.85" spans="1:5">
      <c r="A814">
        <f t="shared" si="12"/>
        <v>813</v>
      </c>
      <c r="B814" s="11">
        <v>201692088</v>
      </c>
      <c r="C814" s="27">
        <v>559.7</v>
      </c>
      <c r="D814">
        <v>268656000</v>
      </c>
      <c r="E814">
        <v>2093</v>
      </c>
    </row>
    <row r="815" ht="13.85" spans="1:5">
      <c r="A815">
        <f t="shared" si="12"/>
        <v>814</v>
      </c>
      <c r="B815" s="15">
        <v>149143678</v>
      </c>
      <c r="C815" s="32">
        <v>460</v>
      </c>
      <c r="D815">
        <v>220800000</v>
      </c>
      <c r="E815">
        <v>2092</v>
      </c>
    </row>
    <row r="816" ht="13.85" spans="1:5">
      <c r="A816">
        <f t="shared" si="12"/>
        <v>815</v>
      </c>
      <c r="B816" s="13">
        <v>114268872</v>
      </c>
      <c r="C816" s="13">
        <v>384</v>
      </c>
      <c r="D816">
        <v>184320000</v>
      </c>
      <c r="E816">
        <v>2091</v>
      </c>
    </row>
    <row r="817" ht="13.85" spans="1:5">
      <c r="A817">
        <f t="shared" si="12"/>
        <v>816</v>
      </c>
      <c r="B817" s="11">
        <v>63996728</v>
      </c>
      <c r="C817" s="11">
        <v>337</v>
      </c>
      <c r="D817">
        <v>161760000</v>
      </c>
      <c r="E817">
        <v>2090</v>
      </c>
    </row>
    <row r="818" ht="13.85" spans="1:5">
      <c r="A818">
        <f t="shared" si="12"/>
        <v>817</v>
      </c>
      <c r="B818" s="11">
        <v>66703416</v>
      </c>
      <c r="C818" s="11">
        <v>300</v>
      </c>
      <c r="D818">
        <v>144000000</v>
      </c>
      <c r="E818">
        <v>2089</v>
      </c>
    </row>
    <row r="819" ht="13.85" spans="1:5">
      <c r="A819">
        <f t="shared" si="12"/>
        <v>818</v>
      </c>
      <c r="B819" s="11">
        <v>48535172</v>
      </c>
      <c r="C819" s="11">
        <v>269</v>
      </c>
      <c r="D819">
        <v>129120000</v>
      </c>
      <c r="E819">
        <v>2088</v>
      </c>
    </row>
    <row r="820" ht="13.85" spans="1:5">
      <c r="A820">
        <f t="shared" si="12"/>
        <v>819</v>
      </c>
      <c r="B820" s="11">
        <v>45240888</v>
      </c>
      <c r="C820" s="11">
        <v>250</v>
      </c>
      <c r="D820">
        <v>120000000</v>
      </c>
      <c r="E820">
        <v>2087</v>
      </c>
    </row>
    <row r="821" ht="13.85" spans="1:5">
      <c r="A821">
        <f t="shared" si="12"/>
        <v>820</v>
      </c>
      <c r="B821" s="11">
        <v>38638204</v>
      </c>
      <c r="C821" s="11">
        <v>229</v>
      </c>
      <c r="D821">
        <v>109920000</v>
      </c>
      <c r="E821">
        <v>2086</v>
      </c>
    </row>
    <row r="822" ht="13.85" spans="1:5">
      <c r="A822">
        <f t="shared" si="12"/>
        <v>821</v>
      </c>
      <c r="B822" s="11">
        <v>38259490</v>
      </c>
      <c r="C822" s="11">
        <v>212</v>
      </c>
      <c r="D822">
        <v>101760000</v>
      </c>
      <c r="E822">
        <v>2085</v>
      </c>
    </row>
    <row r="823" ht="13.85" spans="1:5">
      <c r="A823">
        <f t="shared" si="12"/>
        <v>822</v>
      </c>
      <c r="B823" s="11">
        <v>32978968</v>
      </c>
      <c r="C823" s="11">
        <v>193</v>
      </c>
      <c r="D823">
        <v>92640000</v>
      </c>
      <c r="E823">
        <v>2084</v>
      </c>
    </row>
    <row r="824" ht="13.85" spans="1:5">
      <c r="A824">
        <f t="shared" si="12"/>
        <v>823</v>
      </c>
      <c r="B824" s="11">
        <v>33842134</v>
      </c>
      <c r="C824" s="11">
        <v>177</v>
      </c>
      <c r="D824">
        <v>84960000</v>
      </c>
      <c r="E824">
        <v>2083</v>
      </c>
    </row>
    <row r="825" ht="13.85" spans="1:5">
      <c r="A825">
        <f t="shared" si="12"/>
        <v>824</v>
      </c>
      <c r="B825" s="11">
        <v>29306014</v>
      </c>
      <c r="C825" s="11">
        <v>163</v>
      </c>
      <c r="D825">
        <v>78240000</v>
      </c>
      <c r="E825">
        <v>2082</v>
      </c>
    </row>
    <row r="826" ht="13.85" spans="1:5">
      <c r="A826">
        <f t="shared" si="12"/>
        <v>825</v>
      </c>
      <c r="B826" s="11">
        <v>28442720</v>
      </c>
      <c r="C826" s="11">
        <v>149</v>
      </c>
      <c r="D826">
        <v>71520000</v>
      </c>
      <c r="E826">
        <v>2081</v>
      </c>
    </row>
    <row r="827" ht="13.85" spans="1:5">
      <c r="A827">
        <f t="shared" si="12"/>
        <v>826</v>
      </c>
      <c r="B827" s="11">
        <v>29925352</v>
      </c>
      <c r="C827" s="11">
        <v>134</v>
      </c>
      <c r="D827">
        <v>64320000</v>
      </c>
      <c r="E827">
        <v>2080</v>
      </c>
    </row>
    <row r="828" ht="13.85" spans="1:5">
      <c r="A828">
        <f t="shared" si="12"/>
        <v>827</v>
      </c>
      <c r="B828" s="11">
        <v>29509730</v>
      </c>
      <c r="C828" s="11">
        <v>119</v>
      </c>
      <c r="D828">
        <v>57120000</v>
      </c>
      <c r="E828">
        <v>2079</v>
      </c>
    </row>
    <row r="829" ht="13.85" spans="1:5">
      <c r="A829">
        <f t="shared" si="12"/>
        <v>828</v>
      </c>
      <c r="B829" s="11">
        <v>26385356</v>
      </c>
      <c r="C829" s="11">
        <v>103</v>
      </c>
      <c r="D829">
        <v>49440000</v>
      </c>
      <c r="E829">
        <v>2078</v>
      </c>
    </row>
    <row r="830" ht="13.85" spans="1:5">
      <c r="A830">
        <f t="shared" si="12"/>
        <v>829</v>
      </c>
      <c r="B830" s="11">
        <v>26639324</v>
      </c>
      <c r="C830" s="11">
        <v>90</v>
      </c>
      <c r="D830">
        <v>43200000</v>
      </c>
      <c r="E830">
        <v>2077</v>
      </c>
    </row>
    <row r="831" ht="13.85" spans="1:5">
      <c r="A831">
        <f t="shared" si="12"/>
        <v>830</v>
      </c>
      <c r="B831" s="11">
        <v>23435234</v>
      </c>
      <c r="C831" s="11">
        <v>75</v>
      </c>
      <c r="D831">
        <v>36000000</v>
      </c>
      <c r="E831">
        <v>2076</v>
      </c>
    </row>
    <row r="832" ht="13.85" spans="1:5">
      <c r="A832">
        <f t="shared" si="12"/>
        <v>831</v>
      </c>
      <c r="B832" s="11">
        <v>25735618</v>
      </c>
      <c r="C832" s="11">
        <v>64</v>
      </c>
      <c r="D832">
        <v>30720000</v>
      </c>
      <c r="E832">
        <v>2075</v>
      </c>
    </row>
    <row r="833" ht="13.85" spans="1:5">
      <c r="A833">
        <f t="shared" si="12"/>
        <v>832</v>
      </c>
      <c r="B833" s="11">
        <v>22186600</v>
      </c>
      <c r="C833" s="11">
        <v>52</v>
      </c>
      <c r="D833">
        <v>24960000</v>
      </c>
      <c r="E833">
        <v>2074</v>
      </c>
    </row>
    <row r="834" ht="13.85" spans="1:5">
      <c r="A834">
        <f t="shared" ref="A834:A897" si="13">ROW()-1</f>
        <v>833</v>
      </c>
      <c r="B834" s="11">
        <v>24373782</v>
      </c>
      <c r="C834" s="11">
        <v>40</v>
      </c>
      <c r="D834">
        <v>19200000</v>
      </c>
      <c r="E834">
        <v>2073</v>
      </c>
    </row>
    <row r="835" ht="13.85" spans="1:5">
      <c r="A835">
        <f t="shared" si="13"/>
        <v>834</v>
      </c>
      <c r="B835" s="11">
        <v>34858690</v>
      </c>
      <c r="C835" s="11">
        <v>191</v>
      </c>
      <c r="D835">
        <v>91680000</v>
      </c>
      <c r="E835">
        <v>2072</v>
      </c>
    </row>
    <row r="836" ht="13.85" spans="1:5">
      <c r="A836">
        <f t="shared" si="13"/>
        <v>835</v>
      </c>
      <c r="B836" s="11">
        <v>35624078</v>
      </c>
      <c r="C836" s="11">
        <v>173</v>
      </c>
      <c r="D836">
        <v>83040000</v>
      </c>
      <c r="E836">
        <v>2071</v>
      </c>
    </row>
    <row r="837" ht="13.85" spans="1:5">
      <c r="A837">
        <f t="shared" si="13"/>
        <v>836</v>
      </c>
      <c r="B837" s="11">
        <v>31371272</v>
      </c>
      <c r="C837" s="11">
        <v>156</v>
      </c>
      <c r="D837">
        <v>74880000</v>
      </c>
      <c r="E837">
        <v>2070</v>
      </c>
    </row>
    <row r="838" ht="13.85" spans="1:5">
      <c r="A838">
        <f t="shared" si="13"/>
        <v>837</v>
      </c>
      <c r="B838" s="11">
        <v>32707574</v>
      </c>
      <c r="C838" s="11">
        <v>143</v>
      </c>
      <c r="D838">
        <v>68640000</v>
      </c>
      <c r="E838">
        <v>2069</v>
      </c>
    </row>
    <row r="839" ht="13.85" spans="1:5">
      <c r="A839">
        <f t="shared" si="13"/>
        <v>838</v>
      </c>
      <c r="B839" s="11">
        <v>28477244</v>
      </c>
      <c r="C839" s="11">
        <v>128</v>
      </c>
      <c r="D839">
        <v>61440000</v>
      </c>
      <c r="E839">
        <v>2068</v>
      </c>
    </row>
    <row r="840" ht="13.85" spans="1:5">
      <c r="A840">
        <f t="shared" si="13"/>
        <v>839</v>
      </c>
      <c r="B840" s="11">
        <v>30185504</v>
      </c>
      <c r="C840" s="11">
        <v>112</v>
      </c>
      <c r="D840">
        <v>53760000</v>
      </c>
      <c r="E840">
        <v>2067</v>
      </c>
    </row>
    <row r="841" ht="13.85" spans="1:5">
      <c r="A841">
        <f t="shared" si="13"/>
        <v>840</v>
      </c>
      <c r="B841" s="11">
        <v>25693148</v>
      </c>
      <c r="C841" s="11">
        <v>94</v>
      </c>
      <c r="D841">
        <v>45120000</v>
      </c>
      <c r="E841">
        <v>2066</v>
      </c>
    </row>
    <row r="842" ht="13.85" spans="1:5">
      <c r="A842">
        <f t="shared" si="13"/>
        <v>841</v>
      </c>
      <c r="B842" s="11">
        <v>27008488</v>
      </c>
      <c r="C842" s="11">
        <v>80</v>
      </c>
      <c r="D842">
        <v>38400000</v>
      </c>
      <c r="E842">
        <v>2065</v>
      </c>
    </row>
    <row r="843" ht="13.85" spans="1:5">
      <c r="A843">
        <f t="shared" si="13"/>
        <v>842</v>
      </c>
      <c r="B843" s="11">
        <v>23303788</v>
      </c>
      <c r="C843" s="11">
        <v>66</v>
      </c>
      <c r="D843">
        <v>31680000</v>
      </c>
      <c r="E843">
        <v>2064</v>
      </c>
    </row>
    <row r="844" ht="13.85" spans="1:5">
      <c r="A844">
        <f t="shared" si="13"/>
        <v>843</v>
      </c>
      <c r="B844" s="11">
        <v>24972612</v>
      </c>
      <c r="C844" s="11">
        <v>53</v>
      </c>
      <c r="D844">
        <v>25440000</v>
      </c>
      <c r="E844">
        <v>2063</v>
      </c>
    </row>
    <row r="845" ht="13.85" spans="1:5">
      <c r="A845">
        <f t="shared" si="13"/>
        <v>844</v>
      </c>
      <c r="B845" s="11">
        <v>22491096</v>
      </c>
      <c r="C845" s="11">
        <v>40</v>
      </c>
      <c r="D845">
        <v>19200000</v>
      </c>
      <c r="E845">
        <v>2062</v>
      </c>
    </row>
    <row r="846" ht="13.85" spans="1:5">
      <c r="A846">
        <f t="shared" si="13"/>
        <v>845</v>
      </c>
      <c r="B846" s="11">
        <v>33006810</v>
      </c>
      <c r="C846" s="11">
        <v>132</v>
      </c>
      <c r="D846">
        <v>63360000</v>
      </c>
      <c r="E846">
        <v>2061</v>
      </c>
    </row>
    <row r="847" ht="13.85" spans="1:5">
      <c r="A847">
        <f t="shared" si="13"/>
        <v>846</v>
      </c>
      <c r="B847" s="11">
        <v>28866102</v>
      </c>
      <c r="C847" s="11">
        <v>115</v>
      </c>
      <c r="D847">
        <v>55200000</v>
      </c>
      <c r="E847">
        <v>2060</v>
      </c>
    </row>
    <row r="848" ht="13.85" spans="1:5">
      <c r="A848">
        <f t="shared" si="13"/>
        <v>847</v>
      </c>
      <c r="B848" s="11">
        <v>31563578</v>
      </c>
      <c r="C848" s="11">
        <v>102</v>
      </c>
      <c r="D848">
        <v>48960000</v>
      </c>
      <c r="E848">
        <v>2059</v>
      </c>
    </row>
    <row r="849" ht="13.85" spans="1:5">
      <c r="A849">
        <f t="shared" si="13"/>
        <v>848</v>
      </c>
      <c r="B849" s="11">
        <v>26795516</v>
      </c>
      <c r="C849" s="11">
        <v>83</v>
      </c>
      <c r="D849">
        <v>39840000</v>
      </c>
      <c r="E849">
        <v>2058</v>
      </c>
    </row>
    <row r="850" ht="13.85" spans="1:5">
      <c r="A850">
        <f t="shared" si="13"/>
        <v>849</v>
      </c>
      <c r="B850" s="11">
        <v>30533970</v>
      </c>
      <c r="C850" s="11">
        <v>68</v>
      </c>
      <c r="D850">
        <v>32640000</v>
      </c>
      <c r="E850">
        <v>2057</v>
      </c>
    </row>
    <row r="851" ht="13.85" spans="1:5">
      <c r="A851">
        <f t="shared" si="13"/>
        <v>850</v>
      </c>
      <c r="B851" s="11">
        <v>26629554</v>
      </c>
      <c r="C851" s="11">
        <v>53</v>
      </c>
      <c r="D851">
        <v>25440000</v>
      </c>
      <c r="E851">
        <v>2056</v>
      </c>
    </row>
    <row r="852" ht="13.85" spans="1:5">
      <c r="A852">
        <f t="shared" si="13"/>
        <v>851</v>
      </c>
      <c r="B852" s="11">
        <v>30726184</v>
      </c>
      <c r="C852" s="11">
        <v>40</v>
      </c>
      <c r="D852">
        <v>19200000</v>
      </c>
      <c r="E852">
        <v>2055</v>
      </c>
    </row>
    <row r="853" ht="13.85" spans="1:5">
      <c r="A853">
        <f t="shared" si="13"/>
        <v>852</v>
      </c>
      <c r="B853" s="11">
        <v>457683204</v>
      </c>
      <c r="C853" s="11">
        <v>758.7</v>
      </c>
      <c r="D853">
        <v>364176000</v>
      </c>
      <c r="E853">
        <v>2054</v>
      </c>
    </row>
    <row r="854" ht="13.85" spans="1:5">
      <c r="A854">
        <f t="shared" si="13"/>
        <v>853</v>
      </c>
      <c r="B854" s="11">
        <v>227374398</v>
      </c>
      <c r="C854" s="11">
        <v>535</v>
      </c>
      <c r="D854">
        <v>256800000</v>
      </c>
      <c r="E854">
        <v>2053</v>
      </c>
    </row>
    <row r="855" ht="13.85" spans="1:5">
      <c r="A855">
        <f t="shared" si="13"/>
        <v>854</v>
      </c>
      <c r="B855" s="11">
        <v>129941192</v>
      </c>
      <c r="C855" s="11">
        <v>430</v>
      </c>
      <c r="D855">
        <v>206400000</v>
      </c>
      <c r="E855">
        <v>2052</v>
      </c>
    </row>
    <row r="856" ht="13.85" spans="1:5">
      <c r="A856">
        <f t="shared" si="13"/>
        <v>855</v>
      </c>
      <c r="B856" s="11">
        <v>107894982</v>
      </c>
      <c r="C856" s="11">
        <v>356</v>
      </c>
      <c r="D856">
        <v>170880000</v>
      </c>
      <c r="E856">
        <v>2051</v>
      </c>
    </row>
    <row r="857" ht="13.85" spans="1:5">
      <c r="A857">
        <f t="shared" si="13"/>
        <v>856</v>
      </c>
      <c r="B857" s="11">
        <v>76183440</v>
      </c>
      <c r="C857" s="11">
        <v>307</v>
      </c>
      <c r="D857">
        <v>147360000</v>
      </c>
      <c r="E857">
        <v>2050</v>
      </c>
    </row>
    <row r="858" ht="13.85" spans="1:5">
      <c r="A858">
        <f t="shared" si="13"/>
        <v>857</v>
      </c>
      <c r="B858" s="11">
        <v>57610230</v>
      </c>
      <c r="C858" s="11">
        <v>286</v>
      </c>
      <c r="D858">
        <v>137280000</v>
      </c>
      <c r="E858">
        <v>2049</v>
      </c>
    </row>
    <row r="859" ht="13.85" spans="1:5">
      <c r="A859">
        <f t="shared" si="13"/>
        <v>858</v>
      </c>
      <c r="B859" s="11">
        <v>41757190</v>
      </c>
      <c r="C859" s="11">
        <v>261</v>
      </c>
      <c r="D859">
        <v>125280000</v>
      </c>
      <c r="E859">
        <v>2048</v>
      </c>
    </row>
    <row r="860" ht="13.85" spans="1:5">
      <c r="A860">
        <f t="shared" si="13"/>
        <v>859</v>
      </c>
      <c r="B860" s="11">
        <v>42451532</v>
      </c>
      <c r="C860" s="11">
        <v>239</v>
      </c>
      <c r="D860">
        <v>114720000</v>
      </c>
      <c r="E860">
        <v>2047</v>
      </c>
    </row>
    <row r="861" ht="13.85" spans="1:5">
      <c r="A861">
        <f t="shared" si="13"/>
        <v>860</v>
      </c>
      <c r="B861" s="11">
        <v>36596148</v>
      </c>
      <c r="C861" s="11">
        <v>220</v>
      </c>
      <c r="D861">
        <v>105600000</v>
      </c>
      <c r="E861">
        <v>2046</v>
      </c>
    </row>
    <row r="862" ht="13.85" spans="1:5">
      <c r="A862">
        <f t="shared" si="13"/>
        <v>861</v>
      </c>
      <c r="B862" s="11">
        <v>37852066</v>
      </c>
      <c r="C862" s="11">
        <v>205</v>
      </c>
      <c r="D862">
        <v>98400000</v>
      </c>
      <c r="E862">
        <v>2045</v>
      </c>
    </row>
    <row r="863" ht="13.85" spans="1:5">
      <c r="A863">
        <f t="shared" si="13"/>
        <v>862</v>
      </c>
      <c r="B863" s="11">
        <v>32074744</v>
      </c>
      <c r="C863" s="11">
        <v>187</v>
      </c>
      <c r="D863">
        <v>89760000</v>
      </c>
      <c r="E863">
        <v>2044</v>
      </c>
    </row>
    <row r="864" ht="13.85" spans="1:5">
      <c r="A864">
        <f t="shared" si="13"/>
        <v>863</v>
      </c>
      <c r="B864" s="11">
        <v>34337890</v>
      </c>
      <c r="C864" s="11">
        <v>172</v>
      </c>
      <c r="D864">
        <v>82560000</v>
      </c>
      <c r="E864">
        <v>2043</v>
      </c>
    </row>
    <row r="865" ht="13.85" spans="1:5">
      <c r="A865">
        <f t="shared" si="13"/>
        <v>864</v>
      </c>
      <c r="B865" s="11">
        <v>30129106</v>
      </c>
      <c r="C865" s="11">
        <v>155</v>
      </c>
      <c r="D865">
        <v>74400000</v>
      </c>
      <c r="E865">
        <v>2042</v>
      </c>
    </row>
    <row r="866" ht="13.85" spans="1:5">
      <c r="A866">
        <f t="shared" si="13"/>
        <v>865</v>
      </c>
      <c r="B866" s="11">
        <v>31734290</v>
      </c>
      <c r="C866" s="11">
        <v>140</v>
      </c>
      <c r="D866">
        <v>67200000</v>
      </c>
      <c r="E866">
        <v>2041</v>
      </c>
    </row>
    <row r="867" ht="13.85" spans="1:5">
      <c r="A867">
        <f t="shared" si="13"/>
        <v>866</v>
      </c>
      <c r="B867" s="11">
        <v>26095178</v>
      </c>
      <c r="C867" s="11">
        <v>121</v>
      </c>
      <c r="D867">
        <v>58080000</v>
      </c>
      <c r="E867">
        <v>2040</v>
      </c>
    </row>
    <row r="868" ht="13.85" spans="1:5">
      <c r="A868">
        <f t="shared" si="13"/>
        <v>867</v>
      </c>
      <c r="B868" s="11">
        <v>29542492</v>
      </c>
      <c r="C868" s="11">
        <v>106</v>
      </c>
      <c r="D868">
        <v>50880000</v>
      </c>
      <c r="E868">
        <v>2039</v>
      </c>
    </row>
    <row r="869" ht="13.85" spans="1:5">
      <c r="A869">
        <f t="shared" si="13"/>
        <v>868</v>
      </c>
      <c r="B869" s="11">
        <v>24563314</v>
      </c>
      <c r="C869" s="11">
        <v>92</v>
      </c>
      <c r="D869">
        <v>44160000</v>
      </c>
      <c r="E869">
        <v>2038</v>
      </c>
    </row>
    <row r="870" ht="13.85" spans="1:5">
      <c r="A870">
        <f t="shared" si="13"/>
        <v>869</v>
      </c>
      <c r="B870" s="11">
        <v>26136296</v>
      </c>
      <c r="C870" s="11">
        <v>79</v>
      </c>
      <c r="D870">
        <v>37920000</v>
      </c>
      <c r="E870">
        <v>2037</v>
      </c>
    </row>
    <row r="871" ht="13.85" spans="1:5">
      <c r="A871">
        <f t="shared" si="13"/>
        <v>870</v>
      </c>
      <c r="B871" s="11">
        <v>22935404</v>
      </c>
      <c r="C871" s="11">
        <v>64</v>
      </c>
      <c r="D871">
        <v>30720000</v>
      </c>
      <c r="E871">
        <v>2036</v>
      </c>
    </row>
    <row r="872" ht="13.85" spans="1:5">
      <c r="A872">
        <f t="shared" si="13"/>
        <v>871</v>
      </c>
      <c r="B872" s="11">
        <v>25546894</v>
      </c>
      <c r="C872" s="11">
        <v>52</v>
      </c>
      <c r="D872">
        <v>24960000</v>
      </c>
      <c r="E872">
        <v>2035</v>
      </c>
    </row>
    <row r="873" ht="13.85" spans="1:5">
      <c r="A873">
        <f t="shared" si="13"/>
        <v>872</v>
      </c>
      <c r="B873" s="11">
        <v>23023054</v>
      </c>
      <c r="C873" s="11">
        <v>40</v>
      </c>
      <c r="D873">
        <v>19200000</v>
      </c>
      <c r="E873">
        <v>2034</v>
      </c>
    </row>
    <row r="874" ht="13.85" spans="1:5">
      <c r="A874">
        <f t="shared" si="13"/>
        <v>873</v>
      </c>
      <c r="B874" s="11">
        <v>134117452</v>
      </c>
      <c r="C874" s="11">
        <v>448.7</v>
      </c>
      <c r="D874">
        <v>215376000</v>
      </c>
      <c r="E874">
        <v>2033</v>
      </c>
    </row>
    <row r="875" ht="13.85" spans="1:5">
      <c r="A875">
        <f t="shared" si="13"/>
        <v>874</v>
      </c>
      <c r="B875" s="11">
        <v>89237106</v>
      </c>
      <c r="C875" s="11">
        <v>375</v>
      </c>
      <c r="D875">
        <v>180000000</v>
      </c>
      <c r="E875">
        <v>2032</v>
      </c>
    </row>
    <row r="876" ht="13.85" spans="1:5">
      <c r="A876">
        <f t="shared" si="13"/>
        <v>875</v>
      </c>
      <c r="B876" s="11">
        <v>77393730</v>
      </c>
      <c r="C876" s="11">
        <v>337</v>
      </c>
      <c r="D876">
        <v>161760000</v>
      </c>
      <c r="E876">
        <v>2031</v>
      </c>
    </row>
    <row r="877" ht="13.85" spans="1:5">
      <c r="A877">
        <f t="shared" si="13"/>
        <v>876</v>
      </c>
      <c r="B877" s="11">
        <v>61706222</v>
      </c>
      <c r="C877" s="11">
        <v>302</v>
      </c>
      <c r="D877">
        <v>144960000</v>
      </c>
      <c r="E877">
        <v>2030</v>
      </c>
    </row>
    <row r="878" ht="13.85" spans="1:5">
      <c r="A878">
        <f t="shared" si="13"/>
        <v>877</v>
      </c>
      <c r="B878" s="11">
        <v>53974574</v>
      </c>
      <c r="C878" s="11">
        <v>275</v>
      </c>
      <c r="D878">
        <v>132000000</v>
      </c>
      <c r="E878">
        <v>2029</v>
      </c>
    </row>
    <row r="879" ht="13.85" spans="1:5">
      <c r="A879">
        <f t="shared" si="13"/>
        <v>878</v>
      </c>
      <c r="B879" s="11">
        <v>47345376</v>
      </c>
      <c r="C879" s="11">
        <v>250</v>
      </c>
      <c r="D879">
        <v>120000000</v>
      </c>
      <c r="E879">
        <v>2028</v>
      </c>
    </row>
    <row r="880" ht="13.85" spans="1:5">
      <c r="A880">
        <f t="shared" si="13"/>
        <v>879</v>
      </c>
      <c r="B880" s="11">
        <v>46889334</v>
      </c>
      <c r="C880" s="11">
        <v>228</v>
      </c>
      <c r="D880">
        <v>109440000</v>
      </c>
      <c r="E880">
        <v>2027</v>
      </c>
    </row>
    <row r="881" ht="13.85" spans="1:5">
      <c r="A881">
        <f t="shared" si="13"/>
        <v>880</v>
      </c>
      <c r="B881" s="11">
        <v>41945038</v>
      </c>
      <c r="C881" s="11">
        <v>204</v>
      </c>
      <c r="D881">
        <v>97920000</v>
      </c>
      <c r="E881">
        <v>2026</v>
      </c>
    </row>
    <row r="882" ht="13.85" spans="1:5">
      <c r="A882">
        <f t="shared" si="13"/>
        <v>881</v>
      </c>
      <c r="B882" s="11">
        <v>38860452</v>
      </c>
      <c r="C882" s="11">
        <v>184</v>
      </c>
      <c r="D882">
        <v>88320000</v>
      </c>
      <c r="E882">
        <v>2025</v>
      </c>
    </row>
    <row r="883" ht="13.85" spans="1:5">
      <c r="A883">
        <f t="shared" si="13"/>
        <v>882</v>
      </c>
      <c r="B883" s="11">
        <v>34333024</v>
      </c>
      <c r="C883" s="11">
        <v>165</v>
      </c>
      <c r="D883">
        <v>79200000</v>
      </c>
      <c r="E883">
        <v>2024</v>
      </c>
    </row>
    <row r="884" ht="13.85" spans="1:5">
      <c r="A884">
        <f t="shared" si="13"/>
        <v>883</v>
      </c>
      <c r="B884" s="11">
        <v>35216844</v>
      </c>
      <c r="C884" s="11">
        <v>147</v>
      </c>
      <c r="D884">
        <v>70560000</v>
      </c>
      <c r="E884">
        <v>2023</v>
      </c>
    </row>
    <row r="885" ht="13.85" spans="1:5">
      <c r="A885">
        <f t="shared" si="13"/>
        <v>884</v>
      </c>
      <c r="B885" s="11">
        <v>31192354</v>
      </c>
      <c r="C885" s="11">
        <v>130</v>
      </c>
      <c r="D885">
        <v>62400000</v>
      </c>
      <c r="E885">
        <v>2022</v>
      </c>
    </row>
    <row r="886" ht="13.85" spans="1:5">
      <c r="A886">
        <f t="shared" si="13"/>
        <v>885</v>
      </c>
      <c r="B886" s="11">
        <v>31809628</v>
      </c>
      <c r="C886" s="11">
        <v>113</v>
      </c>
      <c r="D886">
        <v>54240000</v>
      </c>
      <c r="E886">
        <v>2021</v>
      </c>
    </row>
    <row r="887" ht="13.85" spans="1:5">
      <c r="A887">
        <f t="shared" si="13"/>
        <v>886</v>
      </c>
      <c r="B887" s="11">
        <v>28452234</v>
      </c>
      <c r="C887" s="11">
        <v>100</v>
      </c>
      <c r="D887">
        <v>48000000</v>
      </c>
      <c r="E887">
        <v>2020</v>
      </c>
    </row>
    <row r="888" ht="13.85" spans="1:5">
      <c r="A888">
        <f t="shared" si="13"/>
        <v>887</v>
      </c>
      <c r="B888" s="11">
        <v>28016384</v>
      </c>
      <c r="C888" s="11">
        <v>90</v>
      </c>
      <c r="D888">
        <v>43200000</v>
      </c>
      <c r="E888">
        <v>2019</v>
      </c>
    </row>
    <row r="889" ht="13.85" spans="1:5">
      <c r="A889">
        <f t="shared" si="13"/>
        <v>888</v>
      </c>
      <c r="B889" s="11">
        <v>24172228</v>
      </c>
      <c r="C889" s="11">
        <v>80</v>
      </c>
      <c r="D889">
        <v>38400000</v>
      </c>
      <c r="E889">
        <v>2018</v>
      </c>
    </row>
    <row r="890" ht="13.85" spans="1:5">
      <c r="A890">
        <f t="shared" si="13"/>
        <v>889</v>
      </c>
      <c r="B890" s="11">
        <v>26616188</v>
      </c>
      <c r="C890" s="11">
        <v>70</v>
      </c>
      <c r="D890">
        <v>33600000</v>
      </c>
      <c r="E890">
        <v>2017</v>
      </c>
    </row>
    <row r="891" ht="13.85" spans="1:5">
      <c r="A891">
        <f t="shared" si="13"/>
        <v>890</v>
      </c>
      <c r="B891" s="11">
        <v>23049888</v>
      </c>
      <c r="C891" s="11">
        <v>60</v>
      </c>
      <c r="D891">
        <v>28800000</v>
      </c>
      <c r="E891">
        <v>2016</v>
      </c>
    </row>
    <row r="892" ht="13.85" spans="1:5">
      <c r="A892">
        <f t="shared" si="13"/>
        <v>891</v>
      </c>
      <c r="B892" s="11">
        <v>24961042</v>
      </c>
      <c r="C892" s="11">
        <v>50</v>
      </c>
      <c r="D892">
        <v>24000000</v>
      </c>
      <c r="E892">
        <v>2015</v>
      </c>
    </row>
    <row r="893" ht="13.85" spans="1:5">
      <c r="A893">
        <f t="shared" si="13"/>
        <v>892</v>
      </c>
      <c r="B893" s="11">
        <v>22090536</v>
      </c>
      <c r="C893" s="11">
        <v>40</v>
      </c>
      <c r="D893">
        <v>19200000</v>
      </c>
      <c r="E893">
        <v>2014</v>
      </c>
    </row>
    <row r="894" ht="13.85" spans="1:5">
      <c r="A894">
        <f t="shared" si="13"/>
        <v>893</v>
      </c>
      <c r="B894" s="11">
        <v>25902820</v>
      </c>
      <c r="C894" s="11">
        <v>60</v>
      </c>
      <c r="D894">
        <v>28800000</v>
      </c>
      <c r="E894">
        <v>2013</v>
      </c>
    </row>
    <row r="895" ht="13.85" spans="1:5">
      <c r="A895">
        <f t="shared" si="13"/>
        <v>894</v>
      </c>
      <c r="B895" s="11">
        <v>22467958</v>
      </c>
      <c r="C895" s="11">
        <v>50</v>
      </c>
      <c r="D895">
        <v>24000000</v>
      </c>
      <c r="E895">
        <v>2012</v>
      </c>
    </row>
    <row r="896" ht="13.85" spans="1:5">
      <c r="A896">
        <f t="shared" si="13"/>
        <v>895</v>
      </c>
      <c r="B896" s="11">
        <v>25737424</v>
      </c>
      <c r="C896" s="11">
        <v>40</v>
      </c>
      <c r="D896">
        <v>19200000</v>
      </c>
      <c r="E896">
        <v>2011</v>
      </c>
    </row>
    <row r="897" ht="13.85" spans="1:5">
      <c r="A897">
        <f t="shared" si="13"/>
        <v>896</v>
      </c>
      <c r="B897" s="11">
        <v>32554602</v>
      </c>
      <c r="C897" s="11">
        <v>155</v>
      </c>
      <c r="D897">
        <v>74400000</v>
      </c>
      <c r="E897">
        <v>2010</v>
      </c>
    </row>
    <row r="898" ht="13.85" spans="1:5">
      <c r="A898">
        <f t="shared" ref="A898:A961" si="14">ROW()-1</f>
        <v>897</v>
      </c>
      <c r="B898" s="11">
        <v>34900242</v>
      </c>
      <c r="C898" s="11">
        <v>141</v>
      </c>
      <c r="D898">
        <v>67680000</v>
      </c>
      <c r="E898">
        <v>2009</v>
      </c>
    </row>
    <row r="899" ht="13.85" spans="1:5">
      <c r="A899">
        <f t="shared" si="14"/>
        <v>898</v>
      </c>
      <c r="B899" s="11">
        <v>29851224</v>
      </c>
      <c r="C899" s="11">
        <v>123</v>
      </c>
      <c r="D899">
        <v>59040000</v>
      </c>
      <c r="E899">
        <v>2008</v>
      </c>
    </row>
    <row r="900" ht="13.85" spans="1:5">
      <c r="A900">
        <f t="shared" si="14"/>
        <v>899</v>
      </c>
      <c r="B900" s="11">
        <v>32550214</v>
      </c>
      <c r="C900" s="11">
        <v>104</v>
      </c>
      <c r="D900">
        <v>49920000</v>
      </c>
      <c r="E900">
        <v>2007</v>
      </c>
    </row>
    <row r="901" ht="13.85" spans="1:5">
      <c r="A901">
        <f t="shared" si="14"/>
        <v>900</v>
      </c>
      <c r="B901" s="11">
        <v>26936478</v>
      </c>
      <c r="C901" s="11">
        <v>85</v>
      </c>
      <c r="D901">
        <v>40800000</v>
      </c>
      <c r="E901">
        <v>2006</v>
      </c>
    </row>
    <row r="902" ht="13.85" spans="1:5">
      <c r="A902">
        <f t="shared" si="14"/>
        <v>901</v>
      </c>
      <c r="B902" s="11">
        <v>28868654</v>
      </c>
      <c r="C902" s="11">
        <v>68</v>
      </c>
      <c r="D902">
        <v>32640000</v>
      </c>
      <c r="E902">
        <v>2005</v>
      </c>
    </row>
    <row r="903" ht="13.85" spans="1:5">
      <c r="A903">
        <f t="shared" si="14"/>
        <v>902</v>
      </c>
      <c r="B903" s="11">
        <v>25012404</v>
      </c>
      <c r="C903" s="11">
        <v>53</v>
      </c>
      <c r="D903">
        <v>25440000</v>
      </c>
      <c r="E903">
        <v>2004</v>
      </c>
    </row>
    <row r="904" ht="13.85" spans="1:5">
      <c r="A904">
        <f t="shared" si="14"/>
        <v>903</v>
      </c>
      <c r="B904" s="11">
        <v>27777408</v>
      </c>
      <c r="C904" s="11">
        <v>40</v>
      </c>
      <c r="D904">
        <v>19200000</v>
      </c>
      <c r="E904">
        <v>2003</v>
      </c>
    </row>
    <row r="905" ht="13.85" spans="1:5">
      <c r="A905">
        <f t="shared" si="14"/>
        <v>904</v>
      </c>
      <c r="B905" s="11">
        <v>149905498</v>
      </c>
      <c r="C905" s="27">
        <v>435.3</v>
      </c>
      <c r="D905">
        <v>208944000</v>
      </c>
      <c r="E905">
        <v>2002</v>
      </c>
    </row>
    <row r="906" ht="13.85" spans="1:5">
      <c r="A906">
        <f t="shared" si="14"/>
        <v>905</v>
      </c>
      <c r="B906" s="11">
        <v>83331392</v>
      </c>
      <c r="C906" s="11">
        <v>349</v>
      </c>
      <c r="D906">
        <v>167520000</v>
      </c>
      <c r="E906">
        <v>2001</v>
      </c>
    </row>
    <row r="907" ht="13.85" spans="1:5">
      <c r="A907">
        <f t="shared" si="14"/>
        <v>906</v>
      </c>
      <c r="B907" s="11">
        <v>67509258</v>
      </c>
      <c r="C907" s="11">
        <v>310</v>
      </c>
      <c r="D907">
        <v>148800000</v>
      </c>
      <c r="E907">
        <v>2000</v>
      </c>
    </row>
    <row r="908" ht="13.85" spans="1:5">
      <c r="A908">
        <f t="shared" si="14"/>
        <v>907</v>
      </c>
      <c r="B908" s="11">
        <v>56292320</v>
      </c>
      <c r="C908" s="11">
        <v>285</v>
      </c>
      <c r="D908">
        <v>136800000</v>
      </c>
      <c r="E908">
        <v>1999</v>
      </c>
    </row>
    <row r="909" ht="13.85" spans="1:5">
      <c r="A909">
        <f t="shared" si="14"/>
        <v>908</v>
      </c>
      <c r="B909" s="11">
        <v>49916734</v>
      </c>
      <c r="C909" s="11">
        <v>255</v>
      </c>
      <c r="D909">
        <v>122400000</v>
      </c>
      <c r="E909">
        <v>1998</v>
      </c>
    </row>
    <row r="910" ht="13.85" spans="1:5">
      <c r="A910">
        <f t="shared" si="14"/>
        <v>909</v>
      </c>
      <c r="B910" s="11">
        <v>49276582</v>
      </c>
      <c r="C910" s="11">
        <v>229</v>
      </c>
      <c r="D910">
        <v>109920000</v>
      </c>
      <c r="E910">
        <v>1997</v>
      </c>
    </row>
    <row r="911" ht="13.85" spans="1:5">
      <c r="A911">
        <f t="shared" si="14"/>
        <v>910</v>
      </c>
      <c r="B911" s="11">
        <v>41339944</v>
      </c>
      <c r="C911" s="11">
        <v>206</v>
      </c>
      <c r="D911">
        <v>98880000</v>
      </c>
      <c r="E911">
        <v>1996</v>
      </c>
    </row>
    <row r="912" ht="13.85" spans="1:5">
      <c r="A912">
        <f t="shared" si="14"/>
        <v>911</v>
      </c>
      <c r="B912" s="11">
        <v>37642712</v>
      </c>
      <c r="C912" s="11">
        <v>187</v>
      </c>
      <c r="D912">
        <v>89760000</v>
      </c>
      <c r="E912">
        <v>1995</v>
      </c>
    </row>
    <row r="913" ht="13.85" spans="1:5">
      <c r="A913">
        <f t="shared" si="14"/>
        <v>912</v>
      </c>
      <c r="B913" s="11">
        <v>31178460</v>
      </c>
      <c r="C913" s="11">
        <v>170</v>
      </c>
      <c r="D913">
        <v>81600000</v>
      </c>
      <c r="E913">
        <v>1994</v>
      </c>
    </row>
    <row r="914" ht="13.85" spans="1:5">
      <c r="A914">
        <f t="shared" si="14"/>
        <v>913</v>
      </c>
      <c r="B914" s="11">
        <v>33115134</v>
      </c>
      <c r="C914" s="11">
        <v>153</v>
      </c>
      <c r="D914">
        <v>73440000</v>
      </c>
      <c r="E914">
        <v>1993</v>
      </c>
    </row>
    <row r="915" ht="13.85" spans="1:5">
      <c r="A915">
        <f t="shared" si="14"/>
        <v>914</v>
      </c>
      <c r="B915" s="11">
        <v>28308190</v>
      </c>
      <c r="C915" s="11">
        <v>135</v>
      </c>
      <c r="D915">
        <v>64800000</v>
      </c>
      <c r="E915">
        <v>1992</v>
      </c>
    </row>
    <row r="916" ht="13.85" spans="1:5">
      <c r="A916">
        <f t="shared" si="14"/>
        <v>915</v>
      </c>
      <c r="B916" s="11">
        <v>31820822</v>
      </c>
      <c r="C916" s="11">
        <v>121</v>
      </c>
      <c r="D916">
        <v>58080000</v>
      </c>
      <c r="E916">
        <v>1991</v>
      </c>
    </row>
    <row r="917" ht="13.85" spans="1:5">
      <c r="A917">
        <f t="shared" si="14"/>
        <v>916</v>
      </c>
      <c r="B917" s="11">
        <v>26361692</v>
      </c>
      <c r="C917" s="11">
        <v>106</v>
      </c>
      <c r="D917">
        <v>50880000</v>
      </c>
      <c r="E917">
        <v>1990</v>
      </c>
    </row>
    <row r="918" ht="13.85" spans="1:5">
      <c r="A918">
        <f t="shared" si="14"/>
        <v>917</v>
      </c>
      <c r="B918" s="11">
        <v>26368706</v>
      </c>
      <c r="C918" s="11">
        <v>94</v>
      </c>
      <c r="D918">
        <v>45120000</v>
      </c>
      <c r="E918">
        <v>1989</v>
      </c>
    </row>
    <row r="919" ht="13.85" spans="1:5">
      <c r="A919">
        <f t="shared" si="14"/>
        <v>918</v>
      </c>
      <c r="B919" s="15">
        <v>23867632</v>
      </c>
      <c r="C919" s="15">
        <v>80</v>
      </c>
      <c r="D919">
        <v>38400000</v>
      </c>
      <c r="E919">
        <v>1988</v>
      </c>
    </row>
    <row r="920" ht="13.85" spans="1:5">
      <c r="A920">
        <f t="shared" si="14"/>
        <v>919</v>
      </c>
      <c r="B920" s="13">
        <v>32118732</v>
      </c>
      <c r="C920" s="13">
        <v>70</v>
      </c>
      <c r="D920">
        <v>33600000</v>
      </c>
      <c r="E920">
        <v>1987</v>
      </c>
    </row>
    <row r="921" ht="13.85" spans="1:5">
      <c r="A921">
        <f t="shared" si="14"/>
        <v>920</v>
      </c>
      <c r="B921" s="11">
        <v>22553992</v>
      </c>
      <c r="C921" s="11">
        <v>60</v>
      </c>
      <c r="D921">
        <v>28800000</v>
      </c>
      <c r="E921">
        <v>1986</v>
      </c>
    </row>
    <row r="922" ht="13.85" spans="1:5">
      <c r="A922">
        <f t="shared" si="14"/>
        <v>921</v>
      </c>
      <c r="B922" s="11">
        <v>30022848</v>
      </c>
      <c r="C922" s="11">
        <v>50</v>
      </c>
      <c r="D922">
        <v>24000000</v>
      </c>
      <c r="E922">
        <v>1985</v>
      </c>
    </row>
    <row r="923" ht="13.85" spans="1:5">
      <c r="A923">
        <f t="shared" si="14"/>
        <v>922</v>
      </c>
      <c r="B923" s="11">
        <v>22726668</v>
      </c>
      <c r="C923" s="11">
        <v>40</v>
      </c>
      <c r="D923">
        <v>19200000</v>
      </c>
      <c r="E923">
        <v>1984</v>
      </c>
    </row>
    <row r="924" ht="13.85" spans="1:5">
      <c r="A924">
        <f t="shared" si="14"/>
        <v>923</v>
      </c>
      <c r="B924" s="11">
        <v>32263346</v>
      </c>
      <c r="C924" s="11">
        <v>121.6</v>
      </c>
      <c r="D924">
        <v>58368000</v>
      </c>
      <c r="E924">
        <v>1983</v>
      </c>
    </row>
    <row r="925" ht="13.85" spans="1:5">
      <c r="A925">
        <f t="shared" si="14"/>
        <v>924</v>
      </c>
      <c r="B925" s="11">
        <v>29458404</v>
      </c>
      <c r="C925" s="11">
        <v>100</v>
      </c>
      <c r="D925">
        <v>48000000</v>
      </c>
      <c r="E925">
        <v>1982</v>
      </c>
    </row>
    <row r="926" ht="13.85" spans="1:5">
      <c r="A926">
        <f t="shared" si="14"/>
        <v>925</v>
      </c>
      <c r="B926" s="11">
        <v>28258756</v>
      </c>
      <c r="C926" s="11">
        <v>85</v>
      </c>
      <c r="D926">
        <v>40800000</v>
      </c>
      <c r="E926">
        <v>1981</v>
      </c>
    </row>
    <row r="927" ht="13.85" spans="1:5">
      <c r="A927">
        <f t="shared" si="14"/>
        <v>926</v>
      </c>
      <c r="B927" s="11">
        <v>24610904</v>
      </c>
      <c r="C927" s="11">
        <v>67</v>
      </c>
      <c r="D927">
        <v>32160000</v>
      </c>
      <c r="E927">
        <v>1980</v>
      </c>
    </row>
    <row r="928" ht="13.85" spans="1:5">
      <c r="A928">
        <f t="shared" si="14"/>
        <v>927</v>
      </c>
      <c r="B928" s="11">
        <v>26782142</v>
      </c>
      <c r="C928" s="11">
        <v>54</v>
      </c>
      <c r="D928">
        <v>25920000</v>
      </c>
      <c r="E928">
        <v>1979</v>
      </c>
    </row>
    <row r="929" ht="13.85" spans="1:5">
      <c r="A929">
        <f t="shared" si="14"/>
        <v>928</v>
      </c>
      <c r="B929" s="11">
        <v>23145668</v>
      </c>
      <c r="C929" s="11">
        <v>40</v>
      </c>
      <c r="D929">
        <v>19200000</v>
      </c>
      <c r="E929">
        <v>1978</v>
      </c>
    </row>
    <row r="930" ht="13.85" spans="1:5">
      <c r="A930">
        <f t="shared" si="14"/>
        <v>929</v>
      </c>
      <c r="B930" s="11">
        <v>94533644</v>
      </c>
      <c r="C930" s="11">
        <v>420.9</v>
      </c>
      <c r="D930">
        <v>202032000</v>
      </c>
      <c r="E930">
        <v>1977</v>
      </c>
    </row>
    <row r="931" ht="13.85" spans="1:5">
      <c r="A931">
        <f t="shared" si="14"/>
        <v>930</v>
      </c>
      <c r="B931" s="11">
        <v>74294276</v>
      </c>
      <c r="C931" s="11">
        <v>359</v>
      </c>
      <c r="D931">
        <v>172320000</v>
      </c>
      <c r="E931">
        <v>1976</v>
      </c>
    </row>
    <row r="932" ht="13.85" spans="1:5">
      <c r="A932">
        <f t="shared" si="14"/>
        <v>931</v>
      </c>
      <c r="B932" s="11">
        <v>60763296</v>
      </c>
      <c r="C932" s="11">
        <v>320</v>
      </c>
      <c r="D932">
        <v>153600000</v>
      </c>
      <c r="E932">
        <v>1975</v>
      </c>
    </row>
    <row r="933" ht="13.85" spans="1:5">
      <c r="A933">
        <f t="shared" si="14"/>
        <v>932</v>
      </c>
      <c r="B933" s="11">
        <v>50086188</v>
      </c>
      <c r="C933" s="11">
        <v>293</v>
      </c>
      <c r="D933">
        <v>140640000</v>
      </c>
      <c r="E933">
        <v>1974</v>
      </c>
    </row>
    <row r="934" ht="13.85" spans="1:5">
      <c r="A934">
        <f t="shared" si="14"/>
        <v>933</v>
      </c>
      <c r="B934" s="11">
        <v>46889864</v>
      </c>
      <c r="C934" s="11">
        <v>258</v>
      </c>
      <c r="D934">
        <v>123840000</v>
      </c>
      <c r="E934">
        <v>1973</v>
      </c>
    </row>
    <row r="935" ht="13.85" spans="1:5">
      <c r="A935">
        <f t="shared" si="14"/>
        <v>934</v>
      </c>
      <c r="B935" s="11">
        <v>41636032</v>
      </c>
      <c r="C935" s="11">
        <v>236</v>
      </c>
      <c r="D935">
        <v>113280000</v>
      </c>
      <c r="E935">
        <v>1972</v>
      </c>
    </row>
    <row r="936" ht="13.85" spans="1:5">
      <c r="A936">
        <f t="shared" si="14"/>
        <v>935</v>
      </c>
      <c r="B936" s="11">
        <v>42956768</v>
      </c>
      <c r="C936" s="11">
        <v>217</v>
      </c>
      <c r="D936">
        <v>104160000</v>
      </c>
      <c r="E936">
        <v>1971</v>
      </c>
    </row>
    <row r="937" ht="13.85" spans="1:5">
      <c r="A937">
        <f t="shared" si="14"/>
        <v>936</v>
      </c>
      <c r="B937" s="11">
        <v>35891196</v>
      </c>
      <c r="C937" s="11">
        <v>198</v>
      </c>
      <c r="D937">
        <v>95040000</v>
      </c>
      <c r="E937">
        <v>1970</v>
      </c>
    </row>
    <row r="938" ht="13.85" spans="1:5">
      <c r="A938">
        <f t="shared" si="14"/>
        <v>937</v>
      </c>
      <c r="B938" s="11">
        <v>35303704</v>
      </c>
      <c r="C938" s="11">
        <v>180</v>
      </c>
      <c r="D938">
        <v>86400000</v>
      </c>
      <c r="E938">
        <v>1969</v>
      </c>
    </row>
    <row r="939" ht="13.85" spans="1:5">
      <c r="A939">
        <f t="shared" si="14"/>
        <v>938</v>
      </c>
      <c r="B939" s="11">
        <v>31304674</v>
      </c>
      <c r="C939" s="11">
        <v>164</v>
      </c>
      <c r="D939">
        <v>78720000</v>
      </c>
      <c r="E939">
        <v>1968</v>
      </c>
    </row>
    <row r="940" ht="13.85" spans="1:5">
      <c r="A940">
        <f t="shared" si="14"/>
        <v>939</v>
      </c>
      <c r="B940" s="11">
        <v>33173498</v>
      </c>
      <c r="C940" s="11">
        <v>151</v>
      </c>
      <c r="D940">
        <v>72480000</v>
      </c>
      <c r="E940">
        <v>1967</v>
      </c>
    </row>
    <row r="941" ht="13.85" spans="1:5">
      <c r="A941">
        <f t="shared" si="14"/>
        <v>940</v>
      </c>
      <c r="B941" s="11">
        <v>29294512</v>
      </c>
      <c r="C941" s="11">
        <v>136</v>
      </c>
      <c r="D941">
        <v>65280000</v>
      </c>
      <c r="E941">
        <v>1966</v>
      </c>
    </row>
    <row r="942" ht="13.85" spans="1:5">
      <c r="A942">
        <f t="shared" si="14"/>
        <v>941</v>
      </c>
      <c r="B942" s="11">
        <v>31370892</v>
      </c>
      <c r="C942" s="11">
        <v>122</v>
      </c>
      <c r="D942">
        <v>58560000</v>
      </c>
      <c r="E942">
        <v>1965</v>
      </c>
    </row>
    <row r="943" ht="13.85" spans="1:5">
      <c r="A943">
        <f t="shared" si="14"/>
        <v>942</v>
      </c>
      <c r="B943" s="11">
        <v>27079104</v>
      </c>
      <c r="C943" s="11">
        <v>107</v>
      </c>
      <c r="D943">
        <v>51360000</v>
      </c>
      <c r="E943">
        <v>1964</v>
      </c>
    </row>
    <row r="944" ht="13.85" spans="1:5">
      <c r="A944">
        <f t="shared" si="14"/>
        <v>943</v>
      </c>
      <c r="B944" s="11">
        <v>27361708</v>
      </c>
      <c r="C944" s="11">
        <v>91</v>
      </c>
      <c r="D944">
        <v>43680000</v>
      </c>
      <c r="E944">
        <v>1963</v>
      </c>
    </row>
    <row r="945" ht="13.85" spans="1:5">
      <c r="A945">
        <f t="shared" si="14"/>
        <v>944</v>
      </c>
      <c r="B945" s="11">
        <v>24639824</v>
      </c>
      <c r="C945" s="11">
        <v>80</v>
      </c>
      <c r="D945">
        <v>38400000</v>
      </c>
      <c r="E945">
        <v>1962</v>
      </c>
    </row>
    <row r="946" ht="13.85" spans="1:5">
      <c r="A946">
        <f t="shared" si="14"/>
        <v>945</v>
      </c>
      <c r="B946" s="11">
        <v>27058640</v>
      </c>
      <c r="C946" s="11">
        <v>70</v>
      </c>
      <c r="D946">
        <v>33600000</v>
      </c>
      <c r="E946">
        <v>1961</v>
      </c>
    </row>
    <row r="947" ht="13.85" spans="1:5">
      <c r="A947">
        <f t="shared" si="14"/>
        <v>946</v>
      </c>
      <c r="B947" s="11">
        <v>23116626</v>
      </c>
      <c r="C947" s="11">
        <v>60</v>
      </c>
      <c r="D947">
        <v>28800000</v>
      </c>
      <c r="E947">
        <v>1960</v>
      </c>
    </row>
    <row r="948" ht="13.85" spans="1:5">
      <c r="A948">
        <f t="shared" si="14"/>
        <v>947</v>
      </c>
      <c r="B948" s="11">
        <v>25267522</v>
      </c>
      <c r="C948" s="11">
        <v>50</v>
      </c>
      <c r="D948">
        <v>24000000</v>
      </c>
      <c r="E948">
        <v>1959</v>
      </c>
    </row>
    <row r="949" ht="13.85" spans="1:5">
      <c r="A949">
        <f t="shared" si="14"/>
        <v>948</v>
      </c>
      <c r="B949" s="11">
        <v>22462360</v>
      </c>
      <c r="C949" s="11">
        <v>40</v>
      </c>
      <c r="D949">
        <v>19200000</v>
      </c>
      <c r="E949">
        <v>1958</v>
      </c>
    </row>
    <row r="950" ht="13.85" spans="1:5">
      <c r="A950">
        <f t="shared" si="14"/>
        <v>949</v>
      </c>
      <c r="B950" s="11">
        <v>44231724</v>
      </c>
      <c r="C950" s="11">
        <v>244</v>
      </c>
      <c r="D950">
        <v>117120000</v>
      </c>
      <c r="E950">
        <v>1957</v>
      </c>
    </row>
    <row r="951" ht="13.85" spans="1:5">
      <c r="A951">
        <f t="shared" si="14"/>
        <v>950</v>
      </c>
      <c r="B951" s="11">
        <v>39590258</v>
      </c>
      <c r="C951" s="11">
        <v>222</v>
      </c>
      <c r="D951">
        <v>106560000</v>
      </c>
      <c r="E951">
        <v>1956</v>
      </c>
    </row>
    <row r="952" ht="13.85" spans="1:5">
      <c r="A952">
        <f t="shared" si="14"/>
        <v>951</v>
      </c>
      <c r="B952" s="11">
        <v>40342579</v>
      </c>
      <c r="C952" s="11">
        <v>205</v>
      </c>
      <c r="D952">
        <v>98400000</v>
      </c>
      <c r="E952">
        <v>1955</v>
      </c>
    </row>
    <row r="953" ht="13.85" spans="1:5">
      <c r="A953">
        <f t="shared" si="14"/>
        <v>952</v>
      </c>
      <c r="B953" s="11">
        <v>33546728</v>
      </c>
      <c r="C953" s="11">
        <v>186</v>
      </c>
      <c r="D953">
        <v>89280000</v>
      </c>
      <c r="E953">
        <v>1954</v>
      </c>
    </row>
    <row r="954" ht="13.85" spans="1:5">
      <c r="A954">
        <f t="shared" si="14"/>
        <v>953</v>
      </c>
      <c r="B954" s="11">
        <v>37152208</v>
      </c>
      <c r="C954" s="11">
        <v>170</v>
      </c>
      <c r="D954">
        <v>81600000</v>
      </c>
      <c r="E954">
        <v>1953</v>
      </c>
    </row>
    <row r="955" ht="13.85" spans="1:5">
      <c r="A955">
        <f t="shared" si="14"/>
        <v>954</v>
      </c>
      <c r="B955" s="11">
        <v>32026026</v>
      </c>
      <c r="C955" s="11">
        <v>154</v>
      </c>
      <c r="D955">
        <v>73920000</v>
      </c>
      <c r="E955">
        <v>1952</v>
      </c>
    </row>
    <row r="956" ht="13.85" spans="1:5">
      <c r="A956">
        <f t="shared" si="14"/>
        <v>955</v>
      </c>
      <c r="B956" s="11">
        <v>34481088</v>
      </c>
      <c r="C956" s="11">
        <v>142</v>
      </c>
      <c r="D956">
        <v>68160000</v>
      </c>
      <c r="E956">
        <v>1951</v>
      </c>
    </row>
    <row r="957" ht="13.85" spans="1:5">
      <c r="A957">
        <f t="shared" si="14"/>
        <v>956</v>
      </c>
      <c r="B957" s="11">
        <v>30629692</v>
      </c>
      <c r="C957" s="11">
        <v>127</v>
      </c>
      <c r="D957">
        <v>60960000</v>
      </c>
      <c r="E957">
        <v>1950</v>
      </c>
    </row>
    <row r="958" ht="13.85" spans="1:5">
      <c r="A958">
        <f t="shared" si="14"/>
        <v>957</v>
      </c>
      <c r="B958" s="11">
        <v>32849886</v>
      </c>
      <c r="C958" s="11">
        <v>110</v>
      </c>
      <c r="D958">
        <v>52800000</v>
      </c>
      <c r="E958">
        <v>1949</v>
      </c>
    </row>
    <row r="959" ht="13.85" spans="1:5">
      <c r="A959">
        <f t="shared" si="14"/>
        <v>958</v>
      </c>
      <c r="B959" s="11">
        <v>27911078</v>
      </c>
      <c r="C959" s="11">
        <v>94</v>
      </c>
      <c r="D959">
        <v>45120000</v>
      </c>
      <c r="E959">
        <v>1948</v>
      </c>
    </row>
    <row r="960" ht="13.85" spans="1:5">
      <c r="A960">
        <f t="shared" si="14"/>
        <v>959</v>
      </c>
      <c r="B960" s="11">
        <v>30029386</v>
      </c>
      <c r="C960" s="11">
        <v>82</v>
      </c>
      <c r="D960">
        <v>39360000</v>
      </c>
      <c r="E960">
        <v>1947</v>
      </c>
    </row>
    <row r="961" ht="13.85" spans="1:5">
      <c r="A961">
        <f t="shared" si="14"/>
        <v>960</v>
      </c>
      <c r="B961" s="11">
        <v>26374638</v>
      </c>
      <c r="C961" s="11">
        <v>67</v>
      </c>
      <c r="D961">
        <v>32160000</v>
      </c>
      <c r="E961">
        <v>1946</v>
      </c>
    </row>
    <row r="962" ht="13.85" spans="1:5">
      <c r="A962">
        <f t="shared" ref="A962:A1025" si="15">ROW()-1</f>
        <v>961</v>
      </c>
      <c r="B962" s="11">
        <v>29037382</v>
      </c>
      <c r="C962" s="11">
        <v>52</v>
      </c>
      <c r="D962">
        <v>24960000</v>
      </c>
      <c r="E962">
        <v>1945</v>
      </c>
    </row>
    <row r="963" ht="13.85" spans="1:5">
      <c r="A963">
        <f t="shared" si="15"/>
        <v>962</v>
      </c>
      <c r="B963" s="11">
        <v>27186128</v>
      </c>
      <c r="C963" s="11">
        <v>40</v>
      </c>
      <c r="D963">
        <v>19200000</v>
      </c>
      <c r="E963">
        <v>1944</v>
      </c>
    </row>
    <row r="964" ht="13.85" spans="1:5">
      <c r="A964">
        <f t="shared" si="15"/>
        <v>963</v>
      </c>
      <c r="B964" s="11">
        <v>136722250</v>
      </c>
      <c r="C964" s="27">
        <v>487</v>
      </c>
      <c r="D964">
        <v>233760000</v>
      </c>
      <c r="E964">
        <v>1943</v>
      </c>
    </row>
    <row r="965" ht="13.85" spans="1:5">
      <c r="A965">
        <f t="shared" si="15"/>
        <v>964</v>
      </c>
      <c r="B965" s="11">
        <v>100687710</v>
      </c>
      <c r="C965" s="11">
        <v>422</v>
      </c>
      <c r="D965">
        <v>202560000</v>
      </c>
      <c r="E965">
        <v>1942</v>
      </c>
    </row>
    <row r="966" ht="13.85" spans="1:5">
      <c r="A966">
        <f t="shared" si="15"/>
        <v>965</v>
      </c>
      <c r="B966" s="11">
        <v>67447786</v>
      </c>
      <c r="C966" s="11">
        <v>390</v>
      </c>
      <c r="D966">
        <v>187200000</v>
      </c>
      <c r="E966">
        <v>1941</v>
      </c>
    </row>
    <row r="967" ht="13.85" spans="1:5">
      <c r="A967">
        <f t="shared" si="15"/>
        <v>966</v>
      </c>
      <c r="B967" s="11">
        <v>58703720</v>
      </c>
      <c r="C967" s="11">
        <v>361</v>
      </c>
      <c r="D967">
        <v>173280000</v>
      </c>
      <c r="E967">
        <v>1940</v>
      </c>
    </row>
    <row r="968" ht="13.85" spans="1:5">
      <c r="A968">
        <f t="shared" si="15"/>
        <v>967</v>
      </c>
      <c r="B968" s="11">
        <v>57802204</v>
      </c>
      <c r="C968" s="11">
        <v>333</v>
      </c>
      <c r="D968">
        <v>159840000</v>
      </c>
      <c r="E968">
        <v>1939</v>
      </c>
    </row>
    <row r="969" ht="13.85" spans="1:5">
      <c r="A969">
        <f t="shared" si="15"/>
        <v>968</v>
      </c>
      <c r="B969" s="11">
        <v>51529112</v>
      </c>
      <c r="C969" s="11">
        <v>311</v>
      </c>
      <c r="D969">
        <v>149280000</v>
      </c>
      <c r="E969">
        <v>1938</v>
      </c>
    </row>
    <row r="970" ht="13.85" spans="1:5">
      <c r="A970">
        <f t="shared" si="15"/>
        <v>969</v>
      </c>
      <c r="B970" s="11">
        <v>56912314</v>
      </c>
      <c r="C970" s="11">
        <v>288</v>
      </c>
      <c r="D970">
        <v>138240000</v>
      </c>
      <c r="E970">
        <v>1937</v>
      </c>
    </row>
    <row r="971" ht="13.85" spans="1:5">
      <c r="A971">
        <f t="shared" si="15"/>
        <v>970</v>
      </c>
      <c r="B971" s="11">
        <v>51580224</v>
      </c>
      <c r="C971" s="11">
        <v>257</v>
      </c>
      <c r="D971">
        <v>123360000</v>
      </c>
      <c r="E971">
        <v>1936</v>
      </c>
    </row>
    <row r="972" ht="13.85" spans="1:5">
      <c r="A972">
        <f t="shared" si="15"/>
        <v>971</v>
      </c>
      <c r="B972" s="11">
        <v>51203844</v>
      </c>
      <c r="C972" s="11">
        <v>243</v>
      </c>
      <c r="D972">
        <v>116640000</v>
      </c>
      <c r="E972">
        <v>1935</v>
      </c>
    </row>
    <row r="973" ht="13.85" spans="1:5">
      <c r="A973">
        <f t="shared" si="15"/>
        <v>972</v>
      </c>
      <c r="B973" s="11">
        <v>39756020</v>
      </c>
      <c r="C973" s="11">
        <v>222</v>
      </c>
      <c r="D973">
        <v>106560000</v>
      </c>
      <c r="E973">
        <v>1934</v>
      </c>
    </row>
    <row r="974" ht="13.85" spans="1:5">
      <c r="A974">
        <f t="shared" si="15"/>
        <v>973</v>
      </c>
      <c r="B974" s="11">
        <v>38946942</v>
      </c>
      <c r="C974" s="11">
        <v>203</v>
      </c>
      <c r="D974">
        <v>97440000</v>
      </c>
      <c r="E974">
        <v>1933</v>
      </c>
    </row>
    <row r="975" ht="13.85" spans="1:5">
      <c r="A975">
        <f t="shared" si="15"/>
        <v>974</v>
      </c>
      <c r="B975" s="11">
        <v>32290936</v>
      </c>
      <c r="C975" s="11">
        <v>184</v>
      </c>
      <c r="D975">
        <v>88320000</v>
      </c>
      <c r="E975">
        <v>1932</v>
      </c>
    </row>
    <row r="976" ht="13.85" spans="1:5">
      <c r="A976">
        <f t="shared" si="15"/>
        <v>975</v>
      </c>
      <c r="B976" s="11">
        <v>33986378</v>
      </c>
      <c r="C976" s="11">
        <v>169</v>
      </c>
      <c r="D976">
        <v>81120000</v>
      </c>
      <c r="E976">
        <v>1931</v>
      </c>
    </row>
    <row r="977" ht="13.85" spans="1:5">
      <c r="A977">
        <f t="shared" si="15"/>
        <v>976</v>
      </c>
      <c r="B977" s="11">
        <v>30117464</v>
      </c>
      <c r="C977" s="11">
        <v>153</v>
      </c>
      <c r="D977">
        <v>73440000</v>
      </c>
      <c r="E977">
        <v>1930</v>
      </c>
    </row>
    <row r="978" ht="13.85" spans="1:5">
      <c r="A978">
        <f t="shared" si="15"/>
        <v>977</v>
      </c>
      <c r="B978" s="11">
        <v>31869688</v>
      </c>
      <c r="C978" s="11">
        <v>141</v>
      </c>
      <c r="D978">
        <v>67680000</v>
      </c>
      <c r="E978">
        <v>1929</v>
      </c>
    </row>
    <row r="979" ht="13.85" spans="1:5">
      <c r="A979">
        <f t="shared" si="15"/>
        <v>978</v>
      </c>
      <c r="B979" s="11">
        <v>28791514</v>
      </c>
      <c r="C979" s="11">
        <v>123</v>
      </c>
      <c r="D979">
        <v>59040000</v>
      </c>
      <c r="E979">
        <v>1928</v>
      </c>
    </row>
    <row r="980" ht="13.85" spans="1:5">
      <c r="A980">
        <f t="shared" si="15"/>
        <v>979</v>
      </c>
      <c r="B980" s="11">
        <v>31161584</v>
      </c>
      <c r="C980" s="11">
        <v>110</v>
      </c>
      <c r="D980">
        <v>52800000</v>
      </c>
      <c r="E980">
        <v>1927</v>
      </c>
    </row>
    <row r="981" ht="13.85" spans="1:5">
      <c r="A981">
        <f t="shared" si="15"/>
        <v>980</v>
      </c>
      <c r="B981" s="11">
        <v>26769328</v>
      </c>
      <c r="C981" s="11">
        <v>100</v>
      </c>
      <c r="D981">
        <v>48000000</v>
      </c>
      <c r="E981">
        <v>1926</v>
      </c>
    </row>
    <row r="982" ht="13.85" spans="1:5">
      <c r="A982">
        <f t="shared" si="15"/>
        <v>981</v>
      </c>
      <c r="B982" s="11">
        <v>27774836</v>
      </c>
      <c r="C982" s="11">
        <v>90</v>
      </c>
      <c r="D982">
        <v>43200000</v>
      </c>
      <c r="E982">
        <v>1925</v>
      </c>
    </row>
    <row r="983" ht="13.85" spans="1:5">
      <c r="A983">
        <f t="shared" si="15"/>
        <v>982</v>
      </c>
      <c r="B983" s="11">
        <v>24610048</v>
      </c>
      <c r="C983" s="11">
        <v>80</v>
      </c>
      <c r="D983">
        <v>38400000</v>
      </c>
      <c r="E983">
        <v>1924</v>
      </c>
    </row>
    <row r="984" ht="13.85" spans="1:5">
      <c r="A984">
        <f t="shared" si="15"/>
        <v>983</v>
      </c>
      <c r="B984" s="11">
        <v>27239338</v>
      </c>
      <c r="C984" s="11">
        <v>70</v>
      </c>
      <c r="D984">
        <v>33600000</v>
      </c>
      <c r="E984">
        <v>1923</v>
      </c>
    </row>
    <row r="985" ht="13.85" spans="1:5">
      <c r="A985">
        <f t="shared" si="15"/>
        <v>984</v>
      </c>
      <c r="B985" s="11">
        <v>24260628</v>
      </c>
      <c r="C985" s="11">
        <v>60</v>
      </c>
      <c r="D985">
        <v>28800000</v>
      </c>
      <c r="E985">
        <v>1922</v>
      </c>
    </row>
    <row r="986" ht="13.85" spans="1:5">
      <c r="A986">
        <f t="shared" si="15"/>
        <v>985</v>
      </c>
      <c r="B986" s="11">
        <v>26710594</v>
      </c>
      <c r="C986" s="11">
        <v>50</v>
      </c>
      <c r="D986">
        <v>24000000</v>
      </c>
      <c r="E986">
        <v>1921</v>
      </c>
    </row>
    <row r="987" ht="13.85" spans="1:5">
      <c r="A987">
        <f t="shared" si="15"/>
        <v>986</v>
      </c>
      <c r="B987" s="11">
        <v>24572226</v>
      </c>
      <c r="C987" s="11">
        <v>40</v>
      </c>
      <c r="D987">
        <v>19200000</v>
      </c>
      <c r="E987">
        <v>1920</v>
      </c>
    </row>
    <row r="988" ht="13.85" spans="1:5">
      <c r="A988">
        <f t="shared" si="15"/>
        <v>987</v>
      </c>
      <c r="B988" s="11">
        <v>147961958</v>
      </c>
      <c r="C988" s="25">
        <v>429</v>
      </c>
      <c r="D988">
        <v>205920000</v>
      </c>
      <c r="E988">
        <v>1919</v>
      </c>
    </row>
    <row r="989" ht="13.85" spans="1:5">
      <c r="A989">
        <f t="shared" si="15"/>
        <v>988</v>
      </c>
      <c r="B989" s="11">
        <v>91372322</v>
      </c>
      <c r="C989" s="11">
        <v>361</v>
      </c>
      <c r="D989">
        <v>173280000</v>
      </c>
      <c r="E989">
        <v>1918</v>
      </c>
    </row>
    <row r="990" ht="13.85" spans="1:5">
      <c r="A990">
        <f t="shared" si="15"/>
        <v>989</v>
      </c>
      <c r="B990" s="11">
        <v>61976652</v>
      </c>
      <c r="C990" s="11">
        <v>314</v>
      </c>
      <c r="D990">
        <v>150720000</v>
      </c>
      <c r="E990">
        <v>1917</v>
      </c>
    </row>
    <row r="991" ht="13.85" spans="1:5">
      <c r="A991">
        <f t="shared" si="15"/>
        <v>990</v>
      </c>
      <c r="B991" s="11">
        <v>49148452</v>
      </c>
      <c r="C991" s="11">
        <v>282</v>
      </c>
      <c r="D991">
        <v>135360000</v>
      </c>
      <c r="E991">
        <v>1916</v>
      </c>
    </row>
    <row r="992" ht="13.85" spans="1:5">
      <c r="A992">
        <f t="shared" si="15"/>
        <v>991</v>
      </c>
      <c r="B992" s="11">
        <v>47407264</v>
      </c>
      <c r="C992" s="11">
        <v>251</v>
      </c>
      <c r="D992">
        <v>120480000</v>
      </c>
      <c r="E992">
        <v>1915</v>
      </c>
    </row>
    <row r="993" ht="13.85" spans="1:5">
      <c r="A993">
        <f t="shared" si="15"/>
        <v>992</v>
      </c>
      <c r="B993" s="11">
        <v>43028710</v>
      </c>
      <c r="C993" s="11">
        <v>227</v>
      </c>
      <c r="D993">
        <v>108960000</v>
      </c>
      <c r="E993">
        <v>1914</v>
      </c>
    </row>
    <row r="994" ht="13.85" spans="1:5">
      <c r="A994">
        <f t="shared" si="15"/>
        <v>993</v>
      </c>
      <c r="B994" s="11">
        <v>42463458</v>
      </c>
      <c r="C994" s="11">
        <v>205</v>
      </c>
      <c r="D994">
        <v>98400000</v>
      </c>
      <c r="E994">
        <v>1913</v>
      </c>
    </row>
    <row r="995" ht="13.85" spans="1:5">
      <c r="A995">
        <f t="shared" si="15"/>
        <v>994</v>
      </c>
      <c r="B995" s="11">
        <v>35666504</v>
      </c>
      <c r="C995" s="11">
        <v>184</v>
      </c>
      <c r="D995">
        <v>88320000</v>
      </c>
      <c r="E995">
        <v>1912</v>
      </c>
    </row>
    <row r="996" ht="13.85" spans="1:5">
      <c r="A996">
        <f t="shared" si="15"/>
        <v>995</v>
      </c>
      <c r="B996" s="11">
        <v>36083820</v>
      </c>
      <c r="C996" s="11">
        <v>168</v>
      </c>
      <c r="D996">
        <v>80640000</v>
      </c>
      <c r="E996">
        <v>1911</v>
      </c>
    </row>
    <row r="997" ht="13.85" spans="1:5">
      <c r="A997">
        <f t="shared" si="15"/>
        <v>996</v>
      </c>
      <c r="B997" s="11">
        <v>32345444</v>
      </c>
      <c r="C997" s="11">
        <v>148</v>
      </c>
      <c r="D997">
        <v>71040000</v>
      </c>
      <c r="E997">
        <v>1910</v>
      </c>
    </row>
    <row r="998" ht="13.85" spans="1:5">
      <c r="A998">
        <f t="shared" si="15"/>
        <v>997</v>
      </c>
      <c r="B998" s="11">
        <v>34201448</v>
      </c>
      <c r="C998" s="11">
        <v>135</v>
      </c>
      <c r="D998">
        <v>64800000</v>
      </c>
      <c r="E998">
        <v>1909</v>
      </c>
    </row>
    <row r="999" ht="13.85" spans="1:5">
      <c r="A999">
        <f t="shared" si="15"/>
        <v>998</v>
      </c>
      <c r="B999" s="11">
        <v>29665490</v>
      </c>
      <c r="C999" s="11">
        <v>116</v>
      </c>
      <c r="D999">
        <v>55680000</v>
      </c>
      <c r="E999">
        <v>1908</v>
      </c>
    </row>
    <row r="1000" ht="13.85" spans="1:5">
      <c r="A1000">
        <f t="shared" si="15"/>
        <v>999</v>
      </c>
      <c r="B1000" s="11">
        <v>32052008</v>
      </c>
      <c r="C1000" s="11">
        <v>101</v>
      </c>
      <c r="D1000">
        <v>48480000</v>
      </c>
      <c r="E1000">
        <v>1907</v>
      </c>
    </row>
    <row r="1001" ht="13.85" spans="1:5">
      <c r="A1001">
        <f t="shared" si="15"/>
        <v>1000</v>
      </c>
      <c r="B1001" s="11">
        <v>26728382</v>
      </c>
      <c r="C1001" s="11">
        <v>90</v>
      </c>
      <c r="D1001">
        <v>43200000</v>
      </c>
      <c r="E1001">
        <v>1906</v>
      </c>
    </row>
    <row r="1002" ht="13.85" spans="1:5">
      <c r="A1002">
        <f t="shared" si="15"/>
        <v>1001</v>
      </c>
      <c r="B1002" s="11">
        <v>28461130</v>
      </c>
      <c r="C1002" s="11">
        <v>80</v>
      </c>
      <c r="D1002">
        <v>38400000</v>
      </c>
      <c r="E1002">
        <v>1905</v>
      </c>
    </row>
    <row r="1003" ht="13.85" spans="1:5">
      <c r="A1003">
        <f t="shared" si="15"/>
        <v>1002</v>
      </c>
      <c r="B1003" s="11">
        <v>25639626</v>
      </c>
      <c r="C1003" s="11">
        <v>70</v>
      </c>
      <c r="D1003">
        <v>33600000</v>
      </c>
      <c r="E1003">
        <v>1904</v>
      </c>
    </row>
    <row r="1004" ht="13.85" spans="1:5">
      <c r="A1004">
        <f t="shared" si="15"/>
        <v>1003</v>
      </c>
      <c r="B1004" s="11">
        <v>27640256</v>
      </c>
      <c r="C1004" s="11">
        <v>60</v>
      </c>
      <c r="D1004">
        <v>28800000</v>
      </c>
      <c r="E1004">
        <v>1903</v>
      </c>
    </row>
    <row r="1005" ht="13.85" spans="1:5">
      <c r="A1005">
        <f t="shared" si="15"/>
        <v>1004</v>
      </c>
      <c r="B1005" s="11">
        <v>24962442</v>
      </c>
      <c r="C1005" s="11">
        <v>50</v>
      </c>
      <c r="D1005">
        <v>24000000</v>
      </c>
      <c r="E1005">
        <v>1902</v>
      </c>
    </row>
    <row r="1006" ht="13.85" spans="1:5">
      <c r="A1006">
        <f t="shared" si="15"/>
        <v>1005</v>
      </c>
      <c r="B1006" s="11">
        <v>29205358</v>
      </c>
      <c r="C1006" s="11">
        <v>40</v>
      </c>
      <c r="D1006">
        <v>19200000</v>
      </c>
      <c r="E1006">
        <v>1901</v>
      </c>
    </row>
    <row r="1007" ht="13.85" spans="1:5">
      <c r="A1007">
        <f t="shared" si="15"/>
        <v>1006</v>
      </c>
      <c r="B1007" s="11">
        <v>51538444</v>
      </c>
      <c r="C1007" s="26">
        <v>291.4</v>
      </c>
      <c r="D1007">
        <v>139872000</v>
      </c>
      <c r="E1007">
        <v>1900</v>
      </c>
    </row>
    <row r="1008" ht="13.85" spans="1:5">
      <c r="A1008">
        <f t="shared" si="15"/>
        <v>1007</v>
      </c>
      <c r="B1008" s="11">
        <v>50206284</v>
      </c>
      <c r="C1008" s="11">
        <v>266</v>
      </c>
      <c r="D1008">
        <v>127680000</v>
      </c>
      <c r="E1008">
        <v>1899</v>
      </c>
    </row>
    <row r="1009" ht="13.85" spans="1:5">
      <c r="A1009">
        <f t="shared" si="15"/>
        <v>1008</v>
      </c>
      <c r="B1009" s="11">
        <v>45245596</v>
      </c>
      <c r="C1009" s="11">
        <v>236</v>
      </c>
      <c r="D1009">
        <v>113280000</v>
      </c>
      <c r="E1009">
        <v>1898</v>
      </c>
    </row>
    <row r="1010" ht="13.85" spans="1:5">
      <c r="A1010">
        <f t="shared" si="15"/>
        <v>1009</v>
      </c>
      <c r="B1010" s="11">
        <v>45731386</v>
      </c>
      <c r="C1010" s="11">
        <v>212</v>
      </c>
      <c r="D1010">
        <v>101760000</v>
      </c>
      <c r="E1010">
        <v>1897</v>
      </c>
    </row>
    <row r="1011" ht="13.85" spans="1:5">
      <c r="A1011">
        <f t="shared" si="15"/>
        <v>1010</v>
      </c>
      <c r="B1011" s="11">
        <v>37750784</v>
      </c>
      <c r="C1011" s="11">
        <v>189</v>
      </c>
      <c r="D1011">
        <v>90720000</v>
      </c>
      <c r="E1011">
        <v>1896</v>
      </c>
    </row>
    <row r="1012" ht="13.85" spans="1:5">
      <c r="A1012">
        <f t="shared" si="15"/>
        <v>1011</v>
      </c>
      <c r="B1012" s="11">
        <v>40079550</v>
      </c>
      <c r="C1012" s="11">
        <v>171</v>
      </c>
      <c r="D1012">
        <v>82080000</v>
      </c>
      <c r="E1012">
        <v>1895</v>
      </c>
    </row>
    <row r="1013" ht="13.85" spans="1:5">
      <c r="A1013">
        <f t="shared" si="15"/>
        <v>1012</v>
      </c>
      <c r="B1013" s="11">
        <v>36547620</v>
      </c>
      <c r="C1013" s="11">
        <v>157</v>
      </c>
      <c r="D1013">
        <v>75360000</v>
      </c>
      <c r="E1013">
        <v>1894</v>
      </c>
    </row>
    <row r="1014" ht="13.85" spans="1:5">
      <c r="A1014">
        <f t="shared" si="15"/>
        <v>1013</v>
      </c>
      <c r="B1014" s="11">
        <v>38882640</v>
      </c>
      <c r="C1014" s="11">
        <v>136</v>
      </c>
      <c r="D1014">
        <v>65280000</v>
      </c>
      <c r="E1014">
        <v>1893</v>
      </c>
    </row>
    <row r="1015" ht="13.85" spans="1:5">
      <c r="A1015">
        <f t="shared" si="15"/>
        <v>1014</v>
      </c>
      <c r="B1015" s="11">
        <v>35512044</v>
      </c>
      <c r="C1015" s="11">
        <v>112</v>
      </c>
      <c r="D1015">
        <v>53760000</v>
      </c>
      <c r="E1015">
        <v>1892</v>
      </c>
    </row>
    <row r="1016" ht="13.85" spans="1:5">
      <c r="A1016">
        <f t="shared" si="15"/>
        <v>1015</v>
      </c>
      <c r="B1016" s="11">
        <v>35939628</v>
      </c>
      <c r="C1016" s="11">
        <v>96</v>
      </c>
      <c r="D1016">
        <v>46080000</v>
      </c>
      <c r="E1016">
        <v>1891</v>
      </c>
    </row>
    <row r="1017" ht="13.85" spans="1:5">
      <c r="A1017">
        <f t="shared" si="15"/>
        <v>1016</v>
      </c>
      <c r="B1017" s="11">
        <v>32033346</v>
      </c>
      <c r="C1017" s="11">
        <v>75</v>
      </c>
      <c r="D1017">
        <v>36000000</v>
      </c>
      <c r="E1017">
        <v>1890</v>
      </c>
    </row>
    <row r="1018" ht="13.85" spans="1:5">
      <c r="A1018">
        <f t="shared" si="15"/>
        <v>1017</v>
      </c>
      <c r="B1018" s="11">
        <v>33437096</v>
      </c>
      <c r="C1018" s="11">
        <v>60</v>
      </c>
      <c r="D1018">
        <v>28800000</v>
      </c>
      <c r="E1018">
        <v>1889</v>
      </c>
    </row>
    <row r="1019" ht="13.85" spans="1:5">
      <c r="A1019">
        <f t="shared" si="15"/>
        <v>1018</v>
      </c>
      <c r="B1019" s="11">
        <v>35845424</v>
      </c>
      <c r="C1019" s="11">
        <v>50</v>
      </c>
      <c r="D1019">
        <v>24000000</v>
      </c>
      <c r="E1019">
        <v>1888</v>
      </c>
    </row>
    <row r="1020" ht="13.85" spans="1:5">
      <c r="A1020">
        <f t="shared" si="15"/>
        <v>1019</v>
      </c>
      <c r="B1020" s="11">
        <v>48484312</v>
      </c>
      <c r="C1020" s="11">
        <v>40</v>
      </c>
      <c r="D1020">
        <v>19200000</v>
      </c>
      <c r="E1020">
        <v>1887</v>
      </c>
    </row>
    <row r="1021" ht="13.9" spans="1:5">
      <c r="A1021">
        <f t="shared" si="15"/>
        <v>1020</v>
      </c>
      <c r="B1021" s="11">
        <v>1270206274</v>
      </c>
      <c r="C1021" s="11" t="s">
        <v>728</v>
      </c>
      <c r="D1021">
        <v>758400000</v>
      </c>
      <c r="E1021">
        <v>1886</v>
      </c>
    </row>
    <row r="1022" ht="13.85" spans="1:5">
      <c r="A1022">
        <f t="shared" si="15"/>
        <v>1021</v>
      </c>
      <c r="B1022" s="11">
        <v>880642344</v>
      </c>
      <c r="C1022" s="11">
        <v>947.9</v>
      </c>
      <c r="D1022">
        <v>454992000</v>
      </c>
      <c r="E1022">
        <v>1885</v>
      </c>
    </row>
    <row r="1023" ht="13.85" spans="1:5">
      <c r="A1023">
        <f t="shared" si="15"/>
        <v>1022</v>
      </c>
      <c r="B1023" s="11">
        <v>352287260</v>
      </c>
      <c r="C1023" s="26">
        <v>528.5</v>
      </c>
      <c r="D1023">
        <v>253680000</v>
      </c>
      <c r="E1023">
        <v>1884</v>
      </c>
    </row>
    <row r="1024" ht="13.85" spans="1:5">
      <c r="A1024">
        <f t="shared" si="15"/>
        <v>1023</v>
      </c>
      <c r="B1024" s="15">
        <v>108257204</v>
      </c>
      <c r="C1024" s="15">
        <v>334</v>
      </c>
      <c r="D1024">
        <v>160320000</v>
      </c>
      <c r="E1024">
        <v>1883</v>
      </c>
    </row>
    <row r="1025" ht="13.85" spans="1:5">
      <c r="A1025">
        <f t="shared" si="15"/>
        <v>1024</v>
      </c>
      <c r="B1025" s="13">
        <v>81857312</v>
      </c>
      <c r="C1025" s="13">
        <v>300</v>
      </c>
      <c r="D1025">
        <v>144000000</v>
      </c>
      <c r="E1025">
        <v>1882</v>
      </c>
    </row>
    <row r="1026" ht="13.85" spans="1:5">
      <c r="A1026">
        <f t="shared" ref="A1026:A1089" si="16">ROW()-1</f>
        <v>1025</v>
      </c>
      <c r="B1026" s="11">
        <v>52097324</v>
      </c>
      <c r="C1026" s="11">
        <v>255</v>
      </c>
      <c r="D1026">
        <v>122400000</v>
      </c>
      <c r="E1026">
        <v>1881</v>
      </c>
    </row>
    <row r="1027" ht="13.85" spans="1:5">
      <c r="A1027">
        <f t="shared" si="16"/>
        <v>1026</v>
      </c>
      <c r="B1027" s="11">
        <v>54319258</v>
      </c>
      <c r="C1027" s="11">
        <v>227</v>
      </c>
      <c r="D1027">
        <v>108960000</v>
      </c>
      <c r="E1027">
        <v>1880</v>
      </c>
    </row>
    <row r="1028" ht="13.85" spans="1:5">
      <c r="A1028">
        <f t="shared" si="16"/>
        <v>1027</v>
      </c>
      <c r="B1028" s="11">
        <v>46794394</v>
      </c>
      <c r="C1028" s="11">
        <v>202</v>
      </c>
      <c r="D1028">
        <v>96960000</v>
      </c>
      <c r="E1028">
        <v>1879</v>
      </c>
    </row>
    <row r="1029" ht="13.85" spans="1:5">
      <c r="A1029">
        <f t="shared" si="16"/>
        <v>1028</v>
      </c>
      <c r="B1029" s="11">
        <v>36957036</v>
      </c>
      <c r="C1029" s="11">
        <v>180</v>
      </c>
      <c r="D1029">
        <v>86400000</v>
      </c>
      <c r="E1029">
        <v>1878</v>
      </c>
    </row>
    <row r="1030" ht="13.85" spans="1:5">
      <c r="A1030">
        <f t="shared" si="16"/>
        <v>1029</v>
      </c>
      <c r="B1030" s="11">
        <v>36662540</v>
      </c>
      <c r="C1030" s="11">
        <v>164</v>
      </c>
      <c r="D1030">
        <v>78720000</v>
      </c>
      <c r="E1030">
        <v>1877</v>
      </c>
    </row>
    <row r="1031" ht="13.85" spans="1:5">
      <c r="A1031">
        <f t="shared" si="16"/>
        <v>1030</v>
      </c>
      <c r="B1031" s="11">
        <v>32622162</v>
      </c>
      <c r="C1031" s="11">
        <v>145</v>
      </c>
      <c r="D1031">
        <v>69600000</v>
      </c>
      <c r="E1031">
        <v>1876</v>
      </c>
    </row>
    <row r="1032" ht="13.85" spans="1:5">
      <c r="A1032">
        <f t="shared" si="16"/>
        <v>1031</v>
      </c>
      <c r="B1032" s="11">
        <v>32694022</v>
      </c>
      <c r="C1032" s="11">
        <v>127</v>
      </c>
      <c r="D1032">
        <v>60960000</v>
      </c>
      <c r="E1032">
        <v>1875</v>
      </c>
    </row>
    <row r="1033" ht="13.85" spans="1:5">
      <c r="A1033">
        <f t="shared" si="16"/>
        <v>1032</v>
      </c>
      <c r="B1033" s="11">
        <v>28787014</v>
      </c>
      <c r="C1033" s="11">
        <v>110</v>
      </c>
      <c r="D1033">
        <v>52800000</v>
      </c>
      <c r="E1033">
        <v>1874</v>
      </c>
    </row>
    <row r="1034" ht="13.85" spans="1:5">
      <c r="A1034">
        <f t="shared" si="16"/>
        <v>1033</v>
      </c>
      <c r="B1034" s="11">
        <v>26971156</v>
      </c>
      <c r="C1034" s="11">
        <v>100</v>
      </c>
      <c r="D1034">
        <v>48000000</v>
      </c>
      <c r="E1034">
        <v>1873</v>
      </c>
    </row>
    <row r="1035" ht="13.85" spans="1:5">
      <c r="A1035">
        <f t="shared" si="16"/>
        <v>1034</v>
      </c>
      <c r="B1035" s="11">
        <v>26087034</v>
      </c>
      <c r="C1035" s="11">
        <v>90</v>
      </c>
      <c r="D1035">
        <v>43200000</v>
      </c>
      <c r="E1035">
        <v>1872</v>
      </c>
    </row>
    <row r="1036" ht="13.85" spans="1:5">
      <c r="A1036">
        <f t="shared" si="16"/>
        <v>1035</v>
      </c>
      <c r="B1036" s="11">
        <v>25097524</v>
      </c>
      <c r="C1036" s="11">
        <v>80</v>
      </c>
      <c r="D1036">
        <v>38400000</v>
      </c>
      <c r="E1036">
        <v>1871</v>
      </c>
    </row>
    <row r="1037" ht="13.85" spans="1:5">
      <c r="A1037">
        <f t="shared" si="16"/>
        <v>1036</v>
      </c>
      <c r="B1037" s="11">
        <v>22075844</v>
      </c>
      <c r="C1037" s="11">
        <v>70</v>
      </c>
      <c r="D1037">
        <v>33600000</v>
      </c>
      <c r="E1037">
        <v>1870</v>
      </c>
    </row>
    <row r="1038" ht="13.85" spans="1:5">
      <c r="A1038">
        <f t="shared" si="16"/>
        <v>1037</v>
      </c>
      <c r="B1038" s="11">
        <v>24231802</v>
      </c>
      <c r="C1038" s="11">
        <v>60</v>
      </c>
      <c r="D1038">
        <v>28800000</v>
      </c>
      <c r="E1038">
        <v>1869</v>
      </c>
    </row>
    <row r="1039" ht="13.85" spans="1:5">
      <c r="A1039">
        <f t="shared" si="16"/>
        <v>1038</v>
      </c>
      <c r="B1039" s="11">
        <v>20825416</v>
      </c>
      <c r="C1039" s="11">
        <v>50</v>
      </c>
      <c r="D1039">
        <v>24000000</v>
      </c>
      <c r="E1039">
        <v>1868</v>
      </c>
    </row>
    <row r="1040" ht="13.85" spans="1:5">
      <c r="A1040">
        <f t="shared" si="16"/>
        <v>1039</v>
      </c>
      <c r="B1040" s="11">
        <v>23900282</v>
      </c>
      <c r="C1040" s="11">
        <v>40</v>
      </c>
      <c r="D1040">
        <v>19200000</v>
      </c>
      <c r="E1040">
        <v>1867</v>
      </c>
    </row>
    <row r="1041" ht="13.85" spans="1:5">
      <c r="A1041">
        <f t="shared" si="16"/>
        <v>1040</v>
      </c>
      <c r="B1041" s="11">
        <v>32324762</v>
      </c>
      <c r="C1041" s="11">
        <v>142</v>
      </c>
      <c r="D1041">
        <v>68160000</v>
      </c>
      <c r="E1041">
        <v>1866</v>
      </c>
    </row>
    <row r="1042" ht="13.85" spans="1:5">
      <c r="A1042">
        <f t="shared" si="16"/>
        <v>1041</v>
      </c>
      <c r="B1042" s="11">
        <v>32751414</v>
      </c>
      <c r="C1042" s="11">
        <v>127</v>
      </c>
      <c r="D1042">
        <v>60960000</v>
      </c>
      <c r="E1042">
        <v>1865</v>
      </c>
    </row>
    <row r="1043" ht="13.85" spans="1:5">
      <c r="A1043">
        <f t="shared" si="16"/>
        <v>1042</v>
      </c>
      <c r="B1043" s="11">
        <v>27942176</v>
      </c>
      <c r="C1043" s="11">
        <v>110</v>
      </c>
      <c r="D1043">
        <v>52800000</v>
      </c>
      <c r="E1043">
        <v>1864</v>
      </c>
    </row>
    <row r="1044" ht="13.85" spans="1:5">
      <c r="A1044">
        <f t="shared" si="16"/>
        <v>1043</v>
      </c>
      <c r="B1044" s="11">
        <v>30270326</v>
      </c>
      <c r="C1044" s="11">
        <v>100</v>
      </c>
      <c r="D1044">
        <v>48000000</v>
      </c>
      <c r="E1044">
        <v>1863</v>
      </c>
    </row>
    <row r="1045" ht="13.85" spans="1:5">
      <c r="A1045">
        <f t="shared" si="16"/>
        <v>1044</v>
      </c>
      <c r="B1045" s="11">
        <v>24895028</v>
      </c>
      <c r="C1045" s="11">
        <v>90</v>
      </c>
      <c r="D1045">
        <v>43200000</v>
      </c>
      <c r="E1045">
        <v>1862</v>
      </c>
    </row>
    <row r="1046" ht="13.85" spans="1:5">
      <c r="A1046">
        <f t="shared" si="16"/>
        <v>1045</v>
      </c>
      <c r="B1046" s="11">
        <v>26255326</v>
      </c>
      <c r="C1046" s="11">
        <v>80</v>
      </c>
      <c r="D1046">
        <v>38400000</v>
      </c>
      <c r="E1046">
        <v>1861</v>
      </c>
    </row>
    <row r="1047" ht="13.85" spans="1:5">
      <c r="A1047">
        <f t="shared" si="16"/>
        <v>1046</v>
      </c>
      <c r="B1047" s="11">
        <v>23219104</v>
      </c>
      <c r="C1047" s="11">
        <v>70</v>
      </c>
      <c r="D1047">
        <v>33600000</v>
      </c>
      <c r="E1047">
        <v>1860</v>
      </c>
    </row>
    <row r="1048" ht="13.85" spans="1:5">
      <c r="A1048">
        <f t="shared" si="16"/>
        <v>1047</v>
      </c>
      <c r="B1048" s="11">
        <v>24599042</v>
      </c>
      <c r="C1048" s="11">
        <v>60</v>
      </c>
      <c r="D1048">
        <v>28800000</v>
      </c>
      <c r="E1048">
        <v>1859</v>
      </c>
    </row>
    <row r="1049" ht="13.85" spans="1:5">
      <c r="A1049">
        <f t="shared" si="16"/>
        <v>1048</v>
      </c>
      <c r="B1049" s="11">
        <v>21151912</v>
      </c>
      <c r="C1049" s="11">
        <v>50</v>
      </c>
      <c r="D1049">
        <v>24000000</v>
      </c>
      <c r="E1049">
        <v>1858</v>
      </c>
    </row>
    <row r="1050" ht="13.85" spans="1:5">
      <c r="A1050">
        <f t="shared" si="16"/>
        <v>1049</v>
      </c>
      <c r="B1050" s="11">
        <v>24893024</v>
      </c>
      <c r="C1050" s="11">
        <v>40</v>
      </c>
      <c r="D1050">
        <v>19200000</v>
      </c>
      <c r="E1050">
        <v>1857</v>
      </c>
    </row>
    <row r="1051" ht="13.85" spans="1:5">
      <c r="A1051">
        <f t="shared" si="16"/>
        <v>1050</v>
      </c>
      <c r="B1051" s="11">
        <v>99784900</v>
      </c>
      <c r="C1051" s="26">
        <v>310.5</v>
      </c>
      <c r="D1051">
        <v>149040000</v>
      </c>
      <c r="E1051">
        <v>1856</v>
      </c>
    </row>
    <row r="1052" ht="13.85" spans="1:5">
      <c r="A1052">
        <f t="shared" si="16"/>
        <v>1051</v>
      </c>
      <c r="B1052" s="11">
        <v>64156118</v>
      </c>
      <c r="C1052" s="11">
        <v>267</v>
      </c>
      <c r="D1052">
        <v>128160000</v>
      </c>
      <c r="E1052">
        <v>1855</v>
      </c>
    </row>
    <row r="1053" ht="13.85" spans="1:5">
      <c r="A1053">
        <f t="shared" si="16"/>
        <v>1052</v>
      </c>
      <c r="B1053" s="11">
        <v>57254160</v>
      </c>
      <c r="C1053" s="11">
        <v>235</v>
      </c>
      <c r="D1053">
        <v>112800000</v>
      </c>
      <c r="E1053">
        <v>1854</v>
      </c>
    </row>
    <row r="1054" ht="13.85" spans="1:5">
      <c r="A1054">
        <f t="shared" si="16"/>
        <v>1053</v>
      </c>
      <c r="B1054" s="11">
        <v>50682002</v>
      </c>
      <c r="C1054" s="11">
        <v>208</v>
      </c>
      <c r="D1054">
        <v>99840000</v>
      </c>
      <c r="E1054">
        <v>1853</v>
      </c>
    </row>
    <row r="1055" ht="13.85" spans="1:5">
      <c r="A1055">
        <f t="shared" si="16"/>
        <v>1054</v>
      </c>
      <c r="B1055" s="11">
        <v>40527626</v>
      </c>
      <c r="C1055" s="11">
        <v>185</v>
      </c>
      <c r="D1055">
        <v>88800000</v>
      </c>
      <c r="E1055">
        <v>1852</v>
      </c>
    </row>
    <row r="1056" ht="13.85" spans="1:5">
      <c r="A1056">
        <f t="shared" si="16"/>
        <v>1055</v>
      </c>
      <c r="B1056" s="11">
        <v>38171638</v>
      </c>
      <c r="C1056" s="11">
        <v>167</v>
      </c>
      <c r="D1056">
        <v>80160000</v>
      </c>
      <c r="E1056">
        <v>1851</v>
      </c>
    </row>
    <row r="1057" ht="13.85" spans="1:5">
      <c r="A1057">
        <f t="shared" si="16"/>
        <v>1056</v>
      </c>
      <c r="B1057" s="11">
        <v>32494668</v>
      </c>
      <c r="C1057" s="11">
        <v>149</v>
      </c>
      <c r="D1057">
        <v>71520000</v>
      </c>
      <c r="E1057">
        <v>1850</v>
      </c>
    </row>
    <row r="1058" ht="13.85" spans="1:5">
      <c r="A1058">
        <f t="shared" si="16"/>
        <v>1057</v>
      </c>
      <c r="B1058" s="11">
        <v>34564486</v>
      </c>
      <c r="C1058" s="11">
        <v>133</v>
      </c>
      <c r="D1058">
        <v>63840000</v>
      </c>
      <c r="E1058">
        <v>1849</v>
      </c>
    </row>
    <row r="1059" ht="13.85" spans="1:5">
      <c r="A1059">
        <f t="shared" si="16"/>
        <v>1058</v>
      </c>
      <c r="B1059" s="11">
        <v>30738428</v>
      </c>
      <c r="C1059" s="11">
        <v>120</v>
      </c>
      <c r="D1059">
        <v>57600000</v>
      </c>
      <c r="E1059">
        <v>1848</v>
      </c>
    </row>
    <row r="1060" ht="13.85" spans="1:5">
      <c r="A1060">
        <f t="shared" si="16"/>
        <v>1059</v>
      </c>
      <c r="B1060" s="11">
        <v>31535718</v>
      </c>
      <c r="C1060" s="11">
        <v>110</v>
      </c>
      <c r="D1060">
        <v>52800000</v>
      </c>
      <c r="E1060">
        <v>1847</v>
      </c>
    </row>
    <row r="1061" ht="13.85" spans="1:5">
      <c r="A1061">
        <f t="shared" si="16"/>
        <v>1060</v>
      </c>
      <c r="B1061" s="11">
        <v>28627382</v>
      </c>
      <c r="C1061" s="11">
        <v>100</v>
      </c>
      <c r="D1061">
        <v>48000000</v>
      </c>
      <c r="E1061">
        <v>1846</v>
      </c>
    </row>
    <row r="1062" ht="13.85" spans="1:5">
      <c r="A1062">
        <f t="shared" si="16"/>
        <v>1061</v>
      </c>
      <c r="B1062" s="11">
        <v>27132588</v>
      </c>
      <c r="C1062" s="11">
        <v>90</v>
      </c>
      <c r="D1062">
        <v>43200000</v>
      </c>
      <c r="E1062">
        <v>1845</v>
      </c>
    </row>
    <row r="1063" ht="13.85" spans="1:5">
      <c r="A1063">
        <f t="shared" si="16"/>
        <v>1062</v>
      </c>
      <c r="B1063" s="11">
        <v>23742834</v>
      </c>
      <c r="C1063" s="11">
        <v>80</v>
      </c>
      <c r="D1063">
        <v>38400000</v>
      </c>
      <c r="E1063">
        <v>1844</v>
      </c>
    </row>
    <row r="1064" ht="13.85" spans="1:5">
      <c r="A1064">
        <f t="shared" si="16"/>
        <v>1063</v>
      </c>
      <c r="B1064" s="11">
        <v>25442820</v>
      </c>
      <c r="C1064" s="11">
        <v>70</v>
      </c>
      <c r="D1064">
        <v>33600000</v>
      </c>
      <c r="E1064">
        <v>1843</v>
      </c>
    </row>
    <row r="1065" ht="13.85" spans="1:5">
      <c r="A1065">
        <f t="shared" si="16"/>
        <v>1064</v>
      </c>
      <c r="B1065" s="11">
        <v>22232156</v>
      </c>
      <c r="C1065" s="11">
        <v>60</v>
      </c>
      <c r="D1065">
        <v>28800000</v>
      </c>
      <c r="E1065">
        <v>1842</v>
      </c>
    </row>
    <row r="1066" ht="13.85" spans="1:5">
      <c r="A1066">
        <f t="shared" si="16"/>
        <v>1065</v>
      </c>
      <c r="B1066" s="11">
        <v>23689534</v>
      </c>
      <c r="C1066" s="11">
        <v>50</v>
      </c>
      <c r="D1066">
        <v>24000000</v>
      </c>
      <c r="E1066">
        <v>1841</v>
      </c>
    </row>
    <row r="1067" ht="13.85" spans="1:5">
      <c r="A1067">
        <f t="shared" si="16"/>
        <v>1066</v>
      </c>
      <c r="B1067" s="11">
        <v>21058200</v>
      </c>
      <c r="C1067" s="11">
        <v>40</v>
      </c>
      <c r="D1067">
        <v>19200000</v>
      </c>
      <c r="E1067">
        <v>1840</v>
      </c>
    </row>
    <row r="1068" ht="13.85" spans="1:5">
      <c r="A1068">
        <f t="shared" si="16"/>
        <v>1067</v>
      </c>
      <c r="B1068" s="11">
        <v>31901522</v>
      </c>
      <c r="C1068" s="11">
        <v>110</v>
      </c>
      <c r="D1068">
        <v>52800000</v>
      </c>
      <c r="E1068">
        <v>1839</v>
      </c>
    </row>
    <row r="1069" ht="13.85" spans="1:5">
      <c r="A1069">
        <f t="shared" si="16"/>
        <v>1068</v>
      </c>
      <c r="B1069" s="11">
        <v>28070122</v>
      </c>
      <c r="C1069" s="11">
        <v>100</v>
      </c>
      <c r="D1069">
        <v>48000000</v>
      </c>
      <c r="E1069">
        <v>1838</v>
      </c>
    </row>
    <row r="1070" ht="13.85" spans="1:5">
      <c r="A1070">
        <f t="shared" si="16"/>
        <v>1069</v>
      </c>
      <c r="B1070" s="11">
        <v>26358258</v>
      </c>
      <c r="C1070" s="11">
        <v>90</v>
      </c>
      <c r="D1070">
        <v>43200000</v>
      </c>
      <c r="E1070">
        <v>1837</v>
      </c>
    </row>
    <row r="1071" ht="13.85" spans="1:5">
      <c r="A1071">
        <f t="shared" si="16"/>
        <v>1070</v>
      </c>
      <c r="B1071" s="11">
        <v>22467226</v>
      </c>
      <c r="C1071" s="11">
        <v>80</v>
      </c>
      <c r="D1071">
        <v>38400000</v>
      </c>
      <c r="E1071">
        <v>1836</v>
      </c>
    </row>
    <row r="1072" ht="13.85" spans="1:5">
      <c r="A1072">
        <f t="shared" si="16"/>
        <v>1071</v>
      </c>
      <c r="B1072" s="11">
        <v>24064320</v>
      </c>
      <c r="C1072" s="11">
        <v>70</v>
      </c>
      <c r="D1072">
        <v>33600000</v>
      </c>
      <c r="E1072">
        <v>1835</v>
      </c>
    </row>
    <row r="1073" ht="13.85" spans="1:5">
      <c r="A1073">
        <f t="shared" si="16"/>
        <v>1072</v>
      </c>
      <c r="B1073" s="11">
        <v>21243282</v>
      </c>
      <c r="C1073" s="11">
        <v>60</v>
      </c>
      <c r="D1073">
        <v>28800000</v>
      </c>
      <c r="E1073">
        <v>1834</v>
      </c>
    </row>
    <row r="1074" ht="13.85" spans="1:5">
      <c r="A1074">
        <f t="shared" si="16"/>
        <v>1073</v>
      </c>
      <c r="B1074" s="11">
        <v>23136218</v>
      </c>
      <c r="C1074" s="11">
        <v>50</v>
      </c>
      <c r="D1074">
        <v>24000000</v>
      </c>
      <c r="E1074">
        <v>1833</v>
      </c>
    </row>
    <row r="1075" ht="13.85" spans="1:5">
      <c r="A1075">
        <f t="shared" si="16"/>
        <v>1074</v>
      </c>
      <c r="B1075" s="11">
        <v>20566096</v>
      </c>
      <c r="C1075" s="11">
        <v>40</v>
      </c>
      <c r="D1075">
        <v>19200000</v>
      </c>
      <c r="E1075">
        <v>1832</v>
      </c>
    </row>
    <row r="1076" ht="13.85" spans="1:5">
      <c r="A1076">
        <f t="shared" si="16"/>
        <v>1075</v>
      </c>
      <c r="B1076" s="11">
        <v>24472568</v>
      </c>
      <c r="C1076" s="11">
        <v>70</v>
      </c>
      <c r="D1076">
        <v>33600000</v>
      </c>
      <c r="E1076">
        <v>1831</v>
      </c>
    </row>
    <row r="1077" ht="13.85" spans="1:5">
      <c r="A1077">
        <f t="shared" si="16"/>
        <v>1076</v>
      </c>
      <c r="B1077" s="11">
        <v>21975838</v>
      </c>
      <c r="C1077" s="11">
        <v>60</v>
      </c>
      <c r="D1077">
        <v>28800000</v>
      </c>
      <c r="E1077">
        <v>1830</v>
      </c>
    </row>
    <row r="1078" ht="13.85" spans="1:5">
      <c r="A1078">
        <f t="shared" si="16"/>
        <v>1077</v>
      </c>
      <c r="B1078" s="11">
        <v>23500392</v>
      </c>
      <c r="C1078" s="11">
        <v>50</v>
      </c>
      <c r="D1078">
        <v>24000000</v>
      </c>
      <c r="E1078">
        <v>1829</v>
      </c>
    </row>
    <row r="1079" ht="13.85" spans="1:5">
      <c r="A1079">
        <f t="shared" si="16"/>
        <v>1078</v>
      </c>
      <c r="B1079" s="11">
        <v>20860316</v>
      </c>
      <c r="C1079" s="11">
        <v>40</v>
      </c>
      <c r="D1079">
        <v>19200000</v>
      </c>
      <c r="E1079">
        <v>1828</v>
      </c>
    </row>
    <row r="1080" ht="13.85" spans="1:5">
      <c r="A1080">
        <f t="shared" si="16"/>
        <v>1079</v>
      </c>
      <c r="B1080" s="11">
        <v>26742492</v>
      </c>
      <c r="C1080" s="11">
        <v>80</v>
      </c>
      <c r="D1080">
        <v>38400000</v>
      </c>
      <c r="E1080">
        <v>1827</v>
      </c>
    </row>
    <row r="1081" ht="13.85" spans="1:5">
      <c r="A1081">
        <f t="shared" si="16"/>
        <v>1080</v>
      </c>
      <c r="B1081" s="11">
        <v>23542344</v>
      </c>
      <c r="C1081" s="11">
        <v>70</v>
      </c>
      <c r="D1081">
        <v>33600000</v>
      </c>
      <c r="E1081">
        <v>1826</v>
      </c>
    </row>
    <row r="1082" ht="13.85" spans="1:5">
      <c r="A1082">
        <f t="shared" si="16"/>
        <v>1081</v>
      </c>
      <c r="B1082" s="11">
        <v>25204170</v>
      </c>
      <c r="C1082" s="11">
        <v>60</v>
      </c>
      <c r="D1082">
        <v>28800000</v>
      </c>
      <c r="E1082">
        <v>1825</v>
      </c>
    </row>
    <row r="1083" ht="13.85" spans="1:5">
      <c r="A1083">
        <f t="shared" si="16"/>
        <v>1082</v>
      </c>
      <c r="B1083" s="11">
        <v>22393990</v>
      </c>
      <c r="C1083" s="11">
        <v>50</v>
      </c>
      <c r="D1083">
        <v>24000000</v>
      </c>
      <c r="E1083">
        <v>1824</v>
      </c>
    </row>
    <row r="1084" ht="13.85" spans="1:5">
      <c r="A1084">
        <f t="shared" si="16"/>
        <v>1083</v>
      </c>
      <c r="B1084" s="11">
        <v>25094816</v>
      </c>
      <c r="C1084" s="11">
        <v>40</v>
      </c>
      <c r="D1084">
        <v>19200000</v>
      </c>
      <c r="E1084">
        <v>1823</v>
      </c>
    </row>
    <row r="1085" ht="13.85" spans="1:5">
      <c r="A1085">
        <f t="shared" si="16"/>
        <v>1084</v>
      </c>
      <c r="B1085" s="11">
        <v>39856036</v>
      </c>
      <c r="C1085" s="11">
        <v>188</v>
      </c>
      <c r="D1085">
        <v>90240000</v>
      </c>
      <c r="E1085">
        <v>1822</v>
      </c>
    </row>
    <row r="1086" ht="13.85" spans="1:5">
      <c r="A1086">
        <f t="shared" si="16"/>
        <v>1085</v>
      </c>
      <c r="B1086" s="11">
        <v>39170600</v>
      </c>
      <c r="C1086" s="11">
        <v>171</v>
      </c>
      <c r="D1086">
        <v>82080000</v>
      </c>
      <c r="E1086">
        <v>1821</v>
      </c>
    </row>
    <row r="1087" ht="13.85" spans="1:5">
      <c r="A1087">
        <f t="shared" si="16"/>
        <v>1086</v>
      </c>
      <c r="B1087" s="11">
        <v>33084166</v>
      </c>
      <c r="C1087" s="11">
        <v>154</v>
      </c>
      <c r="D1087">
        <v>73920000</v>
      </c>
      <c r="E1087">
        <v>1820</v>
      </c>
    </row>
    <row r="1088" ht="13.85" spans="1:5">
      <c r="A1088">
        <f t="shared" si="16"/>
        <v>1087</v>
      </c>
      <c r="B1088" s="11">
        <v>35166946</v>
      </c>
      <c r="C1088" s="11">
        <v>138</v>
      </c>
      <c r="D1088">
        <v>66240000</v>
      </c>
      <c r="E1088">
        <v>1819</v>
      </c>
    </row>
    <row r="1089" ht="13.85" spans="1:5">
      <c r="A1089">
        <f t="shared" si="16"/>
        <v>1088</v>
      </c>
      <c r="B1089" s="11">
        <v>30597828</v>
      </c>
      <c r="C1089" s="11">
        <v>121</v>
      </c>
      <c r="D1089">
        <v>58080000</v>
      </c>
      <c r="E1089">
        <v>1818</v>
      </c>
    </row>
    <row r="1090" ht="13.85" spans="1:5">
      <c r="A1090">
        <f t="shared" ref="A1090:A1153" si="17">ROW()-1</f>
        <v>1089</v>
      </c>
      <c r="B1090" s="11">
        <v>31492778</v>
      </c>
      <c r="C1090" s="11">
        <v>110</v>
      </c>
      <c r="D1090">
        <v>52800000</v>
      </c>
      <c r="E1090">
        <v>1817</v>
      </c>
    </row>
    <row r="1091" ht="13.85" spans="1:5">
      <c r="A1091">
        <f t="shared" si="17"/>
        <v>1090</v>
      </c>
      <c r="B1091" s="11">
        <v>27903836</v>
      </c>
      <c r="C1091" s="11">
        <v>100</v>
      </c>
      <c r="D1091">
        <v>48000000</v>
      </c>
      <c r="E1091">
        <v>1816</v>
      </c>
    </row>
    <row r="1092" ht="13.85" spans="1:5">
      <c r="A1092">
        <f t="shared" si="17"/>
        <v>1091</v>
      </c>
      <c r="B1092" s="11">
        <v>27583482</v>
      </c>
      <c r="C1092" s="11">
        <v>90</v>
      </c>
      <c r="D1092">
        <v>43200000</v>
      </c>
      <c r="E1092">
        <v>1815</v>
      </c>
    </row>
    <row r="1093" ht="13.85" spans="1:5">
      <c r="A1093">
        <f t="shared" si="17"/>
        <v>1092</v>
      </c>
      <c r="B1093" s="11">
        <v>24320232</v>
      </c>
      <c r="C1093" s="11">
        <v>80</v>
      </c>
      <c r="D1093">
        <v>38400000</v>
      </c>
      <c r="E1093">
        <v>1814</v>
      </c>
    </row>
    <row r="1094" ht="13.85" spans="1:5">
      <c r="A1094">
        <f t="shared" si="17"/>
        <v>1093</v>
      </c>
      <c r="B1094" s="11">
        <v>26577550</v>
      </c>
      <c r="C1094" s="11">
        <v>70</v>
      </c>
      <c r="D1094">
        <v>33600000</v>
      </c>
      <c r="E1094">
        <v>1813</v>
      </c>
    </row>
    <row r="1095" ht="13.85" spans="1:5">
      <c r="A1095">
        <f t="shared" si="17"/>
        <v>1094</v>
      </c>
      <c r="B1095" s="11">
        <v>22565040</v>
      </c>
      <c r="C1095" s="11">
        <v>60</v>
      </c>
      <c r="D1095">
        <v>28800000</v>
      </c>
      <c r="E1095">
        <v>1812</v>
      </c>
    </row>
    <row r="1096" ht="13.85" spans="1:5">
      <c r="A1096">
        <f t="shared" si="17"/>
        <v>1095</v>
      </c>
      <c r="B1096" s="11">
        <v>24644804</v>
      </c>
      <c r="C1096" s="11">
        <v>50</v>
      </c>
      <c r="D1096">
        <v>24000000</v>
      </c>
      <c r="E1096">
        <v>1811</v>
      </c>
    </row>
    <row r="1097" ht="13.85" spans="1:5">
      <c r="A1097">
        <f t="shared" si="17"/>
        <v>1096</v>
      </c>
      <c r="B1097" s="11">
        <v>21680554</v>
      </c>
      <c r="C1097" s="11">
        <v>40</v>
      </c>
      <c r="D1097">
        <v>19200000</v>
      </c>
      <c r="E1097">
        <v>1810</v>
      </c>
    </row>
    <row r="1098" ht="13.85" spans="1:5">
      <c r="A1098">
        <f t="shared" si="17"/>
        <v>1097</v>
      </c>
      <c r="B1098" s="11">
        <v>25253474</v>
      </c>
      <c r="C1098" s="11">
        <v>50</v>
      </c>
      <c r="D1098">
        <v>24000000</v>
      </c>
      <c r="E1098">
        <v>1809</v>
      </c>
    </row>
    <row r="1099" ht="13.85" spans="1:5">
      <c r="A1099">
        <f t="shared" si="17"/>
        <v>1098</v>
      </c>
      <c r="B1099" s="11">
        <v>22473488</v>
      </c>
      <c r="C1099" s="11">
        <v>40</v>
      </c>
      <c r="D1099">
        <v>19200000</v>
      </c>
      <c r="E1099">
        <v>1808</v>
      </c>
    </row>
    <row r="1100" ht="13.85" spans="1:5">
      <c r="A1100">
        <f t="shared" si="17"/>
        <v>1099</v>
      </c>
      <c r="B1100" s="11">
        <v>28787694</v>
      </c>
      <c r="C1100" s="11">
        <v>80</v>
      </c>
      <c r="D1100">
        <v>38400000</v>
      </c>
      <c r="E1100">
        <v>1807</v>
      </c>
    </row>
    <row r="1101" ht="13.85" spans="1:5">
      <c r="A1101">
        <f t="shared" si="17"/>
        <v>1100</v>
      </c>
      <c r="B1101" s="11">
        <v>25547016</v>
      </c>
      <c r="C1101" s="11">
        <v>70</v>
      </c>
      <c r="D1101">
        <v>33600000</v>
      </c>
      <c r="E1101">
        <v>1806</v>
      </c>
    </row>
    <row r="1102" ht="13.85" spans="1:5">
      <c r="A1102">
        <f t="shared" si="17"/>
        <v>1101</v>
      </c>
      <c r="B1102" s="11">
        <v>28025420</v>
      </c>
      <c r="C1102" s="11">
        <v>60</v>
      </c>
      <c r="D1102">
        <v>28800000</v>
      </c>
      <c r="E1102">
        <v>1805</v>
      </c>
    </row>
    <row r="1103" ht="13.85" spans="1:5">
      <c r="A1103">
        <f t="shared" si="17"/>
        <v>1102</v>
      </c>
      <c r="B1103" s="11">
        <v>24503400</v>
      </c>
      <c r="C1103" s="11">
        <v>50</v>
      </c>
      <c r="D1103">
        <v>24000000</v>
      </c>
      <c r="E1103">
        <v>1804</v>
      </c>
    </row>
    <row r="1104" ht="13.85" spans="1:5">
      <c r="A1104">
        <f t="shared" si="17"/>
        <v>1103</v>
      </c>
      <c r="B1104" s="11">
        <v>25740984</v>
      </c>
      <c r="C1104" s="11">
        <v>40</v>
      </c>
      <c r="D1104">
        <v>19200000</v>
      </c>
      <c r="E1104">
        <v>1803</v>
      </c>
    </row>
    <row r="1105" ht="13.85" spans="1:5">
      <c r="A1105">
        <f t="shared" si="17"/>
        <v>1104</v>
      </c>
      <c r="B1105" s="11">
        <v>22958302</v>
      </c>
      <c r="C1105" s="11">
        <v>40</v>
      </c>
      <c r="D1105">
        <v>19200000</v>
      </c>
      <c r="E1105">
        <v>1802</v>
      </c>
    </row>
    <row r="1106" ht="13.85" spans="1:5">
      <c r="A1106">
        <f t="shared" si="17"/>
        <v>1105</v>
      </c>
      <c r="B1106" s="11">
        <v>26736720</v>
      </c>
      <c r="C1106" s="11">
        <v>50</v>
      </c>
      <c r="D1106">
        <v>24000000</v>
      </c>
      <c r="E1106">
        <v>1801</v>
      </c>
    </row>
    <row r="1107" ht="13.85" spans="1:5">
      <c r="A1107">
        <f t="shared" si="17"/>
        <v>1106</v>
      </c>
      <c r="B1107" s="11">
        <v>24374382</v>
      </c>
      <c r="C1107" s="11">
        <v>40</v>
      </c>
      <c r="D1107">
        <v>19200000</v>
      </c>
      <c r="E1107">
        <v>1800</v>
      </c>
    </row>
    <row r="1108" ht="13.85" spans="1:5">
      <c r="A1108">
        <f t="shared" si="17"/>
        <v>1107</v>
      </c>
      <c r="B1108" s="11">
        <v>39203604</v>
      </c>
      <c r="C1108" s="11">
        <v>137</v>
      </c>
      <c r="D1108">
        <v>65760000</v>
      </c>
      <c r="E1108">
        <v>1799</v>
      </c>
    </row>
    <row r="1109" ht="13.85" spans="1:5">
      <c r="A1109">
        <f t="shared" si="17"/>
        <v>1108</v>
      </c>
      <c r="B1109" s="11">
        <v>34576508</v>
      </c>
      <c r="C1109" s="11">
        <v>119</v>
      </c>
      <c r="D1109">
        <v>57120000</v>
      </c>
      <c r="E1109">
        <v>1798</v>
      </c>
    </row>
    <row r="1110" ht="13.85" spans="1:5">
      <c r="A1110">
        <f t="shared" si="17"/>
        <v>1109</v>
      </c>
      <c r="B1110" s="11">
        <v>35464016</v>
      </c>
      <c r="C1110" s="11">
        <v>100</v>
      </c>
      <c r="D1110">
        <v>48000000</v>
      </c>
      <c r="E1110">
        <v>1797</v>
      </c>
    </row>
    <row r="1111" ht="13.85" spans="1:5">
      <c r="A1111">
        <f t="shared" si="17"/>
        <v>1110</v>
      </c>
      <c r="B1111" s="11">
        <v>30138652</v>
      </c>
      <c r="C1111" s="11">
        <v>90</v>
      </c>
      <c r="D1111">
        <v>43200000</v>
      </c>
      <c r="E1111">
        <v>1796</v>
      </c>
    </row>
    <row r="1112" ht="13.85" spans="1:5">
      <c r="A1112">
        <f t="shared" si="17"/>
        <v>1111</v>
      </c>
      <c r="B1112" s="11">
        <v>29968068</v>
      </c>
      <c r="C1112" s="11">
        <v>80</v>
      </c>
      <c r="D1112">
        <v>38400000</v>
      </c>
      <c r="E1112">
        <v>1795</v>
      </c>
    </row>
    <row r="1113" ht="13.85" spans="1:5">
      <c r="A1113">
        <f t="shared" si="17"/>
        <v>1112</v>
      </c>
      <c r="B1113" s="11">
        <v>26701900</v>
      </c>
      <c r="C1113" s="11">
        <v>70</v>
      </c>
      <c r="D1113">
        <v>33600000</v>
      </c>
      <c r="E1113">
        <v>1794</v>
      </c>
    </row>
    <row r="1114" ht="13.85" spans="1:5">
      <c r="A1114">
        <f t="shared" si="17"/>
        <v>1113</v>
      </c>
      <c r="B1114" s="11">
        <v>27764748</v>
      </c>
      <c r="C1114" s="11">
        <v>60</v>
      </c>
      <c r="D1114">
        <v>28800000</v>
      </c>
      <c r="E1114">
        <v>1793</v>
      </c>
    </row>
    <row r="1115" ht="13.85" spans="1:5">
      <c r="A1115">
        <f t="shared" si="17"/>
        <v>1114</v>
      </c>
      <c r="B1115" s="11">
        <v>24750436</v>
      </c>
      <c r="C1115" s="11">
        <v>50</v>
      </c>
      <c r="D1115">
        <v>24000000</v>
      </c>
      <c r="E1115">
        <v>1792</v>
      </c>
    </row>
    <row r="1116" ht="13.85" spans="1:5">
      <c r="A1116">
        <f t="shared" si="17"/>
        <v>1115</v>
      </c>
      <c r="B1116" s="11">
        <v>29011614</v>
      </c>
      <c r="C1116" s="11">
        <v>40</v>
      </c>
      <c r="D1116">
        <v>19200000</v>
      </c>
      <c r="E1116">
        <v>1791</v>
      </c>
    </row>
    <row r="1117" ht="13.85" spans="1:5">
      <c r="A1117">
        <f t="shared" si="17"/>
        <v>1116</v>
      </c>
      <c r="B1117" s="11">
        <v>379050492</v>
      </c>
      <c r="C1117" s="11">
        <v>564.1</v>
      </c>
      <c r="D1117">
        <v>270768000</v>
      </c>
      <c r="E1117">
        <v>1790</v>
      </c>
    </row>
    <row r="1118" ht="13.85" spans="1:5">
      <c r="A1118">
        <f t="shared" si="17"/>
        <v>1117</v>
      </c>
      <c r="B1118" s="11">
        <v>146267368</v>
      </c>
      <c r="C1118" s="26">
        <v>394.9</v>
      </c>
      <c r="D1118">
        <v>189552000</v>
      </c>
      <c r="E1118">
        <v>1789</v>
      </c>
    </row>
    <row r="1119" ht="13.85" spans="1:5">
      <c r="A1119">
        <f t="shared" si="17"/>
        <v>1118</v>
      </c>
      <c r="B1119" s="11">
        <v>96760010</v>
      </c>
      <c r="C1119" s="11">
        <v>317</v>
      </c>
      <c r="D1119">
        <v>152160000</v>
      </c>
      <c r="E1119">
        <v>1788</v>
      </c>
    </row>
    <row r="1120" ht="13.85" spans="1:5">
      <c r="A1120">
        <f t="shared" si="17"/>
        <v>1119</v>
      </c>
      <c r="B1120" s="11">
        <v>73285296</v>
      </c>
      <c r="C1120" s="11">
        <v>289</v>
      </c>
      <c r="D1120">
        <v>138720000</v>
      </c>
      <c r="E1120">
        <v>1787</v>
      </c>
    </row>
    <row r="1121" ht="13.85" spans="1:5">
      <c r="A1121">
        <f t="shared" si="17"/>
        <v>1120</v>
      </c>
      <c r="B1121" s="11">
        <v>57972284</v>
      </c>
      <c r="C1121" s="11">
        <v>261</v>
      </c>
      <c r="D1121">
        <v>125280000</v>
      </c>
      <c r="E1121">
        <v>1786</v>
      </c>
    </row>
    <row r="1122" ht="13.85" spans="1:5">
      <c r="A1122">
        <f t="shared" si="17"/>
        <v>1121</v>
      </c>
      <c r="B1122" s="11">
        <v>55412660</v>
      </c>
      <c r="C1122" s="11">
        <v>230</v>
      </c>
      <c r="D1122">
        <v>110400000</v>
      </c>
      <c r="E1122">
        <v>1785</v>
      </c>
    </row>
    <row r="1123" ht="13.85" spans="1:5">
      <c r="A1123">
        <f t="shared" si="17"/>
        <v>1122</v>
      </c>
      <c r="B1123" s="11">
        <v>47474024</v>
      </c>
      <c r="C1123" s="11">
        <v>208</v>
      </c>
      <c r="D1123">
        <v>99840000</v>
      </c>
      <c r="E1123">
        <v>1784</v>
      </c>
    </row>
    <row r="1124" ht="13.85" spans="1:5">
      <c r="A1124">
        <f t="shared" si="17"/>
        <v>1123</v>
      </c>
      <c r="B1124" s="11">
        <v>42990736</v>
      </c>
      <c r="C1124" s="11">
        <v>194</v>
      </c>
      <c r="D1124">
        <v>93120000</v>
      </c>
      <c r="E1124">
        <v>1783</v>
      </c>
    </row>
    <row r="1125" ht="13.85" spans="1:5">
      <c r="A1125">
        <f t="shared" si="17"/>
        <v>1124</v>
      </c>
      <c r="B1125" s="11">
        <v>36241790</v>
      </c>
      <c r="C1125" s="11">
        <v>176</v>
      </c>
      <c r="D1125">
        <v>84480000</v>
      </c>
      <c r="E1125">
        <v>1782</v>
      </c>
    </row>
    <row r="1126" ht="13.85" spans="1:5">
      <c r="A1126">
        <f t="shared" si="17"/>
        <v>1125</v>
      </c>
      <c r="B1126" s="11">
        <v>36403186</v>
      </c>
      <c r="C1126" s="11">
        <v>162</v>
      </c>
      <c r="D1126">
        <v>77760000</v>
      </c>
      <c r="E1126">
        <v>1781</v>
      </c>
    </row>
    <row r="1127" ht="13.85" spans="1:5">
      <c r="A1127">
        <f t="shared" si="17"/>
        <v>1126</v>
      </c>
      <c r="B1127" s="11">
        <v>32096042</v>
      </c>
      <c r="C1127" s="11">
        <v>146</v>
      </c>
      <c r="D1127">
        <v>70080000</v>
      </c>
      <c r="E1127">
        <v>1780</v>
      </c>
    </row>
    <row r="1128" ht="13.85" spans="1:5">
      <c r="A1128">
        <f t="shared" si="17"/>
        <v>1127</v>
      </c>
      <c r="B1128" s="15">
        <v>32024614</v>
      </c>
      <c r="C1128" s="15">
        <v>131</v>
      </c>
      <c r="D1128">
        <v>62880000</v>
      </c>
      <c r="E1128">
        <v>1779</v>
      </c>
    </row>
    <row r="1129" ht="13.85" spans="1:5">
      <c r="A1129">
        <f t="shared" si="17"/>
        <v>1128</v>
      </c>
      <c r="B1129" s="13">
        <v>35143390</v>
      </c>
      <c r="C1129" s="13">
        <v>120</v>
      </c>
      <c r="D1129">
        <v>57600000</v>
      </c>
      <c r="E1129">
        <v>1778</v>
      </c>
    </row>
    <row r="1130" ht="13.85" spans="1:5">
      <c r="A1130">
        <f t="shared" si="17"/>
        <v>1129</v>
      </c>
      <c r="B1130" s="11">
        <v>28093884</v>
      </c>
      <c r="C1130" s="11">
        <v>110</v>
      </c>
      <c r="D1130">
        <v>52800000</v>
      </c>
      <c r="E1130">
        <v>1777</v>
      </c>
    </row>
    <row r="1131" ht="13.85" spans="1:5">
      <c r="A1131">
        <f t="shared" si="17"/>
        <v>1130</v>
      </c>
      <c r="B1131" s="11">
        <v>33880826</v>
      </c>
      <c r="C1131" s="11">
        <v>100</v>
      </c>
      <c r="D1131">
        <v>48000000</v>
      </c>
      <c r="E1131">
        <v>1776</v>
      </c>
    </row>
    <row r="1132" ht="13.85" spans="1:5">
      <c r="A1132">
        <f t="shared" si="17"/>
        <v>1131</v>
      </c>
      <c r="B1132" s="11">
        <v>26829430</v>
      </c>
      <c r="C1132" s="11">
        <v>90</v>
      </c>
      <c r="D1132">
        <v>43200000</v>
      </c>
      <c r="E1132">
        <v>1775</v>
      </c>
    </row>
    <row r="1133" ht="13.85" spans="1:5">
      <c r="A1133">
        <f t="shared" si="17"/>
        <v>1132</v>
      </c>
      <c r="B1133" s="11">
        <v>23325824</v>
      </c>
      <c r="C1133" s="11">
        <v>80</v>
      </c>
      <c r="D1133">
        <v>38400000</v>
      </c>
      <c r="E1133">
        <v>1774</v>
      </c>
    </row>
    <row r="1134" ht="13.85" spans="1:5">
      <c r="A1134">
        <f t="shared" si="17"/>
        <v>1133</v>
      </c>
      <c r="B1134" s="11">
        <v>25457952</v>
      </c>
      <c r="C1134" s="11">
        <v>70</v>
      </c>
      <c r="D1134">
        <v>33600000</v>
      </c>
      <c r="E1134">
        <v>1773</v>
      </c>
    </row>
    <row r="1135" ht="13.85" spans="1:5">
      <c r="A1135">
        <f t="shared" si="17"/>
        <v>1134</v>
      </c>
      <c r="B1135" s="11">
        <v>21940372</v>
      </c>
      <c r="C1135" s="11">
        <v>60</v>
      </c>
      <c r="D1135">
        <v>28800000</v>
      </c>
      <c r="E1135">
        <v>1772</v>
      </c>
    </row>
    <row r="1136" ht="13.85" spans="1:5">
      <c r="A1136">
        <f t="shared" si="17"/>
        <v>1135</v>
      </c>
      <c r="B1136" s="11">
        <v>23826250</v>
      </c>
      <c r="C1136" s="11">
        <v>50</v>
      </c>
      <c r="D1136">
        <v>24000000</v>
      </c>
      <c r="E1136">
        <v>1771</v>
      </c>
    </row>
    <row r="1137" ht="13.85" spans="1:5">
      <c r="A1137">
        <f t="shared" si="17"/>
        <v>1136</v>
      </c>
      <c r="B1137" s="11">
        <v>21189316</v>
      </c>
      <c r="C1137" s="11">
        <v>40</v>
      </c>
      <c r="D1137">
        <v>19200000</v>
      </c>
      <c r="E1137">
        <v>1770</v>
      </c>
    </row>
    <row r="1138" ht="13.85" spans="1:5">
      <c r="A1138">
        <f t="shared" si="17"/>
        <v>1137</v>
      </c>
      <c r="B1138" s="11">
        <v>25571126</v>
      </c>
      <c r="C1138" s="11">
        <v>90</v>
      </c>
      <c r="D1138">
        <v>43200000</v>
      </c>
      <c r="E1138">
        <v>1769</v>
      </c>
    </row>
    <row r="1139" ht="13.85" spans="1:5">
      <c r="A1139">
        <f t="shared" si="17"/>
        <v>1138</v>
      </c>
      <c r="B1139" s="11">
        <v>25597082</v>
      </c>
      <c r="C1139" s="11">
        <v>80</v>
      </c>
      <c r="D1139">
        <v>38400000</v>
      </c>
      <c r="E1139">
        <v>1768</v>
      </c>
    </row>
    <row r="1140" ht="13.85" spans="1:5">
      <c r="A1140">
        <f t="shared" si="17"/>
        <v>1139</v>
      </c>
      <c r="B1140" s="11">
        <v>26230686</v>
      </c>
      <c r="C1140" s="11">
        <v>70</v>
      </c>
      <c r="D1140">
        <v>33600000</v>
      </c>
      <c r="E1140">
        <v>1767</v>
      </c>
    </row>
    <row r="1141" ht="13.85" spans="1:5">
      <c r="A1141">
        <f t="shared" si="17"/>
        <v>1140</v>
      </c>
      <c r="B1141" s="11">
        <v>22623050</v>
      </c>
      <c r="C1141" s="11">
        <v>60</v>
      </c>
      <c r="D1141">
        <v>28800000</v>
      </c>
      <c r="E1141">
        <v>1766</v>
      </c>
    </row>
    <row r="1142" ht="13.85" spans="1:5">
      <c r="A1142">
        <f t="shared" si="17"/>
        <v>1141</v>
      </c>
      <c r="B1142" s="11">
        <v>25229772</v>
      </c>
      <c r="C1142" s="11">
        <v>50</v>
      </c>
      <c r="D1142">
        <v>24000000</v>
      </c>
      <c r="E1142">
        <v>1765</v>
      </c>
    </row>
    <row r="1143" ht="13.85" spans="1:5">
      <c r="A1143" s="18">
        <f t="shared" si="17"/>
        <v>1142</v>
      </c>
      <c r="B1143" s="11">
        <v>22622144</v>
      </c>
      <c r="C1143" s="11">
        <v>40</v>
      </c>
      <c r="D1143">
        <v>19200000</v>
      </c>
      <c r="E1143">
        <v>1764</v>
      </c>
    </row>
    <row r="1144" ht="13.85" spans="1:5">
      <c r="A1144">
        <f t="shared" si="17"/>
        <v>1143</v>
      </c>
      <c r="B1144" s="11">
        <v>47860870</v>
      </c>
      <c r="C1144" s="11">
        <v>203</v>
      </c>
      <c r="D1144">
        <v>97440000</v>
      </c>
      <c r="E1144">
        <v>1763</v>
      </c>
    </row>
    <row r="1145" ht="13.85" spans="1:5">
      <c r="A1145">
        <f t="shared" si="17"/>
        <v>1144</v>
      </c>
      <c r="B1145" s="11">
        <v>40186958</v>
      </c>
      <c r="C1145" s="11">
        <v>178</v>
      </c>
      <c r="D1145">
        <v>85440000</v>
      </c>
      <c r="E1145">
        <v>1762</v>
      </c>
    </row>
    <row r="1146" ht="13.85" spans="1:5">
      <c r="A1146">
        <f t="shared" si="17"/>
        <v>1145</v>
      </c>
      <c r="B1146" s="11">
        <v>38310224</v>
      </c>
      <c r="C1146" s="11">
        <v>159</v>
      </c>
      <c r="D1146">
        <v>76320000</v>
      </c>
      <c r="E1146">
        <v>1761</v>
      </c>
    </row>
    <row r="1147" ht="13.85" spans="1:5">
      <c r="A1147">
        <f t="shared" si="17"/>
        <v>1146</v>
      </c>
      <c r="B1147" s="11">
        <v>33638806</v>
      </c>
      <c r="C1147" s="11">
        <v>142</v>
      </c>
      <c r="D1147">
        <v>68160000</v>
      </c>
      <c r="E1147">
        <v>1760</v>
      </c>
    </row>
    <row r="1148" ht="13.85" spans="1:5">
      <c r="A1148">
        <f t="shared" si="17"/>
        <v>1147</v>
      </c>
      <c r="B1148" s="11">
        <v>34320960</v>
      </c>
      <c r="C1148" s="11">
        <v>125</v>
      </c>
      <c r="D1148">
        <v>60000000</v>
      </c>
      <c r="E1148">
        <v>1759</v>
      </c>
    </row>
    <row r="1149" ht="13.85" spans="1:5">
      <c r="A1149">
        <f t="shared" si="17"/>
        <v>1148</v>
      </c>
      <c r="B1149" s="11">
        <v>30426498</v>
      </c>
      <c r="C1149" s="11">
        <v>110</v>
      </c>
      <c r="D1149">
        <v>52800000</v>
      </c>
      <c r="E1149">
        <v>1758</v>
      </c>
    </row>
    <row r="1150" ht="13.85" spans="1:5">
      <c r="A1150">
        <f t="shared" si="17"/>
        <v>1149</v>
      </c>
      <c r="B1150" s="11">
        <v>31630790</v>
      </c>
      <c r="C1150" s="11">
        <v>100</v>
      </c>
      <c r="D1150">
        <v>48000000</v>
      </c>
      <c r="E1150">
        <v>1757</v>
      </c>
    </row>
    <row r="1151" ht="13.85" spans="1:5">
      <c r="A1151">
        <f t="shared" si="17"/>
        <v>1150</v>
      </c>
      <c r="B1151" s="11">
        <v>24940694</v>
      </c>
      <c r="C1151" s="11">
        <v>90</v>
      </c>
      <c r="D1151">
        <v>43200000</v>
      </c>
      <c r="E1151">
        <v>1756</v>
      </c>
    </row>
    <row r="1152" ht="13.85" spans="1:5">
      <c r="A1152">
        <f t="shared" si="17"/>
        <v>1151</v>
      </c>
      <c r="B1152" s="11">
        <v>26694518</v>
      </c>
      <c r="C1152" s="11">
        <v>80</v>
      </c>
      <c r="D1152">
        <v>38400000</v>
      </c>
      <c r="E1152">
        <v>1755</v>
      </c>
    </row>
    <row r="1153" ht="13.85" spans="1:5">
      <c r="A1153">
        <f t="shared" si="17"/>
        <v>1152</v>
      </c>
      <c r="B1153" s="11">
        <v>23752172</v>
      </c>
      <c r="C1153" s="11">
        <v>70</v>
      </c>
      <c r="D1153">
        <v>33600000</v>
      </c>
      <c r="E1153">
        <v>1754</v>
      </c>
    </row>
    <row r="1154" ht="13.85" spans="1:5">
      <c r="A1154">
        <f t="shared" ref="A1154:A1217" si="18">ROW()-1</f>
        <v>1153</v>
      </c>
      <c r="B1154" s="11">
        <v>25898918</v>
      </c>
      <c r="C1154" s="11">
        <v>60</v>
      </c>
      <c r="D1154">
        <v>28800000</v>
      </c>
      <c r="E1154">
        <v>1753</v>
      </c>
    </row>
    <row r="1155" ht="13.85" spans="1:5">
      <c r="A1155">
        <f t="shared" si="18"/>
        <v>1154</v>
      </c>
      <c r="B1155" s="11">
        <v>23152118</v>
      </c>
      <c r="C1155" s="11">
        <v>50</v>
      </c>
      <c r="D1155">
        <v>24000000</v>
      </c>
      <c r="E1155">
        <v>1752</v>
      </c>
    </row>
    <row r="1156" ht="13.85" spans="1:5">
      <c r="A1156">
        <f t="shared" si="18"/>
        <v>1155</v>
      </c>
      <c r="B1156" s="11">
        <v>25300628</v>
      </c>
      <c r="C1156" s="11">
        <v>40</v>
      </c>
      <c r="D1156">
        <v>19200000</v>
      </c>
      <c r="E1156">
        <v>1751</v>
      </c>
    </row>
    <row r="1157" ht="13.85" spans="1:5">
      <c r="A1157">
        <f t="shared" si="18"/>
        <v>1156</v>
      </c>
      <c r="B1157" s="11">
        <v>60074636</v>
      </c>
      <c r="C1157" s="11">
        <v>225</v>
      </c>
      <c r="D1157">
        <v>108000000</v>
      </c>
      <c r="E1157">
        <v>1750</v>
      </c>
    </row>
    <row r="1158" ht="13.85" spans="1:5">
      <c r="A1158">
        <f t="shared" si="18"/>
        <v>1157</v>
      </c>
      <c r="B1158" s="11">
        <v>50509168</v>
      </c>
      <c r="C1158" s="11">
        <v>196</v>
      </c>
      <c r="D1158">
        <v>94080000</v>
      </c>
      <c r="E1158">
        <v>1749</v>
      </c>
    </row>
    <row r="1159" ht="13.85" spans="1:5">
      <c r="A1159" s="9">
        <f t="shared" si="18"/>
        <v>1158</v>
      </c>
      <c r="B1159" s="11">
        <v>42070548</v>
      </c>
      <c r="C1159" s="11">
        <v>171</v>
      </c>
      <c r="D1159">
        <v>82080000</v>
      </c>
      <c r="E1159">
        <v>1748</v>
      </c>
    </row>
    <row r="1160" ht="13.85" spans="1:5">
      <c r="A1160">
        <f t="shared" si="18"/>
        <v>1159</v>
      </c>
      <c r="B1160" s="11">
        <v>39889050</v>
      </c>
      <c r="C1160" s="11">
        <v>149</v>
      </c>
      <c r="D1160">
        <v>71520000</v>
      </c>
      <c r="E1160">
        <v>1747</v>
      </c>
    </row>
    <row r="1161" ht="13.85" spans="1:5">
      <c r="A1161">
        <f t="shared" si="18"/>
        <v>1160</v>
      </c>
      <c r="B1161" s="11">
        <v>34954718</v>
      </c>
      <c r="C1161" s="11">
        <v>127</v>
      </c>
      <c r="D1161">
        <v>60960000</v>
      </c>
      <c r="E1161">
        <v>1746</v>
      </c>
    </row>
    <row r="1162" ht="13.85" spans="1:5">
      <c r="A1162">
        <f t="shared" si="18"/>
        <v>1161</v>
      </c>
      <c r="B1162" s="11">
        <v>34927144</v>
      </c>
      <c r="C1162" s="11">
        <v>110</v>
      </c>
      <c r="D1162">
        <v>52800000</v>
      </c>
      <c r="E1162">
        <v>1745</v>
      </c>
    </row>
    <row r="1163" ht="13.85" spans="1:5">
      <c r="A1163">
        <f t="shared" si="18"/>
        <v>1162</v>
      </c>
      <c r="B1163" s="11">
        <v>30712716</v>
      </c>
      <c r="C1163" s="11">
        <v>100</v>
      </c>
      <c r="D1163">
        <v>48000000</v>
      </c>
      <c r="E1163">
        <v>1744</v>
      </c>
    </row>
    <row r="1164" ht="13.85" spans="1:5">
      <c r="A1164">
        <f t="shared" si="18"/>
        <v>1163</v>
      </c>
      <c r="B1164" s="11">
        <v>28847454</v>
      </c>
      <c r="C1164" s="11">
        <v>90</v>
      </c>
      <c r="D1164">
        <v>43200000</v>
      </c>
      <c r="E1164">
        <v>1743</v>
      </c>
    </row>
    <row r="1165" ht="13.85" spans="1:5">
      <c r="A1165">
        <f t="shared" si="18"/>
        <v>1164</v>
      </c>
      <c r="B1165" s="11">
        <v>24388372</v>
      </c>
      <c r="C1165" s="11">
        <v>80</v>
      </c>
      <c r="D1165">
        <v>38400000</v>
      </c>
      <c r="E1165">
        <v>1742</v>
      </c>
    </row>
    <row r="1166" ht="13.85" spans="1:5">
      <c r="A1166">
        <f t="shared" si="18"/>
        <v>1165</v>
      </c>
      <c r="B1166" s="11">
        <v>25311554</v>
      </c>
      <c r="C1166" s="11">
        <v>70</v>
      </c>
      <c r="D1166">
        <v>33600000</v>
      </c>
      <c r="E1166">
        <v>1741</v>
      </c>
    </row>
    <row r="1167" ht="13.85" spans="1:5">
      <c r="A1167">
        <f t="shared" si="18"/>
        <v>1166</v>
      </c>
      <c r="B1167" s="11">
        <v>21940568</v>
      </c>
      <c r="C1167" s="11">
        <v>60</v>
      </c>
      <c r="D1167">
        <v>28800000</v>
      </c>
      <c r="E1167">
        <v>1740</v>
      </c>
    </row>
    <row r="1168" ht="13.85" spans="1:5">
      <c r="A1168">
        <f t="shared" si="18"/>
        <v>1167</v>
      </c>
      <c r="B1168" s="11">
        <v>24143578</v>
      </c>
      <c r="C1168" s="11">
        <v>50</v>
      </c>
      <c r="D1168">
        <v>24000000</v>
      </c>
      <c r="E1168">
        <v>1739</v>
      </c>
    </row>
    <row r="1169" ht="13.85" spans="1:5">
      <c r="A1169">
        <f t="shared" si="18"/>
        <v>1168</v>
      </c>
      <c r="B1169" s="11">
        <v>21209742</v>
      </c>
      <c r="C1169" s="11">
        <v>40</v>
      </c>
      <c r="D1169">
        <v>19200000</v>
      </c>
      <c r="E1169">
        <v>1738</v>
      </c>
    </row>
    <row r="1170" ht="13.85" spans="1:5">
      <c r="A1170">
        <f t="shared" si="18"/>
        <v>1169</v>
      </c>
      <c r="B1170" s="11">
        <v>28536954</v>
      </c>
      <c r="C1170" s="11">
        <v>90</v>
      </c>
      <c r="D1170">
        <v>43200000</v>
      </c>
      <c r="E1170">
        <v>1737</v>
      </c>
    </row>
    <row r="1171" ht="13.85" spans="1:5">
      <c r="A1171">
        <f t="shared" si="18"/>
        <v>1170</v>
      </c>
      <c r="B1171" s="11">
        <v>25472092</v>
      </c>
      <c r="C1171" s="11">
        <v>80</v>
      </c>
      <c r="D1171">
        <v>38400000</v>
      </c>
      <c r="E1171">
        <v>1736</v>
      </c>
    </row>
    <row r="1172" ht="13.85" spans="1:5">
      <c r="A1172">
        <f t="shared" si="18"/>
        <v>1171</v>
      </c>
      <c r="B1172" s="11">
        <v>27373050</v>
      </c>
      <c r="C1172" s="11">
        <v>70</v>
      </c>
      <c r="D1172">
        <v>33600000</v>
      </c>
      <c r="E1172">
        <v>1735</v>
      </c>
    </row>
    <row r="1173" ht="13.85" spans="1:5">
      <c r="A1173">
        <f t="shared" si="18"/>
        <v>1172</v>
      </c>
      <c r="B1173" s="11">
        <v>22939004</v>
      </c>
      <c r="C1173" s="11">
        <v>60</v>
      </c>
      <c r="D1173">
        <v>28800000</v>
      </c>
      <c r="E1173">
        <v>1734</v>
      </c>
    </row>
    <row r="1174" ht="13.85" spans="1:5">
      <c r="A1174">
        <f t="shared" si="18"/>
        <v>1173</v>
      </c>
      <c r="B1174" s="11">
        <v>24930534</v>
      </c>
      <c r="C1174" s="11">
        <v>50</v>
      </c>
      <c r="D1174">
        <v>24000000</v>
      </c>
      <c r="E1174">
        <v>1733</v>
      </c>
    </row>
    <row r="1175" ht="13.85" spans="1:5">
      <c r="A1175">
        <f t="shared" si="18"/>
        <v>1174</v>
      </c>
      <c r="B1175" s="11">
        <v>21826228</v>
      </c>
      <c r="C1175" s="11">
        <v>40</v>
      </c>
      <c r="D1175">
        <v>19200000</v>
      </c>
      <c r="E1175">
        <v>1732</v>
      </c>
    </row>
    <row r="1176" ht="13.85" spans="1:5">
      <c r="A1176">
        <f t="shared" si="18"/>
        <v>1175</v>
      </c>
      <c r="B1176" s="11">
        <v>26676210</v>
      </c>
      <c r="C1176" s="11">
        <v>60</v>
      </c>
      <c r="D1176">
        <v>28800000</v>
      </c>
      <c r="E1176">
        <v>1731</v>
      </c>
    </row>
    <row r="1177" ht="13.85" spans="1:5">
      <c r="A1177">
        <f t="shared" si="18"/>
        <v>1176</v>
      </c>
      <c r="B1177" s="11">
        <v>23621466</v>
      </c>
      <c r="C1177" s="11">
        <v>50</v>
      </c>
      <c r="D1177">
        <v>24000000</v>
      </c>
      <c r="E1177">
        <v>1730</v>
      </c>
    </row>
    <row r="1178" ht="13.85" spans="1:5">
      <c r="A1178">
        <f t="shared" si="18"/>
        <v>1177</v>
      </c>
      <c r="B1178" s="11">
        <v>25471908</v>
      </c>
      <c r="C1178" s="11">
        <v>40</v>
      </c>
      <c r="D1178">
        <v>19200000</v>
      </c>
      <c r="E1178">
        <v>1729</v>
      </c>
    </row>
    <row r="1179" ht="13.85" spans="1:5">
      <c r="A1179">
        <f t="shared" si="18"/>
        <v>1178</v>
      </c>
      <c r="B1179" s="11">
        <v>35144148</v>
      </c>
      <c r="C1179" s="11">
        <v>122</v>
      </c>
      <c r="D1179">
        <v>58560000</v>
      </c>
      <c r="E1179">
        <v>1728</v>
      </c>
    </row>
    <row r="1180" ht="13.85" spans="1:5">
      <c r="A1180">
        <f t="shared" si="18"/>
        <v>1179</v>
      </c>
      <c r="B1180" s="11">
        <v>33479402</v>
      </c>
      <c r="C1180" s="11">
        <v>101</v>
      </c>
      <c r="D1180">
        <v>48480000</v>
      </c>
      <c r="E1180">
        <v>1727</v>
      </c>
    </row>
    <row r="1181" ht="13.85" spans="1:5">
      <c r="A1181">
        <f t="shared" si="18"/>
        <v>1180</v>
      </c>
      <c r="B1181" s="11">
        <v>28407434</v>
      </c>
      <c r="C1181" s="11">
        <v>90</v>
      </c>
      <c r="D1181">
        <v>43200000</v>
      </c>
      <c r="E1181">
        <v>1726</v>
      </c>
    </row>
    <row r="1182" ht="13.85" spans="1:5">
      <c r="A1182">
        <f t="shared" si="18"/>
        <v>1181</v>
      </c>
      <c r="B1182" s="11">
        <v>28651984</v>
      </c>
      <c r="C1182" s="11">
        <v>80</v>
      </c>
      <c r="D1182">
        <v>38400000</v>
      </c>
      <c r="E1182">
        <v>1725</v>
      </c>
    </row>
    <row r="1183" ht="13.85" spans="1:5">
      <c r="A1183">
        <f t="shared" si="18"/>
        <v>1182</v>
      </c>
      <c r="B1183" s="11">
        <v>25561176</v>
      </c>
      <c r="C1183" s="11">
        <v>70</v>
      </c>
      <c r="D1183">
        <v>33600000</v>
      </c>
      <c r="E1183">
        <v>1724</v>
      </c>
    </row>
    <row r="1184" ht="13.85" spans="1:5">
      <c r="A1184">
        <f t="shared" si="18"/>
        <v>1183</v>
      </c>
      <c r="B1184" s="11">
        <v>27010302</v>
      </c>
      <c r="C1184" s="11">
        <v>60</v>
      </c>
      <c r="D1184">
        <v>28800000</v>
      </c>
      <c r="E1184">
        <v>1723</v>
      </c>
    </row>
    <row r="1185" ht="13.85" spans="1:5">
      <c r="A1185">
        <f t="shared" si="18"/>
        <v>1184</v>
      </c>
      <c r="B1185" s="11">
        <v>23884472</v>
      </c>
      <c r="C1185" s="11">
        <v>50</v>
      </c>
      <c r="D1185">
        <v>24000000</v>
      </c>
      <c r="E1185">
        <v>1722</v>
      </c>
    </row>
    <row r="1186" ht="13.85" spans="1:5">
      <c r="A1186">
        <f t="shared" si="18"/>
        <v>1185</v>
      </c>
      <c r="B1186" s="11">
        <v>27136016</v>
      </c>
      <c r="C1186" s="11">
        <v>40</v>
      </c>
      <c r="D1186">
        <v>19200000</v>
      </c>
      <c r="E1186">
        <v>1721</v>
      </c>
    </row>
    <row r="1187" ht="13.85" spans="1:5">
      <c r="A1187">
        <f t="shared" si="18"/>
        <v>1186</v>
      </c>
      <c r="B1187" s="11">
        <v>65287158</v>
      </c>
      <c r="C1187" s="11">
        <v>257</v>
      </c>
      <c r="D1187">
        <v>123360000</v>
      </c>
      <c r="E1187">
        <v>1720</v>
      </c>
    </row>
    <row r="1188" ht="13.85" spans="1:5">
      <c r="A1188">
        <f t="shared" si="18"/>
        <v>1187</v>
      </c>
      <c r="B1188" s="11">
        <v>57251954</v>
      </c>
      <c r="C1188" s="11">
        <v>221</v>
      </c>
      <c r="D1188">
        <v>106080000</v>
      </c>
      <c r="E1188">
        <v>1719</v>
      </c>
    </row>
    <row r="1189" ht="13.85" spans="1:5">
      <c r="A1189">
        <f t="shared" si="18"/>
        <v>1188</v>
      </c>
      <c r="B1189" s="11">
        <v>46708576</v>
      </c>
      <c r="C1189" s="11">
        <v>192</v>
      </c>
      <c r="D1189">
        <v>92160000</v>
      </c>
      <c r="E1189">
        <v>1718</v>
      </c>
    </row>
    <row r="1190" ht="13.85" spans="1:5">
      <c r="A1190">
        <f t="shared" si="18"/>
        <v>1189</v>
      </c>
      <c r="B1190" s="11">
        <v>43305488</v>
      </c>
      <c r="C1190" s="11">
        <v>173</v>
      </c>
      <c r="D1190">
        <v>83040000</v>
      </c>
      <c r="E1190">
        <v>1717</v>
      </c>
    </row>
    <row r="1191" ht="13.85" spans="1:5">
      <c r="A1191">
        <f t="shared" si="18"/>
        <v>1190</v>
      </c>
      <c r="B1191" s="11">
        <v>35176564</v>
      </c>
      <c r="C1191" s="11">
        <v>152</v>
      </c>
      <c r="D1191">
        <v>72960000</v>
      </c>
      <c r="E1191">
        <v>1716</v>
      </c>
    </row>
    <row r="1192" ht="13.85" spans="1:5">
      <c r="A1192">
        <f t="shared" si="18"/>
        <v>1191</v>
      </c>
      <c r="B1192" s="11">
        <v>35858982</v>
      </c>
      <c r="C1192" s="11">
        <v>132</v>
      </c>
      <c r="D1192">
        <v>63360000</v>
      </c>
      <c r="E1192">
        <v>1715</v>
      </c>
    </row>
    <row r="1193" ht="13.85" spans="1:5">
      <c r="A1193">
        <f t="shared" si="18"/>
        <v>1192</v>
      </c>
      <c r="B1193" s="11">
        <v>30025930</v>
      </c>
      <c r="C1193" s="11">
        <v>114</v>
      </c>
      <c r="D1193">
        <v>54720000</v>
      </c>
      <c r="E1193">
        <v>1714</v>
      </c>
    </row>
    <row r="1194" ht="13.85" spans="1:5">
      <c r="A1194">
        <f t="shared" si="18"/>
        <v>1193</v>
      </c>
      <c r="B1194" s="11">
        <v>31308206</v>
      </c>
      <c r="C1194" s="11">
        <v>100</v>
      </c>
      <c r="D1194">
        <v>48000000</v>
      </c>
      <c r="E1194">
        <v>1713</v>
      </c>
    </row>
    <row r="1195" ht="13.85" spans="1:5">
      <c r="A1195">
        <f t="shared" si="18"/>
        <v>1194</v>
      </c>
      <c r="B1195" s="11">
        <v>25483670</v>
      </c>
      <c r="C1195" s="11">
        <v>90</v>
      </c>
      <c r="D1195">
        <v>43200000</v>
      </c>
      <c r="E1195">
        <v>1712</v>
      </c>
    </row>
    <row r="1196" ht="13.85" spans="1:5">
      <c r="A1196">
        <f t="shared" si="18"/>
        <v>1195</v>
      </c>
      <c r="B1196" s="11">
        <v>27631562</v>
      </c>
      <c r="C1196" s="11">
        <v>80</v>
      </c>
      <c r="D1196">
        <v>38400000</v>
      </c>
      <c r="E1196">
        <v>1711</v>
      </c>
    </row>
    <row r="1197" ht="13.85" spans="1:5">
      <c r="A1197">
        <f t="shared" si="18"/>
        <v>1196</v>
      </c>
      <c r="B1197" s="11">
        <v>24688484</v>
      </c>
      <c r="C1197" s="11">
        <v>70</v>
      </c>
      <c r="D1197">
        <v>33600000</v>
      </c>
      <c r="E1197">
        <v>1710</v>
      </c>
    </row>
    <row r="1198" ht="13.85" spans="1:5">
      <c r="A1198">
        <f t="shared" si="18"/>
        <v>1197</v>
      </c>
      <c r="B1198" s="11">
        <v>26942550</v>
      </c>
      <c r="C1198" s="11">
        <v>60</v>
      </c>
      <c r="D1198">
        <v>28800000</v>
      </c>
      <c r="E1198">
        <v>1709</v>
      </c>
    </row>
    <row r="1199" ht="13.85" spans="1:5">
      <c r="A1199">
        <f t="shared" si="18"/>
        <v>1198</v>
      </c>
      <c r="B1199" s="11">
        <v>23111638</v>
      </c>
      <c r="C1199" s="11">
        <v>50</v>
      </c>
      <c r="D1199">
        <v>24000000</v>
      </c>
      <c r="E1199">
        <v>1708</v>
      </c>
    </row>
    <row r="1200" ht="13.85" spans="1:5">
      <c r="A1200">
        <f t="shared" si="18"/>
        <v>1199</v>
      </c>
      <c r="B1200" s="11">
        <v>26016988</v>
      </c>
      <c r="C1200" s="11">
        <v>40</v>
      </c>
      <c r="D1200">
        <v>19200000</v>
      </c>
      <c r="E1200">
        <v>1707</v>
      </c>
    </row>
    <row r="1201" ht="13.85" spans="1:5">
      <c r="A1201">
        <f t="shared" si="18"/>
        <v>1200</v>
      </c>
      <c r="B1201" s="11">
        <v>36747102</v>
      </c>
      <c r="C1201" s="26">
        <v>148.8</v>
      </c>
      <c r="D1201">
        <v>71424000</v>
      </c>
      <c r="E1201">
        <v>1706</v>
      </c>
    </row>
    <row r="1202" ht="13.85" spans="1:5">
      <c r="A1202">
        <f t="shared" si="18"/>
        <v>1201</v>
      </c>
      <c r="B1202" s="11">
        <v>37392468</v>
      </c>
      <c r="C1202" s="11">
        <v>128</v>
      </c>
      <c r="D1202">
        <v>61440000</v>
      </c>
      <c r="E1202">
        <v>1705</v>
      </c>
    </row>
    <row r="1203" ht="13.85" spans="1:5">
      <c r="A1203">
        <f t="shared" si="18"/>
        <v>1202</v>
      </c>
      <c r="B1203" s="11">
        <v>33095206</v>
      </c>
      <c r="C1203" s="11">
        <v>110</v>
      </c>
      <c r="D1203">
        <v>52800000</v>
      </c>
      <c r="E1203">
        <v>1704</v>
      </c>
    </row>
    <row r="1204" ht="13.85" spans="1:5">
      <c r="A1204">
        <f t="shared" si="18"/>
        <v>1203</v>
      </c>
      <c r="B1204" s="11">
        <v>31987612</v>
      </c>
      <c r="C1204" s="11">
        <v>94</v>
      </c>
      <c r="D1204">
        <v>45120000</v>
      </c>
      <c r="E1204">
        <v>1703</v>
      </c>
    </row>
    <row r="1205" ht="13.85" spans="1:5">
      <c r="A1205">
        <f t="shared" si="18"/>
        <v>1204</v>
      </c>
      <c r="B1205" s="11">
        <v>28003954</v>
      </c>
      <c r="C1205" s="11">
        <v>80</v>
      </c>
      <c r="D1205">
        <v>38400000</v>
      </c>
      <c r="E1205">
        <v>1702</v>
      </c>
    </row>
    <row r="1206" ht="13.85" spans="1:5">
      <c r="A1206">
        <f t="shared" si="18"/>
        <v>1205</v>
      </c>
      <c r="B1206" s="11">
        <v>29883772</v>
      </c>
      <c r="C1206" s="11">
        <v>70</v>
      </c>
      <c r="D1206">
        <v>33600000</v>
      </c>
      <c r="E1206">
        <v>1701</v>
      </c>
    </row>
    <row r="1207" ht="13.85" spans="1:5">
      <c r="A1207">
        <f t="shared" si="18"/>
        <v>1206</v>
      </c>
      <c r="B1207" s="11">
        <v>26453016</v>
      </c>
      <c r="C1207" s="11">
        <v>60</v>
      </c>
      <c r="D1207">
        <v>28800000</v>
      </c>
      <c r="E1207">
        <v>1700</v>
      </c>
    </row>
    <row r="1208" ht="13.85" spans="1:5">
      <c r="A1208">
        <f t="shared" si="18"/>
        <v>1207</v>
      </c>
      <c r="B1208" s="11">
        <v>27573672</v>
      </c>
      <c r="C1208" s="11">
        <v>50</v>
      </c>
      <c r="D1208">
        <v>24000000</v>
      </c>
      <c r="E1208">
        <v>1699</v>
      </c>
    </row>
    <row r="1209" ht="13.85" spans="1:5">
      <c r="A1209">
        <f t="shared" si="18"/>
        <v>1208</v>
      </c>
      <c r="B1209" s="11">
        <v>24247664</v>
      </c>
      <c r="C1209" s="11">
        <v>40</v>
      </c>
      <c r="D1209">
        <v>19200000</v>
      </c>
      <c r="E1209">
        <v>1698</v>
      </c>
    </row>
    <row r="1210" ht="13.85" spans="1:5">
      <c r="A1210">
        <f t="shared" si="18"/>
        <v>1209</v>
      </c>
      <c r="B1210" s="11">
        <v>32064856</v>
      </c>
      <c r="C1210" s="11">
        <v>96</v>
      </c>
      <c r="D1210">
        <v>46080000</v>
      </c>
      <c r="E1210">
        <v>1697</v>
      </c>
    </row>
    <row r="1211" ht="13.85" spans="1:5">
      <c r="A1211">
        <f t="shared" si="18"/>
        <v>1210</v>
      </c>
      <c r="B1211" s="11">
        <v>29630474</v>
      </c>
      <c r="C1211" s="11">
        <v>80</v>
      </c>
      <c r="D1211">
        <v>38400000</v>
      </c>
      <c r="E1211">
        <v>1696</v>
      </c>
    </row>
    <row r="1212" ht="13.85" spans="1:5">
      <c r="A1212">
        <f t="shared" si="18"/>
        <v>1211</v>
      </c>
      <c r="B1212" s="11">
        <v>30542376</v>
      </c>
      <c r="C1212" s="11">
        <v>70</v>
      </c>
      <c r="D1212">
        <v>33600000</v>
      </c>
      <c r="E1212">
        <v>1695</v>
      </c>
    </row>
    <row r="1213" ht="13.85" spans="1:5">
      <c r="A1213">
        <f t="shared" si="18"/>
        <v>1212</v>
      </c>
      <c r="B1213" s="11">
        <v>26464444</v>
      </c>
      <c r="C1213" s="11">
        <v>60</v>
      </c>
      <c r="D1213">
        <v>28800000</v>
      </c>
      <c r="E1213">
        <v>1694</v>
      </c>
    </row>
    <row r="1214" ht="13.85" spans="1:5">
      <c r="A1214">
        <f t="shared" si="18"/>
        <v>1213</v>
      </c>
      <c r="B1214" s="11">
        <v>28814004</v>
      </c>
      <c r="C1214" s="11">
        <v>50</v>
      </c>
      <c r="D1214">
        <v>24000000</v>
      </c>
      <c r="E1214">
        <v>1693</v>
      </c>
    </row>
    <row r="1215" ht="13.85" spans="1:5">
      <c r="A1215">
        <f t="shared" si="18"/>
        <v>1214</v>
      </c>
      <c r="B1215" s="11">
        <v>25588276</v>
      </c>
      <c r="C1215" s="11">
        <v>40</v>
      </c>
      <c r="D1215">
        <v>19200000</v>
      </c>
      <c r="E1215">
        <v>1692</v>
      </c>
    </row>
    <row r="1216" ht="13.85" spans="1:5">
      <c r="A1216">
        <f t="shared" si="18"/>
        <v>1215</v>
      </c>
      <c r="B1216" s="11">
        <v>30747816</v>
      </c>
      <c r="C1216" s="11">
        <v>60</v>
      </c>
      <c r="D1216">
        <v>28800000</v>
      </c>
      <c r="E1216">
        <v>1691</v>
      </c>
    </row>
    <row r="1217" ht="13.85" spans="1:5">
      <c r="A1217">
        <f t="shared" si="18"/>
        <v>1216</v>
      </c>
      <c r="B1217" s="11">
        <v>26006844</v>
      </c>
      <c r="C1217" s="11">
        <v>50</v>
      </c>
      <c r="D1217">
        <v>24000000</v>
      </c>
      <c r="E1217">
        <v>1690</v>
      </c>
    </row>
    <row r="1218" ht="13.85" spans="1:5">
      <c r="A1218">
        <f t="shared" ref="A1218:A1281" si="19">ROW()-1</f>
        <v>1217</v>
      </c>
      <c r="B1218" s="11">
        <v>28078212</v>
      </c>
      <c r="C1218" s="11">
        <v>40</v>
      </c>
      <c r="D1218">
        <v>19200000</v>
      </c>
      <c r="E1218">
        <v>1689</v>
      </c>
    </row>
    <row r="1219" ht="13.85" spans="1:5">
      <c r="A1219">
        <f t="shared" si="19"/>
        <v>1218</v>
      </c>
      <c r="B1219" s="11">
        <v>183031022</v>
      </c>
      <c r="C1219" s="25">
        <v>425</v>
      </c>
      <c r="D1219">
        <v>204000000</v>
      </c>
      <c r="E1219">
        <v>1688</v>
      </c>
    </row>
    <row r="1220" ht="13.85" spans="1:5">
      <c r="A1220">
        <f t="shared" si="19"/>
        <v>1219</v>
      </c>
      <c r="B1220" s="11">
        <v>84502534</v>
      </c>
      <c r="C1220" s="11">
        <v>330</v>
      </c>
      <c r="D1220">
        <v>158400000</v>
      </c>
      <c r="E1220">
        <v>1687</v>
      </c>
    </row>
    <row r="1221" ht="13.85" spans="1:5">
      <c r="A1221">
        <f t="shared" si="19"/>
        <v>1220</v>
      </c>
      <c r="B1221" s="11">
        <v>67249908</v>
      </c>
      <c r="C1221" s="11">
        <v>284</v>
      </c>
      <c r="D1221">
        <v>136320000</v>
      </c>
      <c r="E1221">
        <v>1686</v>
      </c>
    </row>
    <row r="1222" ht="13.85" spans="1:5">
      <c r="A1222">
        <f t="shared" si="19"/>
        <v>1221</v>
      </c>
      <c r="B1222" s="11">
        <v>61665430</v>
      </c>
      <c r="C1222" s="11">
        <v>247</v>
      </c>
      <c r="D1222">
        <v>118560000</v>
      </c>
      <c r="E1222">
        <v>1685</v>
      </c>
    </row>
    <row r="1223" ht="13.85" spans="1:5">
      <c r="A1223">
        <f t="shared" si="19"/>
        <v>1222</v>
      </c>
      <c r="B1223" s="11">
        <v>49510642</v>
      </c>
      <c r="C1223" s="11">
        <v>215</v>
      </c>
      <c r="D1223">
        <v>103200000</v>
      </c>
      <c r="E1223">
        <v>1684</v>
      </c>
    </row>
    <row r="1224" ht="13.85" spans="1:5">
      <c r="A1224">
        <f t="shared" si="19"/>
        <v>1223</v>
      </c>
      <c r="B1224" s="11">
        <v>49062416</v>
      </c>
      <c r="C1224" s="11">
        <v>194</v>
      </c>
      <c r="D1224">
        <v>93120000</v>
      </c>
      <c r="E1224">
        <v>1683</v>
      </c>
    </row>
    <row r="1225" ht="13.85" spans="1:5">
      <c r="A1225">
        <f t="shared" si="19"/>
        <v>1224</v>
      </c>
      <c r="B1225" s="11">
        <v>38257408</v>
      </c>
      <c r="C1225" s="11">
        <v>171</v>
      </c>
      <c r="D1225">
        <v>82080000</v>
      </c>
      <c r="E1225">
        <v>1682</v>
      </c>
    </row>
    <row r="1226" ht="13.85" spans="1:5">
      <c r="A1226">
        <f t="shared" si="19"/>
        <v>1225</v>
      </c>
      <c r="B1226" s="11">
        <v>39396676</v>
      </c>
      <c r="C1226" s="11">
        <v>152</v>
      </c>
      <c r="D1226">
        <v>72960000</v>
      </c>
      <c r="E1226">
        <v>1681</v>
      </c>
    </row>
    <row r="1227" ht="13.85" spans="1:5">
      <c r="A1227">
        <f t="shared" si="19"/>
        <v>1226</v>
      </c>
      <c r="B1227" s="11">
        <v>32714630</v>
      </c>
      <c r="C1227" s="11">
        <v>131</v>
      </c>
      <c r="D1227">
        <v>62880000</v>
      </c>
      <c r="E1227">
        <v>1680</v>
      </c>
    </row>
    <row r="1228" ht="13.85" spans="1:5">
      <c r="A1228">
        <f t="shared" si="19"/>
        <v>1227</v>
      </c>
      <c r="B1228" s="11">
        <v>35703424</v>
      </c>
      <c r="C1228" s="11">
        <v>113</v>
      </c>
      <c r="D1228">
        <v>54240000</v>
      </c>
      <c r="E1228">
        <v>1679</v>
      </c>
    </row>
    <row r="1229" ht="13.85" spans="1:5">
      <c r="A1229">
        <f t="shared" si="19"/>
        <v>1228</v>
      </c>
      <c r="B1229" s="11">
        <v>29454450</v>
      </c>
      <c r="C1229" s="11">
        <v>93</v>
      </c>
      <c r="D1229">
        <v>44640000</v>
      </c>
      <c r="E1229">
        <v>1678</v>
      </c>
    </row>
    <row r="1230" ht="13.85" spans="1:5">
      <c r="A1230">
        <f t="shared" si="19"/>
        <v>1229</v>
      </c>
      <c r="B1230" s="11">
        <v>29616924</v>
      </c>
      <c r="C1230" s="11">
        <v>80</v>
      </c>
      <c r="D1230">
        <v>38400000</v>
      </c>
      <c r="E1230">
        <v>1677</v>
      </c>
    </row>
    <row r="1231" ht="13.85" spans="1:5">
      <c r="A1231">
        <f t="shared" si="19"/>
        <v>1230</v>
      </c>
      <c r="B1231" s="11">
        <v>25761674</v>
      </c>
      <c r="C1231" s="11">
        <v>70</v>
      </c>
      <c r="D1231">
        <v>33600000</v>
      </c>
      <c r="E1231">
        <v>1676</v>
      </c>
    </row>
    <row r="1232" ht="13.85" spans="1:5">
      <c r="A1232">
        <f t="shared" si="19"/>
        <v>1231</v>
      </c>
      <c r="B1232" s="11">
        <v>27745090</v>
      </c>
      <c r="C1232" s="11">
        <v>60</v>
      </c>
      <c r="D1232">
        <v>28800000</v>
      </c>
      <c r="E1232">
        <v>1675</v>
      </c>
    </row>
    <row r="1233" ht="13.85" spans="1:5">
      <c r="A1233">
        <f t="shared" si="19"/>
        <v>1232</v>
      </c>
      <c r="B1233" s="15">
        <v>25121630</v>
      </c>
      <c r="C1233" s="15">
        <v>50</v>
      </c>
      <c r="D1233">
        <v>24000000</v>
      </c>
      <c r="E1233">
        <v>1674</v>
      </c>
    </row>
    <row r="1234" ht="13.85" spans="1:5">
      <c r="A1234">
        <f t="shared" si="19"/>
        <v>1233</v>
      </c>
      <c r="B1234" s="13">
        <v>26298198</v>
      </c>
      <c r="C1234" s="13">
        <v>40</v>
      </c>
      <c r="D1234">
        <v>19200000</v>
      </c>
      <c r="E1234">
        <v>1673</v>
      </c>
    </row>
    <row r="1235" ht="13.85" spans="1:5">
      <c r="A1235">
        <f t="shared" si="19"/>
        <v>1234</v>
      </c>
      <c r="B1235" s="11">
        <v>27289666</v>
      </c>
      <c r="C1235" s="11">
        <v>74</v>
      </c>
      <c r="D1235">
        <v>35520000</v>
      </c>
      <c r="E1235">
        <v>1672</v>
      </c>
    </row>
    <row r="1236" ht="13.85" spans="1:5">
      <c r="A1236">
        <f t="shared" si="19"/>
        <v>1235</v>
      </c>
      <c r="B1236" s="11">
        <v>28986882</v>
      </c>
      <c r="C1236" s="11">
        <v>60</v>
      </c>
      <c r="D1236">
        <v>28800000</v>
      </c>
      <c r="E1236">
        <v>1671</v>
      </c>
    </row>
    <row r="1237" ht="13.85" spans="1:5">
      <c r="A1237">
        <f t="shared" si="19"/>
        <v>1236</v>
      </c>
      <c r="B1237" s="11">
        <v>33401446</v>
      </c>
      <c r="C1237" s="11">
        <v>50</v>
      </c>
      <c r="D1237">
        <v>24000000</v>
      </c>
      <c r="E1237">
        <v>1670</v>
      </c>
    </row>
    <row r="1238" ht="13.85" spans="1:5">
      <c r="A1238">
        <f t="shared" si="19"/>
        <v>1237</v>
      </c>
      <c r="B1238" s="11">
        <v>35027210</v>
      </c>
      <c r="C1238" s="11">
        <v>40</v>
      </c>
      <c r="D1238">
        <v>19200000</v>
      </c>
      <c r="E1238">
        <v>1669</v>
      </c>
    </row>
    <row r="1239" ht="13.85" spans="1:5">
      <c r="A1239">
        <f t="shared" si="19"/>
        <v>1238</v>
      </c>
      <c r="B1239" s="11">
        <v>36818902</v>
      </c>
      <c r="C1239" s="11">
        <v>122</v>
      </c>
      <c r="D1239">
        <v>58560000</v>
      </c>
      <c r="E1239">
        <v>1668</v>
      </c>
    </row>
    <row r="1240" ht="13.85" spans="1:5">
      <c r="A1240">
        <f t="shared" si="19"/>
        <v>1239</v>
      </c>
      <c r="B1240" s="11">
        <v>35889328</v>
      </c>
      <c r="C1240" s="11">
        <v>100</v>
      </c>
      <c r="D1240">
        <v>48000000</v>
      </c>
      <c r="E1240">
        <v>1667</v>
      </c>
    </row>
    <row r="1241" ht="13.85" spans="1:5">
      <c r="A1241">
        <f t="shared" si="19"/>
        <v>1240</v>
      </c>
      <c r="B1241" s="11">
        <v>29444180</v>
      </c>
      <c r="C1241" s="11">
        <v>81</v>
      </c>
      <c r="D1241">
        <v>38880000</v>
      </c>
      <c r="E1241">
        <v>1666</v>
      </c>
    </row>
    <row r="1242" ht="13.85" spans="1:5">
      <c r="A1242">
        <f t="shared" si="19"/>
        <v>1241</v>
      </c>
      <c r="B1242" s="11">
        <v>28693078</v>
      </c>
      <c r="C1242" s="11">
        <v>70</v>
      </c>
      <c r="D1242">
        <v>33600000</v>
      </c>
      <c r="E1242">
        <v>1665</v>
      </c>
    </row>
    <row r="1243" ht="13.85" spans="1:5">
      <c r="A1243">
        <f t="shared" si="19"/>
        <v>1242</v>
      </c>
      <c r="B1243" s="11">
        <v>28182982</v>
      </c>
      <c r="C1243" s="11">
        <v>60</v>
      </c>
      <c r="D1243">
        <v>28800000</v>
      </c>
      <c r="E1243">
        <v>1664</v>
      </c>
    </row>
    <row r="1244" ht="13.85" spans="1:5">
      <c r="A1244">
        <f t="shared" si="19"/>
        <v>1243</v>
      </c>
      <c r="B1244" s="11">
        <v>29182882</v>
      </c>
      <c r="C1244" s="11">
        <v>50</v>
      </c>
      <c r="D1244">
        <v>24000000</v>
      </c>
      <c r="E1244">
        <v>1663</v>
      </c>
    </row>
    <row r="1245" ht="13.85" spans="1:5">
      <c r="A1245">
        <f t="shared" si="19"/>
        <v>1244</v>
      </c>
      <c r="B1245" s="11">
        <v>25934724</v>
      </c>
      <c r="C1245" s="11">
        <v>40</v>
      </c>
      <c r="D1245">
        <v>19200000</v>
      </c>
      <c r="E1245">
        <v>1662</v>
      </c>
    </row>
    <row r="1246" ht="13.85" spans="1:5">
      <c r="A1246">
        <f t="shared" si="19"/>
        <v>1245</v>
      </c>
      <c r="B1246" s="11">
        <v>40247988</v>
      </c>
      <c r="C1246" s="11">
        <v>130</v>
      </c>
      <c r="D1246">
        <v>62400000</v>
      </c>
      <c r="E1246">
        <v>1661</v>
      </c>
    </row>
    <row r="1247" ht="13.85" spans="1:5">
      <c r="A1247">
        <f t="shared" si="19"/>
        <v>1246</v>
      </c>
      <c r="B1247" s="11">
        <v>34678780</v>
      </c>
      <c r="C1247" s="11">
        <v>110</v>
      </c>
      <c r="D1247">
        <v>52800000</v>
      </c>
      <c r="E1247">
        <v>1660</v>
      </c>
    </row>
    <row r="1248" ht="13.85" spans="1:5">
      <c r="A1248">
        <f t="shared" si="19"/>
        <v>1247</v>
      </c>
      <c r="B1248" s="11">
        <v>33853702</v>
      </c>
      <c r="C1248" s="11">
        <v>87</v>
      </c>
      <c r="D1248">
        <v>41760000</v>
      </c>
      <c r="E1248">
        <v>1659</v>
      </c>
    </row>
    <row r="1249" ht="13.85" spans="1:5">
      <c r="A1249">
        <f t="shared" si="19"/>
        <v>1248</v>
      </c>
      <c r="B1249" s="11">
        <v>29779240</v>
      </c>
      <c r="C1249" s="11">
        <v>70</v>
      </c>
      <c r="D1249">
        <v>33600000</v>
      </c>
      <c r="E1249">
        <v>1658</v>
      </c>
    </row>
    <row r="1250" ht="13.85" spans="1:5">
      <c r="A1250">
        <f t="shared" si="19"/>
        <v>1249</v>
      </c>
      <c r="B1250" s="11">
        <v>32429546</v>
      </c>
      <c r="C1250" s="11">
        <v>60</v>
      </c>
      <c r="D1250">
        <v>28800000</v>
      </c>
      <c r="E1250">
        <v>1657</v>
      </c>
    </row>
    <row r="1251" ht="13.85" spans="1:5">
      <c r="A1251">
        <f t="shared" si="19"/>
        <v>1250</v>
      </c>
      <c r="B1251" s="11">
        <v>27830994</v>
      </c>
      <c r="C1251" s="11">
        <v>50</v>
      </c>
      <c r="D1251">
        <v>24000000</v>
      </c>
      <c r="E1251">
        <v>1656</v>
      </c>
    </row>
    <row r="1252" ht="13.85" spans="1:5">
      <c r="A1252">
        <f t="shared" si="19"/>
        <v>1251</v>
      </c>
      <c r="B1252" s="11">
        <v>31802548</v>
      </c>
      <c r="C1252" s="11">
        <v>40</v>
      </c>
      <c r="D1252">
        <v>19200000</v>
      </c>
      <c r="E1252">
        <v>1655</v>
      </c>
    </row>
    <row r="1253" ht="13.85" spans="1:5">
      <c r="A1253">
        <f t="shared" si="19"/>
        <v>1252</v>
      </c>
      <c r="B1253" s="11">
        <v>58508688</v>
      </c>
      <c r="C1253" s="11">
        <v>216</v>
      </c>
      <c r="D1253">
        <v>103680000</v>
      </c>
      <c r="E1253">
        <v>1654</v>
      </c>
    </row>
    <row r="1254" ht="13.85" spans="1:5">
      <c r="A1254">
        <f t="shared" si="19"/>
        <v>1253</v>
      </c>
      <c r="B1254" s="11">
        <v>52089906</v>
      </c>
      <c r="C1254" s="11">
        <v>186</v>
      </c>
      <c r="D1254">
        <v>89280000</v>
      </c>
      <c r="E1254">
        <v>1653</v>
      </c>
    </row>
    <row r="1255" ht="13.85" spans="1:5">
      <c r="A1255">
        <f t="shared" si="19"/>
        <v>1254</v>
      </c>
      <c r="B1255" s="11">
        <v>45357682</v>
      </c>
      <c r="C1255" s="11">
        <v>156</v>
      </c>
      <c r="D1255">
        <v>74880000</v>
      </c>
      <c r="E1255">
        <v>1652</v>
      </c>
    </row>
    <row r="1256" ht="13.85" spans="1:5">
      <c r="A1256">
        <f t="shared" si="19"/>
        <v>1255</v>
      </c>
      <c r="B1256" s="11">
        <v>44775232</v>
      </c>
      <c r="C1256" s="11">
        <v>133</v>
      </c>
      <c r="D1256">
        <v>63840000</v>
      </c>
      <c r="E1256">
        <v>1651</v>
      </c>
    </row>
    <row r="1257" ht="13.85" spans="1:5">
      <c r="A1257">
        <f t="shared" si="19"/>
        <v>1256</v>
      </c>
      <c r="B1257" s="11">
        <v>39054982</v>
      </c>
      <c r="C1257" s="11">
        <v>108</v>
      </c>
      <c r="D1257">
        <v>51840000</v>
      </c>
      <c r="E1257">
        <v>1650</v>
      </c>
    </row>
    <row r="1258" ht="13.85" spans="1:5">
      <c r="A1258">
        <f t="shared" si="19"/>
        <v>1257</v>
      </c>
      <c r="B1258" s="11">
        <v>36749138</v>
      </c>
      <c r="C1258" s="11">
        <v>86</v>
      </c>
      <c r="D1258">
        <v>41280000</v>
      </c>
      <c r="E1258">
        <v>1649</v>
      </c>
    </row>
    <row r="1259" ht="13.85" spans="1:5">
      <c r="A1259">
        <f t="shared" si="19"/>
        <v>1258</v>
      </c>
      <c r="B1259" s="11">
        <v>31931180</v>
      </c>
      <c r="C1259" s="11">
        <v>70</v>
      </c>
      <c r="D1259">
        <v>33600000</v>
      </c>
      <c r="E1259">
        <v>1648</v>
      </c>
    </row>
    <row r="1260" ht="13.85" spans="1:5">
      <c r="A1260">
        <f t="shared" si="19"/>
        <v>1259</v>
      </c>
      <c r="B1260" s="11">
        <v>33923886</v>
      </c>
      <c r="C1260" s="11">
        <v>60</v>
      </c>
      <c r="D1260">
        <v>28800000</v>
      </c>
      <c r="E1260">
        <v>1647</v>
      </c>
    </row>
    <row r="1261" ht="13.85" spans="1:5">
      <c r="A1261">
        <f t="shared" si="19"/>
        <v>1260</v>
      </c>
      <c r="B1261" s="11">
        <v>30244738</v>
      </c>
      <c r="C1261" s="11">
        <v>50</v>
      </c>
      <c r="D1261">
        <v>24000000</v>
      </c>
      <c r="E1261">
        <v>1646</v>
      </c>
    </row>
    <row r="1262" ht="13.85" spans="1:5">
      <c r="A1262">
        <f t="shared" si="19"/>
        <v>1261</v>
      </c>
      <c r="B1262" s="11">
        <v>32296040</v>
      </c>
      <c r="C1262" s="11">
        <v>40</v>
      </c>
      <c r="D1262">
        <v>19200000</v>
      </c>
      <c r="E1262">
        <v>1645</v>
      </c>
    </row>
    <row r="1263" ht="13.85" spans="1:5">
      <c r="A1263">
        <f t="shared" si="19"/>
        <v>1262</v>
      </c>
      <c r="B1263" s="11">
        <v>182773492</v>
      </c>
      <c r="C1263" s="11">
        <v>400</v>
      </c>
      <c r="D1263">
        <v>192000000</v>
      </c>
      <c r="E1263">
        <v>1644</v>
      </c>
    </row>
    <row r="1264" ht="13.85" spans="1:5">
      <c r="A1264">
        <f t="shared" si="19"/>
        <v>1263</v>
      </c>
      <c r="B1264" s="11">
        <v>101377126</v>
      </c>
      <c r="C1264" s="11">
        <v>317</v>
      </c>
      <c r="D1264">
        <v>152160000</v>
      </c>
      <c r="E1264">
        <v>1643</v>
      </c>
    </row>
    <row r="1265" ht="13.85" spans="1:5">
      <c r="A1265">
        <f t="shared" si="19"/>
        <v>1264</v>
      </c>
      <c r="B1265" s="11">
        <v>73685004</v>
      </c>
      <c r="C1265" s="11">
        <v>245</v>
      </c>
      <c r="D1265">
        <v>117600000</v>
      </c>
      <c r="E1265">
        <v>1642</v>
      </c>
    </row>
    <row r="1266" ht="13.85" spans="1:5">
      <c r="A1266">
        <f t="shared" si="19"/>
        <v>1265</v>
      </c>
      <c r="B1266" s="11">
        <v>66736054</v>
      </c>
      <c r="C1266" s="11">
        <v>203</v>
      </c>
      <c r="D1266">
        <v>97440000</v>
      </c>
      <c r="E1266">
        <v>1641</v>
      </c>
    </row>
    <row r="1267" ht="13.85" spans="1:5">
      <c r="A1267">
        <f t="shared" si="19"/>
        <v>1266</v>
      </c>
      <c r="B1267" s="11">
        <v>50164254</v>
      </c>
      <c r="C1267" s="11">
        <v>169</v>
      </c>
      <c r="D1267">
        <v>81120000</v>
      </c>
      <c r="E1267">
        <v>1640</v>
      </c>
    </row>
    <row r="1268" ht="13.85" spans="1:5">
      <c r="A1268">
        <f t="shared" si="19"/>
        <v>1267</v>
      </c>
      <c r="B1268" s="11">
        <v>52146876</v>
      </c>
      <c r="C1268" s="11">
        <v>142</v>
      </c>
      <c r="D1268">
        <v>68160000</v>
      </c>
      <c r="E1268">
        <v>1639</v>
      </c>
    </row>
    <row r="1269" ht="13.85" spans="1:5">
      <c r="A1269">
        <f t="shared" si="19"/>
        <v>1268</v>
      </c>
      <c r="B1269" s="11">
        <v>43157770</v>
      </c>
      <c r="C1269" s="11">
        <v>116</v>
      </c>
      <c r="D1269">
        <v>55680000</v>
      </c>
      <c r="E1269">
        <v>1638</v>
      </c>
    </row>
    <row r="1270" ht="13.85" spans="1:5">
      <c r="A1270">
        <f t="shared" si="19"/>
        <v>1269</v>
      </c>
      <c r="B1270" s="11">
        <v>40503768</v>
      </c>
      <c r="C1270" s="11">
        <v>92</v>
      </c>
      <c r="D1270">
        <v>44160000</v>
      </c>
      <c r="E1270">
        <v>1637</v>
      </c>
    </row>
    <row r="1271" ht="13.85" spans="1:5">
      <c r="A1271">
        <f t="shared" si="19"/>
        <v>1270</v>
      </c>
      <c r="B1271" s="11">
        <v>34274628</v>
      </c>
      <c r="C1271" s="11">
        <v>70</v>
      </c>
      <c r="D1271">
        <v>33600000</v>
      </c>
      <c r="E1271">
        <v>1636</v>
      </c>
    </row>
    <row r="1272" ht="13.85" spans="1:5">
      <c r="A1272">
        <f t="shared" si="19"/>
        <v>1271</v>
      </c>
      <c r="B1272" s="11">
        <v>36149700</v>
      </c>
      <c r="C1272" s="11">
        <v>60</v>
      </c>
      <c r="D1272">
        <v>28800000</v>
      </c>
      <c r="E1272">
        <v>1635</v>
      </c>
    </row>
    <row r="1273" ht="13.85" spans="1:5">
      <c r="A1273">
        <f t="shared" si="19"/>
        <v>1272</v>
      </c>
      <c r="B1273" s="11">
        <v>31379796</v>
      </c>
      <c r="C1273" s="11">
        <v>50</v>
      </c>
      <c r="D1273">
        <v>24000000</v>
      </c>
      <c r="E1273">
        <v>1634</v>
      </c>
    </row>
    <row r="1274" ht="13.85" spans="1:5">
      <c r="A1274">
        <f t="shared" si="19"/>
        <v>1273</v>
      </c>
      <c r="B1274" s="11">
        <v>32446598</v>
      </c>
      <c r="C1274" s="11">
        <v>40</v>
      </c>
      <c r="D1274">
        <v>19200000</v>
      </c>
      <c r="E1274">
        <v>1633</v>
      </c>
    </row>
    <row r="1275" ht="13.85" spans="1:5">
      <c r="A1275">
        <f t="shared" si="19"/>
        <v>1274</v>
      </c>
      <c r="B1275" s="11">
        <v>271009310</v>
      </c>
      <c r="C1275" s="11">
        <v>425</v>
      </c>
      <c r="D1275">
        <v>204000000</v>
      </c>
      <c r="E1275">
        <v>1632</v>
      </c>
    </row>
    <row r="1276" ht="13.85" spans="1:5">
      <c r="A1276">
        <f t="shared" si="19"/>
        <v>1275</v>
      </c>
      <c r="B1276" s="11">
        <v>118181040</v>
      </c>
      <c r="C1276" s="11">
        <v>300</v>
      </c>
      <c r="D1276">
        <v>144000000</v>
      </c>
      <c r="E1276">
        <v>1631</v>
      </c>
    </row>
    <row r="1277" ht="13.85" spans="1:5">
      <c r="A1277">
        <f t="shared" si="19"/>
        <v>1276</v>
      </c>
      <c r="B1277" s="11">
        <v>82014782</v>
      </c>
      <c r="C1277" s="11">
        <v>235</v>
      </c>
      <c r="D1277">
        <v>112800000</v>
      </c>
      <c r="E1277">
        <v>1630</v>
      </c>
    </row>
    <row r="1278" ht="13.85" spans="1:5">
      <c r="A1278">
        <f t="shared" si="19"/>
        <v>1277</v>
      </c>
      <c r="B1278" s="11">
        <v>63365314</v>
      </c>
      <c r="C1278" s="11">
        <v>196</v>
      </c>
      <c r="D1278">
        <v>94080000</v>
      </c>
      <c r="E1278">
        <v>1629</v>
      </c>
    </row>
    <row r="1279" ht="13.85" spans="1:5">
      <c r="A1279">
        <f t="shared" si="19"/>
        <v>1278</v>
      </c>
      <c r="B1279" s="11">
        <v>49399020</v>
      </c>
      <c r="C1279" s="11">
        <v>166</v>
      </c>
      <c r="D1279">
        <v>79680000</v>
      </c>
      <c r="E1279">
        <v>1628</v>
      </c>
    </row>
    <row r="1280" ht="13.85" spans="1:5">
      <c r="A1280">
        <f t="shared" si="19"/>
        <v>1279</v>
      </c>
      <c r="B1280" s="11">
        <v>47745826</v>
      </c>
      <c r="C1280" s="11">
        <v>141</v>
      </c>
      <c r="D1280">
        <v>67680000</v>
      </c>
      <c r="E1280">
        <v>1627</v>
      </c>
    </row>
    <row r="1281" ht="13.85" spans="1:5">
      <c r="A1281">
        <f t="shared" si="19"/>
        <v>1280</v>
      </c>
      <c r="B1281" s="11">
        <v>39692874</v>
      </c>
      <c r="C1281" s="11">
        <v>116</v>
      </c>
      <c r="D1281">
        <v>55680000</v>
      </c>
      <c r="E1281">
        <v>1626</v>
      </c>
    </row>
    <row r="1282" ht="13.85" spans="1:5">
      <c r="A1282">
        <f t="shared" ref="A1282:A1345" si="20">ROW()-1</f>
        <v>1281</v>
      </c>
      <c r="B1282" s="11">
        <v>37311468</v>
      </c>
      <c r="C1282" s="11">
        <v>94</v>
      </c>
      <c r="D1282">
        <v>45120000</v>
      </c>
      <c r="E1282">
        <v>1625</v>
      </c>
    </row>
    <row r="1283" ht="13.85" spans="1:5">
      <c r="A1283">
        <f t="shared" si="20"/>
        <v>1282</v>
      </c>
      <c r="B1283" s="11">
        <v>31435340</v>
      </c>
      <c r="C1283" s="11">
        <v>80</v>
      </c>
      <c r="D1283">
        <v>38400000</v>
      </c>
      <c r="E1283">
        <v>1624</v>
      </c>
    </row>
    <row r="1284" ht="13.85" spans="1:5">
      <c r="A1284">
        <f t="shared" si="20"/>
        <v>1283</v>
      </c>
      <c r="B1284" s="11">
        <v>31729376</v>
      </c>
      <c r="C1284" s="11">
        <v>70</v>
      </c>
      <c r="D1284">
        <v>33600000</v>
      </c>
      <c r="E1284">
        <v>1623</v>
      </c>
    </row>
    <row r="1285" ht="13.85" spans="1:5">
      <c r="A1285">
        <f t="shared" si="20"/>
        <v>1284</v>
      </c>
      <c r="B1285" s="11">
        <v>29854872</v>
      </c>
      <c r="C1285" s="11">
        <v>60</v>
      </c>
      <c r="D1285">
        <v>28800000</v>
      </c>
      <c r="E1285">
        <v>1622</v>
      </c>
    </row>
    <row r="1286" ht="13.85" spans="1:5">
      <c r="A1286">
        <f t="shared" si="20"/>
        <v>1285</v>
      </c>
      <c r="B1286" s="11">
        <v>31805792</v>
      </c>
      <c r="C1286" s="11">
        <v>50</v>
      </c>
      <c r="D1286">
        <v>24000000</v>
      </c>
      <c r="E1286">
        <v>1621</v>
      </c>
    </row>
    <row r="1287" ht="13.85" spans="1:5">
      <c r="A1287">
        <f t="shared" si="20"/>
        <v>1286</v>
      </c>
      <c r="B1287" s="11">
        <v>27700220</v>
      </c>
      <c r="C1287" s="11">
        <v>40</v>
      </c>
      <c r="D1287">
        <v>19200000</v>
      </c>
      <c r="E1287">
        <v>1620</v>
      </c>
    </row>
    <row r="1288" ht="13.85" spans="1:5">
      <c r="A1288">
        <f t="shared" si="20"/>
        <v>1287</v>
      </c>
      <c r="B1288" s="11">
        <v>45481288</v>
      </c>
      <c r="C1288" s="11">
        <v>127</v>
      </c>
      <c r="D1288">
        <v>60960000</v>
      </c>
      <c r="E1288">
        <v>1619</v>
      </c>
    </row>
    <row r="1289" ht="13.85" spans="1:5">
      <c r="A1289">
        <f t="shared" si="20"/>
        <v>1288</v>
      </c>
      <c r="B1289" s="11">
        <v>39208848</v>
      </c>
      <c r="C1289" s="11">
        <v>105</v>
      </c>
      <c r="D1289">
        <v>50400000</v>
      </c>
      <c r="E1289">
        <v>1618</v>
      </c>
    </row>
    <row r="1290" ht="13.85" spans="1:5">
      <c r="A1290">
        <f t="shared" si="20"/>
        <v>1289</v>
      </c>
      <c r="B1290" s="11">
        <v>38313086</v>
      </c>
      <c r="C1290" s="11">
        <v>85</v>
      </c>
      <c r="D1290">
        <v>40800000</v>
      </c>
      <c r="E1290">
        <v>1617</v>
      </c>
    </row>
    <row r="1291" ht="13.85" spans="1:5">
      <c r="A1291">
        <f t="shared" si="20"/>
        <v>1290</v>
      </c>
      <c r="B1291" s="11">
        <v>32862694</v>
      </c>
      <c r="C1291" s="11">
        <v>70</v>
      </c>
      <c r="D1291">
        <v>33600000</v>
      </c>
      <c r="E1291">
        <v>1616</v>
      </c>
    </row>
    <row r="1292" ht="13.85" spans="1:5">
      <c r="A1292">
        <f t="shared" si="20"/>
        <v>1291</v>
      </c>
      <c r="B1292" s="11">
        <v>36562116</v>
      </c>
      <c r="C1292" s="11">
        <v>60</v>
      </c>
      <c r="D1292">
        <v>28800000</v>
      </c>
      <c r="E1292">
        <v>1615</v>
      </c>
    </row>
    <row r="1293" ht="13.85" spans="1:5">
      <c r="A1293">
        <f t="shared" si="20"/>
        <v>1292</v>
      </c>
      <c r="B1293" s="11">
        <v>31356400</v>
      </c>
      <c r="C1293" s="11">
        <v>50</v>
      </c>
      <c r="D1293">
        <v>24000000</v>
      </c>
      <c r="E1293">
        <v>1614</v>
      </c>
    </row>
    <row r="1294" ht="13.85" spans="1:5">
      <c r="A1294">
        <f t="shared" si="20"/>
        <v>1293</v>
      </c>
      <c r="B1294" s="11">
        <v>34468992</v>
      </c>
      <c r="C1294" s="11">
        <v>40</v>
      </c>
      <c r="D1294">
        <v>19200000</v>
      </c>
      <c r="E1294">
        <v>1613</v>
      </c>
    </row>
    <row r="1295" ht="13.85" spans="1:5">
      <c r="A1295">
        <f t="shared" si="20"/>
        <v>1294</v>
      </c>
      <c r="B1295" s="11">
        <v>29404724</v>
      </c>
      <c r="C1295" s="11">
        <v>40</v>
      </c>
      <c r="D1295">
        <v>19200000</v>
      </c>
      <c r="E1295">
        <v>1612</v>
      </c>
    </row>
    <row r="1296" ht="13.85" spans="1:5">
      <c r="A1296">
        <f t="shared" si="20"/>
        <v>1295</v>
      </c>
      <c r="B1296" s="11">
        <v>36490320</v>
      </c>
      <c r="C1296" s="11">
        <v>50</v>
      </c>
      <c r="D1296">
        <v>24000000</v>
      </c>
      <c r="E1296">
        <v>1611</v>
      </c>
    </row>
    <row r="1297" ht="13.85" spans="1:5">
      <c r="A1297">
        <f t="shared" si="20"/>
        <v>1296</v>
      </c>
      <c r="B1297" s="11">
        <v>32918966</v>
      </c>
      <c r="C1297" s="11">
        <v>40</v>
      </c>
      <c r="D1297">
        <v>19200000</v>
      </c>
      <c r="E1297">
        <v>1610</v>
      </c>
    </row>
    <row r="1298" ht="13.85" spans="1:5">
      <c r="A1298">
        <f t="shared" si="20"/>
        <v>1297</v>
      </c>
      <c r="B1298" s="11">
        <v>464536548</v>
      </c>
      <c r="C1298" s="11">
        <v>590.5</v>
      </c>
      <c r="D1298">
        <v>283440000</v>
      </c>
      <c r="E1298">
        <v>1609</v>
      </c>
    </row>
    <row r="1299" ht="13.85" spans="1:5">
      <c r="A1299">
        <f t="shared" si="20"/>
        <v>1298</v>
      </c>
      <c r="B1299" s="11">
        <v>180270170</v>
      </c>
      <c r="C1299" s="11">
        <v>350</v>
      </c>
      <c r="D1299">
        <v>168000000</v>
      </c>
      <c r="E1299">
        <v>1608</v>
      </c>
    </row>
    <row r="1300" ht="13.85" spans="1:5">
      <c r="A1300">
        <f t="shared" si="20"/>
        <v>1299</v>
      </c>
      <c r="B1300" s="11">
        <v>93628856</v>
      </c>
      <c r="C1300" s="11">
        <v>270</v>
      </c>
      <c r="D1300">
        <v>129600000</v>
      </c>
      <c r="E1300">
        <v>1607</v>
      </c>
    </row>
    <row r="1301" ht="13.85" spans="1:5">
      <c r="A1301">
        <f t="shared" si="20"/>
        <v>1300</v>
      </c>
      <c r="B1301" s="11">
        <v>77911916</v>
      </c>
      <c r="C1301" s="11">
        <v>222</v>
      </c>
      <c r="D1301">
        <v>106560000</v>
      </c>
      <c r="E1301">
        <v>1606</v>
      </c>
    </row>
    <row r="1302" ht="13.85" spans="1:5">
      <c r="A1302">
        <f t="shared" si="20"/>
        <v>1301</v>
      </c>
      <c r="B1302" s="11">
        <v>64234610</v>
      </c>
      <c r="C1302" s="11">
        <v>191</v>
      </c>
      <c r="D1302">
        <v>91680000</v>
      </c>
      <c r="E1302">
        <v>1605</v>
      </c>
    </row>
    <row r="1303" ht="13.85" spans="1:5">
      <c r="A1303">
        <f t="shared" si="20"/>
        <v>1302</v>
      </c>
      <c r="B1303" s="11">
        <v>53202316</v>
      </c>
      <c r="C1303" s="11">
        <v>165</v>
      </c>
      <c r="D1303">
        <v>79200000</v>
      </c>
      <c r="E1303">
        <v>1604</v>
      </c>
    </row>
    <row r="1304" ht="13.85" spans="1:5">
      <c r="A1304">
        <f t="shared" si="20"/>
        <v>1303</v>
      </c>
      <c r="B1304" s="11">
        <v>51345324</v>
      </c>
      <c r="C1304" s="11">
        <v>140</v>
      </c>
      <c r="D1304">
        <v>67200000</v>
      </c>
      <c r="E1304">
        <v>1603</v>
      </c>
    </row>
    <row r="1305" ht="13.85" spans="1:5">
      <c r="A1305">
        <f t="shared" si="20"/>
        <v>1304</v>
      </c>
      <c r="B1305" s="11">
        <v>44278652</v>
      </c>
      <c r="C1305" s="11">
        <v>116</v>
      </c>
      <c r="D1305">
        <v>55680000</v>
      </c>
      <c r="E1305">
        <v>1602</v>
      </c>
    </row>
    <row r="1306" ht="13.85" spans="1:5">
      <c r="A1306">
        <f t="shared" si="20"/>
        <v>1305</v>
      </c>
      <c r="B1306" s="11">
        <v>40583804</v>
      </c>
      <c r="C1306" s="11">
        <v>95</v>
      </c>
      <c r="D1306">
        <v>45600000</v>
      </c>
      <c r="E1306">
        <v>1601</v>
      </c>
    </row>
    <row r="1307" ht="13.85" spans="1:5">
      <c r="A1307">
        <f t="shared" si="20"/>
        <v>1306</v>
      </c>
      <c r="B1307" s="11">
        <v>35341564</v>
      </c>
      <c r="C1307" s="11">
        <v>80</v>
      </c>
      <c r="D1307">
        <v>38400000</v>
      </c>
      <c r="E1307">
        <v>1600</v>
      </c>
    </row>
    <row r="1308" ht="13.85" spans="1:5">
      <c r="A1308">
        <f t="shared" si="20"/>
        <v>1307</v>
      </c>
      <c r="B1308" s="11">
        <v>38358690</v>
      </c>
      <c r="C1308" s="11">
        <v>70</v>
      </c>
      <c r="D1308">
        <v>33600000</v>
      </c>
      <c r="E1308">
        <v>1599</v>
      </c>
    </row>
    <row r="1309" ht="13.85" spans="1:5">
      <c r="A1309">
        <f t="shared" si="20"/>
        <v>1308</v>
      </c>
      <c r="B1309" s="11">
        <v>36179774</v>
      </c>
      <c r="C1309" s="11">
        <v>60</v>
      </c>
      <c r="D1309">
        <v>28800000</v>
      </c>
      <c r="E1309">
        <v>1598</v>
      </c>
    </row>
    <row r="1310" ht="13.85" spans="1:5">
      <c r="A1310">
        <f t="shared" si="20"/>
        <v>1309</v>
      </c>
      <c r="B1310" s="11">
        <v>31112426</v>
      </c>
      <c r="C1310" s="11">
        <v>50</v>
      </c>
      <c r="D1310">
        <v>24000000</v>
      </c>
      <c r="E1310">
        <v>1597</v>
      </c>
    </row>
    <row r="1311" ht="13.85" spans="1:5">
      <c r="A1311">
        <f t="shared" si="20"/>
        <v>1310</v>
      </c>
      <c r="B1311" s="11">
        <v>26346048</v>
      </c>
      <c r="C1311" s="11">
        <v>40</v>
      </c>
      <c r="D1311">
        <v>19200000</v>
      </c>
      <c r="E1311">
        <v>1596</v>
      </c>
    </row>
    <row r="1312" ht="13.85" spans="1:5">
      <c r="A1312">
        <f t="shared" si="20"/>
        <v>1311</v>
      </c>
      <c r="B1312" s="11">
        <v>31096232</v>
      </c>
      <c r="C1312" s="11">
        <v>50</v>
      </c>
      <c r="D1312">
        <v>24000000</v>
      </c>
      <c r="E1312">
        <v>1595</v>
      </c>
    </row>
    <row r="1313" ht="13.85" spans="1:5">
      <c r="A1313">
        <f t="shared" si="20"/>
        <v>1312</v>
      </c>
      <c r="B1313" s="11">
        <v>25500852</v>
      </c>
      <c r="C1313" s="11">
        <v>40</v>
      </c>
      <c r="D1313">
        <v>19200000</v>
      </c>
      <c r="E1313">
        <v>1594</v>
      </c>
    </row>
    <row r="1314" ht="13.85" spans="1:5">
      <c r="A1314">
        <f t="shared" si="20"/>
        <v>1313</v>
      </c>
      <c r="B1314" s="11">
        <v>163192114</v>
      </c>
      <c r="C1314" s="11">
        <v>320</v>
      </c>
      <c r="D1314">
        <v>153600000</v>
      </c>
      <c r="E1314">
        <v>1593</v>
      </c>
    </row>
    <row r="1315" ht="13.85" spans="1:5">
      <c r="A1315">
        <f t="shared" si="20"/>
        <v>1314</v>
      </c>
      <c r="B1315" s="11">
        <v>90874110</v>
      </c>
      <c r="C1315" s="11">
        <v>260</v>
      </c>
      <c r="D1315">
        <v>124800000</v>
      </c>
      <c r="E1315">
        <v>1592</v>
      </c>
    </row>
    <row r="1316" ht="13.85" spans="1:5">
      <c r="A1316">
        <f t="shared" si="20"/>
        <v>1315</v>
      </c>
      <c r="B1316" s="11">
        <v>74391216</v>
      </c>
      <c r="C1316" s="11">
        <v>216</v>
      </c>
      <c r="D1316">
        <v>103680000</v>
      </c>
      <c r="E1316">
        <v>1591</v>
      </c>
    </row>
    <row r="1317" ht="13.85" spans="1:5">
      <c r="A1317">
        <f t="shared" si="20"/>
        <v>1316</v>
      </c>
      <c r="B1317" s="11">
        <v>56579474</v>
      </c>
      <c r="C1317" s="11">
        <v>183</v>
      </c>
      <c r="D1317">
        <v>87840000</v>
      </c>
      <c r="E1317">
        <v>1590</v>
      </c>
    </row>
    <row r="1318" ht="13.85" spans="1:5">
      <c r="A1318">
        <f t="shared" si="20"/>
        <v>1317</v>
      </c>
      <c r="B1318" s="11">
        <v>50796970</v>
      </c>
      <c r="C1318" s="11">
        <v>150</v>
      </c>
      <c r="D1318">
        <v>72000000</v>
      </c>
      <c r="E1318">
        <v>1589</v>
      </c>
    </row>
    <row r="1319" ht="13.85" spans="1:5">
      <c r="A1319">
        <f t="shared" si="20"/>
        <v>1318</v>
      </c>
      <c r="B1319" s="11">
        <v>43892342</v>
      </c>
      <c r="C1319" s="11">
        <v>123</v>
      </c>
      <c r="D1319">
        <v>59040000</v>
      </c>
      <c r="E1319">
        <v>1588</v>
      </c>
    </row>
    <row r="1320" ht="13.85" spans="1:5">
      <c r="A1320">
        <f t="shared" si="20"/>
        <v>1319</v>
      </c>
      <c r="B1320" s="11">
        <v>43763596</v>
      </c>
      <c r="C1320" s="11">
        <v>103</v>
      </c>
      <c r="D1320">
        <v>49440000</v>
      </c>
      <c r="E1320">
        <v>1587</v>
      </c>
    </row>
    <row r="1321" ht="13.85" spans="1:5">
      <c r="A1321">
        <f t="shared" si="20"/>
        <v>1320</v>
      </c>
      <c r="B1321" s="11">
        <v>32647780</v>
      </c>
      <c r="C1321" s="11">
        <v>90</v>
      </c>
      <c r="D1321">
        <v>43200000</v>
      </c>
      <c r="E1321">
        <v>1586</v>
      </c>
    </row>
    <row r="1322" ht="13.85" spans="1:5">
      <c r="A1322">
        <f t="shared" si="20"/>
        <v>1321</v>
      </c>
      <c r="B1322" s="11">
        <v>33176522</v>
      </c>
      <c r="C1322" s="11">
        <v>80</v>
      </c>
      <c r="D1322">
        <v>38400000</v>
      </c>
      <c r="E1322">
        <v>1585</v>
      </c>
    </row>
    <row r="1323" ht="13.85" spans="1:5">
      <c r="A1323">
        <f t="shared" si="20"/>
        <v>1322</v>
      </c>
      <c r="B1323" s="11">
        <v>28879862</v>
      </c>
      <c r="C1323" s="11">
        <v>70</v>
      </c>
      <c r="D1323">
        <v>33600000</v>
      </c>
      <c r="E1323">
        <v>1584</v>
      </c>
    </row>
    <row r="1324" ht="13.85" spans="1:5">
      <c r="A1324">
        <f t="shared" si="20"/>
        <v>1323</v>
      </c>
      <c r="B1324" s="11">
        <v>30692128</v>
      </c>
      <c r="C1324" s="11">
        <v>60</v>
      </c>
      <c r="D1324">
        <v>28800000</v>
      </c>
      <c r="E1324">
        <v>1583</v>
      </c>
    </row>
    <row r="1325" ht="13.85" spans="1:5">
      <c r="A1325">
        <f t="shared" si="20"/>
        <v>1324</v>
      </c>
      <c r="B1325" s="11">
        <v>26710426</v>
      </c>
      <c r="C1325" s="11">
        <v>50</v>
      </c>
      <c r="D1325">
        <v>24000000</v>
      </c>
      <c r="E1325">
        <v>1582</v>
      </c>
    </row>
    <row r="1326" ht="13.85" spans="1:5">
      <c r="A1326">
        <f t="shared" si="20"/>
        <v>1325</v>
      </c>
      <c r="B1326" s="11">
        <v>28398870</v>
      </c>
      <c r="C1326" s="11">
        <v>40</v>
      </c>
      <c r="D1326">
        <v>19200000</v>
      </c>
      <c r="E1326">
        <v>1581</v>
      </c>
    </row>
    <row r="1327" ht="13.85" spans="1:5">
      <c r="A1327">
        <f t="shared" si="20"/>
        <v>1326</v>
      </c>
      <c r="B1327" s="11">
        <v>71543588</v>
      </c>
      <c r="C1327" s="11">
        <v>208</v>
      </c>
      <c r="D1327">
        <v>99840000</v>
      </c>
      <c r="E1327">
        <v>1580</v>
      </c>
    </row>
    <row r="1328" ht="13.85" spans="1:5">
      <c r="A1328">
        <f t="shared" si="20"/>
        <v>1327</v>
      </c>
      <c r="B1328" s="11">
        <v>57644328</v>
      </c>
      <c r="C1328" s="11">
        <v>176</v>
      </c>
      <c r="D1328">
        <v>84480000</v>
      </c>
      <c r="E1328">
        <v>1579</v>
      </c>
    </row>
    <row r="1329" ht="13.85" spans="1:5">
      <c r="A1329">
        <f t="shared" si="20"/>
        <v>1328</v>
      </c>
      <c r="B1329" s="11">
        <v>45706066</v>
      </c>
      <c r="C1329" s="11">
        <v>151</v>
      </c>
      <c r="D1329">
        <v>72480000</v>
      </c>
      <c r="E1329">
        <v>1578</v>
      </c>
    </row>
    <row r="1330" ht="13.85" spans="1:5">
      <c r="A1330">
        <f t="shared" si="20"/>
        <v>1329</v>
      </c>
      <c r="B1330" s="11">
        <v>41623138</v>
      </c>
      <c r="C1330" s="11">
        <v>130</v>
      </c>
      <c r="D1330">
        <v>62400000</v>
      </c>
      <c r="E1330">
        <v>1577</v>
      </c>
    </row>
    <row r="1331" ht="13.85" spans="1:5">
      <c r="A1331">
        <f t="shared" si="20"/>
        <v>1330</v>
      </c>
      <c r="B1331" s="11">
        <v>35693444</v>
      </c>
      <c r="C1331" s="11">
        <v>110</v>
      </c>
      <c r="D1331">
        <v>52800000</v>
      </c>
      <c r="E1331">
        <v>1576</v>
      </c>
    </row>
    <row r="1332" ht="13.85" spans="1:5">
      <c r="A1332">
        <f t="shared" si="20"/>
        <v>1331</v>
      </c>
      <c r="B1332" s="11">
        <v>38918284</v>
      </c>
      <c r="C1332" s="11">
        <v>100</v>
      </c>
      <c r="D1332">
        <v>48000000</v>
      </c>
      <c r="E1332">
        <v>1575</v>
      </c>
    </row>
    <row r="1333" ht="13.85" spans="1:5">
      <c r="A1333">
        <f t="shared" si="20"/>
        <v>1332</v>
      </c>
      <c r="B1333" s="11">
        <v>28807756</v>
      </c>
      <c r="C1333" s="11">
        <v>90</v>
      </c>
      <c r="D1333">
        <v>43200000</v>
      </c>
      <c r="E1333">
        <v>1574</v>
      </c>
    </row>
    <row r="1334" ht="13.85" spans="1:5">
      <c r="A1334">
        <f t="shared" si="20"/>
        <v>1333</v>
      </c>
      <c r="B1334" s="11">
        <v>29917538</v>
      </c>
      <c r="C1334" s="11">
        <v>80</v>
      </c>
      <c r="D1334">
        <v>38400000</v>
      </c>
      <c r="E1334">
        <v>1573</v>
      </c>
    </row>
    <row r="1335" ht="13.85" spans="1:5">
      <c r="A1335">
        <f t="shared" si="20"/>
        <v>1334</v>
      </c>
      <c r="B1335" s="11">
        <v>26614256</v>
      </c>
      <c r="C1335" s="11">
        <v>70</v>
      </c>
      <c r="D1335">
        <v>33600000</v>
      </c>
      <c r="E1335">
        <v>1572</v>
      </c>
    </row>
    <row r="1336" ht="13.85" spans="1:5">
      <c r="A1336">
        <f t="shared" si="20"/>
        <v>1335</v>
      </c>
      <c r="B1336" s="11">
        <v>28097510</v>
      </c>
      <c r="C1336" s="11">
        <v>60</v>
      </c>
      <c r="D1336">
        <v>28800000</v>
      </c>
      <c r="E1336">
        <v>1571</v>
      </c>
    </row>
    <row r="1337" ht="13.85" spans="1:5">
      <c r="A1337">
        <f t="shared" si="20"/>
        <v>1336</v>
      </c>
      <c r="B1337" s="15">
        <v>24144842</v>
      </c>
      <c r="C1337" s="15">
        <v>50</v>
      </c>
      <c r="D1337">
        <v>24000000</v>
      </c>
      <c r="E1337">
        <v>1570</v>
      </c>
    </row>
    <row r="1338" ht="13.85" spans="1:5">
      <c r="A1338">
        <f t="shared" si="20"/>
        <v>1337</v>
      </c>
      <c r="B1338" s="13">
        <v>26496494</v>
      </c>
      <c r="C1338" s="13">
        <v>40</v>
      </c>
      <c r="D1338">
        <v>19200000</v>
      </c>
      <c r="E1338">
        <v>1569</v>
      </c>
    </row>
    <row r="1339" ht="13.85" spans="1:5">
      <c r="A1339">
        <f t="shared" si="20"/>
        <v>1338</v>
      </c>
      <c r="B1339" s="11">
        <v>24678590</v>
      </c>
      <c r="C1339" s="11">
        <v>50</v>
      </c>
      <c r="D1339">
        <v>24000000</v>
      </c>
      <c r="E1339">
        <v>1568</v>
      </c>
    </row>
    <row r="1340" ht="13.85" spans="1:5">
      <c r="A1340">
        <f t="shared" si="20"/>
        <v>1339</v>
      </c>
      <c r="B1340" s="11">
        <v>28226500</v>
      </c>
      <c r="C1340" s="11">
        <v>40</v>
      </c>
      <c r="D1340">
        <v>19200000</v>
      </c>
      <c r="E1340">
        <v>1567</v>
      </c>
    </row>
    <row r="1341" ht="13.85" spans="1:5">
      <c r="A1341">
        <f t="shared" si="20"/>
        <v>1340</v>
      </c>
      <c r="B1341" s="11">
        <v>27032476</v>
      </c>
      <c r="C1341" s="11">
        <v>50</v>
      </c>
      <c r="D1341">
        <v>24000000</v>
      </c>
      <c r="E1341">
        <v>1566</v>
      </c>
    </row>
    <row r="1342" ht="13.85" spans="1:5">
      <c r="A1342">
        <f t="shared" si="20"/>
        <v>1341</v>
      </c>
      <c r="B1342" s="11">
        <v>27894190</v>
      </c>
      <c r="C1342" s="11">
        <v>40</v>
      </c>
      <c r="D1342">
        <v>19200000</v>
      </c>
      <c r="E1342">
        <v>1565</v>
      </c>
    </row>
    <row r="1343" ht="13.85" spans="1:5">
      <c r="A1343">
        <f t="shared" si="20"/>
        <v>1342</v>
      </c>
      <c r="B1343" s="11">
        <v>29968482</v>
      </c>
      <c r="C1343" s="11">
        <v>50</v>
      </c>
      <c r="D1343">
        <v>24000000</v>
      </c>
      <c r="E1343">
        <v>1564</v>
      </c>
    </row>
    <row r="1344" ht="13.85" spans="1:5">
      <c r="A1344">
        <f t="shared" si="20"/>
        <v>1343</v>
      </c>
      <c r="B1344" s="11">
        <v>29127962</v>
      </c>
      <c r="C1344" s="11">
        <v>40</v>
      </c>
      <c r="D1344">
        <v>19200000</v>
      </c>
      <c r="E1344">
        <v>1563</v>
      </c>
    </row>
    <row r="1345" ht="13.85" spans="1:5">
      <c r="A1345">
        <f t="shared" si="20"/>
        <v>1344</v>
      </c>
      <c r="B1345" s="11">
        <v>28562350</v>
      </c>
      <c r="C1345" s="11">
        <v>50</v>
      </c>
      <c r="D1345">
        <v>24000000</v>
      </c>
      <c r="E1345">
        <v>1562</v>
      </c>
    </row>
    <row r="1346" ht="13.85" spans="1:5">
      <c r="A1346">
        <f t="shared" ref="A1346:A1409" si="21">ROW()-1</f>
        <v>1345</v>
      </c>
      <c r="B1346" s="11">
        <v>29856052</v>
      </c>
      <c r="C1346" s="11">
        <v>40</v>
      </c>
      <c r="D1346">
        <v>19200000</v>
      </c>
      <c r="E1346">
        <v>1561</v>
      </c>
    </row>
    <row r="1347" ht="13.85" spans="1:5">
      <c r="A1347">
        <f t="shared" si="21"/>
        <v>1346</v>
      </c>
      <c r="B1347" s="11">
        <v>563131974</v>
      </c>
      <c r="C1347" s="11">
        <v>587</v>
      </c>
      <c r="D1347">
        <v>281760000</v>
      </c>
      <c r="E1347">
        <v>1560</v>
      </c>
    </row>
    <row r="1348" ht="13.85" spans="1:5">
      <c r="A1348">
        <f t="shared" si="21"/>
        <v>1347</v>
      </c>
      <c r="B1348" s="11">
        <v>140096440</v>
      </c>
      <c r="C1348" s="11">
        <v>325</v>
      </c>
      <c r="D1348">
        <v>156000000</v>
      </c>
      <c r="E1348">
        <v>1559</v>
      </c>
    </row>
    <row r="1349" ht="13.85" spans="1:5">
      <c r="A1349">
        <f t="shared" si="21"/>
        <v>1348</v>
      </c>
      <c r="B1349" s="11">
        <v>86533120</v>
      </c>
      <c r="C1349" s="11">
        <v>250</v>
      </c>
      <c r="D1349">
        <v>120000000</v>
      </c>
      <c r="E1349">
        <v>1558</v>
      </c>
    </row>
    <row r="1350" ht="13.85" spans="1:5">
      <c r="A1350">
        <f t="shared" si="21"/>
        <v>1349</v>
      </c>
      <c r="B1350" s="11">
        <v>69802810</v>
      </c>
      <c r="C1350" s="11">
        <v>214</v>
      </c>
      <c r="D1350">
        <v>102720000</v>
      </c>
      <c r="E1350">
        <v>1557</v>
      </c>
    </row>
    <row r="1351" ht="13.85" spans="1:5">
      <c r="A1351">
        <f t="shared" si="21"/>
        <v>1350</v>
      </c>
      <c r="B1351" s="11">
        <v>53293298</v>
      </c>
      <c r="C1351" s="11">
        <v>185</v>
      </c>
      <c r="D1351">
        <v>88800000</v>
      </c>
      <c r="E1351">
        <v>1556</v>
      </c>
    </row>
    <row r="1352" ht="13.85" spans="1:5">
      <c r="A1352">
        <f t="shared" si="21"/>
        <v>1351</v>
      </c>
      <c r="B1352" s="11">
        <v>50084854</v>
      </c>
      <c r="C1352" s="11">
        <v>168</v>
      </c>
      <c r="D1352">
        <v>80640000</v>
      </c>
      <c r="E1352">
        <v>1555</v>
      </c>
    </row>
    <row r="1353" ht="13.85" spans="1:5">
      <c r="A1353">
        <f t="shared" si="21"/>
        <v>1352</v>
      </c>
      <c r="B1353" s="11">
        <v>41636834</v>
      </c>
      <c r="C1353" s="11">
        <v>143</v>
      </c>
      <c r="D1353">
        <v>68640000</v>
      </c>
      <c r="E1353">
        <v>1554</v>
      </c>
    </row>
    <row r="1354" ht="13.85" spans="1:5">
      <c r="A1354">
        <f t="shared" si="21"/>
        <v>1353</v>
      </c>
      <c r="B1354" s="11">
        <v>40695206</v>
      </c>
      <c r="C1354" s="11">
        <v>124</v>
      </c>
      <c r="D1354">
        <v>59520000</v>
      </c>
      <c r="E1354">
        <v>1553</v>
      </c>
    </row>
    <row r="1355" ht="13.85" spans="1:5">
      <c r="A1355">
        <f t="shared" si="21"/>
        <v>1354</v>
      </c>
      <c r="B1355" s="11">
        <v>31815474</v>
      </c>
      <c r="C1355" s="11">
        <v>110</v>
      </c>
      <c r="D1355">
        <v>52800000</v>
      </c>
      <c r="E1355">
        <v>1552</v>
      </c>
    </row>
    <row r="1356" ht="13.85" spans="1:5">
      <c r="A1356">
        <f t="shared" si="21"/>
        <v>1355</v>
      </c>
      <c r="B1356" s="11">
        <v>37742994</v>
      </c>
      <c r="C1356" s="11">
        <v>100</v>
      </c>
      <c r="D1356">
        <v>48000000</v>
      </c>
      <c r="E1356">
        <v>1551</v>
      </c>
    </row>
    <row r="1357" ht="13.85" spans="1:5">
      <c r="A1357">
        <f t="shared" si="21"/>
        <v>1356</v>
      </c>
      <c r="B1357" s="11">
        <v>29295472</v>
      </c>
      <c r="C1357" s="11">
        <v>90</v>
      </c>
      <c r="D1357">
        <v>43200000</v>
      </c>
      <c r="E1357">
        <v>1550</v>
      </c>
    </row>
    <row r="1358" ht="13.85" spans="1:5">
      <c r="A1358">
        <f t="shared" si="21"/>
        <v>1357</v>
      </c>
      <c r="B1358" s="11">
        <v>30308588</v>
      </c>
      <c r="C1358" s="11">
        <v>80</v>
      </c>
      <c r="D1358">
        <v>38400000</v>
      </c>
      <c r="E1358">
        <v>1549</v>
      </c>
    </row>
    <row r="1359" ht="13.85" spans="1:5">
      <c r="A1359">
        <f t="shared" si="21"/>
        <v>1358</v>
      </c>
      <c r="B1359" s="11">
        <v>25502284</v>
      </c>
      <c r="C1359" s="11">
        <v>70</v>
      </c>
      <c r="D1359">
        <v>33600000</v>
      </c>
      <c r="E1359">
        <v>1548</v>
      </c>
    </row>
    <row r="1360" ht="13.85" spans="1:5">
      <c r="A1360">
        <f t="shared" si="21"/>
        <v>1359</v>
      </c>
      <c r="B1360" s="11">
        <v>27323808</v>
      </c>
      <c r="C1360" s="11">
        <v>60</v>
      </c>
      <c r="D1360">
        <v>28800000</v>
      </c>
      <c r="E1360">
        <v>1547</v>
      </c>
    </row>
    <row r="1361" ht="13.85" spans="1:5">
      <c r="A1361">
        <f t="shared" si="21"/>
        <v>1360</v>
      </c>
      <c r="B1361" s="11">
        <v>23936618</v>
      </c>
      <c r="C1361" s="11">
        <v>50</v>
      </c>
      <c r="D1361">
        <v>24000000</v>
      </c>
      <c r="E1361">
        <v>1546</v>
      </c>
    </row>
    <row r="1362" ht="13.85" spans="1:5">
      <c r="A1362">
        <f t="shared" si="21"/>
        <v>1361</v>
      </c>
      <c r="B1362" s="11">
        <v>26312158</v>
      </c>
      <c r="C1362" s="11">
        <v>40</v>
      </c>
      <c r="D1362">
        <v>19200000</v>
      </c>
      <c r="E1362">
        <v>1545</v>
      </c>
    </row>
    <row r="1363" ht="13.85" spans="1:5">
      <c r="A1363">
        <f t="shared" si="21"/>
        <v>1362</v>
      </c>
      <c r="B1363" s="11">
        <v>25597354</v>
      </c>
      <c r="C1363" s="11">
        <v>50</v>
      </c>
      <c r="D1363">
        <v>24000000</v>
      </c>
      <c r="E1363">
        <v>1544</v>
      </c>
    </row>
    <row r="1364" ht="13.85" spans="1:5">
      <c r="A1364">
        <f t="shared" si="21"/>
        <v>1363</v>
      </c>
      <c r="B1364" s="11">
        <v>27665924</v>
      </c>
      <c r="C1364" s="11">
        <v>40</v>
      </c>
      <c r="D1364">
        <v>19200000</v>
      </c>
      <c r="E1364">
        <v>1543</v>
      </c>
    </row>
    <row r="1365" ht="13.85" spans="1:5">
      <c r="A1365">
        <f t="shared" si="21"/>
        <v>1364</v>
      </c>
      <c r="B1365" s="11">
        <v>61500390</v>
      </c>
      <c r="C1365" s="11">
        <v>200</v>
      </c>
      <c r="D1365">
        <v>96000000</v>
      </c>
      <c r="E1365">
        <v>1542</v>
      </c>
    </row>
    <row r="1366" ht="13.85" spans="1:5">
      <c r="A1366">
        <f t="shared" si="21"/>
        <v>1365</v>
      </c>
      <c r="B1366" s="11">
        <v>50685726</v>
      </c>
      <c r="C1366" s="11">
        <v>174</v>
      </c>
      <c r="D1366">
        <v>83520000</v>
      </c>
      <c r="E1366">
        <v>1541</v>
      </c>
    </row>
    <row r="1367" ht="13.85" spans="1:5">
      <c r="A1367">
        <f t="shared" si="21"/>
        <v>1366</v>
      </c>
      <c r="B1367" s="11">
        <v>42540904</v>
      </c>
      <c r="C1367" s="11">
        <v>149</v>
      </c>
      <c r="D1367">
        <v>71520000</v>
      </c>
      <c r="E1367">
        <v>1540</v>
      </c>
    </row>
    <row r="1368" ht="13.85" spans="1:5">
      <c r="A1368">
        <f t="shared" si="21"/>
        <v>1367</v>
      </c>
      <c r="B1368" s="11">
        <v>41144178</v>
      </c>
      <c r="C1368" s="11">
        <v>125</v>
      </c>
      <c r="D1368">
        <v>60000000</v>
      </c>
      <c r="E1368">
        <v>1539</v>
      </c>
    </row>
    <row r="1369" ht="13.85" spans="1:5">
      <c r="A1369">
        <f t="shared" si="21"/>
        <v>1368</v>
      </c>
      <c r="B1369" s="11">
        <v>34252206</v>
      </c>
      <c r="C1369" s="11">
        <v>110</v>
      </c>
      <c r="D1369">
        <v>52800000</v>
      </c>
      <c r="E1369">
        <v>1538</v>
      </c>
    </row>
    <row r="1370" ht="13.85" spans="1:5">
      <c r="A1370">
        <f t="shared" si="21"/>
        <v>1369</v>
      </c>
      <c r="B1370" s="11">
        <v>36084614</v>
      </c>
      <c r="C1370" s="11">
        <v>100</v>
      </c>
      <c r="D1370">
        <v>48000000</v>
      </c>
      <c r="E1370">
        <v>1537</v>
      </c>
    </row>
    <row r="1371" ht="13.85" spans="1:5">
      <c r="A1371">
        <f t="shared" si="21"/>
        <v>1370</v>
      </c>
      <c r="B1371" s="11">
        <v>28404890</v>
      </c>
      <c r="C1371" s="11">
        <v>90</v>
      </c>
      <c r="D1371">
        <v>43200000</v>
      </c>
      <c r="E1371">
        <v>1536</v>
      </c>
    </row>
    <row r="1372" ht="13.85" spans="1:5">
      <c r="A1372">
        <f t="shared" si="21"/>
        <v>1371</v>
      </c>
      <c r="B1372" s="11">
        <v>31451190</v>
      </c>
      <c r="C1372" s="11">
        <v>80</v>
      </c>
      <c r="D1372">
        <v>38400000</v>
      </c>
      <c r="E1372">
        <v>1535</v>
      </c>
    </row>
    <row r="1373" ht="13.85" spans="1:5">
      <c r="A1373">
        <f t="shared" si="21"/>
        <v>1372</v>
      </c>
      <c r="B1373" s="11">
        <v>26252430</v>
      </c>
      <c r="C1373" s="11">
        <v>70</v>
      </c>
      <c r="D1373">
        <v>33600000</v>
      </c>
      <c r="E1373">
        <v>1534</v>
      </c>
    </row>
    <row r="1374" ht="13.85" spans="1:5">
      <c r="A1374">
        <f t="shared" si="21"/>
        <v>1373</v>
      </c>
      <c r="B1374" s="11">
        <v>28682420</v>
      </c>
      <c r="C1374" s="11">
        <v>60</v>
      </c>
      <c r="D1374">
        <v>28800000</v>
      </c>
      <c r="E1374">
        <v>1533</v>
      </c>
    </row>
    <row r="1375" ht="13.85" spans="1:5">
      <c r="A1375">
        <f t="shared" si="21"/>
        <v>1374</v>
      </c>
      <c r="B1375" s="11">
        <v>25218072</v>
      </c>
      <c r="C1375" s="11">
        <v>50</v>
      </c>
      <c r="D1375">
        <v>24000000</v>
      </c>
      <c r="E1375">
        <v>1532</v>
      </c>
    </row>
    <row r="1376" ht="13.85" spans="1:5">
      <c r="A1376">
        <f t="shared" si="21"/>
        <v>1375</v>
      </c>
      <c r="B1376" s="11">
        <v>26755994</v>
      </c>
      <c r="C1376" s="11">
        <v>40</v>
      </c>
      <c r="D1376">
        <v>19200000</v>
      </c>
      <c r="E1376">
        <v>1531</v>
      </c>
    </row>
    <row r="1377" ht="13.85" spans="1:5">
      <c r="A1377">
        <f t="shared" si="21"/>
        <v>1376</v>
      </c>
      <c r="B1377" s="11">
        <v>172237868</v>
      </c>
      <c r="C1377" s="11">
        <v>320</v>
      </c>
      <c r="D1377">
        <v>153600000</v>
      </c>
      <c r="E1377">
        <v>1530</v>
      </c>
    </row>
    <row r="1378" ht="13.85" spans="1:5">
      <c r="A1378">
        <f t="shared" si="21"/>
        <v>1377</v>
      </c>
      <c r="B1378" s="11">
        <v>89898892</v>
      </c>
      <c r="C1378" s="11">
        <v>253</v>
      </c>
      <c r="D1378">
        <v>121440000</v>
      </c>
      <c r="E1378">
        <v>1529</v>
      </c>
    </row>
    <row r="1379" ht="13.85" spans="1:5">
      <c r="A1379">
        <f t="shared" si="21"/>
        <v>1378</v>
      </c>
      <c r="B1379" s="11">
        <v>68901034</v>
      </c>
      <c r="C1379" s="11">
        <v>212</v>
      </c>
      <c r="D1379">
        <v>101760000</v>
      </c>
      <c r="E1379">
        <v>1528</v>
      </c>
    </row>
    <row r="1380" ht="13.85" spans="1:5">
      <c r="A1380">
        <f t="shared" si="21"/>
        <v>1379</v>
      </c>
      <c r="B1380" s="11">
        <v>56931072</v>
      </c>
      <c r="C1380" s="11">
        <v>181</v>
      </c>
      <c r="D1380">
        <v>86880000</v>
      </c>
      <c r="E1380">
        <v>1527</v>
      </c>
    </row>
    <row r="1381" ht="13.85" spans="1:5">
      <c r="A1381">
        <f t="shared" si="21"/>
        <v>1380</v>
      </c>
      <c r="B1381" s="11">
        <v>46693638</v>
      </c>
      <c r="C1381" s="11">
        <v>158</v>
      </c>
      <c r="D1381">
        <v>75840000</v>
      </c>
      <c r="E1381">
        <v>1526</v>
      </c>
    </row>
    <row r="1382" ht="13.85" spans="1:5">
      <c r="A1382">
        <f t="shared" si="21"/>
        <v>1381</v>
      </c>
      <c r="B1382" s="11">
        <v>43157436</v>
      </c>
      <c r="C1382" s="11">
        <v>139</v>
      </c>
      <c r="D1382">
        <v>66720000</v>
      </c>
      <c r="E1382">
        <v>1525</v>
      </c>
    </row>
    <row r="1383" ht="13.85" spans="1:5">
      <c r="A1383">
        <f t="shared" si="21"/>
        <v>1382</v>
      </c>
      <c r="B1383" s="11">
        <v>38355236</v>
      </c>
      <c r="C1383" s="11">
        <v>121</v>
      </c>
      <c r="D1383">
        <v>58080000</v>
      </c>
      <c r="E1383">
        <v>1524</v>
      </c>
    </row>
    <row r="1384" ht="13.85" spans="1:5">
      <c r="A1384">
        <f t="shared" si="21"/>
        <v>1383</v>
      </c>
      <c r="B1384" s="11">
        <v>38916664</v>
      </c>
      <c r="C1384" s="11">
        <v>110</v>
      </c>
      <c r="D1384">
        <v>52800000</v>
      </c>
      <c r="E1384">
        <v>1523</v>
      </c>
    </row>
    <row r="1385" ht="13.85" spans="1:5">
      <c r="A1385">
        <f t="shared" si="21"/>
        <v>1384</v>
      </c>
      <c r="B1385" s="11">
        <v>35073106</v>
      </c>
      <c r="C1385" s="11">
        <v>100</v>
      </c>
      <c r="D1385">
        <v>48000000</v>
      </c>
      <c r="E1385">
        <v>1522</v>
      </c>
    </row>
    <row r="1386" ht="13.85" spans="1:5">
      <c r="A1386">
        <f t="shared" si="21"/>
        <v>1385</v>
      </c>
      <c r="B1386" s="11">
        <v>32351772</v>
      </c>
      <c r="C1386" s="11">
        <v>90</v>
      </c>
      <c r="D1386">
        <v>43200000</v>
      </c>
      <c r="E1386">
        <v>1521</v>
      </c>
    </row>
    <row r="1387" ht="13.85" spans="1:5">
      <c r="A1387">
        <f t="shared" si="21"/>
        <v>1386</v>
      </c>
      <c r="B1387" s="11">
        <v>27543450</v>
      </c>
      <c r="C1387" s="11">
        <v>80</v>
      </c>
      <c r="D1387">
        <v>38400000</v>
      </c>
      <c r="E1387">
        <v>1520</v>
      </c>
    </row>
    <row r="1388" ht="13.85" spans="1:5">
      <c r="A1388">
        <f t="shared" si="21"/>
        <v>1387</v>
      </c>
      <c r="B1388" s="11">
        <v>28446968</v>
      </c>
      <c r="C1388" s="11">
        <v>70</v>
      </c>
      <c r="D1388">
        <v>33600000</v>
      </c>
      <c r="E1388">
        <v>1519</v>
      </c>
    </row>
    <row r="1389" ht="13.85" spans="1:5">
      <c r="A1389">
        <f t="shared" si="21"/>
        <v>1388</v>
      </c>
      <c r="B1389" s="11">
        <v>22949432</v>
      </c>
      <c r="C1389" s="11">
        <v>60</v>
      </c>
      <c r="D1389">
        <v>28800000</v>
      </c>
      <c r="E1389">
        <v>1518</v>
      </c>
    </row>
    <row r="1390" ht="13.85" spans="1:5">
      <c r="A1390">
        <f t="shared" si="21"/>
        <v>1389</v>
      </c>
      <c r="B1390" s="11">
        <v>25615186</v>
      </c>
      <c r="C1390" s="11">
        <v>50</v>
      </c>
      <c r="D1390">
        <v>24000000</v>
      </c>
      <c r="E1390">
        <v>1517</v>
      </c>
    </row>
    <row r="1391" ht="13.85" spans="1:5">
      <c r="A1391">
        <f t="shared" si="21"/>
        <v>1390</v>
      </c>
      <c r="B1391" s="11">
        <v>22391160</v>
      </c>
      <c r="C1391" s="11">
        <v>40</v>
      </c>
      <c r="D1391">
        <v>19200000</v>
      </c>
      <c r="E1391">
        <v>1516</v>
      </c>
    </row>
    <row r="1392" ht="13.85" spans="1:5">
      <c r="A1392">
        <f t="shared" si="21"/>
        <v>1391</v>
      </c>
      <c r="B1392" s="11">
        <v>27858642</v>
      </c>
      <c r="C1392" s="11">
        <v>60</v>
      </c>
      <c r="D1392">
        <v>28800000</v>
      </c>
      <c r="E1392">
        <v>1515</v>
      </c>
    </row>
    <row r="1393" ht="13.85" spans="1:5">
      <c r="A1393">
        <f t="shared" si="21"/>
        <v>1392</v>
      </c>
      <c r="B1393" s="11">
        <v>24433512</v>
      </c>
      <c r="C1393" s="11">
        <v>50</v>
      </c>
      <c r="D1393">
        <v>24000000</v>
      </c>
      <c r="E1393">
        <v>1514</v>
      </c>
    </row>
    <row r="1394" ht="13.85" spans="1:5">
      <c r="A1394">
        <f t="shared" si="21"/>
        <v>1393</v>
      </c>
      <c r="B1394" s="11">
        <v>27734996</v>
      </c>
      <c r="C1394" s="11">
        <v>40</v>
      </c>
      <c r="D1394">
        <v>19200000</v>
      </c>
      <c r="E1394">
        <v>1513</v>
      </c>
    </row>
    <row r="1395" ht="13.85" spans="1:5">
      <c r="A1395">
        <f t="shared" si="21"/>
        <v>1394</v>
      </c>
      <c r="B1395" s="11">
        <v>66099926</v>
      </c>
      <c r="C1395" s="11">
        <v>241</v>
      </c>
      <c r="D1395">
        <v>115680000</v>
      </c>
      <c r="E1395">
        <v>1512</v>
      </c>
    </row>
    <row r="1396" ht="13.85" spans="1:5">
      <c r="A1396">
        <f t="shared" si="21"/>
        <v>1395</v>
      </c>
      <c r="B1396" s="11">
        <v>60632780</v>
      </c>
      <c r="C1396" s="11">
        <v>205</v>
      </c>
      <c r="D1396">
        <v>98400000</v>
      </c>
      <c r="E1396">
        <v>1511</v>
      </c>
    </row>
    <row r="1397" ht="13.85" spans="1:5">
      <c r="A1397">
        <f t="shared" si="21"/>
        <v>1396</v>
      </c>
      <c r="B1397" s="11">
        <v>47520538</v>
      </c>
      <c r="C1397" s="11">
        <v>177</v>
      </c>
      <c r="D1397">
        <v>84960000</v>
      </c>
      <c r="E1397">
        <v>1510</v>
      </c>
    </row>
    <row r="1398" ht="13.85" spans="1:5">
      <c r="A1398">
        <f t="shared" si="21"/>
        <v>1397</v>
      </c>
      <c r="B1398" s="11">
        <v>47226336</v>
      </c>
      <c r="C1398" s="11">
        <v>164</v>
      </c>
      <c r="D1398">
        <v>78720000</v>
      </c>
      <c r="E1398">
        <v>1509</v>
      </c>
    </row>
    <row r="1399" ht="13.85" spans="1:5">
      <c r="A1399">
        <f t="shared" si="21"/>
        <v>1398</v>
      </c>
      <c r="B1399" s="11">
        <v>37553610</v>
      </c>
      <c r="C1399" s="11">
        <v>146</v>
      </c>
      <c r="D1399">
        <v>70080000</v>
      </c>
      <c r="E1399">
        <v>1508</v>
      </c>
    </row>
    <row r="1400" ht="13.85" spans="1:5">
      <c r="A1400">
        <f t="shared" si="21"/>
        <v>1399</v>
      </c>
      <c r="B1400" s="11">
        <v>39625132</v>
      </c>
      <c r="C1400" s="11">
        <v>128</v>
      </c>
      <c r="D1400">
        <v>61440000</v>
      </c>
      <c r="E1400">
        <v>1507</v>
      </c>
    </row>
    <row r="1401" ht="13.85" spans="1:5">
      <c r="A1401">
        <f t="shared" si="21"/>
        <v>1400</v>
      </c>
      <c r="B1401" s="11">
        <v>34631256</v>
      </c>
      <c r="C1401" s="11">
        <v>110</v>
      </c>
      <c r="D1401">
        <v>52800000</v>
      </c>
      <c r="E1401">
        <v>1506</v>
      </c>
    </row>
    <row r="1402" ht="13.85" spans="1:5">
      <c r="A1402">
        <f t="shared" si="21"/>
        <v>1401</v>
      </c>
      <c r="B1402" s="11">
        <v>36478078</v>
      </c>
      <c r="C1402" s="11">
        <v>100</v>
      </c>
      <c r="D1402">
        <v>48000000</v>
      </c>
      <c r="E1402">
        <v>1505</v>
      </c>
    </row>
    <row r="1403" ht="13.85" spans="1:5">
      <c r="A1403">
        <f t="shared" si="21"/>
        <v>1402</v>
      </c>
      <c r="B1403" s="11">
        <v>28536260</v>
      </c>
      <c r="C1403" s="11">
        <v>90</v>
      </c>
      <c r="D1403">
        <v>43200000</v>
      </c>
      <c r="E1403">
        <v>1504</v>
      </c>
    </row>
    <row r="1404" ht="13.85" spans="1:5">
      <c r="A1404">
        <f t="shared" si="21"/>
        <v>1403</v>
      </c>
      <c r="B1404" s="11">
        <v>30465462</v>
      </c>
      <c r="C1404" s="11">
        <v>80</v>
      </c>
      <c r="D1404">
        <v>38400000</v>
      </c>
      <c r="E1404">
        <v>1503</v>
      </c>
    </row>
    <row r="1405" ht="13.85" spans="1:5">
      <c r="A1405">
        <f t="shared" si="21"/>
        <v>1404</v>
      </c>
      <c r="B1405" s="11">
        <v>26297978</v>
      </c>
      <c r="C1405" s="11">
        <v>70</v>
      </c>
      <c r="D1405">
        <v>33600000</v>
      </c>
      <c r="E1405">
        <v>1502</v>
      </c>
    </row>
    <row r="1406" ht="13.85" spans="1:5">
      <c r="A1406">
        <f t="shared" si="21"/>
        <v>1405</v>
      </c>
      <c r="B1406" s="11">
        <v>27802074</v>
      </c>
      <c r="C1406" s="11">
        <v>60</v>
      </c>
      <c r="D1406">
        <v>28800000</v>
      </c>
      <c r="E1406">
        <v>1501</v>
      </c>
    </row>
    <row r="1407" ht="13.85" spans="1:5">
      <c r="A1407">
        <f t="shared" si="21"/>
        <v>1406</v>
      </c>
      <c r="B1407" s="11">
        <v>24434108</v>
      </c>
      <c r="C1407" s="11">
        <v>50</v>
      </c>
      <c r="D1407">
        <v>24000000</v>
      </c>
      <c r="E1407">
        <v>1500</v>
      </c>
    </row>
    <row r="1408" ht="13.85" spans="1:5">
      <c r="A1408">
        <f t="shared" si="21"/>
        <v>1407</v>
      </c>
      <c r="B1408" s="11">
        <v>27850450</v>
      </c>
      <c r="C1408" s="11">
        <v>40</v>
      </c>
      <c r="D1408">
        <v>19200000</v>
      </c>
      <c r="E1408">
        <v>1499</v>
      </c>
    </row>
    <row r="1409" ht="13.85" spans="1:5">
      <c r="A1409">
        <f t="shared" si="21"/>
        <v>1408</v>
      </c>
      <c r="B1409" s="11">
        <v>44725302</v>
      </c>
      <c r="C1409" s="11">
        <v>173</v>
      </c>
      <c r="D1409">
        <v>83040000</v>
      </c>
      <c r="E1409">
        <v>1498</v>
      </c>
    </row>
    <row r="1410" ht="13.85" spans="1:5">
      <c r="A1410">
        <f t="shared" ref="A1410:A1473" si="22">ROW()-1</f>
        <v>1409</v>
      </c>
      <c r="B1410" s="11">
        <v>44568434</v>
      </c>
      <c r="C1410" s="11">
        <v>152</v>
      </c>
      <c r="D1410">
        <v>72960000</v>
      </c>
      <c r="E1410">
        <v>1497</v>
      </c>
    </row>
    <row r="1411" ht="13.85" spans="1:5">
      <c r="A1411">
        <f t="shared" si="22"/>
        <v>1410</v>
      </c>
      <c r="B1411" s="11">
        <v>38569228</v>
      </c>
      <c r="C1411" s="11">
        <v>131</v>
      </c>
      <c r="D1411">
        <v>62880000</v>
      </c>
      <c r="E1411">
        <v>1496</v>
      </c>
    </row>
    <row r="1412" ht="13.85" spans="1:5">
      <c r="A1412">
        <f t="shared" si="22"/>
        <v>1411</v>
      </c>
      <c r="B1412" s="11">
        <v>40154098</v>
      </c>
      <c r="C1412" s="11">
        <v>113</v>
      </c>
      <c r="D1412">
        <v>54240000</v>
      </c>
      <c r="E1412">
        <v>1495</v>
      </c>
    </row>
    <row r="1413" ht="13.85" spans="1:5">
      <c r="A1413">
        <f t="shared" si="22"/>
        <v>1412</v>
      </c>
      <c r="B1413" s="11">
        <v>31503602</v>
      </c>
      <c r="C1413" s="11">
        <v>94</v>
      </c>
      <c r="D1413">
        <v>45120000</v>
      </c>
      <c r="E1413">
        <v>1494</v>
      </c>
    </row>
    <row r="1414" ht="13.85" spans="1:5">
      <c r="A1414">
        <f t="shared" si="22"/>
        <v>1413</v>
      </c>
      <c r="B1414" s="11">
        <v>32817922</v>
      </c>
      <c r="C1414" s="11">
        <v>80</v>
      </c>
      <c r="D1414">
        <v>38400000</v>
      </c>
      <c r="E1414">
        <v>1493</v>
      </c>
    </row>
    <row r="1415" ht="13.85" spans="1:5">
      <c r="A1415">
        <f t="shared" si="22"/>
        <v>1414</v>
      </c>
      <c r="B1415" s="11">
        <v>28978038</v>
      </c>
      <c r="C1415" s="11">
        <v>70</v>
      </c>
      <c r="D1415">
        <v>33600000</v>
      </c>
      <c r="E1415">
        <v>1492</v>
      </c>
    </row>
    <row r="1416" ht="13.85" spans="1:5">
      <c r="A1416">
        <f t="shared" si="22"/>
        <v>1415</v>
      </c>
      <c r="B1416" s="11">
        <v>38305078</v>
      </c>
      <c r="C1416" s="11">
        <v>60</v>
      </c>
      <c r="D1416">
        <v>28800000</v>
      </c>
      <c r="E1416">
        <v>1491</v>
      </c>
    </row>
    <row r="1417" ht="13.85" spans="1:5">
      <c r="A1417">
        <f t="shared" si="22"/>
        <v>1416</v>
      </c>
      <c r="B1417" s="11">
        <v>29115092</v>
      </c>
      <c r="C1417" s="11">
        <v>50</v>
      </c>
      <c r="D1417">
        <v>24000000</v>
      </c>
      <c r="E1417">
        <v>1490</v>
      </c>
    </row>
    <row r="1418" ht="13.85" spans="1:5">
      <c r="A1418">
        <f t="shared" si="22"/>
        <v>1417</v>
      </c>
      <c r="B1418" s="11">
        <v>29999742</v>
      </c>
      <c r="C1418" s="11">
        <v>40</v>
      </c>
      <c r="D1418">
        <v>19200000</v>
      </c>
      <c r="E1418">
        <v>1489</v>
      </c>
    </row>
    <row r="1419" ht="13.85" spans="1:5">
      <c r="A1419">
        <f t="shared" si="22"/>
        <v>1418</v>
      </c>
      <c r="B1419" s="11">
        <v>29032202</v>
      </c>
      <c r="C1419" s="11">
        <v>70</v>
      </c>
      <c r="D1419">
        <v>33600000</v>
      </c>
      <c r="E1419">
        <v>1488</v>
      </c>
    </row>
    <row r="1420" ht="13.85" spans="1:5">
      <c r="A1420">
        <f t="shared" si="22"/>
        <v>1419</v>
      </c>
      <c r="B1420" s="11">
        <v>32414134</v>
      </c>
      <c r="C1420" s="11">
        <v>60</v>
      </c>
      <c r="D1420">
        <v>28800000</v>
      </c>
      <c r="E1420">
        <v>1487</v>
      </c>
    </row>
    <row r="1421" ht="13.85" spans="1:5">
      <c r="A1421">
        <f t="shared" si="22"/>
        <v>1420</v>
      </c>
      <c r="B1421" s="11">
        <v>27901808</v>
      </c>
      <c r="C1421" s="11">
        <v>50</v>
      </c>
      <c r="D1421">
        <v>24000000</v>
      </c>
      <c r="E1421">
        <v>1486</v>
      </c>
    </row>
    <row r="1422" ht="13.85" spans="1:5">
      <c r="A1422">
        <f t="shared" si="22"/>
        <v>1421</v>
      </c>
      <c r="B1422" s="11">
        <v>32413242</v>
      </c>
      <c r="C1422" s="11">
        <v>40</v>
      </c>
      <c r="D1422">
        <v>19200000</v>
      </c>
      <c r="E1422">
        <v>1485</v>
      </c>
    </row>
    <row r="1423" ht="13.85" spans="1:5">
      <c r="A1423">
        <f t="shared" si="22"/>
        <v>1422</v>
      </c>
      <c r="B1423" s="11">
        <v>30836346</v>
      </c>
      <c r="C1423" s="11">
        <v>60</v>
      </c>
      <c r="D1423">
        <v>28800000</v>
      </c>
      <c r="E1423">
        <v>1484</v>
      </c>
    </row>
    <row r="1424" ht="13.85" spans="1:5">
      <c r="A1424">
        <f t="shared" si="22"/>
        <v>1423</v>
      </c>
      <c r="B1424" s="11">
        <v>34352940</v>
      </c>
      <c r="C1424" s="11">
        <v>50</v>
      </c>
      <c r="D1424">
        <v>24000000</v>
      </c>
      <c r="E1424">
        <v>1483</v>
      </c>
    </row>
    <row r="1425" ht="13.85" spans="1:5">
      <c r="A1425">
        <f t="shared" si="22"/>
        <v>1424</v>
      </c>
      <c r="B1425" s="11">
        <v>29055550</v>
      </c>
      <c r="C1425" s="11">
        <v>40</v>
      </c>
      <c r="D1425">
        <v>19200000</v>
      </c>
      <c r="E1425">
        <v>1482</v>
      </c>
    </row>
    <row r="1426" ht="13.85" spans="1:5">
      <c r="A1426">
        <f t="shared" si="22"/>
        <v>1425</v>
      </c>
      <c r="B1426" s="11">
        <v>37916166</v>
      </c>
      <c r="C1426" s="11">
        <v>70</v>
      </c>
      <c r="D1426">
        <v>33600000</v>
      </c>
      <c r="E1426">
        <v>1481</v>
      </c>
    </row>
    <row r="1427" ht="13.85" spans="1:5">
      <c r="A1427">
        <f t="shared" si="22"/>
        <v>1426</v>
      </c>
      <c r="B1427" s="11">
        <v>32766344</v>
      </c>
      <c r="C1427" s="11">
        <v>60</v>
      </c>
      <c r="D1427">
        <v>28800000</v>
      </c>
      <c r="E1427">
        <v>1480</v>
      </c>
    </row>
    <row r="1428" ht="13.85" spans="1:5">
      <c r="A1428">
        <f t="shared" si="22"/>
        <v>1427</v>
      </c>
      <c r="B1428" s="11">
        <v>37177904</v>
      </c>
      <c r="C1428" s="11">
        <v>50</v>
      </c>
      <c r="D1428">
        <v>24000000</v>
      </c>
      <c r="E1428">
        <v>1479</v>
      </c>
    </row>
    <row r="1429" ht="13.85" spans="1:5">
      <c r="A1429">
        <f t="shared" si="22"/>
        <v>1428</v>
      </c>
      <c r="B1429" s="20">
        <v>32691612</v>
      </c>
      <c r="C1429" s="20">
        <v>40</v>
      </c>
      <c r="D1429">
        <v>19200000</v>
      </c>
      <c r="E1429">
        <v>1478</v>
      </c>
    </row>
    <row r="1430" ht="13.85" spans="1:5">
      <c r="A1430">
        <f t="shared" si="22"/>
        <v>1429</v>
      </c>
      <c r="B1430" s="11">
        <v>169361618</v>
      </c>
      <c r="C1430" s="11">
        <v>325</v>
      </c>
      <c r="D1430">
        <v>156000000</v>
      </c>
      <c r="E1430">
        <v>1477</v>
      </c>
    </row>
    <row r="1431" ht="13.85" spans="1:5">
      <c r="A1431">
        <f t="shared" si="22"/>
        <v>1430</v>
      </c>
      <c r="B1431" s="11">
        <v>93526504</v>
      </c>
      <c r="C1431" s="11">
        <v>250</v>
      </c>
      <c r="D1431">
        <v>120000000</v>
      </c>
      <c r="E1431">
        <v>1476</v>
      </c>
    </row>
    <row r="1432" ht="13.85" spans="1:5">
      <c r="A1432">
        <f t="shared" si="22"/>
        <v>1431</v>
      </c>
      <c r="B1432" s="11">
        <v>75632272</v>
      </c>
      <c r="C1432" s="11">
        <v>200</v>
      </c>
      <c r="D1432">
        <v>96000000</v>
      </c>
      <c r="E1432">
        <v>1475</v>
      </c>
    </row>
    <row r="1433" ht="13.85" spans="1:5">
      <c r="A1433">
        <f t="shared" si="22"/>
        <v>1432</v>
      </c>
      <c r="B1433" s="11">
        <v>55285052</v>
      </c>
      <c r="C1433" s="11">
        <v>170</v>
      </c>
      <c r="D1433">
        <v>81600000</v>
      </c>
      <c r="E1433">
        <v>1474</v>
      </c>
    </row>
    <row r="1434" ht="13.85" spans="1:5">
      <c r="A1434">
        <f t="shared" si="22"/>
        <v>1433</v>
      </c>
      <c r="B1434" s="11">
        <v>49995462</v>
      </c>
      <c r="C1434" s="11">
        <v>146</v>
      </c>
      <c r="D1434">
        <v>70080000</v>
      </c>
      <c r="E1434">
        <v>1473</v>
      </c>
    </row>
    <row r="1435" ht="13.85" spans="1:5">
      <c r="A1435">
        <f t="shared" si="22"/>
        <v>1434</v>
      </c>
      <c r="B1435" s="11">
        <v>41302320</v>
      </c>
      <c r="C1435" s="11">
        <v>120</v>
      </c>
      <c r="D1435">
        <v>57600000</v>
      </c>
      <c r="E1435">
        <v>1472</v>
      </c>
    </row>
    <row r="1436" ht="13.85" spans="1:5">
      <c r="A1436">
        <f t="shared" si="22"/>
        <v>1435</v>
      </c>
      <c r="B1436" s="11">
        <v>40901890</v>
      </c>
      <c r="C1436" s="11">
        <v>100</v>
      </c>
      <c r="D1436">
        <v>48000000</v>
      </c>
      <c r="E1436">
        <v>1471</v>
      </c>
    </row>
    <row r="1437" ht="13.85" spans="1:5">
      <c r="A1437">
        <f t="shared" si="22"/>
        <v>1436</v>
      </c>
      <c r="B1437" s="11">
        <v>33352386</v>
      </c>
      <c r="C1437" s="11">
        <v>80</v>
      </c>
      <c r="D1437">
        <v>38400000</v>
      </c>
      <c r="E1437">
        <v>1470</v>
      </c>
    </row>
    <row r="1438" ht="13.85" spans="1:5">
      <c r="A1438">
        <f t="shared" si="22"/>
        <v>1437</v>
      </c>
      <c r="B1438" s="11">
        <v>24885431</v>
      </c>
      <c r="C1438" s="11">
        <v>66</v>
      </c>
      <c r="D1438">
        <v>31680000</v>
      </c>
      <c r="E1438">
        <v>1469</v>
      </c>
    </row>
    <row r="1439" ht="13.85" spans="1:5">
      <c r="A1439">
        <f t="shared" si="22"/>
        <v>1438</v>
      </c>
      <c r="B1439" s="11">
        <v>21467730</v>
      </c>
      <c r="C1439" s="11">
        <v>54</v>
      </c>
      <c r="D1439">
        <v>25920000</v>
      </c>
      <c r="E1439">
        <v>1468</v>
      </c>
    </row>
    <row r="1440" ht="13.85" spans="1:5">
      <c r="A1440">
        <f t="shared" si="22"/>
        <v>1439</v>
      </c>
      <c r="B1440" s="11">
        <v>22747865</v>
      </c>
      <c r="C1440" s="11">
        <v>44</v>
      </c>
      <c r="D1440">
        <v>21120000</v>
      </c>
      <c r="E1440">
        <v>1467</v>
      </c>
    </row>
    <row r="1441" ht="13.85" spans="1:5">
      <c r="A1441">
        <f t="shared" si="22"/>
        <v>1440</v>
      </c>
      <c r="B1441" s="11">
        <v>19026140</v>
      </c>
      <c r="C1441" s="11">
        <v>30</v>
      </c>
      <c r="D1441">
        <v>14400000</v>
      </c>
      <c r="E1441">
        <v>1466</v>
      </c>
    </row>
    <row r="1442" ht="13.85" spans="1:5">
      <c r="A1442">
        <f t="shared" si="22"/>
        <v>1441</v>
      </c>
      <c r="B1442" s="13">
        <v>24771936</v>
      </c>
      <c r="C1442" s="13">
        <v>25</v>
      </c>
      <c r="D1442">
        <v>12000000</v>
      </c>
      <c r="E1442">
        <v>1465</v>
      </c>
    </row>
    <row r="1443" ht="13.85" spans="1:5">
      <c r="A1443">
        <f t="shared" si="22"/>
        <v>1442</v>
      </c>
      <c r="B1443" s="17">
        <v>18839498</v>
      </c>
      <c r="C1443" s="17">
        <v>20</v>
      </c>
      <c r="D1443">
        <v>9600000</v>
      </c>
      <c r="E1443">
        <v>1464</v>
      </c>
    </row>
    <row r="1444" ht="13.85" spans="1:5">
      <c r="A1444">
        <f t="shared" si="22"/>
        <v>1443</v>
      </c>
      <c r="B1444" s="11">
        <v>42162193</v>
      </c>
      <c r="C1444" s="11">
        <v>125</v>
      </c>
      <c r="D1444">
        <v>60000000</v>
      </c>
      <c r="E1444">
        <v>1463</v>
      </c>
    </row>
    <row r="1445" ht="13.85" spans="1:5">
      <c r="A1445">
        <f t="shared" si="22"/>
        <v>1444</v>
      </c>
      <c r="B1445" s="11">
        <v>31784265</v>
      </c>
      <c r="C1445" s="11">
        <v>104</v>
      </c>
      <c r="D1445">
        <v>49920000</v>
      </c>
      <c r="E1445">
        <v>1462</v>
      </c>
    </row>
    <row r="1446" ht="13.85" spans="1:5">
      <c r="A1446">
        <f t="shared" si="22"/>
        <v>1445</v>
      </c>
      <c r="B1446" s="11">
        <v>28354501</v>
      </c>
      <c r="C1446" s="11">
        <v>91</v>
      </c>
      <c r="D1446">
        <v>43680000</v>
      </c>
      <c r="E1446">
        <v>1461</v>
      </c>
    </row>
    <row r="1447" ht="13.85" spans="1:5">
      <c r="A1447">
        <f t="shared" si="22"/>
        <v>1446</v>
      </c>
      <c r="B1447" s="11">
        <v>23782276</v>
      </c>
      <c r="C1447" s="11">
        <v>78</v>
      </c>
      <c r="D1447">
        <v>37440000</v>
      </c>
      <c r="E1447">
        <v>1460</v>
      </c>
    </row>
    <row r="1448" ht="13.85" spans="1:5">
      <c r="A1448">
        <f t="shared" si="22"/>
        <v>1447</v>
      </c>
      <c r="B1448" s="11">
        <v>24532617</v>
      </c>
      <c r="C1448" s="11">
        <v>67</v>
      </c>
      <c r="D1448">
        <v>32160000</v>
      </c>
      <c r="E1448">
        <v>1459</v>
      </c>
    </row>
    <row r="1449" ht="13.85" spans="1:5">
      <c r="A1449">
        <f t="shared" si="22"/>
        <v>1448</v>
      </c>
      <c r="B1449" s="11">
        <v>21170696</v>
      </c>
      <c r="C1449" s="11">
        <v>52</v>
      </c>
      <c r="D1449">
        <v>24960000</v>
      </c>
      <c r="E1449">
        <v>1458</v>
      </c>
    </row>
    <row r="1450" ht="13.85" spans="1:5">
      <c r="A1450">
        <f t="shared" si="22"/>
        <v>1449</v>
      </c>
      <c r="B1450" s="11">
        <v>22662144</v>
      </c>
      <c r="C1450" s="11">
        <v>40</v>
      </c>
      <c r="D1450">
        <v>19200000</v>
      </c>
      <c r="E1450">
        <v>1457</v>
      </c>
    </row>
    <row r="1451" ht="13.85" spans="1:5">
      <c r="A1451">
        <f t="shared" si="22"/>
        <v>1450</v>
      </c>
      <c r="B1451" s="11">
        <v>19524656</v>
      </c>
      <c r="C1451" s="11">
        <v>31</v>
      </c>
      <c r="D1451">
        <v>14880000</v>
      </c>
      <c r="E1451">
        <v>1456</v>
      </c>
    </row>
    <row r="1452" ht="13.85" spans="1:5">
      <c r="A1452">
        <f t="shared" si="22"/>
        <v>1451</v>
      </c>
      <c r="B1452" s="11">
        <v>19301014</v>
      </c>
      <c r="C1452" s="11">
        <v>25</v>
      </c>
      <c r="D1452">
        <v>12000000</v>
      </c>
      <c r="E1452">
        <v>1455</v>
      </c>
    </row>
    <row r="1453" ht="13.85" spans="1:5">
      <c r="A1453">
        <f t="shared" si="22"/>
        <v>1452</v>
      </c>
      <c r="B1453" s="11">
        <v>19958434</v>
      </c>
      <c r="C1453" s="11">
        <v>20</v>
      </c>
      <c r="D1453">
        <v>9600000</v>
      </c>
      <c r="E1453">
        <v>1454</v>
      </c>
    </row>
    <row r="1454" ht="13.85" spans="1:5">
      <c r="A1454">
        <f t="shared" si="22"/>
        <v>1453</v>
      </c>
      <c r="B1454" s="11">
        <v>25905601</v>
      </c>
      <c r="C1454" s="11">
        <v>60</v>
      </c>
      <c r="D1454">
        <v>28800000</v>
      </c>
      <c r="E1454">
        <v>1453</v>
      </c>
    </row>
    <row r="1455" ht="13.85" spans="1:5">
      <c r="A1455">
        <f t="shared" si="22"/>
        <v>1454</v>
      </c>
      <c r="B1455" s="11">
        <v>22607166</v>
      </c>
      <c r="C1455" s="11">
        <v>46</v>
      </c>
      <c r="D1455">
        <v>22080000</v>
      </c>
      <c r="E1455">
        <v>1452</v>
      </c>
    </row>
    <row r="1456" ht="13.85" spans="1:5">
      <c r="A1456">
        <f t="shared" si="22"/>
        <v>1455</v>
      </c>
      <c r="B1456" s="11">
        <v>24638266</v>
      </c>
      <c r="C1456" s="11">
        <v>35</v>
      </c>
      <c r="D1456">
        <v>16800000</v>
      </c>
      <c r="E1456">
        <v>1451</v>
      </c>
    </row>
    <row r="1457" ht="13.85" spans="1:5">
      <c r="A1457">
        <f t="shared" si="22"/>
        <v>1456</v>
      </c>
      <c r="B1457" s="11">
        <v>20767046</v>
      </c>
      <c r="C1457" s="11">
        <v>25</v>
      </c>
      <c r="D1457">
        <v>12000000</v>
      </c>
      <c r="E1457">
        <v>1450</v>
      </c>
    </row>
    <row r="1458" ht="13.85" spans="1:5">
      <c r="A1458">
        <f t="shared" si="22"/>
        <v>1457</v>
      </c>
      <c r="B1458" s="11">
        <v>23222895</v>
      </c>
      <c r="C1458" s="11">
        <v>20</v>
      </c>
      <c r="D1458">
        <v>9600000</v>
      </c>
      <c r="E1458">
        <v>1449</v>
      </c>
    </row>
    <row r="1459" ht="13.85" spans="1:5">
      <c r="A1459">
        <f t="shared" si="22"/>
        <v>1458</v>
      </c>
      <c r="B1459" s="11">
        <v>83669599</v>
      </c>
      <c r="C1459" s="11">
        <v>245</v>
      </c>
      <c r="D1459">
        <v>117600000</v>
      </c>
      <c r="E1459">
        <v>1448</v>
      </c>
    </row>
    <row r="1460" ht="13.85" spans="1:5">
      <c r="A1460">
        <f t="shared" si="22"/>
        <v>1459</v>
      </c>
      <c r="B1460" s="11">
        <v>60224206</v>
      </c>
      <c r="C1460" s="11">
        <v>203</v>
      </c>
      <c r="D1460">
        <v>97440000</v>
      </c>
      <c r="E1460">
        <v>1447</v>
      </c>
    </row>
    <row r="1461" ht="13.85" spans="1:5">
      <c r="A1461">
        <f t="shared" si="22"/>
        <v>1460</v>
      </c>
      <c r="B1461" s="11">
        <v>47733264</v>
      </c>
      <c r="C1461" s="11">
        <v>173</v>
      </c>
      <c r="D1461">
        <v>83040000</v>
      </c>
      <c r="E1461">
        <v>1446</v>
      </c>
    </row>
    <row r="1462" ht="13.85" spans="1:5">
      <c r="A1462">
        <f t="shared" si="22"/>
        <v>1461</v>
      </c>
      <c r="B1462" s="11">
        <v>41452063</v>
      </c>
      <c r="C1462" s="11">
        <v>148</v>
      </c>
      <c r="D1462">
        <v>71040000</v>
      </c>
      <c r="E1462">
        <v>1445</v>
      </c>
    </row>
    <row r="1463" ht="13.85" spans="1:5">
      <c r="A1463">
        <f t="shared" si="22"/>
        <v>1462</v>
      </c>
      <c r="B1463" s="11">
        <v>35546862</v>
      </c>
      <c r="C1463" s="11">
        <v>124</v>
      </c>
      <c r="D1463">
        <v>59520000</v>
      </c>
      <c r="E1463">
        <v>1444</v>
      </c>
    </row>
    <row r="1464" ht="13.85" spans="1:5">
      <c r="A1464">
        <f t="shared" si="22"/>
        <v>1463</v>
      </c>
      <c r="B1464" s="11">
        <v>33736971</v>
      </c>
      <c r="C1464" s="11">
        <v>105</v>
      </c>
      <c r="D1464">
        <v>50400000</v>
      </c>
      <c r="E1464">
        <v>1443</v>
      </c>
    </row>
    <row r="1465" ht="13.85" spans="1:5">
      <c r="A1465" s="33">
        <f t="shared" si="22"/>
        <v>1464</v>
      </c>
      <c r="B1465" s="11">
        <v>25587195</v>
      </c>
      <c r="C1465" s="11">
        <v>86</v>
      </c>
      <c r="D1465">
        <v>41280000</v>
      </c>
      <c r="E1465">
        <v>1442</v>
      </c>
    </row>
    <row r="1466" ht="13.85" spans="1:5">
      <c r="A1466">
        <f t="shared" si="22"/>
        <v>1465</v>
      </c>
      <c r="B1466" s="11">
        <v>26022291</v>
      </c>
      <c r="C1466" s="11">
        <v>71</v>
      </c>
      <c r="D1466">
        <v>34080000</v>
      </c>
      <c r="E1466">
        <v>1441</v>
      </c>
    </row>
    <row r="1467" ht="13.85" spans="1:5">
      <c r="A1467">
        <f t="shared" si="22"/>
        <v>1466</v>
      </c>
      <c r="B1467" s="11">
        <v>22271967</v>
      </c>
      <c r="C1467" s="11">
        <v>58</v>
      </c>
      <c r="D1467">
        <v>27840000</v>
      </c>
      <c r="E1467">
        <v>1440</v>
      </c>
    </row>
    <row r="1468" ht="13.85" spans="1:5">
      <c r="A1468">
        <f t="shared" si="22"/>
        <v>1467</v>
      </c>
      <c r="B1468" s="11">
        <v>22686123</v>
      </c>
      <c r="C1468" s="11">
        <v>47</v>
      </c>
      <c r="D1468">
        <v>22560000</v>
      </c>
      <c r="E1468">
        <v>1439</v>
      </c>
    </row>
    <row r="1469" ht="13.85" spans="1:5">
      <c r="A1469">
        <f t="shared" si="22"/>
        <v>1468</v>
      </c>
      <c r="B1469" s="11">
        <v>19116699</v>
      </c>
      <c r="C1469" s="11">
        <v>37</v>
      </c>
      <c r="D1469">
        <v>17760000</v>
      </c>
      <c r="E1469">
        <v>1438</v>
      </c>
    </row>
    <row r="1470" ht="13.85" spans="1:5">
      <c r="A1470">
        <f t="shared" si="22"/>
        <v>1469</v>
      </c>
      <c r="B1470" s="11">
        <v>20863035</v>
      </c>
      <c r="C1470" s="11">
        <v>30</v>
      </c>
      <c r="D1470">
        <v>14400000</v>
      </c>
      <c r="E1470">
        <v>1437</v>
      </c>
    </row>
    <row r="1471" ht="13.85" spans="1:5">
      <c r="A1471">
        <f t="shared" si="22"/>
        <v>1470</v>
      </c>
      <c r="B1471" s="11">
        <v>18344632</v>
      </c>
      <c r="C1471" s="11">
        <v>25</v>
      </c>
      <c r="D1471">
        <v>12000000</v>
      </c>
      <c r="E1471">
        <v>1436</v>
      </c>
    </row>
    <row r="1472" ht="13.85" spans="1:5">
      <c r="A1472">
        <f t="shared" si="22"/>
        <v>1471</v>
      </c>
      <c r="B1472" s="11">
        <v>20285788</v>
      </c>
      <c r="C1472" s="11">
        <v>20</v>
      </c>
      <c r="D1472">
        <v>9600000</v>
      </c>
      <c r="E1472">
        <v>1435</v>
      </c>
    </row>
    <row r="1473" ht="13.85" spans="1:5">
      <c r="A1473">
        <f t="shared" si="22"/>
        <v>1472</v>
      </c>
      <c r="B1473" s="11">
        <v>18972764</v>
      </c>
      <c r="C1473" s="11">
        <v>25</v>
      </c>
      <c r="D1473">
        <v>12000000</v>
      </c>
      <c r="E1473">
        <v>1434</v>
      </c>
    </row>
    <row r="1474" ht="13.85" spans="1:5">
      <c r="A1474">
        <f t="shared" ref="A1474:A1537" si="23">ROW()-1</f>
        <v>1473</v>
      </c>
      <c r="B1474" s="11">
        <v>21578237</v>
      </c>
      <c r="C1474" s="11">
        <v>20</v>
      </c>
      <c r="D1474">
        <v>9600000</v>
      </c>
      <c r="E1474">
        <v>1433</v>
      </c>
    </row>
    <row r="1475" ht="13.85" spans="1:5">
      <c r="A1475">
        <f t="shared" si="23"/>
        <v>1474</v>
      </c>
      <c r="B1475" s="11">
        <v>32461128</v>
      </c>
      <c r="C1475" s="11">
        <v>107</v>
      </c>
      <c r="D1475">
        <v>51360000</v>
      </c>
      <c r="E1475">
        <v>1432</v>
      </c>
    </row>
    <row r="1476" ht="13.85" spans="1:5">
      <c r="A1476">
        <f t="shared" si="23"/>
        <v>1475</v>
      </c>
      <c r="B1476" s="11">
        <v>30796180</v>
      </c>
      <c r="C1476" s="11">
        <v>91</v>
      </c>
      <c r="D1476">
        <v>43680000</v>
      </c>
      <c r="E1476">
        <v>1431</v>
      </c>
    </row>
    <row r="1477" ht="13.85" spans="1:5">
      <c r="A1477">
        <f t="shared" si="23"/>
        <v>1476</v>
      </c>
      <c r="B1477" s="11">
        <v>24927632</v>
      </c>
      <c r="C1477" s="11">
        <v>75</v>
      </c>
      <c r="D1477">
        <v>36000000</v>
      </c>
      <c r="E1477">
        <v>1430</v>
      </c>
    </row>
    <row r="1478" ht="13.85" spans="1:5">
      <c r="A1478">
        <f t="shared" si="23"/>
        <v>1477</v>
      </c>
      <c r="B1478" s="11">
        <v>25985886</v>
      </c>
      <c r="C1478" s="11">
        <v>61</v>
      </c>
      <c r="D1478">
        <v>29280000</v>
      </c>
      <c r="E1478">
        <v>1429</v>
      </c>
    </row>
    <row r="1479" ht="13.85" spans="1:5">
      <c r="A1479" s="9">
        <f t="shared" si="23"/>
        <v>1478</v>
      </c>
      <c r="B1479" s="11">
        <v>22534415</v>
      </c>
      <c r="C1479" s="11">
        <v>47</v>
      </c>
      <c r="D1479">
        <v>22560000</v>
      </c>
      <c r="E1479">
        <v>1428</v>
      </c>
    </row>
    <row r="1480" ht="13.85" spans="1:5">
      <c r="A1480">
        <f t="shared" si="23"/>
        <v>1479</v>
      </c>
      <c r="B1480" s="11">
        <v>23371271</v>
      </c>
      <c r="C1480" s="11">
        <v>37</v>
      </c>
      <c r="D1480">
        <v>17760000</v>
      </c>
      <c r="E1480">
        <v>1427</v>
      </c>
    </row>
    <row r="1481" ht="13.85" spans="1:5">
      <c r="A1481">
        <f t="shared" si="23"/>
        <v>1480</v>
      </c>
      <c r="B1481" s="11">
        <v>20176539</v>
      </c>
      <c r="C1481" s="11">
        <v>25</v>
      </c>
      <c r="D1481">
        <v>12000000</v>
      </c>
      <c r="E1481">
        <v>1426</v>
      </c>
    </row>
    <row r="1482" ht="13.85" spans="1:5">
      <c r="A1482">
        <f t="shared" si="23"/>
        <v>1481</v>
      </c>
      <c r="B1482" s="11">
        <v>22968117</v>
      </c>
      <c r="C1482" s="11">
        <v>20</v>
      </c>
      <c r="D1482">
        <v>9600000</v>
      </c>
      <c r="E1482">
        <v>1425</v>
      </c>
    </row>
    <row r="1483" ht="13.85" spans="1:5">
      <c r="A1483">
        <f t="shared" si="23"/>
        <v>1482</v>
      </c>
      <c r="B1483" s="11">
        <v>68821907</v>
      </c>
      <c r="C1483" s="11">
        <v>220</v>
      </c>
      <c r="D1483">
        <v>105600000</v>
      </c>
      <c r="E1483">
        <v>1424</v>
      </c>
    </row>
    <row r="1484" ht="13.85" spans="1:5">
      <c r="A1484">
        <f t="shared" si="23"/>
        <v>1483</v>
      </c>
      <c r="B1484" s="11">
        <v>50135080</v>
      </c>
      <c r="C1484" s="11">
        <v>180</v>
      </c>
      <c r="D1484">
        <v>86400000</v>
      </c>
      <c r="E1484">
        <v>1423</v>
      </c>
    </row>
    <row r="1485" ht="13.85" spans="1:5">
      <c r="A1485">
        <f t="shared" si="23"/>
        <v>1484</v>
      </c>
      <c r="B1485" s="11">
        <v>42621658</v>
      </c>
      <c r="C1485" s="11">
        <v>160</v>
      </c>
      <c r="D1485">
        <v>76800000</v>
      </c>
      <c r="E1485">
        <v>1422</v>
      </c>
    </row>
    <row r="1486" ht="13.85" spans="1:5">
      <c r="A1486">
        <f t="shared" si="23"/>
        <v>1485</v>
      </c>
      <c r="B1486" s="11">
        <v>38186560</v>
      </c>
      <c r="C1486" s="11">
        <v>133</v>
      </c>
      <c r="D1486">
        <v>63840000</v>
      </c>
      <c r="E1486">
        <v>1421</v>
      </c>
    </row>
    <row r="1487" ht="13.85" spans="1:5">
      <c r="A1487">
        <f t="shared" si="23"/>
        <v>1486</v>
      </c>
      <c r="B1487" s="11">
        <v>32713879</v>
      </c>
      <c r="C1487" s="11">
        <v>111</v>
      </c>
      <c r="D1487">
        <v>53280000</v>
      </c>
      <c r="E1487">
        <v>1420</v>
      </c>
    </row>
    <row r="1488" ht="13.85" spans="1:5">
      <c r="A1488">
        <f t="shared" si="23"/>
        <v>1487</v>
      </c>
      <c r="B1488" s="11">
        <v>27911360</v>
      </c>
      <c r="C1488" s="11">
        <v>92</v>
      </c>
      <c r="D1488">
        <v>44160000</v>
      </c>
      <c r="E1488">
        <v>1419</v>
      </c>
    </row>
    <row r="1489" ht="13.85" spans="1:5">
      <c r="A1489">
        <f t="shared" si="23"/>
        <v>1488</v>
      </c>
      <c r="B1489" s="11">
        <v>22948855</v>
      </c>
      <c r="C1489" s="11">
        <v>76</v>
      </c>
      <c r="D1489">
        <v>36480000</v>
      </c>
      <c r="E1489">
        <v>1418</v>
      </c>
    </row>
    <row r="1490" ht="13.85" spans="1:5">
      <c r="A1490">
        <f t="shared" si="23"/>
        <v>1489</v>
      </c>
      <c r="B1490" s="11">
        <v>23639371</v>
      </c>
      <c r="C1490" s="11">
        <v>61</v>
      </c>
      <c r="D1490">
        <v>29280000</v>
      </c>
      <c r="E1490">
        <v>1417</v>
      </c>
    </row>
    <row r="1491" ht="13.85" spans="1:5">
      <c r="A1491">
        <f t="shared" si="23"/>
        <v>1490</v>
      </c>
      <c r="B1491" s="11">
        <v>20203392</v>
      </c>
      <c r="C1491" s="11">
        <v>48</v>
      </c>
      <c r="D1491">
        <v>23040000</v>
      </c>
      <c r="E1491">
        <v>1416</v>
      </c>
    </row>
    <row r="1492" ht="13.85" spans="1:5">
      <c r="A1492">
        <f t="shared" si="23"/>
        <v>1491</v>
      </c>
      <c r="B1492" s="11">
        <v>21005870</v>
      </c>
      <c r="C1492" s="11">
        <v>36</v>
      </c>
      <c r="D1492">
        <v>17280000</v>
      </c>
      <c r="E1492">
        <v>1415</v>
      </c>
    </row>
    <row r="1493" ht="13.85" spans="1:5">
      <c r="A1493">
        <f t="shared" si="23"/>
        <v>1492</v>
      </c>
      <c r="B1493" s="11">
        <v>17347900</v>
      </c>
      <c r="C1493" s="11">
        <v>25</v>
      </c>
      <c r="D1493">
        <v>12000000</v>
      </c>
      <c r="E1493">
        <v>1414</v>
      </c>
    </row>
    <row r="1494" ht="13.85" spans="1:5">
      <c r="A1494">
        <f t="shared" si="23"/>
        <v>1493</v>
      </c>
      <c r="B1494" s="11">
        <v>20281059</v>
      </c>
      <c r="C1494" s="11">
        <v>20</v>
      </c>
      <c r="D1494">
        <v>9600000</v>
      </c>
      <c r="E1494">
        <v>1413</v>
      </c>
    </row>
    <row r="1495" ht="13.85" spans="1:5">
      <c r="A1495">
        <f t="shared" si="23"/>
        <v>1494</v>
      </c>
      <c r="B1495" s="11">
        <v>22769190</v>
      </c>
      <c r="C1495" s="11">
        <v>76</v>
      </c>
      <c r="D1495">
        <v>36480000</v>
      </c>
      <c r="E1495">
        <v>1412</v>
      </c>
    </row>
    <row r="1496" ht="13.85" spans="1:5">
      <c r="A1496">
        <f t="shared" si="23"/>
        <v>1495</v>
      </c>
      <c r="B1496" s="11">
        <v>23862804</v>
      </c>
      <c r="C1496" s="11">
        <v>63</v>
      </c>
      <c r="D1496">
        <v>30240000</v>
      </c>
      <c r="E1496">
        <v>1411</v>
      </c>
    </row>
    <row r="1497" ht="13.85" spans="1:5">
      <c r="A1497">
        <f t="shared" si="23"/>
        <v>1496</v>
      </c>
      <c r="B1497" s="11">
        <v>20407665</v>
      </c>
      <c r="C1497" s="11">
        <v>48</v>
      </c>
      <c r="D1497">
        <v>23040000</v>
      </c>
      <c r="E1497">
        <v>1410</v>
      </c>
    </row>
    <row r="1498" ht="13.85" spans="1:5">
      <c r="A1498">
        <f t="shared" si="23"/>
        <v>1497</v>
      </c>
      <c r="B1498" s="11">
        <v>21609327</v>
      </c>
      <c r="C1498" s="11">
        <v>36</v>
      </c>
      <c r="D1498">
        <v>17280000</v>
      </c>
      <c r="E1498">
        <v>1409</v>
      </c>
    </row>
    <row r="1499" ht="13.85" spans="1:5">
      <c r="A1499">
        <f t="shared" si="23"/>
        <v>1498</v>
      </c>
      <c r="B1499" s="11">
        <v>18700841</v>
      </c>
      <c r="C1499" s="11">
        <v>25</v>
      </c>
      <c r="D1499">
        <v>12000000</v>
      </c>
      <c r="E1499">
        <v>1408</v>
      </c>
    </row>
    <row r="1500" ht="13.85" spans="1:5">
      <c r="A1500">
        <f t="shared" si="23"/>
        <v>1499</v>
      </c>
      <c r="B1500" s="11">
        <v>20514850</v>
      </c>
      <c r="C1500" s="11">
        <v>20</v>
      </c>
      <c r="D1500">
        <v>9600000</v>
      </c>
      <c r="E1500">
        <v>1407</v>
      </c>
    </row>
    <row r="1501" ht="13.85" spans="1:5">
      <c r="A1501">
        <f t="shared" si="23"/>
        <v>1500</v>
      </c>
      <c r="B1501" s="11">
        <v>19735552</v>
      </c>
      <c r="C1501" s="11">
        <v>25</v>
      </c>
      <c r="D1501">
        <v>12000000</v>
      </c>
      <c r="E1501">
        <v>1406</v>
      </c>
    </row>
    <row r="1502" ht="13.85" spans="1:5">
      <c r="A1502">
        <f t="shared" si="23"/>
        <v>1501</v>
      </c>
      <c r="B1502" s="11">
        <v>22648465</v>
      </c>
      <c r="C1502" s="11">
        <v>20</v>
      </c>
      <c r="D1502">
        <v>9600000</v>
      </c>
      <c r="E1502">
        <v>1405</v>
      </c>
    </row>
    <row r="1503" ht="13.85" spans="1:5">
      <c r="A1503">
        <f t="shared" si="23"/>
        <v>1502</v>
      </c>
      <c r="B1503" s="11">
        <v>53851583</v>
      </c>
      <c r="C1503" s="11">
        <v>200</v>
      </c>
      <c r="D1503">
        <v>96000000</v>
      </c>
      <c r="E1503">
        <v>1404</v>
      </c>
    </row>
    <row r="1504" ht="13.85" spans="1:5">
      <c r="A1504">
        <f t="shared" si="23"/>
        <v>1503</v>
      </c>
      <c r="B1504" s="11">
        <v>44548124</v>
      </c>
      <c r="C1504" s="11">
        <v>171</v>
      </c>
      <c r="D1504">
        <v>82080000</v>
      </c>
      <c r="E1504">
        <v>1403</v>
      </c>
    </row>
    <row r="1505" ht="13.85" spans="1:5">
      <c r="A1505">
        <f t="shared" si="23"/>
        <v>1504</v>
      </c>
      <c r="B1505" s="11">
        <v>37437533</v>
      </c>
      <c r="C1505" s="11">
        <v>144</v>
      </c>
      <c r="D1505">
        <v>69120000</v>
      </c>
      <c r="E1505">
        <v>1402</v>
      </c>
    </row>
    <row r="1506" ht="13.85" spans="1:5">
      <c r="A1506">
        <f t="shared" si="23"/>
        <v>1505</v>
      </c>
      <c r="B1506" s="11">
        <v>35606388</v>
      </c>
      <c r="C1506" s="11">
        <v>120</v>
      </c>
      <c r="D1506">
        <v>57600000</v>
      </c>
      <c r="E1506">
        <v>1401</v>
      </c>
    </row>
    <row r="1507" ht="13.85" spans="1:5">
      <c r="A1507">
        <f t="shared" si="23"/>
        <v>1506</v>
      </c>
      <c r="B1507" s="11">
        <v>28352794</v>
      </c>
      <c r="C1507" s="11">
        <v>97</v>
      </c>
      <c r="D1507">
        <v>46560000</v>
      </c>
      <c r="E1507">
        <v>1400</v>
      </c>
    </row>
    <row r="1508" ht="13.85" spans="1:5">
      <c r="A1508">
        <f t="shared" si="23"/>
        <v>1507</v>
      </c>
      <c r="B1508" s="11">
        <v>27575934</v>
      </c>
      <c r="C1508" s="11">
        <v>81</v>
      </c>
      <c r="D1508">
        <v>38880000</v>
      </c>
      <c r="E1508">
        <v>1399</v>
      </c>
    </row>
    <row r="1509" ht="13.85" spans="1:5">
      <c r="A1509">
        <f t="shared" si="23"/>
        <v>1508</v>
      </c>
      <c r="B1509" s="11">
        <v>23027130</v>
      </c>
      <c r="C1509" s="11">
        <v>65</v>
      </c>
      <c r="D1509">
        <v>31200000</v>
      </c>
      <c r="E1509">
        <v>1398</v>
      </c>
    </row>
    <row r="1510" ht="13.85" spans="1:5">
      <c r="A1510">
        <f t="shared" si="23"/>
        <v>1509</v>
      </c>
      <c r="B1510" s="11">
        <v>24092735</v>
      </c>
      <c r="C1510" s="11">
        <v>50</v>
      </c>
      <c r="D1510">
        <v>24000000</v>
      </c>
      <c r="E1510">
        <v>1397</v>
      </c>
    </row>
    <row r="1511" ht="13.85" spans="1:5">
      <c r="A1511">
        <f t="shared" si="23"/>
        <v>1510</v>
      </c>
      <c r="B1511" s="11">
        <v>19995319</v>
      </c>
      <c r="C1511" s="11">
        <v>36</v>
      </c>
      <c r="D1511">
        <v>17280000</v>
      </c>
      <c r="E1511">
        <v>1396</v>
      </c>
    </row>
    <row r="1512" ht="13.85" spans="1:5">
      <c r="A1512">
        <f t="shared" si="23"/>
        <v>1511</v>
      </c>
      <c r="B1512" s="11">
        <v>21155718</v>
      </c>
      <c r="C1512" s="11">
        <v>25</v>
      </c>
      <c r="D1512">
        <v>12000000</v>
      </c>
      <c r="E1512">
        <v>1395</v>
      </c>
    </row>
    <row r="1513" ht="13.85" spans="1:5">
      <c r="A1513">
        <f t="shared" si="23"/>
        <v>1512</v>
      </c>
      <c r="B1513" s="11">
        <v>18553782</v>
      </c>
      <c r="C1513" s="11">
        <v>20</v>
      </c>
      <c r="D1513">
        <v>9600000</v>
      </c>
      <c r="E1513">
        <v>1394</v>
      </c>
    </row>
    <row r="1514" ht="13.85" spans="1:5">
      <c r="A1514">
        <f t="shared" si="23"/>
        <v>1513</v>
      </c>
      <c r="B1514" s="11">
        <v>27829093</v>
      </c>
      <c r="C1514" s="11">
        <v>72</v>
      </c>
      <c r="D1514">
        <v>34560000</v>
      </c>
      <c r="E1514">
        <v>1393</v>
      </c>
    </row>
    <row r="1515" ht="13.85" spans="1:5">
      <c r="A1515">
        <f t="shared" si="23"/>
        <v>1514</v>
      </c>
      <c r="B1515" s="11">
        <v>23885902</v>
      </c>
      <c r="C1515" s="11">
        <v>56</v>
      </c>
      <c r="D1515">
        <v>26880000</v>
      </c>
      <c r="E1515">
        <v>1392</v>
      </c>
    </row>
    <row r="1516" ht="13.85" spans="1:5">
      <c r="A1516">
        <f t="shared" si="23"/>
        <v>1515</v>
      </c>
      <c r="B1516" s="11">
        <v>23652296</v>
      </c>
      <c r="C1516" s="11">
        <v>43</v>
      </c>
      <c r="D1516">
        <v>20640000</v>
      </c>
      <c r="E1516">
        <v>1391</v>
      </c>
    </row>
    <row r="1517" ht="13.85" spans="1:5">
      <c r="A1517">
        <f t="shared" si="23"/>
        <v>1516</v>
      </c>
      <c r="B1517" s="11">
        <v>20444440</v>
      </c>
      <c r="C1517" s="11">
        <v>27</v>
      </c>
      <c r="D1517">
        <v>12960000</v>
      </c>
      <c r="E1517">
        <v>1390</v>
      </c>
    </row>
    <row r="1518" ht="13.85" spans="1:5">
      <c r="A1518">
        <f t="shared" si="23"/>
        <v>1517</v>
      </c>
      <c r="B1518" s="11">
        <v>23370901</v>
      </c>
      <c r="C1518" s="11">
        <v>20</v>
      </c>
      <c r="D1518">
        <v>9600000</v>
      </c>
      <c r="E1518">
        <v>1389</v>
      </c>
    </row>
    <row r="1519" ht="13.85" spans="1:5">
      <c r="A1519">
        <f t="shared" si="23"/>
        <v>1518</v>
      </c>
      <c r="B1519" s="11">
        <v>58217464</v>
      </c>
      <c r="C1519" s="11">
        <v>218</v>
      </c>
      <c r="D1519">
        <v>104640000</v>
      </c>
      <c r="E1519">
        <v>1388</v>
      </c>
    </row>
    <row r="1520" ht="13.85" spans="1:5">
      <c r="A1520">
        <f t="shared" si="23"/>
        <v>1519</v>
      </c>
      <c r="B1520" s="11">
        <v>49148514</v>
      </c>
      <c r="C1520" s="11">
        <v>187</v>
      </c>
      <c r="D1520">
        <v>89760000</v>
      </c>
      <c r="E1520">
        <v>1387</v>
      </c>
    </row>
    <row r="1521" ht="13.85" spans="1:5">
      <c r="A1521">
        <f t="shared" si="23"/>
        <v>1520</v>
      </c>
      <c r="B1521" s="11">
        <v>39090757</v>
      </c>
      <c r="C1521" s="11">
        <v>153</v>
      </c>
      <c r="D1521">
        <v>73440000</v>
      </c>
      <c r="E1521">
        <v>1386</v>
      </c>
    </row>
    <row r="1522" ht="13.85" spans="1:5">
      <c r="A1522">
        <f t="shared" si="23"/>
        <v>1521</v>
      </c>
      <c r="B1522" s="11">
        <v>39898318</v>
      </c>
      <c r="C1522" s="11">
        <v>125</v>
      </c>
      <c r="D1522">
        <v>60000000</v>
      </c>
      <c r="E1522">
        <v>1385</v>
      </c>
    </row>
    <row r="1523" ht="13.85" spans="1:5">
      <c r="A1523">
        <f t="shared" si="23"/>
        <v>1522</v>
      </c>
      <c r="B1523" s="11">
        <v>31151216</v>
      </c>
      <c r="C1523" s="11">
        <v>101</v>
      </c>
      <c r="D1523">
        <v>48480000</v>
      </c>
      <c r="E1523">
        <v>1384</v>
      </c>
    </row>
    <row r="1524" ht="13.85" spans="1:5">
      <c r="A1524">
        <f t="shared" si="23"/>
        <v>1523</v>
      </c>
      <c r="B1524" s="11">
        <v>26531084</v>
      </c>
      <c r="C1524" s="11">
        <v>85</v>
      </c>
      <c r="D1524">
        <v>40800000</v>
      </c>
      <c r="E1524">
        <v>1383</v>
      </c>
    </row>
    <row r="1525" ht="13.85" spans="1:5">
      <c r="A1525">
        <f t="shared" si="23"/>
        <v>1524</v>
      </c>
      <c r="B1525" s="11">
        <v>21989176</v>
      </c>
      <c r="C1525" s="11">
        <v>67</v>
      </c>
      <c r="D1525">
        <v>32160000</v>
      </c>
      <c r="E1525">
        <v>1382</v>
      </c>
    </row>
    <row r="1526" ht="13.85" spans="1:5">
      <c r="A1526">
        <f t="shared" si="23"/>
        <v>1525</v>
      </c>
      <c r="B1526" s="11">
        <v>23422605</v>
      </c>
      <c r="C1526" s="11">
        <v>54</v>
      </c>
      <c r="D1526">
        <v>25920000</v>
      </c>
      <c r="E1526">
        <v>1381</v>
      </c>
    </row>
    <row r="1527" ht="13.85" spans="1:5">
      <c r="A1527">
        <f t="shared" si="23"/>
        <v>1526</v>
      </c>
      <c r="B1527" s="11">
        <v>19918099</v>
      </c>
      <c r="C1527" s="11">
        <v>40</v>
      </c>
      <c r="D1527">
        <v>19200000</v>
      </c>
      <c r="E1527">
        <v>1380</v>
      </c>
    </row>
    <row r="1528" ht="13.85" spans="1:5">
      <c r="A1528">
        <f t="shared" si="23"/>
        <v>1527</v>
      </c>
      <c r="B1528" s="11">
        <v>21813405</v>
      </c>
      <c r="C1528" s="11">
        <v>25</v>
      </c>
      <c r="D1528">
        <v>12000000</v>
      </c>
      <c r="E1528">
        <v>1379</v>
      </c>
    </row>
    <row r="1529" ht="13.85" spans="1:5">
      <c r="A1529">
        <f t="shared" si="23"/>
        <v>1528</v>
      </c>
      <c r="B1529" s="11">
        <v>19656666</v>
      </c>
      <c r="C1529" s="11">
        <v>20</v>
      </c>
      <c r="D1529">
        <v>9600000</v>
      </c>
      <c r="E1529">
        <v>1378</v>
      </c>
    </row>
    <row r="1530" ht="13.85" spans="1:5">
      <c r="A1530">
        <f t="shared" si="23"/>
        <v>1529</v>
      </c>
      <c r="B1530" s="11">
        <v>48365255</v>
      </c>
      <c r="C1530" s="11">
        <v>184</v>
      </c>
      <c r="D1530">
        <v>88320000</v>
      </c>
      <c r="E1530">
        <v>1377</v>
      </c>
    </row>
    <row r="1531" ht="13.85" spans="1:5">
      <c r="A1531">
        <f t="shared" si="23"/>
        <v>1530</v>
      </c>
      <c r="B1531" s="11">
        <v>39625083</v>
      </c>
      <c r="C1531" s="11">
        <v>155</v>
      </c>
      <c r="D1531">
        <v>74400000</v>
      </c>
      <c r="E1531">
        <v>1376</v>
      </c>
    </row>
    <row r="1532" ht="13.85" spans="1:5">
      <c r="A1532">
        <f t="shared" si="23"/>
        <v>1531</v>
      </c>
      <c r="B1532" s="11">
        <v>37622199</v>
      </c>
      <c r="C1532" s="11">
        <v>126</v>
      </c>
      <c r="D1532">
        <v>60480000</v>
      </c>
      <c r="E1532">
        <v>1375</v>
      </c>
    </row>
    <row r="1533" ht="13.85" spans="1:5">
      <c r="A1533">
        <f t="shared" si="23"/>
        <v>1532</v>
      </c>
      <c r="B1533" s="11">
        <v>31976380</v>
      </c>
      <c r="C1533" s="11">
        <v>101</v>
      </c>
      <c r="D1533">
        <v>48480000</v>
      </c>
      <c r="E1533">
        <v>1374</v>
      </c>
    </row>
    <row r="1534" ht="13.85" spans="1:5">
      <c r="A1534">
        <f t="shared" si="23"/>
        <v>1533</v>
      </c>
      <c r="B1534" s="11">
        <v>26927569</v>
      </c>
      <c r="C1534" s="11">
        <v>82</v>
      </c>
      <c r="D1534">
        <v>39360000</v>
      </c>
      <c r="E1534">
        <v>1373</v>
      </c>
    </row>
    <row r="1535" ht="13.85" spans="1:5">
      <c r="A1535">
        <f t="shared" si="23"/>
        <v>1534</v>
      </c>
      <c r="B1535" s="11">
        <v>22157797</v>
      </c>
      <c r="C1535" s="11">
        <v>63</v>
      </c>
      <c r="D1535">
        <v>30240000</v>
      </c>
      <c r="E1535">
        <v>1372</v>
      </c>
    </row>
    <row r="1536" ht="13.85" spans="1:5">
      <c r="A1536">
        <f t="shared" si="23"/>
        <v>1535</v>
      </c>
      <c r="B1536" s="11">
        <v>23625565</v>
      </c>
      <c r="C1536" s="11">
        <v>50</v>
      </c>
      <c r="D1536">
        <v>24000000</v>
      </c>
      <c r="E1536">
        <v>1371</v>
      </c>
    </row>
    <row r="1537" ht="13.85" spans="1:5">
      <c r="A1537">
        <f t="shared" si="23"/>
        <v>1536</v>
      </c>
      <c r="B1537" s="11">
        <v>18167841</v>
      </c>
      <c r="C1537" s="11">
        <v>35</v>
      </c>
      <c r="D1537">
        <v>16800000</v>
      </c>
      <c r="E1537">
        <v>1370</v>
      </c>
    </row>
    <row r="1538" ht="13.85" spans="1:5">
      <c r="A1538">
        <f t="shared" ref="A1538:A1601" si="24">ROW()-1</f>
        <v>1537</v>
      </c>
      <c r="B1538" s="11">
        <v>20267441</v>
      </c>
      <c r="C1538" s="11">
        <v>25</v>
      </c>
      <c r="D1538">
        <v>12000000</v>
      </c>
      <c r="E1538">
        <v>1369</v>
      </c>
    </row>
    <row r="1539" ht="13.85" spans="1:5">
      <c r="A1539">
        <f t="shared" si="24"/>
        <v>1538</v>
      </c>
      <c r="B1539" s="11">
        <v>17849664</v>
      </c>
      <c r="C1539" s="11">
        <v>20</v>
      </c>
      <c r="D1539">
        <v>9600000</v>
      </c>
      <c r="E1539">
        <v>1368</v>
      </c>
    </row>
    <row r="1540" ht="13.85" spans="1:5">
      <c r="A1540">
        <f t="shared" si="24"/>
        <v>1539</v>
      </c>
      <c r="B1540" s="11">
        <v>34029573</v>
      </c>
      <c r="C1540" s="11">
        <v>122</v>
      </c>
      <c r="D1540">
        <v>58560000</v>
      </c>
      <c r="E1540">
        <v>1367</v>
      </c>
    </row>
    <row r="1541" ht="13.85" spans="1:5">
      <c r="A1541">
        <f t="shared" si="24"/>
        <v>1540</v>
      </c>
      <c r="B1541" s="11">
        <v>27158928</v>
      </c>
      <c r="C1541" s="11">
        <v>96</v>
      </c>
      <c r="D1541">
        <v>46080000</v>
      </c>
      <c r="E1541">
        <v>1366</v>
      </c>
    </row>
    <row r="1542" ht="13.85" spans="1:5">
      <c r="A1542">
        <f t="shared" si="24"/>
        <v>1541</v>
      </c>
      <c r="B1542" s="11">
        <v>26778161</v>
      </c>
      <c r="C1542" s="11">
        <v>82</v>
      </c>
      <c r="D1542">
        <v>39360000</v>
      </c>
      <c r="E1542">
        <v>1365</v>
      </c>
    </row>
    <row r="1543" ht="13.85" spans="1:5">
      <c r="A1543">
        <f t="shared" si="24"/>
        <v>1542</v>
      </c>
      <c r="B1543" s="11">
        <v>21227821</v>
      </c>
      <c r="C1543" s="11">
        <v>67</v>
      </c>
      <c r="D1543">
        <v>32160000</v>
      </c>
      <c r="E1543">
        <v>1364</v>
      </c>
    </row>
    <row r="1544" ht="13.85" spans="1:5">
      <c r="A1544">
        <f t="shared" si="24"/>
        <v>1543</v>
      </c>
      <c r="B1544" s="11">
        <v>22798187</v>
      </c>
      <c r="C1544" s="11">
        <v>51</v>
      </c>
      <c r="D1544">
        <v>24480000</v>
      </c>
      <c r="E1544">
        <v>1363</v>
      </c>
    </row>
    <row r="1545" ht="13.85" spans="1:5">
      <c r="A1545">
        <f t="shared" si="24"/>
        <v>1544</v>
      </c>
      <c r="B1545" s="11">
        <v>21987195</v>
      </c>
      <c r="C1545" s="11">
        <v>34</v>
      </c>
      <c r="D1545">
        <v>16320000</v>
      </c>
      <c r="E1545">
        <v>1362</v>
      </c>
    </row>
    <row r="1546" ht="13.85" spans="1:5">
      <c r="A1546">
        <f t="shared" si="24"/>
        <v>1545</v>
      </c>
      <c r="B1546" s="15">
        <v>20986302</v>
      </c>
      <c r="C1546" s="15">
        <v>25</v>
      </c>
      <c r="D1546">
        <v>12000000</v>
      </c>
      <c r="E1546">
        <v>1361</v>
      </c>
    </row>
    <row r="1547" ht="13.85" spans="1:5">
      <c r="A1547">
        <f t="shared" si="24"/>
        <v>1546</v>
      </c>
      <c r="B1547" s="13">
        <v>17780026</v>
      </c>
      <c r="C1547" s="13">
        <v>20</v>
      </c>
      <c r="D1547">
        <v>9600000</v>
      </c>
      <c r="E1547">
        <v>1360</v>
      </c>
    </row>
    <row r="1548" ht="13.85" spans="1:5">
      <c r="A1548">
        <f t="shared" si="24"/>
        <v>1547</v>
      </c>
      <c r="B1548" s="11">
        <v>21125168</v>
      </c>
      <c r="C1548" s="11">
        <v>46</v>
      </c>
      <c r="D1548">
        <v>22080000</v>
      </c>
      <c r="E1548">
        <v>1359</v>
      </c>
    </row>
    <row r="1549" ht="13.85" spans="1:5">
      <c r="A1549">
        <f t="shared" si="24"/>
        <v>1548</v>
      </c>
      <c r="B1549" s="11">
        <v>19690822</v>
      </c>
      <c r="C1549" s="11">
        <v>35</v>
      </c>
      <c r="D1549">
        <v>16800000</v>
      </c>
      <c r="E1549">
        <v>1358</v>
      </c>
    </row>
    <row r="1550" ht="13.85" spans="1:5">
      <c r="A1550">
        <f t="shared" si="24"/>
        <v>1549</v>
      </c>
      <c r="B1550" s="11">
        <v>20170142</v>
      </c>
      <c r="C1550" s="11">
        <v>25</v>
      </c>
      <c r="D1550">
        <v>12000000</v>
      </c>
      <c r="E1550">
        <v>1357</v>
      </c>
    </row>
    <row r="1551" ht="13.85" spans="1:5">
      <c r="A1551">
        <f t="shared" si="24"/>
        <v>1550</v>
      </c>
      <c r="B1551" s="11">
        <v>17624726</v>
      </c>
      <c r="C1551" s="11">
        <v>20</v>
      </c>
      <c r="D1551">
        <v>9600000</v>
      </c>
      <c r="E1551">
        <v>1356</v>
      </c>
    </row>
    <row r="1552" ht="13.85" spans="1:5">
      <c r="A1552">
        <f t="shared" si="24"/>
        <v>1551</v>
      </c>
      <c r="B1552" s="11">
        <v>21256424</v>
      </c>
      <c r="C1552" s="11">
        <v>37</v>
      </c>
      <c r="D1552">
        <v>17760000</v>
      </c>
      <c r="E1552">
        <v>1355</v>
      </c>
    </row>
    <row r="1553" ht="13.85" spans="1:5">
      <c r="A1553">
        <f t="shared" si="24"/>
        <v>1552</v>
      </c>
      <c r="B1553" s="11">
        <v>18306999</v>
      </c>
      <c r="C1553" s="11">
        <v>25</v>
      </c>
      <c r="D1553">
        <v>12000000</v>
      </c>
      <c r="E1553">
        <v>1354</v>
      </c>
    </row>
    <row r="1554" ht="13.85" spans="1:5">
      <c r="A1554">
        <f t="shared" si="24"/>
        <v>1553</v>
      </c>
      <c r="B1554" s="11">
        <v>20891222</v>
      </c>
      <c r="C1554" s="11">
        <v>20</v>
      </c>
      <c r="D1554">
        <v>9600000</v>
      </c>
      <c r="E1554">
        <v>1353</v>
      </c>
    </row>
    <row r="1555" ht="13.85" spans="1:5">
      <c r="A1555">
        <f t="shared" si="24"/>
        <v>1554</v>
      </c>
      <c r="B1555" s="11">
        <v>26455102</v>
      </c>
      <c r="C1555" s="11">
        <v>95</v>
      </c>
      <c r="D1555">
        <v>45600000</v>
      </c>
      <c r="E1555">
        <v>1352</v>
      </c>
    </row>
    <row r="1556" ht="13.85" spans="1:5">
      <c r="A1556">
        <f t="shared" si="24"/>
        <v>1555</v>
      </c>
      <c r="B1556" s="11">
        <v>23408982</v>
      </c>
      <c r="C1556" s="11">
        <v>79</v>
      </c>
      <c r="D1556">
        <v>37920000</v>
      </c>
      <c r="E1556">
        <v>1351</v>
      </c>
    </row>
    <row r="1557" ht="13.85" spans="1:5">
      <c r="A1557">
        <f t="shared" si="24"/>
        <v>1556</v>
      </c>
      <c r="B1557" s="11">
        <v>23633540</v>
      </c>
      <c r="C1557" s="11">
        <v>64</v>
      </c>
      <c r="D1557">
        <v>30720000</v>
      </c>
      <c r="E1557">
        <v>1350</v>
      </c>
    </row>
    <row r="1558" ht="13.85" spans="1:5">
      <c r="A1558">
        <f t="shared" si="24"/>
        <v>1557</v>
      </c>
      <c r="B1558" s="11">
        <v>23769024</v>
      </c>
      <c r="C1558" s="11">
        <v>50</v>
      </c>
      <c r="D1558">
        <v>24000000</v>
      </c>
      <c r="E1558">
        <v>1349</v>
      </c>
    </row>
    <row r="1559" ht="13.85" spans="1:5">
      <c r="A1559">
        <f t="shared" si="24"/>
        <v>1558</v>
      </c>
      <c r="B1559" s="11">
        <v>20128151</v>
      </c>
      <c r="C1559" s="11">
        <v>35</v>
      </c>
      <c r="D1559">
        <v>16800000</v>
      </c>
      <c r="E1559">
        <v>1348</v>
      </c>
    </row>
    <row r="1560" ht="13.85" spans="1:5">
      <c r="A1560">
        <f t="shared" si="24"/>
        <v>1559</v>
      </c>
      <c r="B1560" s="11">
        <v>21644503</v>
      </c>
      <c r="C1560" s="11">
        <v>25</v>
      </c>
      <c r="D1560">
        <v>12000000</v>
      </c>
      <c r="E1560">
        <v>1347</v>
      </c>
    </row>
    <row r="1561" ht="13.85" spans="1:5">
      <c r="A1561">
        <f t="shared" si="24"/>
        <v>1560</v>
      </c>
      <c r="B1561" s="11">
        <v>19271815</v>
      </c>
      <c r="C1561" s="11">
        <v>20</v>
      </c>
      <c r="D1561">
        <v>9600000</v>
      </c>
      <c r="E1561">
        <v>1346</v>
      </c>
    </row>
    <row r="1562" ht="13.85" spans="1:5">
      <c r="A1562">
        <f t="shared" si="24"/>
        <v>1561</v>
      </c>
      <c r="B1562" s="11">
        <v>36959961</v>
      </c>
      <c r="C1562" s="11">
        <v>123</v>
      </c>
      <c r="D1562">
        <v>59040000</v>
      </c>
      <c r="E1562">
        <v>1345</v>
      </c>
    </row>
    <row r="1563" ht="13.85" spans="1:5">
      <c r="A1563">
        <f t="shared" si="24"/>
        <v>1562</v>
      </c>
      <c r="B1563" s="11">
        <v>30837546</v>
      </c>
      <c r="C1563" s="11">
        <v>104</v>
      </c>
      <c r="D1563">
        <v>49920000</v>
      </c>
      <c r="E1563">
        <v>1344</v>
      </c>
    </row>
    <row r="1564" ht="13.85" spans="1:5">
      <c r="A1564">
        <f t="shared" si="24"/>
        <v>1563</v>
      </c>
      <c r="B1564" s="11">
        <v>26539388</v>
      </c>
      <c r="C1564" s="11">
        <v>87</v>
      </c>
      <c r="D1564">
        <v>41760000</v>
      </c>
      <c r="E1564">
        <v>1343</v>
      </c>
    </row>
    <row r="1565" ht="13.85" spans="1:5">
      <c r="A1565">
        <f t="shared" si="24"/>
        <v>1564</v>
      </c>
      <c r="B1565" s="11">
        <v>22629280</v>
      </c>
      <c r="C1565" s="11">
        <v>72</v>
      </c>
      <c r="D1565">
        <v>34560000</v>
      </c>
      <c r="E1565">
        <v>1342</v>
      </c>
    </row>
    <row r="1566" ht="13.85" spans="1:5">
      <c r="A1566">
        <f t="shared" si="24"/>
        <v>1565</v>
      </c>
      <c r="B1566" s="11">
        <v>23766218</v>
      </c>
      <c r="C1566" s="11">
        <v>59</v>
      </c>
      <c r="D1566">
        <v>28320000</v>
      </c>
      <c r="E1566">
        <v>1341</v>
      </c>
    </row>
    <row r="1567" ht="13.85" spans="1:5">
      <c r="A1567">
        <f t="shared" si="24"/>
        <v>1566</v>
      </c>
      <c r="B1567" s="11">
        <v>20324810</v>
      </c>
      <c r="C1567" s="11">
        <v>46</v>
      </c>
      <c r="D1567">
        <v>22080000</v>
      </c>
      <c r="E1567">
        <v>1340</v>
      </c>
    </row>
    <row r="1568" ht="13.85" spans="1:5">
      <c r="A1568">
        <f t="shared" si="24"/>
        <v>1567</v>
      </c>
      <c r="B1568" s="11">
        <v>21728971</v>
      </c>
      <c r="C1568" s="11">
        <v>34</v>
      </c>
      <c r="D1568">
        <v>16320000</v>
      </c>
      <c r="E1568">
        <v>1339</v>
      </c>
    </row>
    <row r="1569" ht="13.85" spans="1:5">
      <c r="A1569">
        <f t="shared" si="24"/>
        <v>1568</v>
      </c>
      <c r="B1569" s="11">
        <v>18709731</v>
      </c>
      <c r="C1569" s="11">
        <v>25</v>
      </c>
      <c r="D1569">
        <v>12000000</v>
      </c>
      <c r="E1569">
        <v>1338</v>
      </c>
    </row>
    <row r="1570" ht="13.85" spans="1:5">
      <c r="A1570">
        <f t="shared" si="24"/>
        <v>1569</v>
      </c>
      <c r="B1570" s="11">
        <v>21069092</v>
      </c>
      <c r="C1570" s="11">
        <v>20</v>
      </c>
      <c r="D1570">
        <v>9600000</v>
      </c>
      <c r="E1570">
        <v>1337</v>
      </c>
    </row>
    <row r="1571" ht="13.85" spans="1:5">
      <c r="A1571">
        <f t="shared" si="24"/>
        <v>1570</v>
      </c>
      <c r="B1571" s="11">
        <v>22818806</v>
      </c>
      <c r="C1571" s="11">
        <v>60</v>
      </c>
      <c r="D1571">
        <v>28800000</v>
      </c>
      <c r="E1571">
        <v>1336</v>
      </c>
    </row>
    <row r="1572" ht="13.85" spans="1:5">
      <c r="A1572">
        <f t="shared" si="24"/>
        <v>1571</v>
      </c>
      <c r="B1572" s="11">
        <v>24309114</v>
      </c>
      <c r="C1572" s="11">
        <v>48</v>
      </c>
      <c r="D1572">
        <v>23040000</v>
      </c>
      <c r="E1572">
        <v>1335</v>
      </c>
    </row>
    <row r="1573" ht="13.85" spans="1:5">
      <c r="A1573">
        <f t="shared" si="24"/>
        <v>1572</v>
      </c>
      <c r="B1573" s="11">
        <v>20214836</v>
      </c>
      <c r="C1573" s="11">
        <v>35</v>
      </c>
      <c r="D1573">
        <v>16800000</v>
      </c>
      <c r="E1573">
        <v>1334</v>
      </c>
    </row>
    <row r="1574" ht="13.85" spans="1:5">
      <c r="A1574">
        <f t="shared" si="24"/>
        <v>1573</v>
      </c>
      <c r="B1574" s="11">
        <v>21909458</v>
      </c>
      <c r="C1574" s="11">
        <v>25</v>
      </c>
      <c r="D1574">
        <v>12000000</v>
      </c>
      <c r="E1574">
        <v>1333</v>
      </c>
    </row>
    <row r="1575" ht="13.85" spans="1:5">
      <c r="A1575">
        <f t="shared" si="24"/>
        <v>1574</v>
      </c>
      <c r="B1575" s="11">
        <v>19554667</v>
      </c>
      <c r="C1575" s="11">
        <v>20</v>
      </c>
      <c r="D1575">
        <v>9600000</v>
      </c>
      <c r="E1575">
        <v>1332</v>
      </c>
    </row>
    <row r="1576" ht="13.85" spans="1:5">
      <c r="A1576">
        <f t="shared" si="24"/>
        <v>1575</v>
      </c>
      <c r="B1576" s="11">
        <v>34189186</v>
      </c>
      <c r="C1576" s="11">
        <v>112</v>
      </c>
      <c r="D1576">
        <v>53760000</v>
      </c>
      <c r="E1576">
        <v>1331</v>
      </c>
    </row>
    <row r="1577" ht="13.85" spans="1:5">
      <c r="A1577">
        <f t="shared" si="24"/>
        <v>1576</v>
      </c>
      <c r="B1577" s="11">
        <v>27215216</v>
      </c>
      <c r="C1577" s="11">
        <v>94</v>
      </c>
      <c r="D1577">
        <v>45120000</v>
      </c>
      <c r="E1577">
        <v>1330</v>
      </c>
    </row>
    <row r="1578" ht="13.85" spans="1:5">
      <c r="A1578">
        <f t="shared" si="24"/>
        <v>1577</v>
      </c>
      <c r="B1578" s="11">
        <v>26721007</v>
      </c>
      <c r="C1578" s="11">
        <v>79</v>
      </c>
      <c r="D1578">
        <v>37920000</v>
      </c>
      <c r="E1578">
        <v>1329</v>
      </c>
    </row>
    <row r="1579" ht="13.85" spans="1:5">
      <c r="A1579">
        <f t="shared" si="24"/>
        <v>1578</v>
      </c>
      <c r="B1579" s="11">
        <v>22522686</v>
      </c>
      <c r="C1579" s="11">
        <v>62</v>
      </c>
      <c r="D1579">
        <v>29760000</v>
      </c>
      <c r="E1579">
        <v>1328</v>
      </c>
    </row>
    <row r="1580" ht="13.85" spans="1:5">
      <c r="A1580">
        <f t="shared" si="24"/>
        <v>1579</v>
      </c>
      <c r="B1580" s="11">
        <v>24420481</v>
      </c>
      <c r="C1580" s="11">
        <v>47</v>
      </c>
      <c r="D1580">
        <v>22560000</v>
      </c>
      <c r="E1580">
        <v>1327</v>
      </c>
    </row>
    <row r="1581" ht="13.85" spans="1:5">
      <c r="A1581">
        <f t="shared" si="24"/>
        <v>1580</v>
      </c>
      <c r="B1581" s="11">
        <v>20654196</v>
      </c>
      <c r="C1581" s="11">
        <v>34</v>
      </c>
      <c r="D1581">
        <v>16320000</v>
      </c>
      <c r="E1581">
        <v>1326</v>
      </c>
    </row>
    <row r="1582" ht="13.85" spans="1:5">
      <c r="A1582">
        <f t="shared" si="24"/>
        <v>1581</v>
      </c>
      <c r="B1582" s="11">
        <v>21228227</v>
      </c>
      <c r="C1582" s="11">
        <v>25</v>
      </c>
      <c r="D1582">
        <v>12000000</v>
      </c>
      <c r="E1582">
        <v>1325</v>
      </c>
    </row>
    <row r="1583" ht="13.85" spans="1:5">
      <c r="A1583">
        <f t="shared" si="24"/>
        <v>1582</v>
      </c>
      <c r="B1583" s="11">
        <v>19057422</v>
      </c>
      <c r="C1583" s="11">
        <v>20</v>
      </c>
      <c r="D1583">
        <v>9600000</v>
      </c>
      <c r="E1583">
        <v>1324</v>
      </c>
    </row>
    <row r="1584" ht="13.85" spans="1:5">
      <c r="A1584">
        <f t="shared" si="24"/>
        <v>1583</v>
      </c>
      <c r="B1584" s="11">
        <v>27499193</v>
      </c>
      <c r="C1584" s="11">
        <v>80</v>
      </c>
      <c r="D1584">
        <v>38400000</v>
      </c>
      <c r="E1584">
        <v>1323</v>
      </c>
    </row>
    <row r="1585" ht="13.85" spans="1:5">
      <c r="A1585">
        <f t="shared" si="24"/>
        <v>1584</v>
      </c>
      <c r="B1585" s="11">
        <v>23077525</v>
      </c>
      <c r="C1585" s="11">
        <v>64</v>
      </c>
      <c r="D1585">
        <v>30720000</v>
      </c>
      <c r="E1585">
        <v>1322</v>
      </c>
    </row>
    <row r="1586" ht="13.85" spans="1:5">
      <c r="A1586">
        <f t="shared" si="24"/>
        <v>1585</v>
      </c>
      <c r="B1586" s="11">
        <v>24483737</v>
      </c>
      <c r="C1586" s="11">
        <v>51</v>
      </c>
      <c r="D1586">
        <v>24480000</v>
      </c>
      <c r="E1586">
        <v>1321</v>
      </c>
    </row>
    <row r="1587" ht="13.85" spans="1:5">
      <c r="A1587">
        <f t="shared" si="24"/>
        <v>1586</v>
      </c>
      <c r="B1587" s="11">
        <v>20682246</v>
      </c>
      <c r="C1587" s="11">
        <v>38</v>
      </c>
      <c r="D1587">
        <v>18240000</v>
      </c>
      <c r="E1587">
        <v>1320</v>
      </c>
    </row>
    <row r="1588" ht="13.85" spans="1:5">
      <c r="A1588">
        <f t="shared" si="24"/>
        <v>1587</v>
      </c>
      <c r="B1588" s="11">
        <v>22076590</v>
      </c>
      <c r="C1588" s="11">
        <v>25</v>
      </c>
      <c r="D1588">
        <v>12000000</v>
      </c>
      <c r="E1588">
        <v>1319</v>
      </c>
    </row>
    <row r="1589" ht="13.85" spans="1:5">
      <c r="A1589">
        <f t="shared" si="24"/>
        <v>1588</v>
      </c>
      <c r="B1589" s="11">
        <v>20053010</v>
      </c>
      <c r="C1589" s="11">
        <v>20</v>
      </c>
      <c r="D1589">
        <v>9600000</v>
      </c>
      <c r="E1589">
        <v>1318</v>
      </c>
    </row>
    <row r="1590" ht="13.85" spans="1:5">
      <c r="A1590">
        <f t="shared" si="24"/>
        <v>1589</v>
      </c>
      <c r="B1590" s="11">
        <v>28794907</v>
      </c>
      <c r="C1590" s="11">
        <v>85</v>
      </c>
      <c r="D1590">
        <v>40800000</v>
      </c>
      <c r="E1590">
        <v>1317</v>
      </c>
    </row>
    <row r="1591" ht="13.85" spans="1:5">
      <c r="A1591">
        <f t="shared" si="24"/>
        <v>1590</v>
      </c>
      <c r="B1591" s="11">
        <v>24144586</v>
      </c>
      <c r="C1591" s="11">
        <v>67</v>
      </c>
      <c r="D1591">
        <v>32160000</v>
      </c>
      <c r="E1591">
        <v>1316</v>
      </c>
    </row>
    <row r="1592" ht="13.85" spans="1:5">
      <c r="A1592">
        <f t="shared" si="24"/>
        <v>1591</v>
      </c>
      <c r="B1592" s="11">
        <v>25157201</v>
      </c>
      <c r="C1592" s="11">
        <v>52</v>
      </c>
      <c r="D1592">
        <v>24960000</v>
      </c>
      <c r="E1592">
        <v>1315</v>
      </c>
    </row>
    <row r="1593" ht="13.85" spans="1:5">
      <c r="A1593">
        <f t="shared" si="24"/>
        <v>1592</v>
      </c>
      <c r="B1593" s="11">
        <v>21603539</v>
      </c>
      <c r="C1593" s="11">
        <v>37</v>
      </c>
      <c r="D1593">
        <v>17760000</v>
      </c>
      <c r="E1593">
        <v>1314</v>
      </c>
    </row>
    <row r="1594" ht="13.85" spans="1:5">
      <c r="A1594">
        <f t="shared" si="24"/>
        <v>1593</v>
      </c>
      <c r="B1594" s="11">
        <v>22446683</v>
      </c>
      <c r="C1594" s="11">
        <v>27</v>
      </c>
      <c r="D1594">
        <v>12960000</v>
      </c>
      <c r="E1594">
        <v>1313</v>
      </c>
    </row>
    <row r="1595" ht="13.85" spans="1:5">
      <c r="A1595">
        <f t="shared" si="24"/>
        <v>1594</v>
      </c>
      <c r="B1595" s="11">
        <v>20145814</v>
      </c>
      <c r="C1595" s="11">
        <v>20</v>
      </c>
      <c r="D1595">
        <v>9600000</v>
      </c>
      <c r="E1595">
        <v>1312</v>
      </c>
    </row>
    <row r="1596" ht="13.85" spans="1:5">
      <c r="A1596">
        <f t="shared" si="24"/>
        <v>1595</v>
      </c>
      <c r="B1596" s="11">
        <v>27635903</v>
      </c>
      <c r="C1596" s="11">
        <v>72</v>
      </c>
      <c r="D1596">
        <v>34560000</v>
      </c>
      <c r="E1596">
        <v>1311</v>
      </c>
    </row>
    <row r="1597" ht="13.85" spans="1:5">
      <c r="A1597">
        <f t="shared" si="24"/>
        <v>1596</v>
      </c>
      <c r="B1597" s="11">
        <v>23282946</v>
      </c>
      <c r="C1597" s="11">
        <v>54</v>
      </c>
      <c r="D1597">
        <v>25920000</v>
      </c>
      <c r="E1597">
        <v>1310</v>
      </c>
    </row>
    <row r="1598" ht="13.85" spans="1:5">
      <c r="A1598">
        <f t="shared" si="24"/>
        <v>1597</v>
      </c>
      <c r="B1598" s="11">
        <v>25619440</v>
      </c>
      <c r="C1598" s="11">
        <v>41</v>
      </c>
      <c r="D1598">
        <v>19680000</v>
      </c>
      <c r="E1598">
        <v>1309</v>
      </c>
    </row>
    <row r="1599" ht="13.85" spans="1:5">
      <c r="A1599">
        <f t="shared" si="24"/>
        <v>1598</v>
      </c>
      <c r="B1599" s="11">
        <v>21611238</v>
      </c>
      <c r="C1599" s="11">
        <v>27</v>
      </c>
      <c r="D1599">
        <v>12960000</v>
      </c>
      <c r="E1599">
        <v>1308</v>
      </c>
    </row>
    <row r="1600" ht="13.85" spans="1:5">
      <c r="A1600">
        <f t="shared" si="24"/>
        <v>1599</v>
      </c>
      <c r="B1600" s="11">
        <v>22870346</v>
      </c>
      <c r="C1600" s="11">
        <v>20</v>
      </c>
      <c r="D1600">
        <v>9600000</v>
      </c>
      <c r="E1600">
        <v>1307</v>
      </c>
    </row>
    <row r="1601" ht="13.85" spans="1:5">
      <c r="A1601">
        <f t="shared" si="24"/>
        <v>1600</v>
      </c>
      <c r="B1601" s="11">
        <v>28593798</v>
      </c>
      <c r="C1601" s="11">
        <v>97</v>
      </c>
      <c r="D1601">
        <v>46560000</v>
      </c>
      <c r="E1601">
        <v>1306</v>
      </c>
    </row>
    <row r="1602" ht="13.85" spans="1:5">
      <c r="A1602">
        <f t="shared" ref="A1602:A1665" si="25">ROW()-1</f>
        <v>1601</v>
      </c>
      <c r="B1602" s="11">
        <v>28542442</v>
      </c>
      <c r="C1602" s="11">
        <v>78</v>
      </c>
      <c r="D1602">
        <v>37440000</v>
      </c>
      <c r="E1602">
        <v>1305</v>
      </c>
    </row>
    <row r="1603" ht="13.85" spans="1:5">
      <c r="A1603">
        <f t="shared" si="25"/>
        <v>1602</v>
      </c>
      <c r="B1603" s="11">
        <v>25440953</v>
      </c>
      <c r="C1603" s="11">
        <v>60</v>
      </c>
      <c r="D1603">
        <v>28800000</v>
      </c>
      <c r="E1603">
        <v>1304</v>
      </c>
    </row>
    <row r="1604" ht="13.85" spans="1:5">
      <c r="A1604">
        <f t="shared" si="25"/>
        <v>1603</v>
      </c>
      <c r="B1604" s="11">
        <v>25833923</v>
      </c>
      <c r="C1604" s="11">
        <v>44</v>
      </c>
      <c r="D1604">
        <v>21120000</v>
      </c>
      <c r="E1604">
        <v>1303</v>
      </c>
    </row>
    <row r="1605" ht="13.85" spans="1:5">
      <c r="A1605">
        <f t="shared" si="25"/>
        <v>1604</v>
      </c>
      <c r="B1605" s="11">
        <v>22533772</v>
      </c>
      <c r="C1605" s="11">
        <v>28</v>
      </c>
      <c r="D1605">
        <v>13440000</v>
      </c>
      <c r="E1605">
        <v>1302</v>
      </c>
    </row>
    <row r="1606" ht="13.85" spans="1:5">
      <c r="A1606">
        <f t="shared" si="25"/>
        <v>1605</v>
      </c>
      <c r="B1606" s="11">
        <v>25027219</v>
      </c>
      <c r="C1606" s="11">
        <v>20</v>
      </c>
      <c r="D1606">
        <v>9600000</v>
      </c>
      <c r="E1606">
        <v>1301</v>
      </c>
    </row>
    <row r="1607" ht="13.85" spans="1:5">
      <c r="A1607">
        <f t="shared" si="25"/>
        <v>1606</v>
      </c>
      <c r="B1607" s="11">
        <v>59485649</v>
      </c>
      <c r="C1607" s="11">
        <v>260</v>
      </c>
      <c r="D1607">
        <v>124800000</v>
      </c>
      <c r="E1607">
        <v>1300</v>
      </c>
    </row>
    <row r="1608" ht="13.85" spans="1:5">
      <c r="A1608">
        <f t="shared" si="25"/>
        <v>1607</v>
      </c>
      <c r="B1608" s="11">
        <v>52757061</v>
      </c>
      <c r="C1608" s="11">
        <v>220</v>
      </c>
      <c r="D1608">
        <v>105600000</v>
      </c>
      <c r="E1608">
        <v>1299</v>
      </c>
    </row>
    <row r="1609" ht="13.85" spans="1:5">
      <c r="A1609">
        <f t="shared" si="25"/>
        <v>1608</v>
      </c>
      <c r="B1609" s="11">
        <v>41711258</v>
      </c>
      <c r="C1609" s="11">
        <v>190</v>
      </c>
      <c r="D1609">
        <v>91200000</v>
      </c>
      <c r="E1609">
        <v>1298</v>
      </c>
    </row>
    <row r="1610" ht="13.85" spans="1:5">
      <c r="A1610">
        <f t="shared" si="25"/>
        <v>1609</v>
      </c>
      <c r="B1610" s="11">
        <v>40400017</v>
      </c>
      <c r="C1610" s="11">
        <v>164</v>
      </c>
      <c r="D1610">
        <v>78720000</v>
      </c>
      <c r="E1610">
        <v>1297</v>
      </c>
    </row>
    <row r="1611" ht="13.85" spans="1:5">
      <c r="A1611">
        <f t="shared" si="25"/>
        <v>1610</v>
      </c>
      <c r="B1611" s="11">
        <v>35863462</v>
      </c>
      <c r="C1611" s="11">
        <v>145</v>
      </c>
      <c r="D1611">
        <v>69600000</v>
      </c>
      <c r="E1611">
        <v>1296</v>
      </c>
    </row>
    <row r="1612" ht="13.85" spans="1:5">
      <c r="A1612">
        <f t="shared" si="25"/>
        <v>1611</v>
      </c>
      <c r="B1612" s="11">
        <v>34878683</v>
      </c>
      <c r="C1612" s="11">
        <v>120</v>
      </c>
      <c r="D1612">
        <v>57600000</v>
      </c>
      <c r="E1612">
        <v>1295</v>
      </c>
    </row>
    <row r="1613" ht="13.85" spans="1:5">
      <c r="A1613">
        <f t="shared" si="25"/>
        <v>1612</v>
      </c>
      <c r="B1613" s="11">
        <v>29287559</v>
      </c>
      <c r="C1613" s="11">
        <v>97</v>
      </c>
      <c r="D1613">
        <v>46560000</v>
      </c>
      <c r="E1613">
        <v>1294</v>
      </c>
    </row>
    <row r="1614" ht="13.85" spans="1:5">
      <c r="A1614">
        <f t="shared" si="25"/>
        <v>1613</v>
      </c>
      <c r="B1614" s="11">
        <v>28788126</v>
      </c>
      <c r="C1614" s="11">
        <v>80</v>
      </c>
      <c r="D1614">
        <v>38400000</v>
      </c>
      <c r="E1614">
        <v>1293</v>
      </c>
    </row>
    <row r="1615" ht="13.85" spans="1:5">
      <c r="A1615">
        <f t="shared" si="25"/>
        <v>1614</v>
      </c>
      <c r="B1615" s="11">
        <v>24990275</v>
      </c>
      <c r="C1615" s="11">
        <v>60</v>
      </c>
      <c r="D1615">
        <v>28800000</v>
      </c>
      <c r="E1615">
        <v>1292</v>
      </c>
    </row>
    <row r="1616" ht="13.85" spans="1:5">
      <c r="A1616">
        <f t="shared" si="25"/>
        <v>1615</v>
      </c>
      <c r="B1616" s="11">
        <v>25880765</v>
      </c>
      <c r="C1616" s="11">
        <v>45</v>
      </c>
      <c r="D1616">
        <v>21600000</v>
      </c>
      <c r="E1616">
        <v>1291</v>
      </c>
    </row>
    <row r="1617" ht="13.85" spans="1:5">
      <c r="A1617">
        <f t="shared" si="25"/>
        <v>1616</v>
      </c>
      <c r="B1617" s="11">
        <v>21850871</v>
      </c>
      <c r="C1617" s="11">
        <v>30</v>
      </c>
      <c r="D1617">
        <v>14400000</v>
      </c>
      <c r="E1617">
        <v>1290</v>
      </c>
    </row>
    <row r="1618" ht="13.85" spans="1:5">
      <c r="A1618">
        <f t="shared" si="25"/>
        <v>1617</v>
      </c>
      <c r="B1618" s="11">
        <v>23746854</v>
      </c>
      <c r="C1618" s="11">
        <v>20</v>
      </c>
      <c r="D1618">
        <v>9600000</v>
      </c>
      <c r="E1618">
        <v>1289</v>
      </c>
    </row>
    <row r="1619" ht="13.85" spans="1:5">
      <c r="A1619">
        <f t="shared" si="25"/>
        <v>1618</v>
      </c>
      <c r="B1619" s="11">
        <v>68753081</v>
      </c>
      <c r="C1619" s="11">
        <v>252</v>
      </c>
      <c r="D1619">
        <v>120960000</v>
      </c>
      <c r="E1619">
        <v>1288</v>
      </c>
    </row>
    <row r="1620" ht="13.85" spans="1:5">
      <c r="A1620">
        <f t="shared" si="25"/>
        <v>1619</v>
      </c>
      <c r="B1620" s="11">
        <v>54155892</v>
      </c>
      <c r="C1620" s="11">
        <v>212</v>
      </c>
      <c r="D1620">
        <v>101760000</v>
      </c>
      <c r="E1620">
        <v>1287</v>
      </c>
    </row>
    <row r="1621" ht="13.85" spans="1:5">
      <c r="A1621">
        <f t="shared" si="25"/>
        <v>1620</v>
      </c>
      <c r="B1621" s="11">
        <v>39986010</v>
      </c>
      <c r="C1621" s="11">
        <v>177</v>
      </c>
      <c r="D1621">
        <v>84960000</v>
      </c>
      <c r="E1621">
        <v>1286</v>
      </c>
    </row>
    <row r="1622" ht="13.85" spans="1:5">
      <c r="A1622">
        <f t="shared" si="25"/>
        <v>1621</v>
      </c>
      <c r="B1622" s="11">
        <v>38072676</v>
      </c>
      <c r="C1622" s="11">
        <v>150</v>
      </c>
      <c r="D1622">
        <v>72000000</v>
      </c>
      <c r="E1622">
        <v>1285</v>
      </c>
    </row>
    <row r="1623" ht="13.85" spans="1:5">
      <c r="A1623">
        <f t="shared" si="25"/>
        <v>1622</v>
      </c>
      <c r="B1623" s="11">
        <v>32505574</v>
      </c>
      <c r="C1623" s="11">
        <v>125</v>
      </c>
      <c r="D1623">
        <v>60000000</v>
      </c>
      <c r="E1623">
        <v>1284</v>
      </c>
    </row>
    <row r="1624" ht="13.85" spans="1:5">
      <c r="A1624">
        <f t="shared" si="25"/>
        <v>1623</v>
      </c>
      <c r="B1624" s="11">
        <v>33430895</v>
      </c>
      <c r="C1624" s="11">
        <v>103</v>
      </c>
      <c r="D1624">
        <v>49440000</v>
      </c>
      <c r="E1624">
        <v>1283</v>
      </c>
    </row>
    <row r="1625" ht="13.85" spans="1:5">
      <c r="A1625">
        <f t="shared" si="25"/>
        <v>1624</v>
      </c>
      <c r="B1625" s="11">
        <v>25881059</v>
      </c>
      <c r="C1625" s="11">
        <v>82</v>
      </c>
      <c r="D1625">
        <v>39360000</v>
      </c>
      <c r="E1625">
        <v>1282</v>
      </c>
    </row>
    <row r="1626" ht="13.85" spans="1:5">
      <c r="A1626">
        <f t="shared" si="25"/>
        <v>1625</v>
      </c>
      <c r="B1626" s="11">
        <v>26490335</v>
      </c>
      <c r="C1626" s="11">
        <v>65</v>
      </c>
      <c r="D1626">
        <v>31200000</v>
      </c>
      <c r="E1626">
        <v>1281</v>
      </c>
    </row>
    <row r="1627" ht="13.85" spans="1:5">
      <c r="A1627">
        <f t="shared" si="25"/>
        <v>1626</v>
      </c>
      <c r="B1627" s="11">
        <v>22871116</v>
      </c>
      <c r="C1627" s="11">
        <v>45</v>
      </c>
      <c r="D1627">
        <v>21600000</v>
      </c>
      <c r="E1627">
        <v>1280</v>
      </c>
    </row>
    <row r="1628" ht="13.85" spans="1:5">
      <c r="A1628">
        <f t="shared" si="25"/>
        <v>1627</v>
      </c>
      <c r="B1628" s="11">
        <v>23851801</v>
      </c>
      <c r="C1628" s="11">
        <v>30</v>
      </c>
      <c r="D1628">
        <v>14400000</v>
      </c>
      <c r="E1628">
        <v>1279</v>
      </c>
    </row>
    <row r="1629" ht="13.85" spans="1:5">
      <c r="A1629">
        <f t="shared" si="25"/>
        <v>1628</v>
      </c>
      <c r="B1629" s="11">
        <v>22336363</v>
      </c>
      <c r="C1629" s="11">
        <v>20</v>
      </c>
      <c r="D1629">
        <v>9600000</v>
      </c>
      <c r="E1629">
        <v>1278</v>
      </c>
    </row>
    <row r="1630" ht="13.85" spans="1:5">
      <c r="A1630">
        <f t="shared" si="25"/>
        <v>1629</v>
      </c>
      <c r="B1630" s="11">
        <v>57239387</v>
      </c>
      <c r="C1630" s="11">
        <v>211</v>
      </c>
      <c r="D1630">
        <v>101280000</v>
      </c>
      <c r="E1630">
        <v>1277</v>
      </c>
    </row>
    <row r="1631" ht="13.85" spans="1:5">
      <c r="A1631">
        <f t="shared" si="25"/>
        <v>1630</v>
      </c>
      <c r="B1631" s="11">
        <v>41968422</v>
      </c>
      <c r="C1631" s="11">
        <v>172</v>
      </c>
      <c r="D1631">
        <v>82560000</v>
      </c>
      <c r="E1631">
        <v>1276</v>
      </c>
    </row>
    <row r="1632" ht="13.85" spans="1:5">
      <c r="A1632">
        <f t="shared" si="25"/>
        <v>1631</v>
      </c>
      <c r="B1632" s="11">
        <v>37513118</v>
      </c>
      <c r="C1632" s="11">
        <v>144</v>
      </c>
      <c r="D1632">
        <v>69120000</v>
      </c>
      <c r="E1632">
        <v>1275</v>
      </c>
    </row>
    <row r="1633" ht="13.85" spans="1:5">
      <c r="A1633">
        <f t="shared" si="25"/>
        <v>1632</v>
      </c>
      <c r="B1633" s="11">
        <v>33019146</v>
      </c>
      <c r="C1633" s="11">
        <v>114</v>
      </c>
      <c r="D1633">
        <v>54720000</v>
      </c>
      <c r="E1633">
        <v>1274</v>
      </c>
    </row>
    <row r="1634" ht="13.85" spans="1:5">
      <c r="A1634">
        <f t="shared" si="25"/>
        <v>1633</v>
      </c>
      <c r="B1634" s="11">
        <v>28853280</v>
      </c>
      <c r="C1634" s="11">
        <v>95</v>
      </c>
      <c r="D1634">
        <v>45600000</v>
      </c>
      <c r="E1634">
        <v>1273</v>
      </c>
    </row>
    <row r="1635" ht="13.85" spans="1:5">
      <c r="A1635">
        <f t="shared" si="25"/>
        <v>1634</v>
      </c>
      <c r="B1635" s="11">
        <v>24821351</v>
      </c>
      <c r="C1635" s="11">
        <v>76</v>
      </c>
      <c r="D1635">
        <v>36480000</v>
      </c>
      <c r="E1635">
        <v>1272</v>
      </c>
    </row>
    <row r="1636" ht="13.85" spans="1:5">
      <c r="A1636">
        <f t="shared" si="25"/>
        <v>1635</v>
      </c>
      <c r="B1636" s="11">
        <v>25747371</v>
      </c>
      <c r="C1636" s="11">
        <v>57</v>
      </c>
      <c r="D1636">
        <v>27360000</v>
      </c>
      <c r="E1636">
        <v>1271</v>
      </c>
    </row>
    <row r="1637" ht="13.85" spans="1:5">
      <c r="A1637">
        <f t="shared" si="25"/>
        <v>1636</v>
      </c>
      <c r="B1637" s="11">
        <v>22180214</v>
      </c>
      <c r="C1637" s="11">
        <v>40</v>
      </c>
      <c r="D1637">
        <v>19200000</v>
      </c>
      <c r="E1637">
        <v>1270</v>
      </c>
    </row>
    <row r="1638" ht="13.85" spans="1:5">
      <c r="A1638">
        <f t="shared" si="25"/>
        <v>1637</v>
      </c>
      <c r="B1638" s="11">
        <v>23691641</v>
      </c>
      <c r="C1638" s="11">
        <v>25</v>
      </c>
      <c r="D1638">
        <v>12000000</v>
      </c>
      <c r="E1638">
        <v>1269</v>
      </c>
    </row>
    <row r="1639" ht="13.85" spans="1:5">
      <c r="A1639">
        <f t="shared" si="25"/>
        <v>1638</v>
      </c>
      <c r="B1639" s="11">
        <v>20879429</v>
      </c>
      <c r="C1639" s="11">
        <v>20</v>
      </c>
      <c r="D1639">
        <v>9600000</v>
      </c>
      <c r="E1639">
        <v>1268</v>
      </c>
    </row>
    <row r="1640" ht="13.85" spans="1:5">
      <c r="A1640">
        <f t="shared" si="25"/>
        <v>1639</v>
      </c>
      <c r="B1640" s="11">
        <v>39115101</v>
      </c>
      <c r="C1640" s="11">
        <v>140</v>
      </c>
      <c r="D1640">
        <v>67200000</v>
      </c>
      <c r="E1640">
        <v>1267</v>
      </c>
    </row>
    <row r="1641" ht="13.85" spans="1:5">
      <c r="A1641">
        <f t="shared" si="25"/>
        <v>1640</v>
      </c>
      <c r="B1641" s="11">
        <v>36570810</v>
      </c>
      <c r="C1641" s="11">
        <v>115</v>
      </c>
      <c r="D1641">
        <v>55200000</v>
      </c>
      <c r="E1641">
        <v>1266</v>
      </c>
    </row>
    <row r="1642" ht="13.85" spans="1:5">
      <c r="A1642">
        <f t="shared" si="25"/>
        <v>1641</v>
      </c>
      <c r="B1642" s="11">
        <v>22002653</v>
      </c>
      <c r="C1642" s="11">
        <v>90</v>
      </c>
      <c r="D1642">
        <v>43200000</v>
      </c>
      <c r="E1642">
        <v>1265</v>
      </c>
    </row>
    <row r="1643" ht="13.85" spans="1:5">
      <c r="A1643">
        <f t="shared" si="25"/>
        <v>1642</v>
      </c>
      <c r="B1643" s="11">
        <v>19227635</v>
      </c>
      <c r="C1643" s="11">
        <v>76</v>
      </c>
      <c r="D1643">
        <v>36480000</v>
      </c>
      <c r="E1643">
        <v>1264</v>
      </c>
    </row>
    <row r="1644" ht="13.85" spans="1:5">
      <c r="A1644">
        <f t="shared" si="25"/>
        <v>1643</v>
      </c>
      <c r="B1644" s="11">
        <v>20174911</v>
      </c>
      <c r="C1644" s="11">
        <v>65</v>
      </c>
      <c r="D1644">
        <v>31200000</v>
      </c>
      <c r="E1644">
        <v>1263</v>
      </c>
    </row>
    <row r="1645" ht="13.85" spans="1:5">
      <c r="A1645">
        <f t="shared" si="25"/>
        <v>1644</v>
      </c>
      <c r="B1645" s="11">
        <v>17339630</v>
      </c>
      <c r="C1645" s="11">
        <v>51</v>
      </c>
      <c r="D1645">
        <v>24480000</v>
      </c>
      <c r="E1645">
        <v>1262</v>
      </c>
    </row>
    <row r="1646" ht="13.85" spans="1:5">
      <c r="A1646">
        <f t="shared" si="25"/>
        <v>1645</v>
      </c>
      <c r="B1646" s="11">
        <v>18310940</v>
      </c>
      <c r="C1646" s="11">
        <v>40</v>
      </c>
      <c r="D1646">
        <v>19200000</v>
      </c>
      <c r="E1646">
        <v>1261</v>
      </c>
    </row>
    <row r="1647" ht="13.85" spans="1:5">
      <c r="A1647">
        <f t="shared" si="25"/>
        <v>1646</v>
      </c>
      <c r="B1647" s="11">
        <v>15831466</v>
      </c>
      <c r="C1647" s="11">
        <v>30</v>
      </c>
      <c r="D1647">
        <v>14400000</v>
      </c>
      <c r="E1647">
        <v>1260</v>
      </c>
    </row>
    <row r="1648" ht="13.85" spans="1:5">
      <c r="A1648">
        <f t="shared" si="25"/>
        <v>1647</v>
      </c>
      <c r="B1648" s="11">
        <v>16571399</v>
      </c>
      <c r="C1648" s="11">
        <v>25</v>
      </c>
      <c r="D1648">
        <v>12000000</v>
      </c>
      <c r="E1648">
        <v>1259</v>
      </c>
    </row>
    <row r="1649" ht="13.85" spans="1:5">
      <c r="A1649">
        <f t="shared" si="25"/>
        <v>1648</v>
      </c>
      <c r="B1649" s="11">
        <v>15143519</v>
      </c>
      <c r="C1649" s="11">
        <v>20</v>
      </c>
      <c r="D1649">
        <v>9600000</v>
      </c>
      <c r="E1649">
        <v>1258</v>
      </c>
    </row>
    <row r="1650" ht="13.85" spans="1:5">
      <c r="A1650">
        <f t="shared" si="25"/>
        <v>1649</v>
      </c>
      <c r="B1650" s="11">
        <v>17109251</v>
      </c>
      <c r="C1650" s="11">
        <v>25</v>
      </c>
      <c r="D1650">
        <v>12000000</v>
      </c>
      <c r="E1650">
        <v>1257</v>
      </c>
    </row>
    <row r="1651" ht="13.85" spans="1:5">
      <c r="A1651">
        <f t="shared" si="25"/>
        <v>1650</v>
      </c>
      <c r="B1651" s="13">
        <v>16230044</v>
      </c>
      <c r="C1651" s="13">
        <v>20</v>
      </c>
      <c r="D1651">
        <v>9600000</v>
      </c>
      <c r="E1651">
        <v>1256</v>
      </c>
    </row>
    <row r="1652" ht="13.85" spans="1:5">
      <c r="A1652">
        <f t="shared" si="25"/>
        <v>1651</v>
      </c>
      <c r="B1652" s="11">
        <v>26112288</v>
      </c>
      <c r="C1652" s="11">
        <v>122</v>
      </c>
      <c r="D1652">
        <v>58560000</v>
      </c>
      <c r="E1652">
        <v>1255</v>
      </c>
    </row>
    <row r="1653" ht="13.85" spans="1:5">
      <c r="A1653">
        <f t="shared" si="25"/>
        <v>1652</v>
      </c>
      <c r="B1653" s="11">
        <v>26657449</v>
      </c>
      <c r="C1653" s="11">
        <v>106</v>
      </c>
      <c r="D1653">
        <v>50880000</v>
      </c>
      <c r="E1653">
        <v>1254</v>
      </c>
    </row>
    <row r="1654" ht="13.85" spans="1:5">
      <c r="A1654">
        <f t="shared" si="25"/>
        <v>1653</v>
      </c>
      <c r="B1654" s="11">
        <v>22431024</v>
      </c>
      <c r="C1654" s="11">
        <v>92</v>
      </c>
      <c r="D1654">
        <v>44160000</v>
      </c>
      <c r="E1654">
        <v>1253</v>
      </c>
    </row>
    <row r="1655" ht="13.85" spans="1:5">
      <c r="A1655">
        <f t="shared" si="25"/>
        <v>1654</v>
      </c>
      <c r="B1655" s="11">
        <v>19200121</v>
      </c>
      <c r="C1655" s="11">
        <v>77</v>
      </c>
      <c r="D1655">
        <v>36960000</v>
      </c>
      <c r="E1655">
        <v>1252</v>
      </c>
    </row>
    <row r="1656" ht="13.85" spans="1:5">
      <c r="A1656">
        <f t="shared" si="25"/>
        <v>1655</v>
      </c>
      <c r="B1656" s="11">
        <v>19578620</v>
      </c>
      <c r="C1656" s="11">
        <v>65</v>
      </c>
      <c r="D1656">
        <v>31200000</v>
      </c>
      <c r="E1656">
        <v>1251</v>
      </c>
    </row>
    <row r="1657" ht="13.85" spans="1:5">
      <c r="A1657">
        <f t="shared" si="25"/>
        <v>1656</v>
      </c>
      <c r="B1657" s="11">
        <v>16869821</v>
      </c>
      <c r="C1657" s="11">
        <v>52</v>
      </c>
      <c r="D1657">
        <v>24960000</v>
      </c>
      <c r="E1657">
        <v>1250</v>
      </c>
    </row>
    <row r="1658" ht="13.85" spans="1:5">
      <c r="A1658">
        <f t="shared" si="25"/>
        <v>1657</v>
      </c>
      <c r="B1658" s="11">
        <v>18158963</v>
      </c>
      <c r="C1658" s="11">
        <v>41</v>
      </c>
      <c r="D1658">
        <v>19680000</v>
      </c>
      <c r="E1658">
        <v>1249</v>
      </c>
    </row>
    <row r="1659" ht="13.85" spans="1:5">
      <c r="A1659">
        <f t="shared" si="25"/>
        <v>1658</v>
      </c>
      <c r="B1659" s="11">
        <v>16058360</v>
      </c>
      <c r="C1659" s="11">
        <v>30</v>
      </c>
      <c r="D1659">
        <v>14400000</v>
      </c>
      <c r="E1659">
        <v>1248</v>
      </c>
    </row>
    <row r="1660" ht="13.85" spans="1:5">
      <c r="A1660">
        <f t="shared" si="25"/>
        <v>1659</v>
      </c>
      <c r="B1660" s="11">
        <v>16133053</v>
      </c>
      <c r="C1660" s="11">
        <v>25</v>
      </c>
      <c r="D1660">
        <v>12000000</v>
      </c>
      <c r="E1660">
        <v>1247</v>
      </c>
    </row>
    <row r="1661" ht="13.85" spans="1:5">
      <c r="A1661">
        <f t="shared" si="25"/>
        <v>1660</v>
      </c>
      <c r="B1661" s="11">
        <v>16094222</v>
      </c>
      <c r="C1661" s="11">
        <v>20</v>
      </c>
      <c r="D1661">
        <v>9600000</v>
      </c>
      <c r="E1661">
        <v>1246</v>
      </c>
    </row>
    <row r="1662" ht="13.85" spans="1:5">
      <c r="A1662">
        <f t="shared" si="25"/>
        <v>1661</v>
      </c>
      <c r="B1662" s="11">
        <v>18202269</v>
      </c>
      <c r="C1662" s="11">
        <v>32</v>
      </c>
      <c r="D1662">
        <v>15360000</v>
      </c>
      <c r="E1662">
        <v>1245</v>
      </c>
    </row>
    <row r="1663" ht="13.85" spans="1:5">
      <c r="A1663">
        <f t="shared" si="25"/>
        <v>1662</v>
      </c>
      <c r="B1663" s="11">
        <v>16042944</v>
      </c>
      <c r="C1663" s="11">
        <v>25</v>
      </c>
      <c r="D1663">
        <v>12000000</v>
      </c>
      <c r="E1663">
        <v>1244</v>
      </c>
    </row>
    <row r="1664" ht="13.85" spans="1:5">
      <c r="A1664">
        <f t="shared" si="25"/>
        <v>1663</v>
      </c>
      <c r="B1664" s="11">
        <v>17946102</v>
      </c>
      <c r="C1664" s="11">
        <v>20</v>
      </c>
      <c r="D1664">
        <v>9600000</v>
      </c>
      <c r="E1664">
        <v>1243</v>
      </c>
    </row>
    <row r="1665" ht="13.85" spans="1:5">
      <c r="A1665">
        <f t="shared" si="25"/>
        <v>1664</v>
      </c>
      <c r="B1665" s="11">
        <v>21862168</v>
      </c>
      <c r="C1665" s="11">
        <v>96</v>
      </c>
      <c r="D1665">
        <v>46080000</v>
      </c>
      <c r="E1665">
        <v>1242</v>
      </c>
    </row>
    <row r="1666" ht="13.85" spans="1:5">
      <c r="A1666">
        <f t="shared" ref="A1666:A1729" si="26">ROW()-1</f>
        <v>1665</v>
      </c>
      <c r="B1666" s="11">
        <v>22119315</v>
      </c>
      <c r="C1666" s="11">
        <v>80</v>
      </c>
      <c r="D1666">
        <v>38400000</v>
      </c>
      <c r="E1666">
        <v>1241</v>
      </c>
    </row>
    <row r="1667" ht="13.85" spans="1:5">
      <c r="A1667">
        <f t="shared" si="26"/>
        <v>1666</v>
      </c>
      <c r="B1667" s="11">
        <v>19495176</v>
      </c>
      <c r="C1667" s="11">
        <v>66</v>
      </c>
      <c r="D1667">
        <v>31680000</v>
      </c>
      <c r="E1667">
        <v>1240</v>
      </c>
    </row>
    <row r="1668" ht="13.85" spans="1:5">
      <c r="A1668">
        <f t="shared" si="26"/>
        <v>1667</v>
      </c>
      <c r="B1668" s="11">
        <v>19486186</v>
      </c>
      <c r="C1668" s="11">
        <v>53</v>
      </c>
      <c r="D1668">
        <v>25440000</v>
      </c>
      <c r="E1668">
        <v>1239</v>
      </c>
    </row>
    <row r="1669" ht="13.85" spans="1:5">
      <c r="A1669">
        <f t="shared" si="26"/>
        <v>1668</v>
      </c>
      <c r="B1669" s="11">
        <v>16716952</v>
      </c>
      <c r="C1669" s="11">
        <v>41</v>
      </c>
      <c r="D1669">
        <v>19680000</v>
      </c>
      <c r="E1669">
        <v>1238</v>
      </c>
    </row>
    <row r="1670" ht="13.85" spans="1:5">
      <c r="A1670">
        <f t="shared" si="26"/>
        <v>1669</v>
      </c>
      <c r="B1670" s="11">
        <v>17956376</v>
      </c>
      <c r="C1670" s="11">
        <v>31</v>
      </c>
      <c r="D1670">
        <v>14880000</v>
      </c>
      <c r="E1670">
        <v>1237</v>
      </c>
    </row>
    <row r="1671" ht="13.85" spans="1:5">
      <c r="A1671">
        <f t="shared" si="26"/>
        <v>1670</v>
      </c>
      <c r="B1671" s="11">
        <v>15840096</v>
      </c>
      <c r="C1671" s="11">
        <v>25</v>
      </c>
      <c r="D1671">
        <v>12000000</v>
      </c>
      <c r="E1671">
        <v>1236</v>
      </c>
    </row>
    <row r="1672" ht="13.85" spans="1:5">
      <c r="A1672">
        <f t="shared" si="26"/>
        <v>1671</v>
      </c>
      <c r="B1672" s="11">
        <v>17363282</v>
      </c>
      <c r="C1672" s="11">
        <v>20</v>
      </c>
      <c r="D1672">
        <v>9600000</v>
      </c>
      <c r="E1672">
        <v>1235</v>
      </c>
    </row>
    <row r="1673" ht="13.85" spans="1:5">
      <c r="A1673">
        <f t="shared" si="26"/>
        <v>1672</v>
      </c>
      <c r="B1673" s="11">
        <v>16703747</v>
      </c>
      <c r="C1673" s="11">
        <v>30</v>
      </c>
      <c r="D1673">
        <v>14400000</v>
      </c>
      <c r="E1673">
        <v>1234</v>
      </c>
    </row>
    <row r="1674" ht="13.85" spans="1:5">
      <c r="A1674">
        <f t="shared" si="26"/>
        <v>1673</v>
      </c>
      <c r="B1674" s="11">
        <v>18317590</v>
      </c>
      <c r="C1674" s="11">
        <v>25</v>
      </c>
      <c r="D1674">
        <v>12000000</v>
      </c>
      <c r="E1674">
        <v>1233</v>
      </c>
    </row>
    <row r="1675" ht="13.85" spans="1:5">
      <c r="A1675">
        <f t="shared" si="26"/>
        <v>1674</v>
      </c>
      <c r="B1675" s="11">
        <v>17114067</v>
      </c>
      <c r="C1675" s="11">
        <v>20</v>
      </c>
      <c r="D1675">
        <v>9600000</v>
      </c>
      <c r="E1675">
        <v>1232</v>
      </c>
    </row>
    <row r="1676" ht="13.85" spans="1:5">
      <c r="A1676">
        <f t="shared" si="26"/>
        <v>1675</v>
      </c>
      <c r="B1676" s="11">
        <v>39963328</v>
      </c>
      <c r="C1676" s="11">
        <v>189</v>
      </c>
      <c r="D1676">
        <v>90720000</v>
      </c>
      <c r="E1676">
        <v>1231</v>
      </c>
    </row>
    <row r="1677" ht="13.85" spans="1:5">
      <c r="A1677">
        <f t="shared" si="26"/>
        <v>1676</v>
      </c>
      <c r="B1677" s="11">
        <v>33098307</v>
      </c>
      <c r="C1677" s="11">
        <v>170</v>
      </c>
      <c r="D1677">
        <v>81600000</v>
      </c>
      <c r="E1677">
        <v>1230</v>
      </c>
    </row>
    <row r="1678" ht="13.85" spans="1:5">
      <c r="A1678">
        <f t="shared" si="26"/>
        <v>1677</v>
      </c>
      <c r="B1678" s="11">
        <v>31615045</v>
      </c>
      <c r="C1678" s="11">
        <v>150</v>
      </c>
      <c r="D1678">
        <v>72000000</v>
      </c>
      <c r="E1678">
        <v>1229</v>
      </c>
    </row>
    <row r="1679" ht="13.85" spans="1:5">
      <c r="A1679">
        <f t="shared" si="26"/>
        <v>1678</v>
      </c>
      <c r="B1679" s="11">
        <v>27620531</v>
      </c>
      <c r="C1679" s="11">
        <v>129</v>
      </c>
      <c r="D1679">
        <v>61920000</v>
      </c>
      <c r="E1679">
        <v>1228</v>
      </c>
    </row>
    <row r="1680" ht="13.85" spans="1:5">
      <c r="A1680">
        <f t="shared" si="26"/>
        <v>1679</v>
      </c>
      <c r="B1680" s="11">
        <v>27582291</v>
      </c>
      <c r="C1680" s="11">
        <v>111</v>
      </c>
      <c r="D1680">
        <v>53280000</v>
      </c>
      <c r="E1680">
        <v>1227</v>
      </c>
    </row>
    <row r="1681" ht="13.85" spans="1:5">
      <c r="A1681">
        <f t="shared" si="26"/>
        <v>1680</v>
      </c>
      <c r="B1681" s="11">
        <v>22566189</v>
      </c>
      <c r="C1681" s="11">
        <v>95</v>
      </c>
      <c r="D1681">
        <v>45600000</v>
      </c>
      <c r="E1681">
        <v>1226</v>
      </c>
    </row>
    <row r="1682" ht="13.85" spans="1:5">
      <c r="A1682">
        <f t="shared" si="26"/>
        <v>1681</v>
      </c>
      <c r="B1682" s="11">
        <v>22564477</v>
      </c>
      <c r="C1682" s="11">
        <v>81</v>
      </c>
      <c r="D1682">
        <v>38880000</v>
      </c>
      <c r="E1682">
        <v>1225</v>
      </c>
    </row>
    <row r="1683" ht="13.85" spans="1:5">
      <c r="A1683">
        <f t="shared" si="26"/>
        <v>1682</v>
      </c>
      <c r="B1683" s="11">
        <v>20030771</v>
      </c>
      <c r="C1683" s="11">
        <v>67</v>
      </c>
      <c r="D1683">
        <v>32160000</v>
      </c>
      <c r="E1683">
        <v>1224</v>
      </c>
    </row>
    <row r="1684" ht="13.85" spans="1:5">
      <c r="A1684">
        <f t="shared" si="26"/>
        <v>1683</v>
      </c>
      <c r="B1684" s="11">
        <v>21172752</v>
      </c>
      <c r="C1684" s="11">
        <v>57</v>
      </c>
      <c r="D1684">
        <v>27360000</v>
      </c>
      <c r="E1684">
        <v>1223</v>
      </c>
    </row>
    <row r="1685" ht="13.85" spans="1:5">
      <c r="A1685">
        <f t="shared" si="26"/>
        <v>1684</v>
      </c>
      <c r="B1685" s="11">
        <v>18365653</v>
      </c>
      <c r="C1685" s="11">
        <v>45</v>
      </c>
      <c r="D1685">
        <v>21600000</v>
      </c>
      <c r="E1685">
        <v>1222</v>
      </c>
    </row>
    <row r="1686" ht="13.85" spans="1:5">
      <c r="A1686">
        <f t="shared" si="26"/>
        <v>1685</v>
      </c>
      <c r="B1686" s="11">
        <v>19066400</v>
      </c>
      <c r="C1686" s="11">
        <v>33</v>
      </c>
      <c r="D1686">
        <v>15840000</v>
      </c>
      <c r="E1686">
        <v>1221</v>
      </c>
    </row>
    <row r="1687" ht="13.85" spans="1:5">
      <c r="A1687">
        <f t="shared" si="26"/>
        <v>1686</v>
      </c>
      <c r="B1687" s="11">
        <v>16789639</v>
      </c>
      <c r="C1687" s="11">
        <v>25</v>
      </c>
      <c r="D1687">
        <v>12000000</v>
      </c>
      <c r="E1687">
        <v>1220</v>
      </c>
    </row>
    <row r="1688" ht="13.85" spans="1:5">
      <c r="A1688">
        <f t="shared" si="26"/>
        <v>1687</v>
      </c>
      <c r="B1688" s="11">
        <v>19470192</v>
      </c>
      <c r="C1688" s="11">
        <v>20</v>
      </c>
      <c r="D1688">
        <v>9600000</v>
      </c>
      <c r="E1688">
        <v>1219</v>
      </c>
    </row>
    <row r="1689" ht="13.85" spans="1:5">
      <c r="A1689">
        <f t="shared" si="26"/>
        <v>1688</v>
      </c>
      <c r="B1689" s="11">
        <v>65842626</v>
      </c>
      <c r="C1689" s="11">
        <v>250</v>
      </c>
      <c r="D1689">
        <v>120000000</v>
      </c>
      <c r="E1689">
        <v>1218</v>
      </c>
    </row>
    <row r="1690" ht="13.85" spans="1:5">
      <c r="A1690">
        <f t="shared" si="26"/>
        <v>1689</v>
      </c>
      <c r="B1690" s="11">
        <v>49512433</v>
      </c>
      <c r="C1690" s="11">
        <v>213</v>
      </c>
      <c r="D1690">
        <v>102240000</v>
      </c>
      <c r="E1690">
        <v>1217</v>
      </c>
    </row>
    <row r="1691" ht="13.85" spans="1:5">
      <c r="A1691">
        <f t="shared" si="26"/>
        <v>1690</v>
      </c>
      <c r="B1691" s="11">
        <v>37400849</v>
      </c>
      <c r="C1691" s="11">
        <v>186</v>
      </c>
      <c r="D1691">
        <v>89280000</v>
      </c>
      <c r="E1691">
        <v>1216</v>
      </c>
    </row>
    <row r="1692" ht="13.85" spans="1:5">
      <c r="A1692">
        <f t="shared" si="26"/>
        <v>1691</v>
      </c>
      <c r="B1692" s="11">
        <v>33971273</v>
      </c>
      <c r="C1692" s="11">
        <v>161</v>
      </c>
      <c r="D1692">
        <v>77280000</v>
      </c>
      <c r="E1692">
        <v>1215</v>
      </c>
    </row>
    <row r="1693" ht="13.85" spans="1:5">
      <c r="A1693">
        <f t="shared" si="26"/>
        <v>1692</v>
      </c>
      <c r="B1693" s="11">
        <v>28870823</v>
      </c>
      <c r="C1693" s="11">
        <v>138</v>
      </c>
      <c r="D1693">
        <v>66240000</v>
      </c>
      <c r="E1693">
        <v>1214</v>
      </c>
    </row>
    <row r="1694" ht="13.85" spans="1:5">
      <c r="A1694">
        <f t="shared" si="26"/>
        <v>1693</v>
      </c>
      <c r="B1694" s="11">
        <v>28035388</v>
      </c>
      <c r="C1694" s="11">
        <v>120</v>
      </c>
      <c r="D1694">
        <v>57600000</v>
      </c>
      <c r="E1694">
        <v>1213</v>
      </c>
    </row>
    <row r="1695" ht="13.85" spans="1:5">
      <c r="A1695">
        <f t="shared" si="26"/>
        <v>1694</v>
      </c>
      <c r="B1695" s="11">
        <v>24019690</v>
      </c>
      <c r="C1695" s="11">
        <v>102</v>
      </c>
      <c r="D1695">
        <v>48960000</v>
      </c>
      <c r="E1695">
        <v>1212</v>
      </c>
    </row>
    <row r="1696" ht="13.85" spans="1:5">
      <c r="A1696">
        <f t="shared" si="26"/>
        <v>1695</v>
      </c>
      <c r="B1696" s="11">
        <v>21884038</v>
      </c>
      <c r="C1696" s="11">
        <v>88</v>
      </c>
      <c r="D1696">
        <v>42240000</v>
      </c>
      <c r="E1696">
        <v>1211</v>
      </c>
    </row>
    <row r="1697" ht="13.85" spans="1:5">
      <c r="A1697">
        <f t="shared" si="26"/>
        <v>1696</v>
      </c>
      <c r="B1697" s="11">
        <v>19003928</v>
      </c>
      <c r="C1697" s="11">
        <v>74</v>
      </c>
      <c r="D1697">
        <v>35520000</v>
      </c>
      <c r="E1697">
        <v>1210</v>
      </c>
    </row>
    <row r="1698" ht="13.85" spans="1:5">
      <c r="A1698">
        <f t="shared" si="26"/>
        <v>1697</v>
      </c>
      <c r="B1698" s="11">
        <v>19866231</v>
      </c>
      <c r="C1698" s="11">
        <v>61</v>
      </c>
      <c r="D1698">
        <v>29280000</v>
      </c>
      <c r="E1698">
        <v>1209</v>
      </c>
    </row>
    <row r="1699" ht="13.85" spans="1:5">
      <c r="A1699">
        <f t="shared" si="26"/>
        <v>1698</v>
      </c>
      <c r="B1699" s="11">
        <v>17123492</v>
      </c>
      <c r="C1699" s="11">
        <v>49</v>
      </c>
      <c r="D1699">
        <v>23520000</v>
      </c>
      <c r="E1699">
        <v>1208</v>
      </c>
    </row>
    <row r="1700" ht="13.85" spans="1:5">
      <c r="A1700">
        <f t="shared" si="26"/>
        <v>1699</v>
      </c>
      <c r="B1700" s="11">
        <v>17975687</v>
      </c>
      <c r="C1700" s="11">
        <v>38</v>
      </c>
      <c r="D1700">
        <v>18240000</v>
      </c>
      <c r="E1700">
        <v>1207</v>
      </c>
    </row>
    <row r="1701" ht="13.85" spans="1:5">
      <c r="A1701">
        <f t="shared" si="26"/>
        <v>1700</v>
      </c>
      <c r="B1701" s="11">
        <v>15892607</v>
      </c>
      <c r="C1701" s="11">
        <v>30</v>
      </c>
      <c r="D1701">
        <v>14400000</v>
      </c>
      <c r="E1701">
        <v>1206</v>
      </c>
    </row>
    <row r="1702" ht="13.85" spans="1:5">
      <c r="A1702">
        <f t="shared" si="26"/>
        <v>1701</v>
      </c>
      <c r="B1702" s="11">
        <v>16672381</v>
      </c>
      <c r="C1702" s="11">
        <v>25</v>
      </c>
      <c r="D1702">
        <v>12000000</v>
      </c>
      <c r="E1702">
        <v>1205</v>
      </c>
    </row>
    <row r="1703" ht="13.85" spans="1:5">
      <c r="A1703">
        <f t="shared" si="26"/>
        <v>1702</v>
      </c>
      <c r="B1703" s="11">
        <v>15246947</v>
      </c>
      <c r="C1703" s="11">
        <v>20</v>
      </c>
      <c r="D1703">
        <v>9600000</v>
      </c>
      <c r="E1703">
        <v>1204</v>
      </c>
    </row>
    <row r="1704" ht="13.85" spans="1:5">
      <c r="A1704">
        <f t="shared" si="26"/>
        <v>1703</v>
      </c>
      <c r="B1704" s="11">
        <v>17155055</v>
      </c>
      <c r="C1704" s="11">
        <v>25</v>
      </c>
      <c r="D1704">
        <v>12000000</v>
      </c>
      <c r="E1704">
        <v>1203</v>
      </c>
    </row>
    <row r="1705" ht="13.85" spans="1:5">
      <c r="A1705">
        <f t="shared" si="26"/>
        <v>1704</v>
      </c>
      <c r="B1705" s="11">
        <v>15565535</v>
      </c>
      <c r="C1705" s="11">
        <v>20</v>
      </c>
      <c r="D1705">
        <v>9600000</v>
      </c>
      <c r="E1705">
        <v>1202</v>
      </c>
    </row>
    <row r="1706" ht="13.85" spans="1:5">
      <c r="A1706">
        <f t="shared" si="26"/>
        <v>1705</v>
      </c>
      <c r="B1706" s="11">
        <v>22290089</v>
      </c>
      <c r="C1706" s="11">
        <v>86</v>
      </c>
      <c r="D1706">
        <v>41280000</v>
      </c>
      <c r="E1706">
        <v>1201</v>
      </c>
    </row>
    <row r="1707" ht="13.85" spans="1:5">
      <c r="A1707">
        <f t="shared" si="26"/>
        <v>1706</v>
      </c>
      <c r="B1707" s="11">
        <v>19681628</v>
      </c>
      <c r="C1707" s="11">
        <v>72</v>
      </c>
      <c r="D1707">
        <v>34560000</v>
      </c>
      <c r="E1707">
        <v>1200</v>
      </c>
    </row>
    <row r="1708" ht="13.85" spans="1:5">
      <c r="A1708">
        <f t="shared" si="26"/>
        <v>1707</v>
      </c>
      <c r="B1708" s="11">
        <v>20119695</v>
      </c>
      <c r="C1708" s="11">
        <v>59</v>
      </c>
      <c r="D1708">
        <v>28320000</v>
      </c>
      <c r="E1708">
        <v>1199</v>
      </c>
    </row>
    <row r="1709" ht="13.85" spans="1:5">
      <c r="A1709">
        <f t="shared" si="26"/>
        <v>1708</v>
      </c>
      <c r="B1709" s="11">
        <v>17909899</v>
      </c>
      <c r="C1709" s="11">
        <v>45</v>
      </c>
      <c r="D1709">
        <v>21600000</v>
      </c>
      <c r="E1709">
        <v>1198</v>
      </c>
    </row>
    <row r="1710" ht="13.85" spans="1:5">
      <c r="A1710">
        <f t="shared" si="26"/>
        <v>1709</v>
      </c>
      <c r="B1710" s="11">
        <v>18699033</v>
      </c>
      <c r="C1710" s="11">
        <v>34</v>
      </c>
      <c r="D1710">
        <v>16320000</v>
      </c>
      <c r="E1710">
        <v>1197</v>
      </c>
    </row>
    <row r="1711" ht="13.85" spans="1:5">
      <c r="A1711">
        <f t="shared" si="26"/>
        <v>1710</v>
      </c>
      <c r="B1711" s="11">
        <v>16746673</v>
      </c>
      <c r="C1711" s="11">
        <v>25</v>
      </c>
      <c r="D1711">
        <v>12000000</v>
      </c>
      <c r="E1711">
        <v>1196</v>
      </c>
    </row>
    <row r="1712" ht="13.85" spans="1:5">
      <c r="A1712">
        <f t="shared" si="26"/>
        <v>1711</v>
      </c>
      <c r="B1712" s="11">
        <v>18302663</v>
      </c>
      <c r="C1712" s="11">
        <v>20</v>
      </c>
      <c r="D1712">
        <v>9600000</v>
      </c>
      <c r="E1712">
        <v>1195</v>
      </c>
    </row>
    <row r="1713" ht="13.85" spans="1:5">
      <c r="A1713">
        <f t="shared" si="26"/>
        <v>1712</v>
      </c>
      <c r="B1713" s="11">
        <v>53110338</v>
      </c>
      <c r="C1713" s="11">
        <v>232</v>
      </c>
      <c r="D1713">
        <v>111360000</v>
      </c>
      <c r="E1713">
        <v>1194</v>
      </c>
    </row>
    <row r="1714" ht="13.85" spans="1:5">
      <c r="A1714">
        <f t="shared" si="26"/>
        <v>1713</v>
      </c>
      <c r="B1714" s="11">
        <v>41368451</v>
      </c>
      <c r="C1714" s="11">
        <v>192</v>
      </c>
      <c r="D1714">
        <v>92160000</v>
      </c>
      <c r="E1714">
        <v>1193</v>
      </c>
    </row>
    <row r="1715" ht="13.85" spans="1:5">
      <c r="A1715">
        <f t="shared" si="26"/>
        <v>1714</v>
      </c>
      <c r="B1715" s="11">
        <v>33752417</v>
      </c>
      <c r="C1715" s="11">
        <v>170</v>
      </c>
      <c r="D1715">
        <v>81600000</v>
      </c>
      <c r="E1715">
        <v>1192</v>
      </c>
    </row>
    <row r="1716" ht="13.85" spans="1:5">
      <c r="A1716">
        <f t="shared" si="26"/>
        <v>1715</v>
      </c>
      <c r="B1716" s="11">
        <v>32258366</v>
      </c>
      <c r="C1716" s="11">
        <v>150</v>
      </c>
      <c r="D1716">
        <v>72000000</v>
      </c>
      <c r="E1716">
        <v>1191</v>
      </c>
    </row>
    <row r="1717" ht="13.85" spans="1:5">
      <c r="A1717">
        <f t="shared" si="26"/>
        <v>1716</v>
      </c>
      <c r="B1717" s="11">
        <v>27475729</v>
      </c>
      <c r="C1717" s="11">
        <v>129</v>
      </c>
      <c r="D1717">
        <v>61920000</v>
      </c>
      <c r="E1717">
        <v>1190</v>
      </c>
    </row>
    <row r="1718" ht="13.85" spans="1:5">
      <c r="A1718">
        <f t="shared" si="26"/>
        <v>1717</v>
      </c>
      <c r="B1718" s="11">
        <v>27269909</v>
      </c>
      <c r="C1718" s="11">
        <v>109</v>
      </c>
      <c r="D1718">
        <v>52320000</v>
      </c>
      <c r="E1718">
        <v>1189</v>
      </c>
    </row>
    <row r="1719" ht="13.85" spans="1:5">
      <c r="A1719">
        <f t="shared" si="26"/>
        <v>1718</v>
      </c>
      <c r="B1719" s="11">
        <v>22033568</v>
      </c>
      <c r="C1719" s="11">
        <v>92</v>
      </c>
      <c r="D1719">
        <v>44160000</v>
      </c>
      <c r="E1719">
        <v>1188</v>
      </c>
    </row>
    <row r="1720" ht="13.85" spans="1:5">
      <c r="A1720">
        <f t="shared" si="26"/>
        <v>1719</v>
      </c>
      <c r="B1720" s="11">
        <v>21834057</v>
      </c>
      <c r="C1720" s="11">
        <v>77</v>
      </c>
      <c r="D1720">
        <v>36960000</v>
      </c>
      <c r="E1720">
        <v>1187</v>
      </c>
    </row>
    <row r="1721" ht="13.85" spans="1:5">
      <c r="A1721">
        <f t="shared" si="26"/>
        <v>1720</v>
      </c>
      <c r="B1721" s="11">
        <v>18242374</v>
      </c>
      <c r="C1721" s="11">
        <v>65</v>
      </c>
      <c r="D1721">
        <v>31200000</v>
      </c>
      <c r="E1721">
        <v>1186</v>
      </c>
    </row>
    <row r="1722" ht="13.85" spans="1:5">
      <c r="A1722">
        <f t="shared" si="26"/>
        <v>1721</v>
      </c>
      <c r="B1722" s="11">
        <v>19457243</v>
      </c>
      <c r="C1722" s="11">
        <v>53</v>
      </c>
      <c r="D1722">
        <v>25440000</v>
      </c>
      <c r="E1722">
        <v>1185</v>
      </c>
    </row>
    <row r="1723" ht="13.85" spans="1:5">
      <c r="A1723">
        <f t="shared" si="26"/>
        <v>1722</v>
      </c>
      <c r="B1723" s="11">
        <v>17361904</v>
      </c>
      <c r="C1723" s="11">
        <v>42</v>
      </c>
      <c r="D1723">
        <v>20160000</v>
      </c>
      <c r="E1723">
        <v>1184</v>
      </c>
    </row>
    <row r="1724" ht="13.85" spans="1:5">
      <c r="A1724">
        <f t="shared" si="26"/>
        <v>1723</v>
      </c>
      <c r="B1724" s="11">
        <v>18525182</v>
      </c>
      <c r="C1724" s="11">
        <v>31</v>
      </c>
      <c r="D1724">
        <v>14880000</v>
      </c>
      <c r="E1724">
        <v>1183</v>
      </c>
    </row>
    <row r="1725" ht="13.85" spans="1:5">
      <c r="A1725">
        <f t="shared" si="26"/>
        <v>1724</v>
      </c>
      <c r="B1725" s="11">
        <v>16367063</v>
      </c>
      <c r="C1725" s="11">
        <v>25</v>
      </c>
      <c r="D1725">
        <v>12000000</v>
      </c>
      <c r="E1725">
        <v>1182</v>
      </c>
    </row>
    <row r="1726" ht="13.85" spans="1:5">
      <c r="A1726">
        <f t="shared" si="26"/>
        <v>1725</v>
      </c>
      <c r="B1726" s="11">
        <v>19019396</v>
      </c>
      <c r="C1726" s="11">
        <v>20</v>
      </c>
      <c r="D1726">
        <v>9600000</v>
      </c>
      <c r="E1726">
        <v>1181</v>
      </c>
    </row>
    <row r="1727" ht="13.85" spans="1:5">
      <c r="A1727">
        <f t="shared" si="26"/>
        <v>1726</v>
      </c>
      <c r="B1727" s="11">
        <v>30773727</v>
      </c>
      <c r="C1727" s="11">
        <v>144</v>
      </c>
      <c r="D1727">
        <v>69120000</v>
      </c>
      <c r="E1727">
        <v>1180</v>
      </c>
    </row>
    <row r="1728" ht="13.85" spans="1:5">
      <c r="A1728">
        <f t="shared" si="26"/>
        <v>1727</v>
      </c>
      <c r="B1728" s="11">
        <v>30444363</v>
      </c>
      <c r="C1728" s="11">
        <v>126</v>
      </c>
      <c r="D1728">
        <v>60480000</v>
      </c>
      <c r="E1728">
        <v>1179</v>
      </c>
    </row>
    <row r="1729" ht="13.85" spans="1:5">
      <c r="A1729">
        <f t="shared" si="26"/>
        <v>1728</v>
      </c>
      <c r="B1729" s="11">
        <v>26114210</v>
      </c>
      <c r="C1729" s="11">
        <v>109</v>
      </c>
      <c r="D1729">
        <v>52320000</v>
      </c>
      <c r="E1729">
        <v>1178</v>
      </c>
    </row>
    <row r="1730" ht="13.85" spans="1:5">
      <c r="A1730">
        <f t="shared" ref="A1730:A1793" si="27">ROW()-1</f>
        <v>1729</v>
      </c>
      <c r="B1730" s="11">
        <v>24471201</v>
      </c>
      <c r="C1730" s="11">
        <v>94</v>
      </c>
      <c r="D1730">
        <v>45120000</v>
      </c>
      <c r="E1730">
        <v>1177</v>
      </c>
    </row>
    <row r="1731" ht="13.85" spans="1:5">
      <c r="A1731">
        <f t="shared" si="27"/>
        <v>1730</v>
      </c>
      <c r="B1731" s="11">
        <v>20989951</v>
      </c>
      <c r="C1731" s="11">
        <v>81</v>
      </c>
      <c r="D1731">
        <v>38880000</v>
      </c>
      <c r="E1731">
        <v>1176</v>
      </c>
    </row>
    <row r="1732" ht="13.85" spans="1:5">
      <c r="A1732">
        <f t="shared" si="27"/>
        <v>1731</v>
      </c>
      <c r="B1732" s="11">
        <v>21945161</v>
      </c>
      <c r="C1732" s="11">
        <v>70</v>
      </c>
      <c r="D1732">
        <v>33600000</v>
      </c>
      <c r="E1732">
        <v>1175</v>
      </c>
    </row>
    <row r="1733" ht="13.85" spans="1:5">
      <c r="A1733">
        <f t="shared" si="27"/>
        <v>1732</v>
      </c>
      <c r="B1733" s="11">
        <v>18904687</v>
      </c>
      <c r="C1733" s="11">
        <v>55</v>
      </c>
      <c r="D1733">
        <v>26400000</v>
      </c>
      <c r="E1733">
        <v>1174</v>
      </c>
    </row>
    <row r="1734" ht="13.85" spans="1:5">
      <c r="A1734">
        <f t="shared" si="27"/>
        <v>1733</v>
      </c>
      <c r="B1734" s="11">
        <v>20610205</v>
      </c>
      <c r="C1734" s="11">
        <v>44</v>
      </c>
      <c r="D1734">
        <v>21120000</v>
      </c>
      <c r="E1734">
        <v>1173</v>
      </c>
    </row>
    <row r="1735" ht="13.85" spans="1:5">
      <c r="A1735">
        <f t="shared" si="27"/>
        <v>1734</v>
      </c>
      <c r="B1735" s="11">
        <v>17480709</v>
      </c>
      <c r="C1735" s="11">
        <v>32</v>
      </c>
      <c r="D1735">
        <v>15360000</v>
      </c>
      <c r="E1735">
        <v>1172</v>
      </c>
    </row>
    <row r="1736" ht="13.85" spans="1:5">
      <c r="A1736">
        <f t="shared" si="27"/>
        <v>1735</v>
      </c>
      <c r="B1736" s="11">
        <v>19385578</v>
      </c>
      <c r="C1736" s="11">
        <v>25</v>
      </c>
      <c r="D1736">
        <v>12000000</v>
      </c>
      <c r="E1736">
        <v>1171</v>
      </c>
    </row>
    <row r="1737" ht="13.85" spans="1:5">
      <c r="A1737">
        <f t="shared" si="27"/>
        <v>1736</v>
      </c>
      <c r="B1737" s="11">
        <v>17710870</v>
      </c>
      <c r="C1737" s="11">
        <v>20</v>
      </c>
      <c r="D1737">
        <v>9600000</v>
      </c>
      <c r="E1737">
        <v>1170</v>
      </c>
    </row>
    <row r="1738" ht="13.85" spans="1:5">
      <c r="A1738">
        <f t="shared" si="27"/>
        <v>1737</v>
      </c>
      <c r="B1738" s="11">
        <v>40585812</v>
      </c>
      <c r="C1738" s="11">
        <v>173</v>
      </c>
      <c r="D1738">
        <v>83040000</v>
      </c>
      <c r="E1738">
        <v>1169</v>
      </c>
    </row>
    <row r="1739" ht="13.85" spans="1:5">
      <c r="A1739">
        <f t="shared" si="27"/>
        <v>1738</v>
      </c>
      <c r="B1739" s="11">
        <v>33004838</v>
      </c>
      <c r="C1739" s="11">
        <v>150</v>
      </c>
      <c r="D1739">
        <v>72000000</v>
      </c>
      <c r="E1739">
        <v>1168</v>
      </c>
    </row>
    <row r="1740" ht="13.85" spans="1:5">
      <c r="A1740">
        <f t="shared" si="27"/>
        <v>1739</v>
      </c>
      <c r="B1740" s="11">
        <v>31083510</v>
      </c>
      <c r="C1740" s="11">
        <v>125</v>
      </c>
      <c r="D1740">
        <v>60000000</v>
      </c>
      <c r="E1740">
        <v>1167</v>
      </c>
    </row>
    <row r="1741" ht="13.85" spans="1:5">
      <c r="A1741">
        <f t="shared" si="27"/>
        <v>1740</v>
      </c>
      <c r="B1741" s="11">
        <v>26751148</v>
      </c>
      <c r="C1741" s="11">
        <v>105</v>
      </c>
      <c r="D1741">
        <v>50400000</v>
      </c>
      <c r="E1741">
        <v>1166</v>
      </c>
    </row>
    <row r="1742" ht="13.85" spans="1:5">
      <c r="A1742">
        <f t="shared" si="27"/>
        <v>1741</v>
      </c>
      <c r="B1742" s="11">
        <v>26121650</v>
      </c>
      <c r="C1742" s="11">
        <v>92</v>
      </c>
      <c r="D1742">
        <v>44160000</v>
      </c>
      <c r="E1742">
        <v>1165</v>
      </c>
    </row>
    <row r="1743" ht="13.85" spans="1:5">
      <c r="A1743">
        <f t="shared" si="27"/>
        <v>1742</v>
      </c>
      <c r="B1743" s="11">
        <v>21320594</v>
      </c>
      <c r="C1743" s="11">
        <v>78</v>
      </c>
      <c r="D1743">
        <v>37440000</v>
      </c>
      <c r="E1743">
        <v>1164</v>
      </c>
    </row>
    <row r="1744" ht="13.85" spans="1:5">
      <c r="A1744">
        <f t="shared" si="27"/>
        <v>1743</v>
      </c>
      <c r="B1744" s="11">
        <v>22503384</v>
      </c>
      <c r="C1744" s="11">
        <v>65</v>
      </c>
      <c r="D1744">
        <v>31200000</v>
      </c>
      <c r="E1744">
        <v>1163</v>
      </c>
    </row>
    <row r="1745" ht="13.85" spans="1:5">
      <c r="A1745">
        <f t="shared" si="27"/>
        <v>1744</v>
      </c>
      <c r="B1745" s="11">
        <v>19218723</v>
      </c>
      <c r="C1745" s="11">
        <v>52</v>
      </c>
      <c r="D1745">
        <v>24960000</v>
      </c>
      <c r="E1745">
        <v>1162</v>
      </c>
    </row>
    <row r="1746" ht="13.85" spans="1:5">
      <c r="A1746">
        <f t="shared" si="27"/>
        <v>1745</v>
      </c>
      <c r="B1746" s="11">
        <v>20644948</v>
      </c>
      <c r="C1746" s="11">
        <v>42</v>
      </c>
      <c r="D1746">
        <v>20160000</v>
      </c>
      <c r="E1746">
        <v>1161</v>
      </c>
    </row>
    <row r="1747" ht="13.85" spans="1:5">
      <c r="A1747">
        <f t="shared" si="27"/>
        <v>1746</v>
      </c>
      <c r="B1747" s="11">
        <v>16708093</v>
      </c>
      <c r="C1747" s="11">
        <v>30</v>
      </c>
      <c r="D1747">
        <v>14400000</v>
      </c>
      <c r="E1747">
        <v>1160</v>
      </c>
    </row>
    <row r="1748" ht="13.85" spans="1:5">
      <c r="A1748">
        <f t="shared" si="27"/>
        <v>1747</v>
      </c>
      <c r="B1748" s="11">
        <v>19278592</v>
      </c>
      <c r="C1748" s="11">
        <v>25</v>
      </c>
      <c r="D1748">
        <v>12000000</v>
      </c>
      <c r="E1748">
        <v>1159</v>
      </c>
    </row>
    <row r="1749" ht="13.85" spans="1:5">
      <c r="A1749">
        <f t="shared" si="27"/>
        <v>1748</v>
      </c>
      <c r="B1749" s="20">
        <v>17190146</v>
      </c>
      <c r="C1749" s="20">
        <v>20</v>
      </c>
      <c r="D1749">
        <v>9600000</v>
      </c>
      <c r="E1749">
        <v>1158</v>
      </c>
    </row>
    <row r="1750" ht="13.85" spans="1:5">
      <c r="A1750">
        <f t="shared" si="27"/>
        <v>1749</v>
      </c>
      <c r="B1750" s="11">
        <v>38330424</v>
      </c>
      <c r="C1750" s="11">
        <v>165</v>
      </c>
      <c r="D1750">
        <v>79200000</v>
      </c>
      <c r="E1750">
        <v>1157</v>
      </c>
    </row>
    <row r="1751" ht="13.85" spans="1:5">
      <c r="A1751">
        <f t="shared" si="27"/>
        <v>1750</v>
      </c>
      <c r="B1751" s="11">
        <v>33674948</v>
      </c>
      <c r="C1751" s="11">
        <v>146</v>
      </c>
      <c r="D1751">
        <v>70080000</v>
      </c>
      <c r="E1751">
        <v>1156</v>
      </c>
    </row>
    <row r="1752" ht="13.85" spans="1:5">
      <c r="A1752">
        <f t="shared" si="27"/>
        <v>1751</v>
      </c>
      <c r="B1752" s="11">
        <v>32008934</v>
      </c>
      <c r="C1752" s="11">
        <v>120</v>
      </c>
      <c r="D1752">
        <v>57600000</v>
      </c>
      <c r="E1752">
        <v>1155</v>
      </c>
    </row>
    <row r="1753" ht="13.85" spans="1:5">
      <c r="A1753">
        <f t="shared" si="27"/>
        <v>1752</v>
      </c>
      <c r="B1753" s="11">
        <v>29312505</v>
      </c>
      <c r="C1753" s="11">
        <v>105</v>
      </c>
      <c r="D1753">
        <v>50400000</v>
      </c>
      <c r="E1753">
        <v>1154</v>
      </c>
    </row>
    <row r="1754" ht="13.85" spans="1:5">
      <c r="A1754">
        <f t="shared" si="27"/>
        <v>1753</v>
      </c>
      <c r="B1754" s="15">
        <v>20359193</v>
      </c>
      <c r="C1754" s="15">
        <v>90</v>
      </c>
      <c r="D1754">
        <v>43200000</v>
      </c>
      <c r="E1754">
        <v>1153</v>
      </c>
    </row>
    <row r="1755" ht="13.85" spans="1:5">
      <c r="A1755">
        <f t="shared" si="27"/>
        <v>1754</v>
      </c>
      <c r="B1755" s="13">
        <v>20983719</v>
      </c>
      <c r="C1755" s="13">
        <v>80</v>
      </c>
      <c r="D1755">
        <v>38400000</v>
      </c>
      <c r="E1755">
        <v>1152</v>
      </c>
    </row>
    <row r="1756" ht="13.85" spans="1:5">
      <c r="A1756">
        <f t="shared" si="27"/>
        <v>1755</v>
      </c>
      <c r="B1756" s="11">
        <v>16945918</v>
      </c>
      <c r="C1756" s="11">
        <v>70</v>
      </c>
      <c r="D1756">
        <v>33600000</v>
      </c>
      <c r="E1756">
        <v>1151</v>
      </c>
    </row>
    <row r="1757" ht="13.85" spans="1:5">
      <c r="A1757">
        <f t="shared" si="27"/>
        <v>1756</v>
      </c>
      <c r="B1757" s="11">
        <v>19362415</v>
      </c>
      <c r="C1757" s="11">
        <v>62</v>
      </c>
      <c r="D1757">
        <v>29760000</v>
      </c>
      <c r="E1757">
        <v>1150</v>
      </c>
    </row>
    <row r="1758" ht="13.85" spans="1:5">
      <c r="A1758">
        <f t="shared" si="27"/>
        <v>1757</v>
      </c>
      <c r="B1758" s="11">
        <v>16777284</v>
      </c>
      <c r="C1758" s="11">
        <v>57</v>
      </c>
      <c r="D1758">
        <v>27360000</v>
      </c>
      <c r="E1758">
        <v>1149</v>
      </c>
    </row>
    <row r="1759" ht="13.85" spans="1:5">
      <c r="A1759">
        <f t="shared" si="27"/>
        <v>1758</v>
      </c>
      <c r="B1759" s="11">
        <v>14623703</v>
      </c>
      <c r="C1759" s="11">
        <v>50</v>
      </c>
      <c r="D1759">
        <v>24000000</v>
      </c>
      <c r="E1759">
        <v>1148</v>
      </c>
    </row>
    <row r="1760" ht="13.85" spans="1:5">
      <c r="A1760">
        <f t="shared" si="27"/>
        <v>1759</v>
      </c>
      <c r="B1760" s="11">
        <v>15557093</v>
      </c>
      <c r="C1760" s="11">
        <v>40</v>
      </c>
      <c r="D1760">
        <v>19200000</v>
      </c>
      <c r="E1760">
        <v>1147</v>
      </c>
    </row>
    <row r="1761" ht="13.85" spans="1:5">
      <c r="A1761">
        <f t="shared" si="27"/>
        <v>1760</v>
      </c>
      <c r="B1761" s="11">
        <v>13682460</v>
      </c>
      <c r="C1761" s="11">
        <v>35</v>
      </c>
      <c r="D1761">
        <v>16800000</v>
      </c>
      <c r="E1761">
        <v>1146</v>
      </c>
    </row>
    <row r="1762" ht="13.85" spans="1:5">
      <c r="A1762">
        <f t="shared" si="27"/>
        <v>1761</v>
      </c>
      <c r="B1762" s="11">
        <v>14727558</v>
      </c>
      <c r="C1762" s="11">
        <v>30</v>
      </c>
      <c r="D1762">
        <v>14400000</v>
      </c>
      <c r="E1762">
        <v>1145</v>
      </c>
    </row>
    <row r="1763" ht="13.85" spans="1:5">
      <c r="A1763">
        <f t="shared" si="27"/>
        <v>1762</v>
      </c>
      <c r="B1763" s="11">
        <v>13167444</v>
      </c>
      <c r="C1763" s="11">
        <v>25</v>
      </c>
      <c r="D1763">
        <v>12000000</v>
      </c>
      <c r="E1763">
        <v>1144</v>
      </c>
    </row>
    <row r="1764" ht="13.85" spans="1:5">
      <c r="A1764">
        <f t="shared" si="27"/>
        <v>1763</v>
      </c>
      <c r="B1764" s="11">
        <v>13299846</v>
      </c>
      <c r="C1764" s="11">
        <v>20</v>
      </c>
      <c r="D1764">
        <v>9600000</v>
      </c>
      <c r="E1764">
        <v>1143</v>
      </c>
    </row>
    <row r="1765" ht="13.85" spans="1:5">
      <c r="A1765">
        <f t="shared" si="27"/>
        <v>1764</v>
      </c>
      <c r="B1765" s="22">
        <v>12859427</v>
      </c>
      <c r="C1765" s="22">
        <v>15</v>
      </c>
      <c r="D1765">
        <v>7200000</v>
      </c>
      <c r="E1765">
        <v>1142</v>
      </c>
    </row>
    <row r="1766" ht="13.85" spans="1:5">
      <c r="A1766">
        <f t="shared" si="27"/>
        <v>1765</v>
      </c>
      <c r="B1766" s="11">
        <v>17067435</v>
      </c>
      <c r="C1766" s="11">
        <v>61</v>
      </c>
      <c r="D1766">
        <v>29280000</v>
      </c>
      <c r="E1766">
        <v>1141</v>
      </c>
    </row>
    <row r="1767" ht="13.85" spans="1:5">
      <c r="A1767">
        <f t="shared" si="27"/>
        <v>1766</v>
      </c>
      <c r="B1767" s="11">
        <v>14887848</v>
      </c>
      <c r="C1767" s="11">
        <v>50</v>
      </c>
      <c r="D1767">
        <v>24000000</v>
      </c>
      <c r="E1767">
        <v>1140</v>
      </c>
    </row>
    <row r="1768" ht="13.85" spans="1:5">
      <c r="A1768">
        <f t="shared" si="27"/>
        <v>1767</v>
      </c>
      <c r="B1768" s="11">
        <v>15899493</v>
      </c>
      <c r="C1768" s="11">
        <v>42</v>
      </c>
      <c r="D1768">
        <v>20160000</v>
      </c>
      <c r="E1768">
        <v>1139</v>
      </c>
    </row>
    <row r="1769" ht="13.85" spans="1:5">
      <c r="A1769">
        <f t="shared" si="27"/>
        <v>1768</v>
      </c>
      <c r="B1769" s="11">
        <v>13639951</v>
      </c>
      <c r="C1769" s="11">
        <v>32</v>
      </c>
      <c r="D1769">
        <v>15360000</v>
      </c>
      <c r="E1769">
        <v>1138</v>
      </c>
    </row>
    <row r="1770" ht="13.85" spans="1:5">
      <c r="A1770">
        <f t="shared" si="27"/>
        <v>1769</v>
      </c>
      <c r="B1770" s="11">
        <v>14697911</v>
      </c>
      <c r="C1770" s="11">
        <v>25</v>
      </c>
      <c r="D1770">
        <v>12000000</v>
      </c>
      <c r="E1770">
        <v>1137</v>
      </c>
    </row>
    <row r="1771" ht="13.85" spans="1:5">
      <c r="A1771">
        <f t="shared" si="27"/>
        <v>1770</v>
      </c>
      <c r="B1771" s="11">
        <v>12918154</v>
      </c>
      <c r="C1771" s="11">
        <v>20</v>
      </c>
      <c r="D1771">
        <v>9600000</v>
      </c>
      <c r="E1771">
        <v>1136</v>
      </c>
    </row>
    <row r="1772" ht="13.85" spans="1:5">
      <c r="A1772">
        <f t="shared" si="27"/>
        <v>1771</v>
      </c>
      <c r="B1772" s="11">
        <v>14172153</v>
      </c>
      <c r="C1772" s="11">
        <v>15</v>
      </c>
      <c r="D1772">
        <v>7200000</v>
      </c>
      <c r="E1772">
        <v>1135</v>
      </c>
    </row>
    <row r="1773" ht="13.85" spans="1:5">
      <c r="A1773">
        <f t="shared" si="27"/>
        <v>1772</v>
      </c>
      <c r="B1773" s="11">
        <v>15505826</v>
      </c>
      <c r="C1773" s="11">
        <v>59</v>
      </c>
      <c r="D1773">
        <v>28320000</v>
      </c>
      <c r="E1773">
        <v>1134</v>
      </c>
    </row>
    <row r="1774" ht="13.85" spans="1:5">
      <c r="A1774">
        <f t="shared" si="27"/>
        <v>1773</v>
      </c>
      <c r="B1774" s="11">
        <v>17078156</v>
      </c>
      <c r="C1774" s="11">
        <v>52</v>
      </c>
      <c r="D1774">
        <v>24960000</v>
      </c>
      <c r="E1774">
        <v>1133</v>
      </c>
    </row>
    <row r="1775" ht="13.85" spans="1:5">
      <c r="A1775">
        <f t="shared" si="27"/>
        <v>1774</v>
      </c>
      <c r="B1775" s="11">
        <v>14747387</v>
      </c>
      <c r="C1775" s="11">
        <v>42</v>
      </c>
      <c r="D1775">
        <v>20160000</v>
      </c>
      <c r="E1775">
        <v>1132</v>
      </c>
    </row>
    <row r="1776" ht="13.85" spans="1:5">
      <c r="A1776">
        <f t="shared" si="27"/>
        <v>1775</v>
      </c>
      <c r="B1776" s="11">
        <v>15856892</v>
      </c>
      <c r="C1776" s="11">
        <v>32</v>
      </c>
      <c r="D1776">
        <v>15360000</v>
      </c>
      <c r="E1776">
        <v>1131</v>
      </c>
    </row>
    <row r="1777" ht="13.85" spans="1:5">
      <c r="A1777">
        <f t="shared" si="27"/>
        <v>1776</v>
      </c>
      <c r="B1777" s="11">
        <v>13777127</v>
      </c>
      <c r="C1777" s="11">
        <v>25</v>
      </c>
      <c r="D1777">
        <v>12000000</v>
      </c>
      <c r="E1777">
        <v>1130</v>
      </c>
    </row>
    <row r="1778" ht="13.85" spans="1:5">
      <c r="A1778">
        <f t="shared" si="27"/>
        <v>1777</v>
      </c>
      <c r="B1778" s="11">
        <v>15116216</v>
      </c>
      <c r="C1778" s="11">
        <v>20</v>
      </c>
      <c r="D1778">
        <v>9600000</v>
      </c>
      <c r="E1778">
        <v>1129</v>
      </c>
    </row>
    <row r="1779" ht="13.85" spans="1:5">
      <c r="A1779">
        <f t="shared" si="27"/>
        <v>1778</v>
      </c>
      <c r="B1779" s="11">
        <v>13160825</v>
      </c>
      <c r="C1779" s="11">
        <v>15</v>
      </c>
      <c r="D1779">
        <v>7200000</v>
      </c>
      <c r="E1779">
        <v>1128</v>
      </c>
    </row>
    <row r="1780" ht="13.85" spans="1:5">
      <c r="A1780">
        <f t="shared" si="27"/>
        <v>1779</v>
      </c>
      <c r="B1780" s="11">
        <v>15428658</v>
      </c>
      <c r="C1780" s="11">
        <v>20</v>
      </c>
      <c r="D1780">
        <v>9600000</v>
      </c>
      <c r="E1780">
        <v>1127</v>
      </c>
    </row>
    <row r="1781" ht="13.85" spans="1:5">
      <c r="A1781">
        <f t="shared" si="27"/>
        <v>1780</v>
      </c>
      <c r="B1781" s="11">
        <v>14426354</v>
      </c>
      <c r="C1781" s="11">
        <v>15</v>
      </c>
      <c r="D1781">
        <v>7200000</v>
      </c>
      <c r="E1781">
        <v>1126</v>
      </c>
    </row>
    <row r="1782" ht="13.85" spans="1:5">
      <c r="A1782">
        <f t="shared" si="27"/>
        <v>1781</v>
      </c>
      <c r="B1782" s="11">
        <v>44765040</v>
      </c>
      <c r="C1782" s="11">
        <v>200</v>
      </c>
      <c r="D1782">
        <v>96000000</v>
      </c>
      <c r="E1782">
        <v>1125</v>
      </c>
    </row>
    <row r="1783" ht="13.85" spans="1:5">
      <c r="A1783">
        <f t="shared" si="27"/>
        <v>1782</v>
      </c>
      <c r="B1783" s="11">
        <v>34493168</v>
      </c>
      <c r="C1783" s="11">
        <v>176</v>
      </c>
      <c r="D1783">
        <v>84480000</v>
      </c>
      <c r="E1783">
        <v>1124</v>
      </c>
    </row>
    <row r="1784" ht="13.85" spans="1:5">
      <c r="A1784">
        <f t="shared" si="27"/>
        <v>1783</v>
      </c>
      <c r="B1784" s="11">
        <v>31755415</v>
      </c>
      <c r="C1784" s="11">
        <v>154</v>
      </c>
      <c r="D1784">
        <v>73920000</v>
      </c>
      <c r="E1784">
        <v>1123</v>
      </c>
    </row>
    <row r="1785" ht="13.85" spans="1:5">
      <c r="A1785">
        <f t="shared" si="27"/>
        <v>1784</v>
      </c>
      <c r="B1785" s="11">
        <v>27057880</v>
      </c>
      <c r="C1785" s="11">
        <v>136</v>
      </c>
      <c r="D1785">
        <v>65280000</v>
      </c>
      <c r="E1785">
        <v>1122</v>
      </c>
    </row>
    <row r="1786" ht="13.85" spans="1:5">
      <c r="A1786">
        <f t="shared" si="27"/>
        <v>1785</v>
      </c>
      <c r="B1786" s="11">
        <v>26031582</v>
      </c>
      <c r="C1786" s="11">
        <v>118</v>
      </c>
      <c r="D1786">
        <v>56640000</v>
      </c>
      <c r="E1786">
        <v>1121</v>
      </c>
    </row>
    <row r="1787" ht="13.85" spans="1:5">
      <c r="A1787">
        <f t="shared" si="27"/>
        <v>1786</v>
      </c>
      <c r="B1787" s="11">
        <v>22982970</v>
      </c>
      <c r="C1787" s="11">
        <v>102</v>
      </c>
      <c r="D1787">
        <v>48960000</v>
      </c>
      <c r="E1787">
        <v>1120</v>
      </c>
    </row>
    <row r="1788" ht="13.85" spans="1:5">
      <c r="A1788">
        <f t="shared" si="27"/>
        <v>1787</v>
      </c>
      <c r="B1788" s="11">
        <v>20790966</v>
      </c>
      <c r="C1788" s="11">
        <v>92</v>
      </c>
      <c r="D1788">
        <v>44160000</v>
      </c>
      <c r="E1788">
        <v>1119</v>
      </c>
    </row>
    <row r="1789" ht="13.85" spans="1:5">
      <c r="A1789">
        <f t="shared" si="27"/>
        <v>1788</v>
      </c>
      <c r="B1789" s="11">
        <v>16960226</v>
      </c>
      <c r="C1789" s="11">
        <v>81</v>
      </c>
      <c r="D1789">
        <v>38880000</v>
      </c>
      <c r="E1789">
        <v>1118</v>
      </c>
    </row>
    <row r="1790" ht="13.85" spans="1:5">
      <c r="A1790">
        <f t="shared" si="27"/>
        <v>1789</v>
      </c>
      <c r="B1790" s="11">
        <v>18470381</v>
      </c>
      <c r="C1790" s="11">
        <v>72</v>
      </c>
      <c r="D1790">
        <v>34560000</v>
      </c>
      <c r="E1790">
        <v>1117</v>
      </c>
    </row>
    <row r="1791" ht="13.85" spans="1:5">
      <c r="A1791">
        <f t="shared" si="27"/>
        <v>1790</v>
      </c>
      <c r="B1791" s="11">
        <v>15725016</v>
      </c>
      <c r="C1791" s="11">
        <v>62</v>
      </c>
      <c r="D1791">
        <v>29760000</v>
      </c>
      <c r="E1791">
        <v>1116</v>
      </c>
    </row>
    <row r="1792" ht="13.85" spans="1:5">
      <c r="A1792">
        <f t="shared" si="27"/>
        <v>1791</v>
      </c>
      <c r="B1792" s="11">
        <v>16845939</v>
      </c>
      <c r="C1792" s="11">
        <v>52</v>
      </c>
      <c r="D1792">
        <v>24960000</v>
      </c>
      <c r="E1792">
        <v>1115</v>
      </c>
    </row>
    <row r="1793" ht="13.85" spans="1:5">
      <c r="A1793">
        <f t="shared" si="27"/>
        <v>1792</v>
      </c>
      <c r="B1793" s="11">
        <v>14631485</v>
      </c>
      <c r="C1793" s="11">
        <v>43</v>
      </c>
      <c r="D1793">
        <v>20640000</v>
      </c>
      <c r="E1793">
        <v>1114</v>
      </c>
    </row>
    <row r="1794" ht="13.85" spans="1:5">
      <c r="A1794">
        <f t="shared" ref="A1794:A1857" si="28">ROW()-1</f>
        <v>1793</v>
      </c>
      <c r="B1794" s="11">
        <v>15512388</v>
      </c>
      <c r="C1794" s="11">
        <v>35</v>
      </c>
      <c r="D1794">
        <v>16800000</v>
      </c>
      <c r="E1794">
        <v>1113</v>
      </c>
    </row>
    <row r="1795" ht="13.85" spans="1:5">
      <c r="A1795">
        <f t="shared" si="28"/>
        <v>1794</v>
      </c>
      <c r="B1795" s="11">
        <v>13468008</v>
      </c>
      <c r="C1795" s="11">
        <v>25</v>
      </c>
      <c r="D1795">
        <v>12000000</v>
      </c>
      <c r="E1795">
        <v>1112</v>
      </c>
    </row>
    <row r="1796" ht="13.85" spans="1:5">
      <c r="A1796">
        <f t="shared" si="28"/>
        <v>1795</v>
      </c>
      <c r="B1796" s="11">
        <v>14835609</v>
      </c>
      <c r="C1796" s="11">
        <v>20</v>
      </c>
      <c r="D1796">
        <v>9600000</v>
      </c>
      <c r="E1796">
        <v>1111</v>
      </c>
    </row>
    <row r="1797" ht="13.85" spans="1:5">
      <c r="A1797">
        <f t="shared" si="28"/>
        <v>1796</v>
      </c>
      <c r="B1797" s="11">
        <v>12896112</v>
      </c>
      <c r="C1797" s="11">
        <v>15</v>
      </c>
      <c r="D1797">
        <v>7200000</v>
      </c>
      <c r="E1797">
        <v>1110</v>
      </c>
    </row>
    <row r="1798" ht="13.85" spans="1:5">
      <c r="A1798">
        <f t="shared" si="28"/>
        <v>1797</v>
      </c>
      <c r="B1798" s="11">
        <v>20183927</v>
      </c>
      <c r="C1798" s="11">
        <v>87</v>
      </c>
      <c r="D1798">
        <v>41760000</v>
      </c>
      <c r="E1798">
        <v>1109</v>
      </c>
    </row>
    <row r="1799" ht="13.85" spans="1:5">
      <c r="A1799">
        <f t="shared" si="28"/>
        <v>1798</v>
      </c>
      <c r="B1799" s="11">
        <v>17066704</v>
      </c>
      <c r="C1799" s="11">
        <v>75</v>
      </c>
      <c r="D1799">
        <v>36000000</v>
      </c>
      <c r="E1799">
        <v>1108</v>
      </c>
    </row>
    <row r="1800" ht="13.85" spans="1:5">
      <c r="A1800">
        <f t="shared" si="28"/>
        <v>1799</v>
      </c>
      <c r="B1800" s="11">
        <v>17529417</v>
      </c>
      <c r="C1800" s="11">
        <v>64</v>
      </c>
      <c r="D1800">
        <v>30720000</v>
      </c>
      <c r="E1800">
        <v>1107</v>
      </c>
    </row>
    <row r="1801" ht="13.85" spans="1:5">
      <c r="A1801">
        <f t="shared" si="28"/>
        <v>1800</v>
      </c>
      <c r="B1801" s="11">
        <v>15300101</v>
      </c>
      <c r="C1801" s="11">
        <v>54</v>
      </c>
      <c r="D1801">
        <v>25920000</v>
      </c>
      <c r="E1801">
        <v>1106</v>
      </c>
    </row>
    <row r="1802" ht="13.85" spans="1:5">
      <c r="A1802">
        <f t="shared" si="28"/>
        <v>1801</v>
      </c>
      <c r="B1802" s="11">
        <v>16093440</v>
      </c>
      <c r="C1802" s="11">
        <v>43</v>
      </c>
      <c r="D1802">
        <v>20640000</v>
      </c>
      <c r="E1802">
        <v>1105</v>
      </c>
    </row>
    <row r="1803" ht="13.85" spans="1:5">
      <c r="A1803">
        <f t="shared" si="28"/>
        <v>1802</v>
      </c>
      <c r="B1803" s="11">
        <v>14129522</v>
      </c>
      <c r="C1803" s="11">
        <v>33</v>
      </c>
      <c r="D1803">
        <v>15840000</v>
      </c>
      <c r="E1803">
        <v>1104</v>
      </c>
    </row>
    <row r="1804" ht="13.85" spans="1:5">
      <c r="A1804">
        <f t="shared" si="28"/>
        <v>1803</v>
      </c>
      <c r="B1804" s="11">
        <v>14838533</v>
      </c>
      <c r="C1804" s="11">
        <v>25</v>
      </c>
      <c r="D1804">
        <v>12000000</v>
      </c>
      <c r="E1804">
        <v>1103</v>
      </c>
    </row>
    <row r="1805" ht="13.85" spans="1:5">
      <c r="A1805">
        <f t="shared" si="28"/>
        <v>1804</v>
      </c>
      <c r="B1805" s="11">
        <v>13197661</v>
      </c>
      <c r="C1805" s="11">
        <v>20</v>
      </c>
      <c r="D1805">
        <v>9600000</v>
      </c>
      <c r="E1805">
        <v>1102</v>
      </c>
    </row>
    <row r="1806" ht="13.85" spans="1:5">
      <c r="A1806">
        <f t="shared" si="28"/>
        <v>1805</v>
      </c>
      <c r="B1806" s="11">
        <v>14224514</v>
      </c>
      <c r="C1806" s="11">
        <v>15</v>
      </c>
      <c r="D1806">
        <v>7200000</v>
      </c>
      <c r="E1806">
        <v>1101</v>
      </c>
    </row>
    <row r="1807" ht="13.85" spans="1:5">
      <c r="A1807">
        <f t="shared" si="28"/>
        <v>1806</v>
      </c>
      <c r="B1807" s="11">
        <v>18155586</v>
      </c>
      <c r="C1807" s="11">
        <v>85</v>
      </c>
      <c r="D1807">
        <v>40800000</v>
      </c>
      <c r="E1807">
        <v>1100</v>
      </c>
    </row>
    <row r="1808" ht="13.85" spans="1:5">
      <c r="A1808">
        <f t="shared" si="28"/>
        <v>1807</v>
      </c>
      <c r="B1808" s="11">
        <v>18579943</v>
      </c>
      <c r="C1808" s="11">
        <v>75</v>
      </c>
      <c r="D1808">
        <v>36000000</v>
      </c>
      <c r="E1808">
        <v>1099</v>
      </c>
    </row>
    <row r="1809" ht="13.85" spans="1:5">
      <c r="A1809">
        <f t="shared" si="28"/>
        <v>1808</v>
      </c>
      <c r="B1809" s="11">
        <v>16133145</v>
      </c>
      <c r="C1809" s="11">
        <v>64</v>
      </c>
      <c r="D1809">
        <v>30720000</v>
      </c>
      <c r="E1809">
        <v>1098</v>
      </c>
    </row>
    <row r="1810" ht="13.85" spans="1:5">
      <c r="A1810">
        <f t="shared" si="28"/>
        <v>1809</v>
      </c>
      <c r="B1810" s="11">
        <v>16889191</v>
      </c>
      <c r="C1810" s="11">
        <v>53</v>
      </c>
      <c r="D1810">
        <v>25440000</v>
      </c>
      <c r="E1810">
        <v>1097</v>
      </c>
    </row>
    <row r="1811" ht="13.85" spans="1:5">
      <c r="A1811">
        <f t="shared" si="28"/>
        <v>1810</v>
      </c>
      <c r="B1811" s="11">
        <v>14759207</v>
      </c>
      <c r="C1811" s="11">
        <v>42</v>
      </c>
      <c r="D1811">
        <v>20160000</v>
      </c>
      <c r="E1811">
        <v>1096</v>
      </c>
    </row>
    <row r="1812" ht="13.85" spans="1:5">
      <c r="A1812">
        <f t="shared" si="28"/>
        <v>1811</v>
      </c>
      <c r="B1812" s="11">
        <v>15504984</v>
      </c>
      <c r="C1812" s="11">
        <v>33</v>
      </c>
      <c r="D1812">
        <v>15840000</v>
      </c>
      <c r="E1812">
        <v>1095</v>
      </c>
    </row>
    <row r="1813" ht="13.85" spans="1:5">
      <c r="A1813">
        <f t="shared" si="28"/>
        <v>1812</v>
      </c>
      <c r="B1813" s="11">
        <v>13174219</v>
      </c>
      <c r="C1813" s="11">
        <v>25</v>
      </c>
      <c r="D1813">
        <v>12000000</v>
      </c>
      <c r="E1813">
        <v>1094</v>
      </c>
    </row>
    <row r="1814" ht="13.85" spans="1:5">
      <c r="A1814">
        <f t="shared" si="28"/>
        <v>1813</v>
      </c>
      <c r="B1814" s="11">
        <v>14435106</v>
      </c>
      <c r="C1814" s="11">
        <v>20</v>
      </c>
      <c r="D1814">
        <v>9600000</v>
      </c>
      <c r="E1814">
        <v>1093</v>
      </c>
    </row>
    <row r="1815" ht="13.85" spans="1:5">
      <c r="A1815">
        <f t="shared" si="28"/>
        <v>1814</v>
      </c>
      <c r="B1815" s="11">
        <v>12951401</v>
      </c>
      <c r="C1815" s="11">
        <v>15</v>
      </c>
      <c r="D1815">
        <v>7200000</v>
      </c>
      <c r="E1815">
        <v>1092</v>
      </c>
    </row>
    <row r="1816" ht="13.85" spans="1:5">
      <c r="A1816">
        <f t="shared" si="28"/>
        <v>1815</v>
      </c>
      <c r="B1816" s="11">
        <v>15864549</v>
      </c>
      <c r="C1816" s="11">
        <v>33</v>
      </c>
      <c r="D1816">
        <v>15840000</v>
      </c>
      <c r="E1816">
        <v>1091</v>
      </c>
    </row>
    <row r="1817" ht="13.85" spans="1:5">
      <c r="A1817">
        <f t="shared" si="28"/>
        <v>1816</v>
      </c>
      <c r="B1817" s="11">
        <v>13189071</v>
      </c>
      <c r="C1817" s="11">
        <v>25</v>
      </c>
      <c r="D1817">
        <v>12000000</v>
      </c>
      <c r="E1817">
        <v>1090</v>
      </c>
    </row>
    <row r="1818" ht="13.85" spans="1:5">
      <c r="A1818">
        <f t="shared" si="28"/>
        <v>1817</v>
      </c>
      <c r="B1818" s="11">
        <v>15040228</v>
      </c>
      <c r="C1818" s="11">
        <v>20</v>
      </c>
      <c r="D1818">
        <v>9600000</v>
      </c>
      <c r="E1818">
        <v>1089</v>
      </c>
    </row>
    <row r="1819" ht="13.85" spans="1:5">
      <c r="A1819">
        <f t="shared" si="28"/>
        <v>1818</v>
      </c>
      <c r="B1819" s="11">
        <v>13140517</v>
      </c>
      <c r="C1819" s="11">
        <v>15</v>
      </c>
      <c r="D1819">
        <v>7200000</v>
      </c>
      <c r="E1819">
        <v>1088</v>
      </c>
    </row>
    <row r="1820" ht="13.85" spans="1:5">
      <c r="A1820">
        <f t="shared" si="28"/>
        <v>1819</v>
      </c>
      <c r="B1820" s="11">
        <v>16355563</v>
      </c>
      <c r="C1820" s="11">
        <v>35</v>
      </c>
      <c r="D1820">
        <v>16800000</v>
      </c>
      <c r="E1820">
        <v>1087</v>
      </c>
    </row>
    <row r="1821" ht="13.85" spans="1:5">
      <c r="A1821">
        <f t="shared" si="28"/>
        <v>1820</v>
      </c>
      <c r="B1821" s="11">
        <v>14394887</v>
      </c>
      <c r="C1821" s="11">
        <v>26</v>
      </c>
      <c r="D1821">
        <v>12480000</v>
      </c>
      <c r="E1821">
        <v>1086</v>
      </c>
    </row>
    <row r="1822" ht="13.85" spans="1:5">
      <c r="A1822">
        <f t="shared" si="28"/>
        <v>1821</v>
      </c>
      <c r="B1822" s="11">
        <v>15744455</v>
      </c>
      <c r="C1822" s="11">
        <v>20</v>
      </c>
      <c r="D1822">
        <v>9600000</v>
      </c>
      <c r="E1822">
        <v>1085</v>
      </c>
    </row>
    <row r="1823" ht="13.85" spans="1:5">
      <c r="A1823">
        <f t="shared" si="28"/>
        <v>1822</v>
      </c>
      <c r="B1823" s="11">
        <v>14220001</v>
      </c>
      <c r="C1823" s="11">
        <v>15</v>
      </c>
      <c r="D1823">
        <v>7200000</v>
      </c>
      <c r="E1823">
        <v>1084</v>
      </c>
    </row>
    <row r="1824" ht="13.85" spans="1:5">
      <c r="A1824">
        <f t="shared" si="28"/>
        <v>1823</v>
      </c>
      <c r="B1824" s="11">
        <v>34806589</v>
      </c>
      <c r="C1824" s="11">
        <v>179</v>
      </c>
      <c r="D1824">
        <v>85920000</v>
      </c>
      <c r="E1824">
        <v>1083</v>
      </c>
    </row>
    <row r="1825" ht="13.85" spans="1:5">
      <c r="A1825">
        <f t="shared" si="28"/>
        <v>1824</v>
      </c>
      <c r="B1825" s="11">
        <v>29858610</v>
      </c>
      <c r="C1825" s="11">
        <v>162</v>
      </c>
      <c r="D1825">
        <v>77760000</v>
      </c>
      <c r="E1825">
        <v>1082</v>
      </c>
    </row>
    <row r="1826" ht="13.85" spans="1:5">
      <c r="A1826">
        <f t="shared" si="28"/>
        <v>1825</v>
      </c>
      <c r="B1826" s="11">
        <v>28708568</v>
      </c>
      <c r="C1826" s="11">
        <v>144</v>
      </c>
      <c r="D1826">
        <v>69120000</v>
      </c>
      <c r="E1826">
        <v>1081</v>
      </c>
    </row>
    <row r="1827" ht="13.85" spans="1:5">
      <c r="A1827">
        <f t="shared" si="28"/>
        <v>1826</v>
      </c>
      <c r="B1827" s="11">
        <v>24752135</v>
      </c>
      <c r="C1827" s="11">
        <v>125</v>
      </c>
      <c r="D1827">
        <v>60000000</v>
      </c>
      <c r="E1827">
        <v>1080</v>
      </c>
    </row>
    <row r="1828" ht="13.85" spans="1:5">
      <c r="A1828">
        <f t="shared" si="28"/>
        <v>1827</v>
      </c>
      <c r="B1828" s="11">
        <v>24887983</v>
      </c>
      <c r="C1828" s="11">
        <v>105</v>
      </c>
      <c r="D1828">
        <v>50400000</v>
      </c>
      <c r="E1828">
        <v>1079</v>
      </c>
    </row>
    <row r="1829" ht="13.85" spans="1:5">
      <c r="A1829">
        <f t="shared" si="28"/>
        <v>1828</v>
      </c>
      <c r="B1829" s="11">
        <v>20515685</v>
      </c>
      <c r="C1829" s="11">
        <v>91</v>
      </c>
      <c r="D1829">
        <v>43680000</v>
      </c>
      <c r="E1829">
        <v>1078</v>
      </c>
    </row>
    <row r="1830" ht="13.85" spans="1:5">
      <c r="A1830">
        <f t="shared" si="28"/>
        <v>1829</v>
      </c>
      <c r="B1830" s="11">
        <v>20872601</v>
      </c>
      <c r="C1830" s="11">
        <v>80</v>
      </c>
      <c r="D1830">
        <v>38400000</v>
      </c>
      <c r="E1830">
        <v>1077</v>
      </c>
    </row>
    <row r="1831" ht="13.85" spans="1:5">
      <c r="A1831">
        <f t="shared" si="28"/>
        <v>1830</v>
      </c>
      <c r="B1831" s="11">
        <v>18038487</v>
      </c>
      <c r="C1831" s="11">
        <v>68</v>
      </c>
      <c r="D1831">
        <v>32640000</v>
      </c>
      <c r="E1831">
        <v>1076</v>
      </c>
    </row>
    <row r="1832" ht="13.85" spans="1:5">
      <c r="A1832">
        <f t="shared" si="28"/>
        <v>1831</v>
      </c>
      <c r="B1832" s="11">
        <v>19344381</v>
      </c>
      <c r="C1832" s="11">
        <v>57</v>
      </c>
      <c r="D1832">
        <v>27360000</v>
      </c>
      <c r="E1832">
        <v>1075</v>
      </c>
    </row>
    <row r="1833" ht="13.85" spans="1:5">
      <c r="A1833">
        <f t="shared" si="28"/>
        <v>1832</v>
      </c>
      <c r="B1833" s="11">
        <v>16572671</v>
      </c>
      <c r="C1833" s="11">
        <v>46</v>
      </c>
      <c r="D1833">
        <v>22080000</v>
      </c>
      <c r="E1833">
        <v>1074</v>
      </c>
    </row>
    <row r="1834" ht="13.85" spans="1:5">
      <c r="A1834">
        <f t="shared" si="28"/>
        <v>1833</v>
      </c>
      <c r="B1834" s="11">
        <v>17278394</v>
      </c>
      <c r="C1834" s="11">
        <v>36</v>
      </c>
      <c r="D1834">
        <v>17280000</v>
      </c>
      <c r="E1834">
        <v>1073</v>
      </c>
    </row>
    <row r="1835" ht="13.85" spans="1:5">
      <c r="A1835">
        <f t="shared" si="28"/>
        <v>1834</v>
      </c>
      <c r="B1835" s="11">
        <v>14901857</v>
      </c>
      <c r="C1835" s="11">
        <v>26</v>
      </c>
      <c r="D1835">
        <v>12480000</v>
      </c>
      <c r="E1835">
        <v>1072</v>
      </c>
    </row>
    <row r="1836" ht="13.85" spans="1:5">
      <c r="A1836">
        <f t="shared" si="28"/>
        <v>1835</v>
      </c>
      <c r="B1836" s="11">
        <v>16489045</v>
      </c>
      <c r="C1836" s="11">
        <v>20</v>
      </c>
      <c r="D1836">
        <v>9600000</v>
      </c>
      <c r="E1836">
        <v>1071</v>
      </c>
    </row>
    <row r="1837" ht="13.85" spans="1:5">
      <c r="A1837">
        <f t="shared" si="28"/>
        <v>1836</v>
      </c>
      <c r="B1837" s="11">
        <v>15174006</v>
      </c>
      <c r="C1837" s="11">
        <v>15</v>
      </c>
      <c r="D1837">
        <v>7200000</v>
      </c>
      <c r="E1837">
        <v>1070</v>
      </c>
    </row>
    <row r="1838" ht="13.85" spans="1:5">
      <c r="A1838">
        <f t="shared" si="28"/>
        <v>1837</v>
      </c>
      <c r="B1838" s="11">
        <v>72525664</v>
      </c>
      <c r="C1838" s="11">
        <v>275</v>
      </c>
      <c r="D1838">
        <v>132000000</v>
      </c>
      <c r="E1838">
        <v>1069</v>
      </c>
    </row>
    <row r="1839" ht="13.85" spans="1:5">
      <c r="A1839">
        <f t="shared" si="28"/>
        <v>1838</v>
      </c>
      <c r="B1839" s="11">
        <v>55510717</v>
      </c>
      <c r="C1839" s="11">
        <v>230</v>
      </c>
      <c r="D1839">
        <v>110400000</v>
      </c>
      <c r="E1839">
        <v>1068</v>
      </c>
    </row>
    <row r="1840" ht="13.85" spans="1:5">
      <c r="A1840">
        <f t="shared" si="28"/>
        <v>1839</v>
      </c>
      <c r="B1840" s="11">
        <v>47264359</v>
      </c>
      <c r="C1840" s="11">
        <v>200</v>
      </c>
      <c r="D1840">
        <v>96000000</v>
      </c>
      <c r="E1840">
        <v>1067</v>
      </c>
    </row>
    <row r="1841" ht="13.85" spans="1:5">
      <c r="A1841">
        <f t="shared" si="28"/>
        <v>1840</v>
      </c>
      <c r="B1841" s="11">
        <v>35921579</v>
      </c>
      <c r="C1841" s="11">
        <v>173</v>
      </c>
      <c r="D1841">
        <v>83040000</v>
      </c>
      <c r="E1841">
        <v>1066</v>
      </c>
    </row>
    <row r="1842" ht="13.85" spans="1:5">
      <c r="A1842">
        <f t="shared" si="28"/>
        <v>1841</v>
      </c>
      <c r="B1842" s="11">
        <v>33120539</v>
      </c>
      <c r="C1842" s="11">
        <v>153</v>
      </c>
      <c r="D1842">
        <v>73440000</v>
      </c>
      <c r="E1842">
        <v>1065</v>
      </c>
    </row>
    <row r="1843" ht="13.85" spans="1:5">
      <c r="A1843">
        <f t="shared" si="28"/>
        <v>1842</v>
      </c>
      <c r="B1843" s="11">
        <v>28039513</v>
      </c>
      <c r="C1843" s="11">
        <v>133</v>
      </c>
      <c r="D1843">
        <v>63840000</v>
      </c>
      <c r="E1843">
        <v>1064</v>
      </c>
    </row>
    <row r="1844" ht="13.85" spans="1:5">
      <c r="A1844">
        <f t="shared" si="28"/>
        <v>1843</v>
      </c>
      <c r="B1844" s="11">
        <v>26285278</v>
      </c>
      <c r="C1844" s="11">
        <v>115</v>
      </c>
      <c r="D1844">
        <v>55200000</v>
      </c>
      <c r="E1844">
        <v>1063</v>
      </c>
    </row>
    <row r="1845" ht="13.85" spans="1:5">
      <c r="A1845">
        <f t="shared" si="28"/>
        <v>1844</v>
      </c>
      <c r="B1845" s="11">
        <v>23045491</v>
      </c>
      <c r="C1845" s="11">
        <v>100</v>
      </c>
      <c r="D1845">
        <v>48000000</v>
      </c>
      <c r="E1845">
        <v>1062</v>
      </c>
    </row>
    <row r="1846" ht="13.85" spans="1:5">
      <c r="A1846">
        <f t="shared" si="28"/>
        <v>1845</v>
      </c>
      <c r="B1846" s="11">
        <v>19830295</v>
      </c>
      <c r="C1846" s="11">
        <v>86</v>
      </c>
      <c r="D1846">
        <v>41280000</v>
      </c>
      <c r="E1846">
        <v>1061</v>
      </c>
    </row>
    <row r="1847" ht="13.85" spans="1:5">
      <c r="A1847">
        <f t="shared" si="28"/>
        <v>1846</v>
      </c>
      <c r="B1847" s="11">
        <v>16485820</v>
      </c>
      <c r="C1847" s="11">
        <v>74</v>
      </c>
      <c r="D1847">
        <v>35520000</v>
      </c>
      <c r="E1847">
        <v>1060</v>
      </c>
    </row>
    <row r="1848" ht="13.85" spans="1:5">
      <c r="A1848">
        <f t="shared" si="28"/>
        <v>1847</v>
      </c>
      <c r="B1848" s="11">
        <v>17919063</v>
      </c>
      <c r="C1848" s="11">
        <v>63</v>
      </c>
      <c r="D1848">
        <v>30240000</v>
      </c>
      <c r="E1848">
        <v>1059</v>
      </c>
    </row>
    <row r="1849" ht="13.85" spans="1:5">
      <c r="A1849">
        <f t="shared" si="28"/>
        <v>1848</v>
      </c>
      <c r="B1849" s="11">
        <v>15249726</v>
      </c>
      <c r="C1849" s="11">
        <v>52</v>
      </c>
      <c r="D1849">
        <v>24960000</v>
      </c>
      <c r="E1849">
        <v>1058</v>
      </c>
    </row>
    <row r="1850" ht="13.85" spans="1:5">
      <c r="A1850">
        <f t="shared" si="28"/>
        <v>1849</v>
      </c>
      <c r="B1850" s="11">
        <v>16538757</v>
      </c>
      <c r="C1850" s="11">
        <v>43</v>
      </c>
      <c r="D1850">
        <v>20640000</v>
      </c>
      <c r="E1850">
        <v>1057</v>
      </c>
    </row>
    <row r="1851" ht="13.85" spans="1:5">
      <c r="A1851">
        <f t="shared" si="28"/>
        <v>1850</v>
      </c>
      <c r="B1851" s="11">
        <v>13873360</v>
      </c>
      <c r="C1851" s="11">
        <v>33</v>
      </c>
      <c r="D1851">
        <v>15840000</v>
      </c>
      <c r="E1851">
        <v>1056</v>
      </c>
    </row>
    <row r="1852" ht="13.85" spans="1:5">
      <c r="A1852">
        <f t="shared" si="28"/>
        <v>1851</v>
      </c>
      <c r="B1852" s="11">
        <v>14944716</v>
      </c>
      <c r="C1852" s="11">
        <v>25</v>
      </c>
      <c r="D1852">
        <v>12000000</v>
      </c>
      <c r="E1852">
        <v>1055</v>
      </c>
    </row>
    <row r="1853" ht="13.85" spans="1:5">
      <c r="A1853">
        <f t="shared" si="28"/>
        <v>1852</v>
      </c>
      <c r="B1853" s="11">
        <v>13011737</v>
      </c>
      <c r="C1853" s="11">
        <v>20</v>
      </c>
      <c r="D1853">
        <v>9600000</v>
      </c>
      <c r="E1853">
        <v>1054</v>
      </c>
    </row>
    <row r="1854" ht="13.85" spans="1:5">
      <c r="A1854">
        <f t="shared" si="28"/>
        <v>1853</v>
      </c>
      <c r="B1854" s="11">
        <v>14661601</v>
      </c>
      <c r="C1854" s="11">
        <v>15</v>
      </c>
      <c r="D1854">
        <v>7200000</v>
      </c>
      <c r="E1854">
        <v>1053</v>
      </c>
    </row>
    <row r="1855" ht="13.85" spans="1:5">
      <c r="A1855">
        <f t="shared" si="28"/>
        <v>1854</v>
      </c>
      <c r="B1855" s="11">
        <v>20705464</v>
      </c>
      <c r="C1855" s="11">
        <v>95</v>
      </c>
      <c r="D1855">
        <v>45600000</v>
      </c>
      <c r="E1855">
        <v>1052</v>
      </c>
    </row>
    <row r="1856" ht="13.85" spans="1:5">
      <c r="A1856">
        <f t="shared" si="28"/>
        <v>1855</v>
      </c>
      <c r="B1856" s="11">
        <v>20249011</v>
      </c>
      <c r="C1856" s="11">
        <v>83</v>
      </c>
      <c r="D1856">
        <v>39840000</v>
      </c>
      <c r="E1856">
        <v>1051</v>
      </c>
    </row>
    <row r="1857" ht="13.85" spans="1:5">
      <c r="A1857">
        <f t="shared" si="28"/>
        <v>1856</v>
      </c>
      <c r="B1857" s="11">
        <v>17359952</v>
      </c>
      <c r="C1857" s="11">
        <v>71</v>
      </c>
      <c r="D1857">
        <v>34080000</v>
      </c>
      <c r="E1857">
        <v>1050</v>
      </c>
    </row>
    <row r="1858" ht="13.85" spans="1:5">
      <c r="A1858">
        <f t="shared" ref="A1858:A1921" si="29">ROW()-1</f>
        <v>1857</v>
      </c>
      <c r="B1858" s="11">
        <v>17891774</v>
      </c>
      <c r="C1858" s="11">
        <v>63</v>
      </c>
      <c r="D1858">
        <v>30240000</v>
      </c>
      <c r="E1858">
        <v>1049</v>
      </c>
    </row>
    <row r="1859" ht="13.85" spans="1:5">
      <c r="A1859">
        <f t="shared" si="29"/>
        <v>1858</v>
      </c>
      <c r="B1859" s="11">
        <v>14611312</v>
      </c>
      <c r="C1859" s="11">
        <v>52</v>
      </c>
      <c r="D1859">
        <v>24960000</v>
      </c>
      <c r="E1859">
        <v>1048</v>
      </c>
    </row>
    <row r="1860" ht="13.85" spans="1:5">
      <c r="A1860">
        <f t="shared" si="29"/>
        <v>1859</v>
      </c>
      <c r="B1860" s="13">
        <v>16287679</v>
      </c>
      <c r="C1860" s="13">
        <v>42</v>
      </c>
      <c r="D1860">
        <v>20160000</v>
      </c>
      <c r="E1860">
        <v>1047</v>
      </c>
    </row>
    <row r="1861" ht="13.85" spans="1:5">
      <c r="A1861">
        <f t="shared" si="29"/>
        <v>1860</v>
      </c>
      <c r="B1861" s="11">
        <v>13703279</v>
      </c>
      <c r="C1861" s="11">
        <v>32</v>
      </c>
      <c r="D1861">
        <v>15360000</v>
      </c>
      <c r="E1861">
        <v>1046</v>
      </c>
    </row>
    <row r="1862" ht="13.85" spans="1:5">
      <c r="A1862">
        <f t="shared" si="29"/>
        <v>1861</v>
      </c>
      <c r="B1862" s="11">
        <v>15522456</v>
      </c>
      <c r="C1862" s="11">
        <v>25</v>
      </c>
      <c r="D1862">
        <v>12000000</v>
      </c>
      <c r="E1862">
        <v>1045</v>
      </c>
    </row>
    <row r="1863" ht="13.85" spans="1:5">
      <c r="A1863">
        <f t="shared" si="29"/>
        <v>1862</v>
      </c>
      <c r="B1863" s="11">
        <v>13168634</v>
      </c>
      <c r="C1863" s="11">
        <v>20</v>
      </c>
      <c r="D1863">
        <v>9600000</v>
      </c>
      <c r="E1863">
        <v>1044</v>
      </c>
    </row>
    <row r="1864" ht="13.85" spans="1:5">
      <c r="A1864">
        <f t="shared" si="29"/>
        <v>1863</v>
      </c>
      <c r="B1864" s="11">
        <v>14008351</v>
      </c>
      <c r="C1864" s="11">
        <v>15</v>
      </c>
      <c r="D1864">
        <v>7200000</v>
      </c>
      <c r="E1864">
        <v>1043</v>
      </c>
    </row>
    <row r="1865" ht="13.85" spans="1:5">
      <c r="A1865">
        <f t="shared" si="29"/>
        <v>1864</v>
      </c>
      <c r="B1865" s="11">
        <v>14228329</v>
      </c>
      <c r="C1865" s="11">
        <v>33</v>
      </c>
      <c r="D1865">
        <v>15840000</v>
      </c>
      <c r="E1865">
        <v>1042</v>
      </c>
    </row>
    <row r="1866" ht="13.85" spans="1:5">
      <c r="A1866">
        <f t="shared" si="29"/>
        <v>1865</v>
      </c>
      <c r="B1866" s="11">
        <v>15144083</v>
      </c>
      <c r="C1866" s="11">
        <v>26</v>
      </c>
      <c r="D1866">
        <v>12480000</v>
      </c>
      <c r="E1866">
        <v>1041</v>
      </c>
    </row>
    <row r="1867" ht="13.85" spans="1:5">
      <c r="A1867">
        <f t="shared" si="29"/>
        <v>1866</v>
      </c>
      <c r="B1867" s="11">
        <v>13439842</v>
      </c>
      <c r="C1867" s="11">
        <v>20</v>
      </c>
      <c r="D1867">
        <v>9600000</v>
      </c>
      <c r="E1867">
        <v>1040</v>
      </c>
    </row>
    <row r="1868" ht="13.85" spans="1:5">
      <c r="A1868">
        <f t="shared" si="29"/>
        <v>1867</v>
      </c>
      <c r="B1868" s="11">
        <v>15414681</v>
      </c>
      <c r="C1868" s="11">
        <v>15</v>
      </c>
      <c r="D1868">
        <v>7200000</v>
      </c>
      <c r="E1868">
        <v>1039</v>
      </c>
    </row>
    <row r="1869" ht="13.85" spans="1:5">
      <c r="A1869">
        <f t="shared" si="29"/>
        <v>1868</v>
      </c>
      <c r="B1869" s="11">
        <v>29017165</v>
      </c>
      <c r="C1869" s="11">
        <v>155</v>
      </c>
      <c r="D1869">
        <v>74400000</v>
      </c>
      <c r="E1869">
        <v>1038</v>
      </c>
    </row>
    <row r="1870" ht="13.85" spans="1:5">
      <c r="A1870">
        <f t="shared" si="29"/>
        <v>1869</v>
      </c>
      <c r="B1870" s="11">
        <v>25061719</v>
      </c>
      <c r="C1870" s="11">
        <v>137</v>
      </c>
      <c r="D1870">
        <v>65760000</v>
      </c>
      <c r="E1870">
        <v>1037</v>
      </c>
    </row>
    <row r="1871" ht="13.85" spans="1:5">
      <c r="A1871">
        <f t="shared" si="29"/>
        <v>1870</v>
      </c>
      <c r="B1871" s="11">
        <v>25586135</v>
      </c>
      <c r="C1871" s="11">
        <v>120</v>
      </c>
      <c r="D1871">
        <v>57600000</v>
      </c>
      <c r="E1871">
        <v>1036</v>
      </c>
    </row>
    <row r="1872" ht="13.85" spans="1:5">
      <c r="A1872">
        <f t="shared" si="29"/>
        <v>1871</v>
      </c>
      <c r="B1872" s="11">
        <v>24590076</v>
      </c>
      <c r="C1872" s="11">
        <v>109</v>
      </c>
      <c r="D1872">
        <v>52320000</v>
      </c>
      <c r="E1872">
        <v>1035</v>
      </c>
    </row>
    <row r="1873" ht="13.85" spans="1:5">
      <c r="A1873">
        <f t="shared" si="29"/>
        <v>1872</v>
      </c>
      <c r="B1873" s="11">
        <v>19871083</v>
      </c>
      <c r="C1873" s="11">
        <v>95</v>
      </c>
      <c r="D1873">
        <v>45600000</v>
      </c>
      <c r="E1873">
        <v>1034</v>
      </c>
    </row>
    <row r="1874" ht="13.85" spans="1:5">
      <c r="A1874">
        <f t="shared" si="29"/>
        <v>1873</v>
      </c>
      <c r="B1874" s="11">
        <v>19767325</v>
      </c>
      <c r="C1874" s="11">
        <v>82</v>
      </c>
      <c r="D1874">
        <v>39360000</v>
      </c>
      <c r="E1874">
        <v>1033</v>
      </c>
    </row>
    <row r="1875" ht="13.85" spans="1:5">
      <c r="A1875">
        <f t="shared" si="29"/>
        <v>1874</v>
      </c>
      <c r="B1875" s="11">
        <v>16995212</v>
      </c>
      <c r="C1875" s="11">
        <v>71</v>
      </c>
      <c r="D1875">
        <v>34080000</v>
      </c>
      <c r="E1875">
        <v>1032</v>
      </c>
    </row>
    <row r="1876" ht="13.85" spans="1:5">
      <c r="A1876">
        <f t="shared" si="29"/>
        <v>1875</v>
      </c>
      <c r="B1876" s="11">
        <v>17697308</v>
      </c>
      <c r="C1876" s="11">
        <v>62</v>
      </c>
      <c r="D1876">
        <v>29760000</v>
      </c>
      <c r="E1876">
        <v>1031</v>
      </c>
    </row>
    <row r="1877" ht="13.85" spans="1:5">
      <c r="A1877">
        <f t="shared" si="29"/>
        <v>1876</v>
      </c>
      <c r="B1877" s="11">
        <v>15064736</v>
      </c>
      <c r="C1877" s="11">
        <v>51</v>
      </c>
      <c r="D1877">
        <v>24480000</v>
      </c>
      <c r="E1877">
        <v>1030</v>
      </c>
    </row>
    <row r="1878" ht="13.85" spans="1:5">
      <c r="A1878">
        <f t="shared" si="29"/>
        <v>1877</v>
      </c>
      <c r="B1878" s="11">
        <v>15932027</v>
      </c>
      <c r="C1878" s="11">
        <v>43</v>
      </c>
      <c r="D1878">
        <v>20640000</v>
      </c>
      <c r="E1878">
        <v>1029</v>
      </c>
    </row>
    <row r="1879" ht="13.85" spans="1:5">
      <c r="A1879">
        <f t="shared" si="29"/>
        <v>1878</v>
      </c>
      <c r="B1879" s="11">
        <v>13906184</v>
      </c>
      <c r="C1879" s="11">
        <v>34</v>
      </c>
      <c r="D1879">
        <v>16320000</v>
      </c>
      <c r="E1879">
        <v>1028</v>
      </c>
    </row>
    <row r="1880" ht="13.85" spans="1:5">
      <c r="A1880">
        <f t="shared" si="29"/>
        <v>1879</v>
      </c>
      <c r="B1880" s="11">
        <v>15044521</v>
      </c>
      <c r="C1880" s="11">
        <v>26</v>
      </c>
      <c r="D1880">
        <v>12480000</v>
      </c>
      <c r="E1880">
        <v>1027</v>
      </c>
    </row>
    <row r="1881" ht="13.85" spans="1:5">
      <c r="A1881">
        <f t="shared" si="29"/>
        <v>1880</v>
      </c>
      <c r="B1881" s="11">
        <v>13176495</v>
      </c>
      <c r="C1881" s="11">
        <v>20</v>
      </c>
      <c r="D1881">
        <v>9600000</v>
      </c>
      <c r="E1881">
        <v>1026</v>
      </c>
    </row>
    <row r="1882" ht="13.85" spans="1:5">
      <c r="A1882">
        <f t="shared" si="29"/>
        <v>1881</v>
      </c>
      <c r="B1882" s="11">
        <v>14232330</v>
      </c>
      <c r="C1882" s="11">
        <v>15</v>
      </c>
      <c r="D1882">
        <v>7200000</v>
      </c>
      <c r="E1882">
        <v>1025</v>
      </c>
    </row>
    <row r="1883" ht="13.85" spans="1:5">
      <c r="A1883">
        <f t="shared" si="29"/>
        <v>1882</v>
      </c>
      <c r="B1883" s="11">
        <v>13418049</v>
      </c>
      <c r="C1883" s="11">
        <v>20</v>
      </c>
      <c r="D1883">
        <v>9600000</v>
      </c>
      <c r="E1883">
        <v>1024</v>
      </c>
    </row>
    <row r="1884" ht="13.85" spans="1:5">
      <c r="A1884">
        <f t="shared" si="29"/>
        <v>1883</v>
      </c>
      <c r="B1884" s="11">
        <v>14638693</v>
      </c>
      <c r="C1884" s="11">
        <v>15</v>
      </c>
      <c r="D1884">
        <v>7200000</v>
      </c>
      <c r="E1884">
        <v>1023</v>
      </c>
    </row>
    <row r="1885" ht="13.85" spans="1:5">
      <c r="A1885">
        <f t="shared" si="29"/>
        <v>1884</v>
      </c>
      <c r="B1885" s="11">
        <v>13351602</v>
      </c>
      <c r="C1885" s="11">
        <v>15</v>
      </c>
      <c r="D1885">
        <v>7200000</v>
      </c>
      <c r="E1885">
        <v>1022</v>
      </c>
    </row>
    <row r="1886" ht="13.85" spans="1:5">
      <c r="A1886">
        <f t="shared" si="29"/>
        <v>1885</v>
      </c>
      <c r="B1886" s="11">
        <v>15275860</v>
      </c>
      <c r="C1886" s="11">
        <v>15</v>
      </c>
      <c r="D1886">
        <v>7200000</v>
      </c>
      <c r="E1886">
        <v>1021</v>
      </c>
    </row>
    <row r="1887" ht="13.85" spans="1:5">
      <c r="A1887">
        <f t="shared" si="29"/>
        <v>1886</v>
      </c>
      <c r="B1887" s="11">
        <v>16896627</v>
      </c>
      <c r="C1887" s="11">
        <v>61</v>
      </c>
      <c r="D1887">
        <v>29280000</v>
      </c>
      <c r="E1887">
        <v>1020</v>
      </c>
    </row>
    <row r="1888" ht="13.85" spans="1:5">
      <c r="A1888">
        <f t="shared" si="29"/>
        <v>1887</v>
      </c>
      <c r="B1888" s="11">
        <v>17411558</v>
      </c>
      <c r="C1888" s="11">
        <v>48</v>
      </c>
      <c r="D1888">
        <v>23040000</v>
      </c>
      <c r="E1888">
        <v>1019</v>
      </c>
    </row>
    <row r="1889" ht="13.85" spans="1:5">
      <c r="A1889">
        <f t="shared" si="29"/>
        <v>1888</v>
      </c>
      <c r="B1889" s="11">
        <v>15107028</v>
      </c>
      <c r="C1889" s="11">
        <v>38</v>
      </c>
      <c r="D1889">
        <v>18240000</v>
      </c>
      <c r="E1889">
        <v>1018</v>
      </c>
    </row>
    <row r="1890" ht="13.85" spans="1:5">
      <c r="A1890">
        <f t="shared" si="29"/>
        <v>1889</v>
      </c>
      <c r="B1890" s="11">
        <v>16054356</v>
      </c>
      <c r="C1890" s="11">
        <v>29</v>
      </c>
      <c r="D1890">
        <v>13920000</v>
      </c>
      <c r="E1890">
        <v>1017</v>
      </c>
    </row>
    <row r="1891" ht="13.85" spans="1:5">
      <c r="A1891">
        <f t="shared" si="29"/>
        <v>1890</v>
      </c>
      <c r="B1891" s="11">
        <v>14078547</v>
      </c>
      <c r="C1891" s="11">
        <v>20</v>
      </c>
      <c r="D1891">
        <v>9600000</v>
      </c>
      <c r="E1891">
        <v>1016</v>
      </c>
    </row>
    <row r="1892" ht="13.85" spans="1:5">
      <c r="A1892">
        <f t="shared" si="29"/>
        <v>1891</v>
      </c>
      <c r="B1892" s="11">
        <v>15643505</v>
      </c>
      <c r="C1892" s="11">
        <v>15</v>
      </c>
      <c r="D1892">
        <v>7200000</v>
      </c>
      <c r="E1892">
        <v>1015</v>
      </c>
    </row>
    <row r="1893" ht="13.85" spans="1:5">
      <c r="A1893">
        <f t="shared" si="29"/>
        <v>1892</v>
      </c>
      <c r="B1893" s="11">
        <v>14416929</v>
      </c>
      <c r="C1893" s="11">
        <v>29</v>
      </c>
      <c r="D1893">
        <v>13920000</v>
      </c>
      <c r="E1893">
        <v>1014</v>
      </c>
    </row>
    <row r="1894" ht="13.85" spans="1:5">
      <c r="A1894">
        <f t="shared" si="29"/>
        <v>1893</v>
      </c>
      <c r="B1894" s="11">
        <v>16445504</v>
      </c>
      <c r="C1894" s="11">
        <v>20</v>
      </c>
      <c r="D1894">
        <v>9600000</v>
      </c>
      <c r="E1894">
        <v>1013</v>
      </c>
    </row>
    <row r="1895" ht="13.85" spans="1:5">
      <c r="A1895">
        <f t="shared" si="29"/>
        <v>1894</v>
      </c>
      <c r="B1895" s="11">
        <v>14749514</v>
      </c>
      <c r="C1895" s="11">
        <v>15</v>
      </c>
      <c r="D1895">
        <v>7200000</v>
      </c>
      <c r="E1895">
        <v>1012</v>
      </c>
    </row>
    <row r="1896" ht="13.85" spans="1:5">
      <c r="A1896">
        <f t="shared" si="29"/>
        <v>1895</v>
      </c>
      <c r="B1896" s="11">
        <v>93655796</v>
      </c>
      <c r="C1896" s="11">
        <v>300</v>
      </c>
      <c r="D1896">
        <v>144000000</v>
      </c>
      <c r="E1896">
        <v>1011</v>
      </c>
    </row>
    <row r="1897" ht="13.85" spans="1:5">
      <c r="A1897">
        <f t="shared" si="29"/>
        <v>1896</v>
      </c>
      <c r="B1897" s="11">
        <v>59183652</v>
      </c>
      <c r="C1897" s="11">
        <v>245</v>
      </c>
      <c r="D1897">
        <v>117600000</v>
      </c>
      <c r="E1897">
        <v>1010</v>
      </c>
    </row>
    <row r="1898" ht="13.85" spans="1:5">
      <c r="A1898">
        <f t="shared" si="29"/>
        <v>1897</v>
      </c>
      <c r="B1898" s="11">
        <v>47045359</v>
      </c>
      <c r="C1898" s="11">
        <v>210</v>
      </c>
      <c r="D1898">
        <v>100800000</v>
      </c>
      <c r="E1898">
        <v>1009</v>
      </c>
    </row>
    <row r="1899" ht="13.85" spans="1:5">
      <c r="A1899">
        <f t="shared" si="29"/>
        <v>1898</v>
      </c>
      <c r="B1899" s="11">
        <v>36685610</v>
      </c>
      <c r="C1899" s="11">
        <v>181</v>
      </c>
      <c r="D1899">
        <v>86880000</v>
      </c>
      <c r="E1899">
        <v>1008</v>
      </c>
    </row>
    <row r="1900" ht="13.85" spans="1:5">
      <c r="A1900">
        <f t="shared" si="29"/>
        <v>1899</v>
      </c>
      <c r="B1900" s="11">
        <v>32503602</v>
      </c>
      <c r="C1900" s="11">
        <v>161</v>
      </c>
      <c r="D1900">
        <v>77280000</v>
      </c>
      <c r="E1900">
        <v>1007</v>
      </c>
    </row>
    <row r="1901" ht="13.85" spans="1:5">
      <c r="A1901">
        <f t="shared" si="29"/>
        <v>1900</v>
      </c>
      <c r="B1901" s="11">
        <v>28242100</v>
      </c>
      <c r="C1901" s="11">
        <v>141</v>
      </c>
      <c r="D1901">
        <v>67680000</v>
      </c>
      <c r="E1901">
        <v>1006</v>
      </c>
    </row>
    <row r="1902" ht="13.85" spans="1:5">
      <c r="A1902">
        <f t="shared" si="29"/>
        <v>1901</v>
      </c>
      <c r="B1902" s="11">
        <v>26928554</v>
      </c>
      <c r="C1902" s="11">
        <v>123</v>
      </c>
      <c r="D1902">
        <v>59040000</v>
      </c>
      <c r="E1902">
        <v>1005</v>
      </c>
    </row>
    <row r="1903" ht="13.85" spans="1:5">
      <c r="A1903">
        <f t="shared" si="29"/>
        <v>1902</v>
      </c>
      <c r="B1903" s="11">
        <v>23045126</v>
      </c>
      <c r="C1903" s="11">
        <v>105</v>
      </c>
      <c r="D1903">
        <v>50400000</v>
      </c>
      <c r="E1903">
        <v>1004</v>
      </c>
    </row>
    <row r="1904" ht="13.85" spans="1:5">
      <c r="A1904">
        <f t="shared" si="29"/>
        <v>1903</v>
      </c>
      <c r="B1904" s="11">
        <v>21215934</v>
      </c>
      <c r="C1904" s="11">
        <v>94</v>
      </c>
      <c r="D1904">
        <v>45120000</v>
      </c>
      <c r="E1904">
        <v>1003</v>
      </c>
    </row>
    <row r="1905" ht="13.85" spans="1:5">
      <c r="A1905">
        <f t="shared" si="29"/>
        <v>1904</v>
      </c>
      <c r="B1905" s="11">
        <v>17761292</v>
      </c>
      <c r="C1905" s="11">
        <v>82</v>
      </c>
      <c r="D1905">
        <v>39360000</v>
      </c>
      <c r="E1905">
        <v>1002</v>
      </c>
    </row>
    <row r="1906" ht="13.85" spans="1:5">
      <c r="A1906">
        <f t="shared" si="29"/>
        <v>1905</v>
      </c>
      <c r="B1906" s="11">
        <v>18138543</v>
      </c>
      <c r="C1906" s="11">
        <v>72</v>
      </c>
      <c r="D1906">
        <v>34560000</v>
      </c>
      <c r="E1906">
        <v>1001</v>
      </c>
    </row>
    <row r="1907" ht="13.85" spans="1:5">
      <c r="A1907">
        <f t="shared" si="29"/>
        <v>1906</v>
      </c>
      <c r="B1907" s="11">
        <v>15617169</v>
      </c>
      <c r="C1907" s="11">
        <v>60</v>
      </c>
      <c r="D1907">
        <v>28800000</v>
      </c>
      <c r="E1907">
        <v>1000</v>
      </c>
    </row>
    <row r="1908" ht="13.85" spans="1:5">
      <c r="A1908">
        <f t="shared" si="29"/>
        <v>1907</v>
      </c>
      <c r="B1908" s="11">
        <v>16476120</v>
      </c>
      <c r="C1908" s="11">
        <v>50</v>
      </c>
      <c r="D1908">
        <v>24000000</v>
      </c>
      <c r="E1908">
        <v>999</v>
      </c>
    </row>
    <row r="1909" ht="13.85" spans="1:5">
      <c r="A1909">
        <f t="shared" si="29"/>
        <v>1908</v>
      </c>
      <c r="B1909" s="11">
        <v>13806569</v>
      </c>
      <c r="C1909" s="11">
        <v>36</v>
      </c>
      <c r="D1909">
        <v>17280000</v>
      </c>
      <c r="E1909">
        <v>998</v>
      </c>
    </row>
    <row r="1910" ht="13.85" spans="1:5">
      <c r="A1910">
        <f t="shared" si="29"/>
        <v>1909</v>
      </c>
      <c r="B1910" s="11">
        <v>18597563</v>
      </c>
      <c r="C1910" s="11">
        <v>27</v>
      </c>
      <c r="D1910">
        <v>12960000</v>
      </c>
      <c r="E1910">
        <v>997</v>
      </c>
    </row>
    <row r="1911" ht="13.85" spans="1:5">
      <c r="A1911">
        <f t="shared" si="29"/>
        <v>1910</v>
      </c>
      <c r="B1911" s="11">
        <v>12398218</v>
      </c>
      <c r="C1911" s="11">
        <v>20</v>
      </c>
      <c r="D1911">
        <v>9600000</v>
      </c>
      <c r="E1911">
        <v>996</v>
      </c>
    </row>
    <row r="1912" ht="13.85" spans="1:5">
      <c r="A1912">
        <f t="shared" si="29"/>
        <v>1911</v>
      </c>
      <c r="B1912" s="11">
        <v>14272757</v>
      </c>
      <c r="C1912" s="11">
        <v>15</v>
      </c>
      <c r="D1912">
        <v>7200000</v>
      </c>
      <c r="E1912">
        <v>995</v>
      </c>
    </row>
    <row r="1913" ht="13.85" spans="1:5">
      <c r="A1913">
        <f t="shared" si="29"/>
        <v>1912</v>
      </c>
      <c r="B1913" s="11">
        <v>21323660</v>
      </c>
      <c r="C1913" s="11">
        <v>103</v>
      </c>
      <c r="D1913">
        <v>49440000</v>
      </c>
      <c r="E1913">
        <v>994</v>
      </c>
    </row>
    <row r="1914" ht="13.85" spans="1:5">
      <c r="A1914">
        <f t="shared" si="29"/>
        <v>1913</v>
      </c>
      <c r="B1914" s="11">
        <v>19232078</v>
      </c>
      <c r="C1914" s="11">
        <v>89</v>
      </c>
      <c r="D1914">
        <v>42720000</v>
      </c>
      <c r="E1914">
        <v>993</v>
      </c>
    </row>
    <row r="1915" ht="13.85" spans="1:5">
      <c r="A1915">
        <f t="shared" si="29"/>
        <v>1914</v>
      </c>
      <c r="B1915" s="11">
        <v>16703340</v>
      </c>
      <c r="C1915" s="11">
        <v>76</v>
      </c>
      <c r="D1915">
        <v>36480000</v>
      </c>
      <c r="E1915">
        <v>992</v>
      </c>
    </row>
    <row r="1916" ht="13.85" spans="1:5">
      <c r="A1916">
        <f t="shared" si="29"/>
        <v>1915</v>
      </c>
      <c r="B1916" s="11">
        <v>17288520</v>
      </c>
      <c r="C1916" s="11">
        <v>66</v>
      </c>
      <c r="D1916">
        <v>31680000</v>
      </c>
      <c r="E1916">
        <v>991</v>
      </c>
    </row>
    <row r="1917" ht="13.85" spans="1:5">
      <c r="A1917">
        <f t="shared" si="29"/>
        <v>1916</v>
      </c>
      <c r="B1917" s="11">
        <v>14887040</v>
      </c>
      <c r="C1917" s="11">
        <v>54</v>
      </c>
      <c r="D1917">
        <v>25920000</v>
      </c>
      <c r="E1917">
        <v>990</v>
      </c>
    </row>
    <row r="1918" ht="13.85" spans="1:5">
      <c r="A1918">
        <f t="shared" si="29"/>
        <v>1917</v>
      </c>
      <c r="B1918" s="11">
        <v>15520631</v>
      </c>
      <c r="C1918" s="11">
        <v>43</v>
      </c>
      <c r="D1918">
        <v>20640000</v>
      </c>
      <c r="E1918">
        <v>989</v>
      </c>
    </row>
    <row r="1919" ht="13.85" spans="1:5">
      <c r="A1919">
        <f t="shared" si="29"/>
        <v>1918</v>
      </c>
      <c r="B1919" s="11">
        <v>13558914</v>
      </c>
      <c r="C1919" s="11">
        <v>32</v>
      </c>
      <c r="D1919">
        <v>15360000</v>
      </c>
      <c r="E1919">
        <v>988</v>
      </c>
    </row>
    <row r="1920" ht="13.85" spans="1:5">
      <c r="A1920">
        <f t="shared" si="29"/>
        <v>1919</v>
      </c>
      <c r="B1920" s="11">
        <v>14681358</v>
      </c>
      <c r="C1920" s="11">
        <v>25</v>
      </c>
      <c r="D1920">
        <v>12000000</v>
      </c>
      <c r="E1920">
        <v>987</v>
      </c>
    </row>
    <row r="1921" ht="13.85" spans="1:5">
      <c r="A1921">
        <f t="shared" si="29"/>
        <v>1920</v>
      </c>
      <c r="B1921" s="11">
        <v>12259556</v>
      </c>
      <c r="C1921" s="11">
        <v>20</v>
      </c>
      <c r="D1921">
        <v>9600000</v>
      </c>
      <c r="E1921">
        <v>986</v>
      </c>
    </row>
    <row r="1922" ht="13.85" spans="1:5">
      <c r="A1922">
        <f t="shared" ref="A1922:A1985" si="30">ROW()-1</f>
        <v>1921</v>
      </c>
      <c r="B1922" s="11">
        <v>13878244</v>
      </c>
      <c r="C1922" s="11">
        <v>15</v>
      </c>
      <c r="D1922">
        <v>7200000</v>
      </c>
      <c r="E1922">
        <v>985</v>
      </c>
    </row>
    <row r="1923" ht="13.85" spans="1:5">
      <c r="A1923">
        <f t="shared" si="30"/>
        <v>1922</v>
      </c>
      <c r="B1923" s="11">
        <v>15821221</v>
      </c>
      <c r="C1923" s="11">
        <v>63</v>
      </c>
      <c r="D1923">
        <v>30240000</v>
      </c>
      <c r="E1923">
        <v>984</v>
      </c>
    </row>
    <row r="1924" ht="13.85" spans="1:5">
      <c r="A1924">
        <f t="shared" si="30"/>
        <v>1923</v>
      </c>
      <c r="B1924" s="11">
        <v>16578419</v>
      </c>
      <c r="C1924" s="11">
        <v>53</v>
      </c>
      <c r="D1924">
        <v>25440000</v>
      </c>
      <c r="E1924">
        <v>983</v>
      </c>
    </row>
    <row r="1925" ht="13.85" spans="1:5">
      <c r="A1925">
        <f t="shared" si="30"/>
        <v>1924</v>
      </c>
      <c r="B1925" s="11">
        <v>14476063</v>
      </c>
      <c r="C1925" s="11">
        <v>43</v>
      </c>
      <c r="D1925">
        <v>20640000</v>
      </c>
      <c r="E1925">
        <v>982</v>
      </c>
    </row>
    <row r="1926" ht="13.85" spans="1:5">
      <c r="A1926">
        <f t="shared" si="30"/>
        <v>1925</v>
      </c>
      <c r="B1926" s="11">
        <v>15389625</v>
      </c>
      <c r="C1926" s="11">
        <v>34</v>
      </c>
      <c r="D1926">
        <v>16320000</v>
      </c>
      <c r="E1926">
        <v>981</v>
      </c>
    </row>
    <row r="1927" ht="13.85" spans="1:5">
      <c r="A1927">
        <f t="shared" si="30"/>
        <v>1926</v>
      </c>
      <c r="B1927" s="11">
        <v>13588643</v>
      </c>
      <c r="C1927" s="11">
        <v>25</v>
      </c>
      <c r="D1927">
        <v>12000000</v>
      </c>
      <c r="E1927">
        <v>980</v>
      </c>
    </row>
    <row r="1928" ht="13.85" spans="1:5">
      <c r="A1928">
        <f t="shared" si="30"/>
        <v>1927</v>
      </c>
      <c r="B1928" s="11">
        <v>15024074</v>
      </c>
      <c r="C1928" s="11">
        <v>20</v>
      </c>
      <c r="D1928">
        <v>9600000</v>
      </c>
      <c r="E1928">
        <v>979</v>
      </c>
    </row>
    <row r="1929" ht="13.85" spans="1:5">
      <c r="A1929">
        <f t="shared" si="30"/>
        <v>1928</v>
      </c>
      <c r="B1929" s="11">
        <v>13228695</v>
      </c>
      <c r="C1929" s="11">
        <v>15</v>
      </c>
      <c r="D1929">
        <v>7200000</v>
      </c>
      <c r="E1929">
        <v>978</v>
      </c>
    </row>
    <row r="1930" ht="13.85" spans="1:5">
      <c r="A1930">
        <f t="shared" si="30"/>
        <v>1929</v>
      </c>
      <c r="B1930" s="11">
        <v>18446149</v>
      </c>
      <c r="C1930" s="11">
        <v>68</v>
      </c>
      <c r="D1930">
        <v>32640000</v>
      </c>
      <c r="E1930">
        <v>977</v>
      </c>
    </row>
    <row r="1931" ht="13.85" spans="1:5">
      <c r="A1931">
        <f t="shared" si="30"/>
        <v>1930</v>
      </c>
      <c r="B1931" s="11">
        <v>16227270</v>
      </c>
      <c r="C1931" s="11">
        <v>57</v>
      </c>
      <c r="D1931">
        <v>27360000</v>
      </c>
      <c r="E1931">
        <v>976</v>
      </c>
    </row>
    <row r="1932" ht="13.85" spans="1:5">
      <c r="A1932">
        <f t="shared" si="30"/>
        <v>1931</v>
      </c>
      <c r="B1932" s="11">
        <v>17144937</v>
      </c>
      <c r="C1932" s="11">
        <v>47</v>
      </c>
      <c r="D1932">
        <v>22560000</v>
      </c>
      <c r="E1932">
        <v>975</v>
      </c>
    </row>
    <row r="1933" ht="13.85" spans="1:5">
      <c r="A1933">
        <f t="shared" si="30"/>
        <v>1932</v>
      </c>
      <c r="B1933" s="11">
        <v>15076998</v>
      </c>
      <c r="C1933" s="11">
        <v>36</v>
      </c>
      <c r="D1933">
        <v>17280000</v>
      </c>
      <c r="E1933">
        <v>974</v>
      </c>
    </row>
    <row r="1934" ht="13.85" spans="1:5">
      <c r="A1934">
        <f t="shared" si="30"/>
        <v>1933</v>
      </c>
      <c r="B1934" s="11">
        <v>16400335</v>
      </c>
      <c r="C1934" s="11">
        <v>27</v>
      </c>
      <c r="D1934">
        <v>12960000</v>
      </c>
      <c r="E1934">
        <v>973</v>
      </c>
    </row>
    <row r="1935" ht="13.85" spans="1:5">
      <c r="A1935">
        <f t="shared" si="30"/>
        <v>1934</v>
      </c>
      <c r="B1935" s="11">
        <v>14021186</v>
      </c>
      <c r="C1935" s="11">
        <v>20</v>
      </c>
      <c r="D1935">
        <v>9600000</v>
      </c>
      <c r="E1935">
        <v>972</v>
      </c>
    </row>
    <row r="1936" ht="13.85" spans="1:5">
      <c r="A1936">
        <f t="shared" si="30"/>
        <v>1935</v>
      </c>
      <c r="B1936" s="11">
        <v>15520061</v>
      </c>
      <c r="C1936" s="11">
        <v>15</v>
      </c>
      <c r="D1936">
        <v>7200000</v>
      </c>
      <c r="E1936">
        <v>971</v>
      </c>
    </row>
    <row r="1937" ht="13.85" spans="1:5">
      <c r="A1937">
        <f t="shared" si="30"/>
        <v>1936</v>
      </c>
      <c r="B1937" s="11">
        <v>14020234</v>
      </c>
      <c r="C1937" s="11">
        <v>15</v>
      </c>
      <c r="D1937">
        <v>7200000</v>
      </c>
      <c r="E1937">
        <v>970</v>
      </c>
    </row>
    <row r="1938" ht="13.85" spans="1:5">
      <c r="A1938">
        <f t="shared" si="30"/>
        <v>1937</v>
      </c>
      <c r="B1938" s="11">
        <v>17633789</v>
      </c>
      <c r="C1938" s="11">
        <v>41</v>
      </c>
      <c r="D1938">
        <v>19680000</v>
      </c>
      <c r="E1938">
        <v>969</v>
      </c>
    </row>
    <row r="1939" ht="13.85" spans="1:5">
      <c r="A1939">
        <f t="shared" si="30"/>
        <v>1938</v>
      </c>
      <c r="B1939" s="11">
        <v>15233386</v>
      </c>
      <c r="C1939" s="11">
        <v>30</v>
      </c>
      <c r="D1939">
        <v>14400000</v>
      </c>
      <c r="E1939">
        <v>968</v>
      </c>
    </row>
    <row r="1940" ht="13.85" spans="1:5">
      <c r="A1940">
        <f t="shared" si="30"/>
        <v>1939</v>
      </c>
      <c r="B1940" s="11">
        <v>16463984</v>
      </c>
      <c r="C1940" s="11">
        <v>20</v>
      </c>
      <c r="D1940">
        <v>9600000</v>
      </c>
      <c r="E1940">
        <v>967</v>
      </c>
    </row>
    <row r="1941" ht="13.85" spans="1:5">
      <c r="A1941">
        <f t="shared" si="30"/>
        <v>1940</v>
      </c>
      <c r="B1941" s="11">
        <v>15350147</v>
      </c>
      <c r="C1941" s="11">
        <v>15</v>
      </c>
      <c r="D1941">
        <v>7200000</v>
      </c>
      <c r="E1941">
        <v>966</v>
      </c>
    </row>
    <row r="1942" ht="13.85" spans="1:5">
      <c r="A1942">
        <f t="shared" si="30"/>
        <v>1941</v>
      </c>
      <c r="B1942" s="11">
        <v>34514643</v>
      </c>
      <c r="C1942" s="11">
        <v>183</v>
      </c>
      <c r="D1942">
        <v>87840000</v>
      </c>
      <c r="E1942">
        <v>965</v>
      </c>
    </row>
    <row r="1943" ht="13.85" spans="1:5">
      <c r="A1943">
        <f t="shared" si="30"/>
        <v>1942</v>
      </c>
      <c r="B1943" s="11">
        <v>30578191</v>
      </c>
      <c r="C1943" s="11">
        <v>165</v>
      </c>
      <c r="D1943">
        <v>79200000</v>
      </c>
      <c r="E1943">
        <v>964</v>
      </c>
    </row>
    <row r="1944" ht="13.85" spans="1:5">
      <c r="A1944">
        <f t="shared" si="30"/>
        <v>1943</v>
      </c>
      <c r="B1944" s="11">
        <v>30194632</v>
      </c>
      <c r="C1944" s="11">
        <v>142</v>
      </c>
      <c r="D1944">
        <v>68160000</v>
      </c>
      <c r="E1944">
        <v>963</v>
      </c>
    </row>
    <row r="1945" ht="13.85" spans="1:5">
      <c r="A1945">
        <f t="shared" si="30"/>
        <v>1944</v>
      </c>
      <c r="B1945" s="11">
        <v>27647905</v>
      </c>
      <c r="C1945" s="11">
        <v>120</v>
      </c>
      <c r="D1945">
        <v>57600000</v>
      </c>
      <c r="E1945">
        <v>962</v>
      </c>
    </row>
    <row r="1946" ht="13.85" spans="1:5">
      <c r="A1946">
        <f t="shared" si="30"/>
        <v>1945</v>
      </c>
      <c r="B1946" s="11">
        <v>25213388</v>
      </c>
      <c r="C1946" s="11">
        <v>105</v>
      </c>
      <c r="D1946">
        <v>50400000</v>
      </c>
      <c r="E1946">
        <v>961</v>
      </c>
    </row>
    <row r="1947" ht="13.85" spans="1:5">
      <c r="A1947">
        <f t="shared" si="30"/>
        <v>1946</v>
      </c>
      <c r="B1947" s="11">
        <v>20474945</v>
      </c>
      <c r="C1947" s="11">
        <v>90</v>
      </c>
      <c r="D1947">
        <v>43200000</v>
      </c>
      <c r="E1947">
        <v>960</v>
      </c>
    </row>
    <row r="1948" ht="13.85" spans="1:5">
      <c r="A1948">
        <f t="shared" si="30"/>
        <v>1947</v>
      </c>
      <c r="B1948" s="11">
        <v>20038356</v>
      </c>
      <c r="C1948" s="11">
        <v>78</v>
      </c>
      <c r="D1948">
        <v>37440000</v>
      </c>
      <c r="E1948">
        <v>959</v>
      </c>
    </row>
    <row r="1949" ht="13.85" spans="1:5">
      <c r="A1949">
        <f t="shared" si="30"/>
        <v>1948</v>
      </c>
      <c r="B1949" s="11">
        <v>17459255</v>
      </c>
      <c r="C1949" s="11">
        <v>67</v>
      </c>
      <c r="D1949">
        <v>32160000</v>
      </c>
      <c r="E1949">
        <v>958</v>
      </c>
    </row>
    <row r="1950" ht="13.85" spans="1:5">
      <c r="A1950">
        <f t="shared" si="30"/>
        <v>1949</v>
      </c>
      <c r="B1950" s="11">
        <v>18236685</v>
      </c>
      <c r="C1950" s="11">
        <v>58</v>
      </c>
      <c r="D1950">
        <v>27840000</v>
      </c>
      <c r="E1950">
        <v>957</v>
      </c>
    </row>
    <row r="1951" ht="13.85" spans="1:5">
      <c r="A1951">
        <f t="shared" si="30"/>
        <v>1950</v>
      </c>
      <c r="B1951" s="11">
        <v>15488986</v>
      </c>
      <c r="C1951" s="11">
        <v>46</v>
      </c>
      <c r="D1951">
        <v>22080000</v>
      </c>
      <c r="E1951">
        <v>956</v>
      </c>
    </row>
    <row r="1952" ht="13.85" spans="1:5">
      <c r="A1952">
        <f t="shared" si="30"/>
        <v>1951</v>
      </c>
      <c r="B1952" s="11">
        <v>17128125</v>
      </c>
      <c r="C1952" s="11">
        <v>37</v>
      </c>
      <c r="D1952">
        <v>17760000</v>
      </c>
      <c r="E1952">
        <v>955</v>
      </c>
    </row>
    <row r="1953" ht="13.85" spans="1:5">
      <c r="A1953">
        <f t="shared" si="30"/>
        <v>1952</v>
      </c>
      <c r="B1953" s="11">
        <v>14923778</v>
      </c>
      <c r="C1953" s="11">
        <v>27</v>
      </c>
      <c r="D1953">
        <v>12960000</v>
      </c>
      <c r="E1953">
        <v>954</v>
      </c>
    </row>
    <row r="1954" ht="13.85" spans="1:5">
      <c r="A1954">
        <f t="shared" si="30"/>
        <v>1953</v>
      </c>
      <c r="B1954" s="11">
        <v>16333411</v>
      </c>
      <c r="C1954" s="11">
        <v>20</v>
      </c>
      <c r="D1954">
        <v>9600000</v>
      </c>
      <c r="E1954">
        <v>953</v>
      </c>
    </row>
    <row r="1955" ht="13.85" spans="1:5">
      <c r="A1955">
        <f t="shared" si="30"/>
        <v>1954</v>
      </c>
      <c r="B1955" s="11">
        <v>14088177</v>
      </c>
      <c r="C1955" s="11">
        <v>15</v>
      </c>
      <c r="D1955">
        <v>7200000</v>
      </c>
      <c r="E1955">
        <v>952</v>
      </c>
    </row>
    <row r="1956" ht="13.85" spans="1:5">
      <c r="A1956">
        <f t="shared" si="30"/>
        <v>1955</v>
      </c>
      <c r="B1956" s="11">
        <v>16435815</v>
      </c>
      <c r="C1956" s="11">
        <v>15</v>
      </c>
      <c r="D1956">
        <v>7200000</v>
      </c>
      <c r="E1956">
        <v>951</v>
      </c>
    </row>
    <row r="1957" ht="13.85" spans="1:5">
      <c r="A1957">
        <f t="shared" si="30"/>
        <v>1956</v>
      </c>
      <c r="B1957" s="11">
        <v>65987058</v>
      </c>
      <c r="C1957" s="11">
        <v>240</v>
      </c>
      <c r="D1957">
        <v>115200000</v>
      </c>
      <c r="E1957">
        <v>950</v>
      </c>
    </row>
    <row r="1958" ht="13.85" spans="1:5">
      <c r="A1958">
        <f t="shared" si="30"/>
        <v>1957</v>
      </c>
      <c r="B1958" s="11">
        <v>50210755</v>
      </c>
      <c r="C1958" s="11">
        <v>205</v>
      </c>
      <c r="D1958">
        <v>98400000</v>
      </c>
      <c r="E1958">
        <v>949</v>
      </c>
    </row>
    <row r="1959" ht="13.85" spans="1:5">
      <c r="A1959">
        <f t="shared" si="30"/>
        <v>1958</v>
      </c>
      <c r="B1959" s="11">
        <v>35269063</v>
      </c>
      <c r="C1959" s="11">
        <v>180</v>
      </c>
      <c r="D1959">
        <v>86400000</v>
      </c>
      <c r="E1959">
        <v>948</v>
      </c>
    </row>
    <row r="1960" ht="13.85" spans="1:5">
      <c r="A1960">
        <f t="shared" si="30"/>
        <v>1959</v>
      </c>
      <c r="B1960" s="11">
        <v>33447226</v>
      </c>
      <c r="C1960" s="11">
        <v>155</v>
      </c>
      <c r="D1960">
        <v>74400000</v>
      </c>
      <c r="E1960">
        <v>947</v>
      </c>
    </row>
    <row r="1961" ht="13.85" spans="1:5">
      <c r="A1961">
        <f t="shared" si="30"/>
        <v>1960</v>
      </c>
      <c r="B1961" s="11">
        <v>27754965</v>
      </c>
      <c r="C1961" s="11">
        <v>131</v>
      </c>
      <c r="D1961">
        <v>62880000</v>
      </c>
      <c r="E1961">
        <v>946</v>
      </c>
    </row>
    <row r="1962" ht="13.85" spans="1:5">
      <c r="A1962">
        <f t="shared" si="30"/>
        <v>1961</v>
      </c>
      <c r="B1962" s="11">
        <v>26716519</v>
      </c>
      <c r="C1962" s="11">
        <v>115</v>
      </c>
      <c r="D1962">
        <v>55200000</v>
      </c>
      <c r="E1962">
        <v>945</v>
      </c>
    </row>
    <row r="1963" ht="13.85" spans="1:5">
      <c r="A1963">
        <f t="shared" si="30"/>
        <v>1962</v>
      </c>
      <c r="B1963" s="15">
        <v>21936400</v>
      </c>
      <c r="C1963" s="15">
        <v>100</v>
      </c>
      <c r="D1963">
        <v>48000000</v>
      </c>
      <c r="E1963">
        <v>944</v>
      </c>
    </row>
    <row r="1964" ht="13.85" spans="1:5">
      <c r="A1964">
        <f t="shared" si="30"/>
        <v>1963</v>
      </c>
      <c r="B1964" s="13">
        <v>21042874</v>
      </c>
      <c r="C1964" s="13">
        <v>88</v>
      </c>
      <c r="D1964">
        <v>42240000</v>
      </c>
      <c r="E1964">
        <v>943</v>
      </c>
    </row>
    <row r="1965" ht="13.85" spans="1:5">
      <c r="A1965">
        <f t="shared" si="30"/>
        <v>1964</v>
      </c>
      <c r="B1965" s="11">
        <v>16797938</v>
      </c>
      <c r="C1965" s="11">
        <v>75</v>
      </c>
      <c r="D1965">
        <v>36000000</v>
      </c>
      <c r="E1965">
        <v>942</v>
      </c>
    </row>
    <row r="1966" ht="13.85" spans="1:5">
      <c r="A1966">
        <f t="shared" si="30"/>
        <v>1965</v>
      </c>
      <c r="B1966" s="11">
        <v>19896464</v>
      </c>
      <c r="C1966" s="11">
        <v>65</v>
      </c>
      <c r="D1966">
        <v>31200000</v>
      </c>
      <c r="E1966">
        <v>941</v>
      </c>
    </row>
    <row r="1967" ht="13.85" spans="1:5">
      <c r="A1967">
        <f t="shared" si="30"/>
        <v>1966</v>
      </c>
      <c r="B1967" s="11">
        <v>16030352</v>
      </c>
      <c r="C1967" s="11">
        <v>53</v>
      </c>
      <c r="D1967">
        <v>25440000</v>
      </c>
      <c r="E1967">
        <v>940</v>
      </c>
    </row>
    <row r="1968" ht="13.85" spans="1:5">
      <c r="A1968">
        <f t="shared" si="30"/>
        <v>1967</v>
      </c>
      <c r="B1968" s="11">
        <v>16675842</v>
      </c>
      <c r="C1968" s="11">
        <v>43</v>
      </c>
      <c r="D1968">
        <v>20640000</v>
      </c>
      <c r="E1968">
        <v>939</v>
      </c>
    </row>
    <row r="1969" ht="13.85" spans="1:5">
      <c r="A1969">
        <f t="shared" si="30"/>
        <v>1968</v>
      </c>
      <c r="B1969" s="11">
        <v>14393328</v>
      </c>
      <c r="C1969" s="11">
        <v>33</v>
      </c>
      <c r="D1969">
        <v>15840000</v>
      </c>
      <c r="E1969">
        <v>938</v>
      </c>
    </row>
    <row r="1970" ht="13.85" spans="1:5">
      <c r="A1970">
        <f t="shared" si="30"/>
        <v>1969</v>
      </c>
      <c r="B1970" s="11">
        <v>15111137</v>
      </c>
      <c r="C1970" s="11">
        <v>25</v>
      </c>
      <c r="D1970">
        <v>12000000</v>
      </c>
      <c r="E1970">
        <v>937</v>
      </c>
    </row>
    <row r="1971" ht="13.85" spans="1:5">
      <c r="A1971">
        <f t="shared" si="30"/>
        <v>1970</v>
      </c>
      <c r="B1971" s="11">
        <v>13607025</v>
      </c>
      <c r="C1971" s="11">
        <v>20</v>
      </c>
      <c r="D1971">
        <v>9600000</v>
      </c>
      <c r="E1971">
        <v>936</v>
      </c>
    </row>
    <row r="1972" ht="13.85" spans="1:5">
      <c r="A1972">
        <f t="shared" si="30"/>
        <v>1971</v>
      </c>
      <c r="B1972" s="11">
        <v>14541395</v>
      </c>
      <c r="C1972" s="11">
        <v>15</v>
      </c>
      <c r="D1972">
        <v>7200000</v>
      </c>
      <c r="E1972">
        <v>935</v>
      </c>
    </row>
    <row r="1973" ht="13.85" spans="1:5">
      <c r="A1973">
        <f t="shared" si="30"/>
        <v>1972</v>
      </c>
      <c r="B1973" s="11">
        <v>17185603</v>
      </c>
      <c r="C1973" s="11">
        <v>74</v>
      </c>
      <c r="D1973">
        <v>35520000</v>
      </c>
      <c r="E1973">
        <v>934</v>
      </c>
    </row>
    <row r="1974" ht="13.85" spans="1:5">
      <c r="A1974">
        <f t="shared" si="30"/>
        <v>1973</v>
      </c>
      <c r="B1974" s="11">
        <v>16888855</v>
      </c>
      <c r="C1974" s="11">
        <v>64</v>
      </c>
      <c r="D1974">
        <v>30720000</v>
      </c>
      <c r="E1974">
        <v>933</v>
      </c>
    </row>
    <row r="1975" ht="13.85" spans="1:5">
      <c r="A1975">
        <f t="shared" si="30"/>
        <v>1974</v>
      </c>
      <c r="B1975" s="11">
        <v>16664564</v>
      </c>
      <c r="C1975" s="11">
        <v>54</v>
      </c>
      <c r="D1975">
        <v>25920000</v>
      </c>
      <c r="E1975">
        <v>932</v>
      </c>
    </row>
    <row r="1976" ht="13.85" spans="1:5">
      <c r="A1976">
        <f t="shared" si="30"/>
        <v>1975</v>
      </c>
      <c r="B1976" s="11">
        <v>16839213</v>
      </c>
      <c r="C1976" s="11">
        <v>45</v>
      </c>
      <c r="D1976">
        <v>21600000</v>
      </c>
      <c r="E1976">
        <v>931</v>
      </c>
    </row>
    <row r="1977" ht="13.85" spans="1:5">
      <c r="A1977">
        <f t="shared" si="30"/>
        <v>1976</v>
      </c>
      <c r="B1977" s="11">
        <v>14607660</v>
      </c>
      <c r="C1977" s="11">
        <v>35</v>
      </c>
      <c r="D1977">
        <v>16800000</v>
      </c>
      <c r="E1977">
        <v>930</v>
      </c>
    </row>
    <row r="1978" ht="13.85" spans="1:5">
      <c r="A1978">
        <f t="shared" si="30"/>
        <v>1977</v>
      </c>
      <c r="B1978" s="11">
        <v>15829785</v>
      </c>
      <c r="C1978" s="11">
        <v>27</v>
      </c>
      <c r="D1978">
        <v>12960000</v>
      </c>
      <c r="E1978">
        <v>929</v>
      </c>
    </row>
    <row r="1979" ht="13.85" spans="1:5">
      <c r="A1979">
        <f t="shared" si="30"/>
        <v>1978</v>
      </c>
      <c r="B1979" s="11">
        <v>13814636</v>
      </c>
      <c r="C1979" s="11">
        <v>20</v>
      </c>
      <c r="D1979">
        <v>9600000</v>
      </c>
      <c r="E1979">
        <v>928</v>
      </c>
    </row>
    <row r="1980" ht="13.85" spans="1:5">
      <c r="A1980">
        <f t="shared" si="30"/>
        <v>1979</v>
      </c>
      <c r="B1980" s="11">
        <v>15683298</v>
      </c>
      <c r="C1980" s="11">
        <v>15</v>
      </c>
      <c r="D1980">
        <v>7200000</v>
      </c>
      <c r="E1980">
        <v>927</v>
      </c>
    </row>
    <row r="1981" ht="13.85" spans="1:5">
      <c r="A1981">
        <f t="shared" si="30"/>
        <v>1980</v>
      </c>
      <c r="B1981" s="11">
        <v>20614669</v>
      </c>
      <c r="C1981" s="11">
        <v>93</v>
      </c>
      <c r="D1981">
        <v>44640000</v>
      </c>
      <c r="E1981">
        <v>926</v>
      </c>
    </row>
    <row r="1982" ht="13.85" spans="1:5">
      <c r="A1982">
        <f t="shared" si="30"/>
        <v>1981</v>
      </c>
      <c r="B1982" s="11">
        <v>20375012</v>
      </c>
      <c r="C1982" s="11">
        <v>83</v>
      </c>
      <c r="D1982">
        <v>39840000</v>
      </c>
      <c r="E1982">
        <v>925</v>
      </c>
    </row>
    <row r="1983" ht="13.85" spans="1:5">
      <c r="A1983">
        <f t="shared" si="30"/>
        <v>1982</v>
      </c>
      <c r="B1983" s="11">
        <v>17704086</v>
      </c>
      <c r="C1983" s="11">
        <v>70</v>
      </c>
      <c r="D1983">
        <v>33600000</v>
      </c>
      <c r="E1983">
        <v>924</v>
      </c>
    </row>
    <row r="1984" ht="13.85" spans="1:5">
      <c r="A1984">
        <f t="shared" si="30"/>
        <v>1983</v>
      </c>
      <c r="B1984" s="11">
        <v>18719206</v>
      </c>
      <c r="C1984" s="11">
        <v>59</v>
      </c>
      <c r="D1984">
        <v>28320000</v>
      </c>
      <c r="E1984">
        <v>923</v>
      </c>
    </row>
    <row r="1985" ht="13.85" spans="1:5">
      <c r="A1985">
        <f t="shared" si="30"/>
        <v>1984</v>
      </c>
      <c r="B1985" s="11">
        <v>15950273</v>
      </c>
      <c r="C1985" s="11">
        <v>47</v>
      </c>
      <c r="D1985">
        <v>22560000</v>
      </c>
      <c r="E1985">
        <v>922</v>
      </c>
    </row>
    <row r="1986" ht="13.85" spans="1:5">
      <c r="A1986">
        <f t="shared" ref="A1986:A2049" si="31">ROW()-1</f>
        <v>1985</v>
      </c>
      <c r="B1986" s="11">
        <v>17423807</v>
      </c>
      <c r="C1986" s="11">
        <v>37</v>
      </c>
      <c r="D1986">
        <v>17760000</v>
      </c>
      <c r="E1986">
        <v>921</v>
      </c>
    </row>
    <row r="1987" ht="13.85" spans="1:5">
      <c r="A1987">
        <f t="shared" si="31"/>
        <v>1986</v>
      </c>
      <c r="B1987" s="11">
        <v>14931534</v>
      </c>
      <c r="C1987" s="11">
        <v>27</v>
      </c>
      <c r="D1987">
        <v>12960000</v>
      </c>
      <c r="E1987">
        <v>920</v>
      </c>
    </row>
    <row r="1988" ht="13.85" spans="1:5">
      <c r="A1988">
        <f t="shared" si="31"/>
        <v>1987</v>
      </c>
      <c r="B1988" s="11">
        <v>16503747</v>
      </c>
      <c r="C1988" s="11">
        <v>20</v>
      </c>
      <c r="D1988">
        <v>9600000</v>
      </c>
      <c r="E1988">
        <v>919</v>
      </c>
    </row>
    <row r="1989" ht="13.85" spans="1:5">
      <c r="A1989">
        <f t="shared" si="31"/>
        <v>1988</v>
      </c>
      <c r="B1989" s="11">
        <v>14505001</v>
      </c>
      <c r="C1989" s="11">
        <v>15</v>
      </c>
      <c r="D1989">
        <v>7200000</v>
      </c>
      <c r="E1989">
        <v>918</v>
      </c>
    </row>
    <row r="1990" ht="13.85" spans="1:5">
      <c r="A1990">
        <f t="shared" si="31"/>
        <v>1989</v>
      </c>
      <c r="B1990" s="11">
        <v>16051546</v>
      </c>
      <c r="C1990" s="11">
        <v>15</v>
      </c>
      <c r="D1990">
        <v>7200000</v>
      </c>
      <c r="E1990">
        <v>917</v>
      </c>
    </row>
    <row r="1991" ht="13.85" spans="1:5">
      <c r="A1991">
        <f t="shared" si="31"/>
        <v>1990</v>
      </c>
      <c r="B1991" s="11">
        <v>14573640</v>
      </c>
      <c r="C1991" s="11">
        <v>15</v>
      </c>
      <c r="D1991">
        <v>7200000</v>
      </c>
      <c r="E1991">
        <v>916</v>
      </c>
    </row>
    <row r="1992" ht="13.85" spans="1:5">
      <c r="A1992">
        <f t="shared" si="31"/>
        <v>1991</v>
      </c>
      <c r="B1992" s="11">
        <v>45279344</v>
      </c>
      <c r="C1992" s="11">
        <v>203</v>
      </c>
      <c r="D1992">
        <v>97440000</v>
      </c>
      <c r="E1992">
        <v>915</v>
      </c>
    </row>
    <row r="1993" ht="13.85" spans="1:5">
      <c r="A1993">
        <f t="shared" si="31"/>
        <v>1992</v>
      </c>
      <c r="B1993" s="11">
        <v>33489255</v>
      </c>
      <c r="C1993" s="11">
        <v>179</v>
      </c>
      <c r="D1993">
        <v>85920000</v>
      </c>
      <c r="E1993">
        <v>914</v>
      </c>
    </row>
    <row r="1994" ht="13.85" spans="1:5">
      <c r="A1994">
        <f t="shared" si="31"/>
        <v>1993</v>
      </c>
      <c r="B1994" s="11">
        <v>31429654</v>
      </c>
      <c r="C1994" s="11">
        <v>157</v>
      </c>
      <c r="D1994">
        <v>75360000</v>
      </c>
      <c r="E1994">
        <v>913</v>
      </c>
    </row>
    <row r="1995" ht="13.85" spans="1:5">
      <c r="A1995">
        <f t="shared" si="31"/>
        <v>1994</v>
      </c>
      <c r="B1995" s="11">
        <v>26782641</v>
      </c>
      <c r="C1995" s="11">
        <v>137</v>
      </c>
      <c r="D1995">
        <v>65760000</v>
      </c>
      <c r="E1995">
        <v>912</v>
      </c>
    </row>
    <row r="1996" ht="13.85" spans="1:5">
      <c r="A1996">
        <f t="shared" si="31"/>
        <v>1995</v>
      </c>
      <c r="B1996" s="11">
        <v>26457501</v>
      </c>
      <c r="C1996" s="11">
        <v>119</v>
      </c>
      <c r="D1996">
        <v>57120000</v>
      </c>
      <c r="E1996">
        <v>911</v>
      </c>
    </row>
    <row r="1997" ht="13.85" spans="1:5">
      <c r="A1997">
        <f t="shared" si="31"/>
        <v>1996</v>
      </c>
      <c r="B1997" s="11">
        <v>22245953</v>
      </c>
      <c r="C1997" s="11">
        <v>102</v>
      </c>
      <c r="D1997">
        <v>48960000</v>
      </c>
      <c r="E1997">
        <v>910</v>
      </c>
    </row>
    <row r="1998" ht="13.85" spans="1:5">
      <c r="A1998">
        <f t="shared" si="31"/>
        <v>1997</v>
      </c>
      <c r="B1998" s="11">
        <v>22188202</v>
      </c>
      <c r="C1998" s="11">
        <v>89</v>
      </c>
      <c r="D1998">
        <v>42720000</v>
      </c>
      <c r="E1998">
        <v>909</v>
      </c>
    </row>
    <row r="1999" ht="13.85" spans="1:5">
      <c r="A1999">
        <f t="shared" si="31"/>
        <v>1998</v>
      </c>
      <c r="B1999" s="11">
        <v>18474146</v>
      </c>
      <c r="C1999" s="11">
        <v>75</v>
      </c>
      <c r="D1999">
        <v>36000000</v>
      </c>
      <c r="E1999">
        <v>908</v>
      </c>
    </row>
    <row r="2000" ht="13.85" spans="1:5">
      <c r="A2000">
        <f t="shared" si="31"/>
        <v>1999</v>
      </c>
      <c r="B2000" s="11">
        <v>19463662</v>
      </c>
      <c r="C2000" s="11">
        <v>64</v>
      </c>
      <c r="D2000">
        <v>30720000</v>
      </c>
      <c r="E2000">
        <v>907</v>
      </c>
    </row>
    <row r="2001" ht="13.85" spans="1:5">
      <c r="A2001">
        <f t="shared" si="31"/>
        <v>2000</v>
      </c>
      <c r="B2001" s="11">
        <v>16790423</v>
      </c>
      <c r="C2001" s="11">
        <v>51</v>
      </c>
      <c r="D2001">
        <v>24480000</v>
      </c>
      <c r="E2001">
        <v>906</v>
      </c>
    </row>
    <row r="2002" ht="13.85" spans="1:5">
      <c r="A2002">
        <f t="shared" si="31"/>
        <v>2001</v>
      </c>
      <c r="B2002" s="11">
        <v>17711434</v>
      </c>
      <c r="C2002" s="11">
        <v>40</v>
      </c>
      <c r="D2002">
        <v>19200000</v>
      </c>
      <c r="E2002">
        <v>905</v>
      </c>
    </row>
    <row r="2003" ht="13.85" spans="1:5">
      <c r="A2003">
        <f t="shared" si="31"/>
        <v>2002</v>
      </c>
      <c r="B2003" s="11">
        <v>15107010</v>
      </c>
      <c r="C2003" s="11">
        <v>29</v>
      </c>
      <c r="D2003">
        <v>13920000</v>
      </c>
      <c r="E2003">
        <v>904</v>
      </c>
    </row>
    <row r="2004" ht="13.85" spans="1:5">
      <c r="A2004">
        <f t="shared" si="31"/>
        <v>2003</v>
      </c>
      <c r="B2004" s="11">
        <v>15955499</v>
      </c>
      <c r="C2004" s="11">
        <v>20</v>
      </c>
      <c r="D2004">
        <v>9600000</v>
      </c>
      <c r="E2004">
        <v>903</v>
      </c>
    </row>
    <row r="2005" ht="13.85" spans="1:5">
      <c r="A2005">
        <f t="shared" si="31"/>
        <v>2004</v>
      </c>
      <c r="B2005" s="11">
        <v>14224064</v>
      </c>
      <c r="C2005" s="11">
        <v>15</v>
      </c>
      <c r="D2005">
        <v>7200000</v>
      </c>
      <c r="E2005">
        <v>902</v>
      </c>
    </row>
    <row r="2006" ht="13.85" spans="1:5">
      <c r="A2006">
        <f t="shared" si="31"/>
        <v>2005</v>
      </c>
      <c r="B2006" s="11">
        <v>47273690</v>
      </c>
      <c r="C2006" s="11">
        <v>204</v>
      </c>
      <c r="D2006">
        <v>97920000</v>
      </c>
      <c r="E2006">
        <v>901</v>
      </c>
    </row>
    <row r="2007" ht="13.85" spans="1:5">
      <c r="A2007">
        <f t="shared" si="31"/>
        <v>2006</v>
      </c>
      <c r="B2007" s="11">
        <v>34721871</v>
      </c>
      <c r="C2007" s="11">
        <v>178</v>
      </c>
      <c r="D2007">
        <v>85440000</v>
      </c>
      <c r="E2007">
        <v>900</v>
      </c>
    </row>
    <row r="2008" ht="13.85" spans="1:5">
      <c r="A2008">
        <f t="shared" si="31"/>
        <v>2007</v>
      </c>
      <c r="B2008" s="11">
        <v>31381607</v>
      </c>
      <c r="C2008" s="11">
        <v>155</v>
      </c>
      <c r="D2008">
        <v>74400000</v>
      </c>
      <c r="E2008">
        <v>899</v>
      </c>
    </row>
    <row r="2009" ht="13.85" spans="1:5">
      <c r="A2009">
        <f t="shared" si="31"/>
        <v>2008</v>
      </c>
      <c r="B2009" s="11">
        <v>26872703</v>
      </c>
      <c r="C2009" s="11">
        <v>135</v>
      </c>
      <c r="D2009">
        <v>64800000</v>
      </c>
      <c r="E2009">
        <v>898</v>
      </c>
    </row>
    <row r="2010" ht="13.85" spans="1:5">
      <c r="A2010">
        <f t="shared" si="31"/>
        <v>2009</v>
      </c>
      <c r="B2010" s="11">
        <v>25831148</v>
      </c>
      <c r="C2010" s="11">
        <v>116</v>
      </c>
      <c r="D2010">
        <v>55680000</v>
      </c>
      <c r="E2010">
        <v>897</v>
      </c>
    </row>
    <row r="2011" ht="13.85" spans="1:5">
      <c r="A2011">
        <f t="shared" si="31"/>
        <v>2010</v>
      </c>
      <c r="B2011" s="11">
        <v>22536063</v>
      </c>
      <c r="C2011" s="11">
        <v>100</v>
      </c>
      <c r="D2011">
        <v>48000000</v>
      </c>
      <c r="E2011">
        <v>896</v>
      </c>
    </row>
    <row r="2012" ht="13.85" spans="1:5">
      <c r="A2012">
        <f t="shared" si="31"/>
        <v>2011</v>
      </c>
      <c r="B2012" s="11">
        <v>20385102</v>
      </c>
      <c r="C2012" s="11">
        <v>86</v>
      </c>
      <c r="D2012">
        <v>41280000</v>
      </c>
      <c r="E2012">
        <v>895</v>
      </c>
    </row>
    <row r="2013" ht="13.85" spans="1:5">
      <c r="A2013">
        <f t="shared" si="31"/>
        <v>2012</v>
      </c>
      <c r="B2013" s="11">
        <v>17784638</v>
      </c>
      <c r="C2013" s="11">
        <v>73</v>
      </c>
      <c r="D2013">
        <v>35040000</v>
      </c>
      <c r="E2013">
        <v>894</v>
      </c>
    </row>
    <row r="2014" ht="13.85" spans="1:5">
      <c r="A2014">
        <f t="shared" si="31"/>
        <v>2013</v>
      </c>
      <c r="B2014" s="11">
        <v>18305738</v>
      </c>
      <c r="C2014" s="11">
        <v>62</v>
      </c>
      <c r="D2014">
        <v>29760000</v>
      </c>
      <c r="E2014">
        <v>893</v>
      </c>
    </row>
    <row r="2015" ht="13.85" spans="1:5">
      <c r="A2015">
        <f t="shared" si="31"/>
        <v>2014</v>
      </c>
      <c r="B2015" s="11">
        <v>15130742</v>
      </c>
      <c r="C2015" s="11">
        <v>50</v>
      </c>
      <c r="D2015">
        <v>24000000</v>
      </c>
      <c r="E2015">
        <v>892</v>
      </c>
    </row>
    <row r="2016" ht="13.85" spans="1:5">
      <c r="A2016">
        <f t="shared" si="31"/>
        <v>2015</v>
      </c>
      <c r="B2016" s="11">
        <v>16988238</v>
      </c>
      <c r="C2016" s="11">
        <v>40</v>
      </c>
      <c r="D2016">
        <v>19200000</v>
      </c>
      <c r="E2016">
        <v>891</v>
      </c>
    </row>
    <row r="2017" ht="13.85" spans="1:5">
      <c r="A2017">
        <f t="shared" si="31"/>
        <v>2016</v>
      </c>
      <c r="B2017" s="11">
        <v>14256040</v>
      </c>
      <c r="C2017" s="11">
        <v>28</v>
      </c>
      <c r="D2017">
        <v>13440000</v>
      </c>
      <c r="E2017">
        <v>890</v>
      </c>
    </row>
    <row r="2018" ht="13.85" spans="1:5">
      <c r="A2018">
        <f t="shared" si="31"/>
        <v>2017</v>
      </c>
      <c r="B2018" s="11">
        <v>15425212</v>
      </c>
      <c r="C2018" s="11">
        <v>20</v>
      </c>
      <c r="D2018">
        <v>9600000</v>
      </c>
      <c r="E2018">
        <v>889</v>
      </c>
    </row>
    <row r="2019" ht="13.85" spans="1:5">
      <c r="A2019">
        <f t="shared" si="31"/>
        <v>2018</v>
      </c>
      <c r="B2019" s="11">
        <v>13950697</v>
      </c>
      <c r="C2019" s="11">
        <v>15</v>
      </c>
      <c r="D2019">
        <v>7200000</v>
      </c>
      <c r="E2019">
        <v>888</v>
      </c>
    </row>
    <row r="2020" ht="13.85" spans="1:5">
      <c r="A2020">
        <f t="shared" si="31"/>
        <v>2019</v>
      </c>
      <c r="B2020" s="11">
        <v>24543216</v>
      </c>
      <c r="C2020" s="11">
        <v>100</v>
      </c>
      <c r="D2020">
        <v>48000000</v>
      </c>
      <c r="E2020">
        <v>887</v>
      </c>
    </row>
    <row r="2021" ht="13.85" spans="1:5">
      <c r="A2021">
        <f t="shared" si="31"/>
        <v>2020</v>
      </c>
      <c r="B2021" s="11">
        <v>19200304</v>
      </c>
      <c r="C2021" s="11">
        <v>86</v>
      </c>
      <c r="D2021">
        <v>41280000</v>
      </c>
      <c r="E2021">
        <v>886</v>
      </c>
    </row>
    <row r="2022" ht="13.85" spans="1:5">
      <c r="A2022">
        <f t="shared" si="31"/>
        <v>2021</v>
      </c>
      <c r="B2022" s="11">
        <v>19931367</v>
      </c>
      <c r="C2022" s="11">
        <v>73</v>
      </c>
      <c r="D2022">
        <v>35040000</v>
      </c>
      <c r="E2022">
        <v>885</v>
      </c>
    </row>
    <row r="2023" ht="13.85" spans="1:5">
      <c r="A2023">
        <f t="shared" si="31"/>
        <v>2022</v>
      </c>
      <c r="B2023" s="11">
        <v>17495712</v>
      </c>
      <c r="C2023" s="11">
        <v>60</v>
      </c>
      <c r="D2023">
        <v>28800000</v>
      </c>
      <c r="E2023">
        <v>884</v>
      </c>
    </row>
    <row r="2024" ht="13.85" spans="1:5">
      <c r="A2024">
        <f t="shared" si="31"/>
        <v>2023</v>
      </c>
      <c r="B2024" s="11">
        <v>17892300</v>
      </c>
      <c r="C2024" s="11">
        <v>48</v>
      </c>
      <c r="D2024">
        <v>23040000</v>
      </c>
      <c r="E2024">
        <v>883</v>
      </c>
    </row>
    <row r="2025" ht="13.85" spans="1:5">
      <c r="A2025">
        <f t="shared" si="31"/>
        <v>2024</v>
      </c>
      <c r="B2025" s="11">
        <v>15183548</v>
      </c>
      <c r="C2025" s="11">
        <v>38</v>
      </c>
      <c r="D2025">
        <v>18240000</v>
      </c>
      <c r="E2025">
        <v>882</v>
      </c>
    </row>
    <row r="2026" ht="13.85" spans="1:5">
      <c r="A2026">
        <f t="shared" si="31"/>
        <v>2025</v>
      </c>
      <c r="B2026" s="11">
        <v>14474828</v>
      </c>
      <c r="C2026" s="11">
        <v>28</v>
      </c>
      <c r="D2026">
        <v>13440000</v>
      </c>
      <c r="E2026">
        <v>881</v>
      </c>
    </row>
    <row r="2027" ht="13.85" spans="1:5">
      <c r="A2027">
        <f t="shared" si="31"/>
        <v>2026</v>
      </c>
      <c r="B2027" s="11">
        <v>12820209</v>
      </c>
      <c r="C2027" s="11">
        <v>20</v>
      </c>
      <c r="D2027">
        <v>9600000</v>
      </c>
      <c r="E2027">
        <v>880</v>
      </c>
    </row>
    <row r="2028" ht="13.85" spans="1:5">
      <c r="A2028">
        <f t="shared" si="31"/>
        <v>2027</v>
      </c>
      <c r="B2028" s="11">
        <v>14502749</v>
      </c>
      <c r="C2028" s="11">
        <v>15</v>
      </c>
      <c r="D2028">
        <v>7200000</v>
      </c>
      <c r="E2028">
        <v>879</v>
      </c>
    </row>
    <row r="2029" ht="13.85" spans="1:5">
      <c r="A2029">
        <f t="shared" si="31"/>
        <v>2028</v>
      </c>
      <c r="B2029" s="11">
        <v>22254456</v>
      </c>
      <c r="C2029" s="11">
        <v>114</v>
      </c>
      <c r="D2029">
        <v>54720000</v>
      </c>
      <c r="E2029">
        <v>878</v>
      </c>
    </row>
    <row r="2030" ht="13.85" spans="1:5">
      <c r="A2030">
        <f t="shared" si="31"/>
        <v>2029</v>
      </c>
      <c r="B2030" s="11">
        <v>22742802</v>
      </c>
      <c r="C2030" s="11">
        <v>100</v>
      </c>
      <c r="D2030">
        <v>48000000</v>
      </c>
      <c r="E2030">
        <v>877</v>
      </c>
    </row>
    <row r="2031" ht="13.85" spans="1:5">
      <c r="A2031">
        <f t="shared" si="31"/>
        <v>2030</v>
      </c>
      <c r="B2031" s="11">
        <v>18007006</v>
      </c>
      <c r="C2031" s="11">
        <v>85</v>
      </c>
      <c r="D2031">
        <v>40800000</v>
      </c>
      <c r="E2031">
        <v>876</v>
      </c>
    </row>
    <row r="2032" ht="13.85" spans="1:5">
      <c r="A2032">
        <f t="shared" si="31"/>
        <v>2031</v>
      </c>
      <c r="B2032" s="11">
        <v>18742528</v>
      </c>
      <c r="C2032" s="11">
        <v>73</v>
      </c>
      <c r="D2032">
        <v>35040000</v>
      </c>
      <c r="E2032">
        <v>875</v>
      </c>
    </row>
    <row r="2033" ht="13.85" spans="1:5">
      <c r="A2033">
        <f t="shared" si="31"/>
        <v>2032</v>
      </c>
      <c r="B2033" s="11">
        <v>16486757</v>
      </c>
      <c r="C2033" s="11">
        <v>61</v>
      </c>
      <c r="D2033">
        <v>29280000</v>
      </c>
      <c r="E2033">
        <v>874</v>
      </c>
    </row>
    <row r="2034" ht="13.85" spans="1:5">
      <c r="A2034">
        <f t="shared" si="31"/>
        <v>2033</v>
      </c>
      <c r="B2034" s="11">
        <v>16802547</v>
      </c>
      <c r="C2034" s="11">
        <v>49</v>
      </c>
      <c r="D2034">
        <v>23520000</v>
      </c>
      <c r="E2034">
        <v>873</v>
      </c>
    </row>
    <row r="2035" ht="13.85" spans="1:5">
      <c r="A2035">
        <f t="shared" si="31"/>
        <v>2034</v>
      </c>
      <c r="B2035" s="11">
        <v>14545681</v>
      </c>
      <c r="C2035" s="11">
        <v>37</v>
      </c>
      <c r="D2035">
        <v>17760000</v>
      </c>
      <c r="E2035">
        <v>872</v>
      </c>
    </row>
    <row r="2036" ht="13.85" spans="1:5">
      <c r="A2036">
        <f t="shared" si="31"/>
        <v>2035</v>
      </c>
      <c r="B2036" s="11">
        <v>15357235</v>
      </c>
      <c r="C2036" s="11">
        <v>28</v>
      </c>
      <c r="D2036">
        <v>13440000</v>
      </c>
      <c r="E2036">
        <v>871</v>
      </c>
    </row>
    <row r="2037" ht="13.85" spans="1:5">
      <c r="A2037">
        <f t="shared" si="31"/>
        <v>2036</v>
      </c>
      <c r="B2037" s="11">
        <v>13411849</v>
      </c>
      <c r="C2037" s="11">
        <v>20</v>
      </c>
      <c r="D2037">
        <v>9600000</v>
      </c>
      <c r="E2037">
        <v>870</v>
      </c>
    </row>
    <row r="2038" ht="13.85" spans="1:5">
      <c r="A2038">
        <f t="shared" si="31"/>
        <v>2037</v>
      </c>
      <c r="B2038" s="11">
        <v>15485852</v>
      </c>
      <c r="C2038" s="11">
        <v>15</v>
      </c>
      <c r="D2038">
        <v>7200000</v>
      </c>
      <c r="E2038">
        <v>869</v>
      </c>
    </row>
    <row r="2039" ht="13.85" spans="1:5">
      <c r="A2039">
        <f t="shared" si="31"/>
        <v>2038</v>
      </c>
      <c r="B2039" s="11">
        <v>40614381</v>
      </c>
      <c r="C2039" s="11">
        <v>220</v>
      </c>
      <c r="D2039">
        <v>105600000</v>
      </c>
      <c r="E2039">
        <v>868</v>
      </c>
    </row>
    <row r="2040" ht="13.85" spans="1:5">
      <c r="A2040">
        <f t="shared" si="31"/>
        <v>2039</v>
      </c>
      <c r="B2040" s="11">
        <v>35451827</v>
      </c>
      <c r="C2040" s="11">
        <v>195</v>
      </c>
      <c r="D2040">
        <v>93600000</v>
      </c>
      <c r="E2040">
        <v>867</v>
      </c>
    </row>
    <row r="2041" ht="13.85" spans="1:5">
      <c r="A2041">
        <f t="shared" si="31"/>
        <v>2040</v>
      </c>
      <c r="B2041" s="11">
        <v>29995064</v>
      </c>
      <c r="C2041" s="11">
        <v>174</v>
      </c>
      <c r="D2041">
        <v>83520000</v>
      </c>
      <c r="E2041">
        <v>866</v>
      </c>
    </row>
    <row r="2042" ht="13.85" spans="1:5">
      <c r="A2042">
        <f t="shared" si="31"/>
        <v>2041</v>
      </c>
      <c r="B2042" s="11">
        <v>29940518</v>
      </c>
      <c r="C2042" s="11">
        <v>152</v>
      </c>
      <c r="D2042">
        <v>72960000</v>
      </c>
      <c r="E2042">
        <v>865</v>
      </c>
    </row>
    <row r="2043" ht="13.85" spans="1:5">
      <c r="A2043">
        <f t="shared" si="31"/>
        <v>2042</v>
      </c>
      <c r="B2043" s="11">
        <v>25646496</v>
      </c>
      <c r="C2043" s="11">
        <v>135</v>
      </c>
      <c r="D2043">
        <v>64800000</v>
      </c>
      <c r="E2043">
        <v>864</v>
      </c>
    </row>
    <row r="2044" ht="13.85" spans="1:5">
      <c r="A2044">
        <f t="shared" si="31"/>
        <v>2043</v>
      </c>
      <c r="B2044" s="11">
        <v>25355220</v>
      </c>
      <c r="C2044" s="11">
        <v>117</v>
      </c>
      <c r="D2044">
        <v>56160000</v>
      </c>
      <c r="E2044">
        <v>863</v>
      </c>
    </row>
    <row r="2045" ht="13.85" spans="1:5">
      <c r="A2045">
        <f t="shared" si="31"/>
        <v>2044</v>
      </c>
      <c r="B2045" s="11">
        <v>22887760</v>
      </c>
      <c r="C2045" s="11">
        <v>101</v>
      </c>
      <c r="D2045">
        <v>48480000</v>
      </c>
      <c r="E2045">
        <v>862</v>
      </c>
    </row>
    <row r="2046" ht="13.85" spans="1:5">
      <c r="A2046">
        <f t="shared" si="31"/>
        <v>2045</v>
      </c>
      <c r="B2046" s="11">
        <v>22029444</v>
      </c>
      <c r="C2046" s="11">
        <v>88</v>
      </c>
      <c r="D2046">
        <v>42240000</v>
      </c>
      <c r="E2046">
        <v>861</v>
      </c>
    </row>
    <row r="2047" ht="13.85" spans="1:5">
      <c r="A2047">
        <f t="shared" si="31"/>
        <v>2046</v>
      </c>
      <c r="B2047" s="11">
        <v>19103347</v>
      </c>
      <c r="C2047" s="11">
        <v>75</v>
      </c>
      <c r="D2047">
        <v>36000000</v>
      </c>
      <c r="E2047">
        <v>860</v>
      </c>
    </row>
    <row r="2048" ht="13.85" spans="1:5">
      <c r="A2048">
        <f t="shared" si="31"/>
        <v>2047</v>
      </c>
      <c r="B2048" s="11">
        <v>19944698</v>
      </c>
      <c r="C2048" s="11">
        <v>62</v>
      </c>
      <c r="D2048">
        <v>29760000</v>
      </c>
      <c r="E2048">
        <v>859</v>
      </c>
    </row>
    <row r="2049" ht="13.85" spans="1:5">
      <c r="A2049">
        <f t="shared" si="31"/>
        <v>2048</v>
      </c>
      <c r="B2049" s="11">
        <v>17398332</v>
      </c>
      <c r="C2049" s="11">
        <v>50</v>
      </c>
      <c r="D2049">
        <v>24000000</v>
      </c>
      <c r="E2049">
        <v>858</v>
      </c>
    </row>
    <row r="2050" ht="13.85" spans="1:5">
      <c r="A2050">
        <f t="shared" ref="A2050:A2113" si="32">ROW()-1</f>
        <v>2049</v>
      </c>
      <c r="B2050" s="11">
        <v>18440466</v>
      </c>
      <c r="C2050" s="11">
        <v>38</v>
      </c>
      <c r="D2050">
        <v>18240000</v>
      </c>
      <c r="E2050">
        <v>857</v>
      </c>
    </row>
    <row r="2051" ht="13.85" spans="1:5">
      <c r="A2051">
        <f t="shared" si="32"/>
        <v>2050</v>
      </c>
      <c r="B2051" s="11">
        <v>15644982</v>
      </c>
      <c r="C2051" s="11">
        <v>27</v>
      </c>
      <c r="D2051">
        <v>12960000</v>
      </c>
      <c r="E2051">
        <v>856</v>
      </c>
    </row>
    <row r="2052" ht="13.85" spans="1:5">
      <c r="A2052">
        <f t="shared" si="32"/>
        <v>2051</v>
      </c>
      <c r="B2052" s="11">
        <v>16777423</v>
      </c>
      <c r="C2052" s="11">
        <v>20</v>
      </c>
      <c r="D2052">
        <v>9600000</v>
      </c>
      <c r="E2052">
        <v>855</v>
      </c>
    </row>
    <row r="2053" ht="13.85" spans="1:5">
      <c r="A2053">
        <f t="shared" si="32"/>
        <v>2052</v>
      </c>
      <c r="B2053" s="11">
        <v>15351541</v>
      </c>
      <c r="C2053" s="11">
        <v>15</v>
      </c>
      <c r="D2053">
        <v>7200000</v>
      </c>
      <c r="E2053">
        <v>854</v>
      </c>
    </row>
    <row r="2054" ht="13.85" spans="1:5">
      <c r="A2054">
        <f t="shared" si="32"/>
        <v>2053</v>
      </c>
      <c r="B2054" s="11">
        <v>161069366</v>
      </c>
      <c r="C2054" s="11">
        <v>365</v>
      </c>
      <c r="D2054">
        <v>175200000</v>
      </c>
      <c r="E2054">
        <v>853</v>
      </c>
    </row>
    <row r="2055" ht="13.85" spans="1:5">
      <c r="A2055">
        <f t="shared" si="32"/>
        <v>2054</v>
      </c>
      <c r="B2055" s="11">
        <v>92537801</v>
      </c>
      <c r="C2055" s="11">
        <v>300</v>
      </c>
      <c r="D2055">
        <v>144000000</v>
      </c>
      <c r="E2055">
        <v>852</v>
      </c>
    </row>
    <row r="2056" ht="13.85" spans="1:5">
      <c r="A2056">
        <f t="shared" si="32"/>
        <v>2055</v>
      </c>
      <c r="B2056" s="11">
        <v>65377755</v>
      </c>
      <c r="C2056" s="11">
        <v>250</v>
      </c>
      <c r="D2056">
        <v>120000000</v>
      </c>
      <c r="E2056">
        <v>851</v>
      </c>
    </row>
    <row r="2057" ht="13.85" spans="1:5">
      <c r="A2057">
        <f t="shared" si="32"/>
        <v>2056</v>
      </c>
      <c r="B2057" s="11">
        <v>47884166</v>
      </c>
      <c r="C2057" s="11">
        <v>210</v>
      </c>
      <c r="D2057">
        <v>100800000</v>
      </c>
      <c r="E2057">
        <v>850</v>
      </c>
    </row>
    <row r="2058" ht="13.85" spans="1:5">
      <c r="A2058">
        <f t="shared" si="32"/>
        <v>2057</v>
      </c>
      <c r="B2058" s="11">
        <v>39646973</v>
      </c>
      <c r="C2058" s="11">
        <v>180</v>
      </c>
      <c r="D2058">
        <v>86400000</v>
      </c>
      <c r="E2058">
        <v>849</v>
      </c>
    </row>
    <row r="2059" ht="13.85" spans="1:5">
      <c r="A2059">
        <f t="shared" si="32"/>
        <v>2058</v>
      </c>
      <c r="B2059" s="11">
        <v>31813429</v>
      </c>
      <c r="C2059" s="11">
        <v>156</v>
      </c>
      <c r="D2059">
        <v>74880000</v>
      </c>
      <c r="E2059">
        <v>848</v>
      </c>
    </row>
    <row r="2060" ht="13.85" spans="1:5">
      <c r="A2060">
        <f t="shared" si="32"/>
        <v>2059</v>
      </c>
      <c r="B2060" s="11">
        <v>28842967</v>
      </c>
      <c r="C2060" s="11">
        <v>135</v>
      </c>
      <c r="D2060">
        <v>64800000</v>
      </c>
      <c r="E2060">
        <v>847</v>
      </c>
    </row>
    <row r="2061" ht="13.85" spans="1:5">
      <c r="A2061">
        <f t="shared" si="32"/>
        <v>2060</v>
      </c>
      <c r="B2061" s="11">
        <v>24014709</v>
      </c>
      <c r="C2061" s="11">
        <v>115</v>
      </c>
      <c r="D2061">
        <v>55200000</v>
      </c>
      <c r="E2061">
        <v>846</v>
      </c>
    </row>
    <row r="2062" ht="13.85" spans="1:5">
      <c r="A2062">
        <f t="shared" si="32"/>
        <v>2061</v>
      </c>
      <c r="B2062" s="11">
        <v>24175034</v>
      </c>
      <c r="C2062" s="11">
        <v>101</v>
      </c>
      <c r="D2062">
        <v>48480000</v>
      </c>
      <c r="E2062">
        <v>845</v>
      </c>
    </row>
    <row r="2063" ht="13.85" spans="1:5">
      <c r="A2063">
        <f t="shared" si="32"/>
        <v>2062</v>
      </c>
      <c r="B2063" s="11">
        <v>17773187</v>
      </c>
      <c r="C2063" s="11">
        <v>87</v>
      </c>
      <c r="D2063">
        <v>41760000</v>
      </c>
      <c r="E2063">
        <v>844</v>
      </c>
    </row>
    <row r="2064" ht="13.85" spans="1:5">
      <c r="A2064">
        <f t="shared" si="32"/>
        <v>2063</v>
      </c>
      <c r="B2064" s="11">
        <v>19012144</v>
      </c>
      <c r="C2064" s="11">
        <v>76</v>
      </c>
      <c r="D2064">
        <v>36480000</v>
      </c>
      <c r="E2064">
        <v>843</v>
      </c>
    </row>
    <row r="2065" ht="13.85" spans="1:5">
      <c r="A2065">
        <f t="shared" si="32"/>
        <v>2064</v>
      </c>
      <c r="B2065" s="11">
        <v>15031147</v>
      </c>
      <c r="C2065" s="11">
        <v>65</v>
      </c>
      <c r="D2065">
        <v>31200000</v>
      </c>
      <c r="E2065">
        <v>842</v>
      </c>
    </row>
    <row r="2066" ht="13.85" spans="1:5">
      <c r="A2066">
        <f t="shared" si="32"/>
        <v>2065</v>
      </c>
      <c r="B2066" s="11">
        <v>15610665</v>
      </c>
      <c r="C2066" s="11">
        <v>57</v>
      </c>
      <c r="D2066">
        <v>27360000</v>
      </c>
      <c r="E2066">
        <v>841</v>
      </c>
    </row>
    <row r="2067" ht="13.85" spans="1:5">
      <c r="A2067">
        <f t="shared" si="32"/>
        <v>2066</v>
      </c>
      <c r="B2067" s="15">
        <v>13299646</v>
      </c>
      <c r="C2067" s="15">
        <v>47</v>
      </c>
      <c r="D2067">
        <v>22560000</v>
      </c>
      <c r="E2067">
        <v>840</v>
      </c>
    </row>
    <row r="2068" ht="13.85" spans="1:5">
      <c r="A2068">
        <f t="shared" si="32"/>
        <v>2067</v>
      </c>
      <c r="B2068" s="13">
        <v>16237995</v>
      </c>
      <c r="C2068" s="13">
        <v>41</v>
      </c>
      <c r="D2068">
        <v>19680000</v>
      </c>
      <c r="E2068">
        <v>839</v>
      </c>
    </row>
    <row r="2069" ht="13.85" spans="1:5">
      <c r="A2069">
        <f t="shared" si="32"/>
        <v>2068</v>
      </c>
      <c r="B2069" s="11">
        <v>12056489</v>
      </c>
      <c r="C2069" s="11">
        <v>30</v>
      </c>
      <c r="D2069">
        <v>14400000</v>
      </c>
      <c r="E2069">
        <v>838</v>
      </c>
    </row>
    <row r="2070" ht="13.85" spans="1:5">
      <c r="A2070">
        <f t="shared" si="32"/>
        <v>2069</v>
      </c>
      <c r="B2070" s="11">
        <v>15923761</v>
      </c>
      <c r="C2070" s="11">
        <v>25</v>
      </c>
      <c r="D2070">
        <v>12000000</v>
      </c>
      <c r="E2070">
        <v>837</v>
      </c>
    </row>
    <row r="2071" ht="13.85" spans="1:5">
      <c r="A2071">
        <f t="shared" si="32"/>
        <v>2070</v>
      </c>
      <c r="B2071" s="11">
        <v>12146846</v>
      </c>
      <c r="C2071" s="11">
        <v>20</v>
      </c>
      <c r="D2071">
        <v>9600000</v>
      </c>
      <c r="E2071">
        <v>836</v>
      </c>
    </row>
    <row r="2072" ht="13.85" spans="1:5">
      <c r="A2072">
        <f t="shared" si="32"/>
        <v>2071</v>
      </c>
      <c r="B2072" s="11">
        <v>13220611</v>
      </c>
      <c r="C2072" s="11">
        <v>15</v>
      </c>
      <c r="D2072">
        <v>7200000</v>
      </c>
      <c r="E2072">
        <v>835</v>
      </c>
    </row>
    <row r="2073" ht="13.85" spans="1:5">
      <c r="A2073">
        <f t="shared" si="32"/>
        <v>2072</v>
      </c>
      <c r="B2073" s="11">
        <v>21453727</v>
      </c>
      <c r="C2073" s="11">
        <v>112</v>
      </c>
      <c r="D2073">
        <v>53760000</v>
      </c>
      <c r="E2073">
        <v>834</v>
      </c>
    </row>
    <row r="2074" ht="13.85" spans="1:5">
      <c r="A2074">
        <f t="shared" si="32"/>
        <v>2073</v>
      </c>
      <c r="B2074" s="11">
        <v>20698844</v>
      </c>
      <c r="C2074" s="11">
        <v>100</v>
      </c>
      <c r="D2074">
        <v>48000000</v>
      </c>
      <c r="E2074">
        <v>833</v>
      </c>
    </row>
    <row r="2075" ht="13.85" spans="1:5">
      <c r="A2075">
        <f t="shared" si="32"/>
        <v>2074</v>
      </c>
      <c r="B2075" s="11">
        <v>16651726</v>
      </c>
      <c r="C2075" s="11">
        <v>87</v>
      </c>
      <c r="D2075">
        <v>41760000</v>
      </c>
      <c r="E2075">
        <v>832</v>
      </c>
    </row>
    <row r="2076" ht="13.85" spans="1:5">
      <c r="A2076">
        <f t="shared" si="32"/>
        <v>2075</v>
      </c>
      <c r="B2076" s="11">
        <v>17092457</v>
      </c>
      <c r="C2076" s="11">
        <v>75</v>
      </c>
      <c r="D2076">
        <v>36000000</v>
      </c>
      <c r="E2076">
        <v>831</v>
      </c>
    </row>
    <row r="2077" ht="13.85" spans="1:5">
      <c r="A2077">
        <f t="shared" si="32"/>
        <v>2076</v>
      </c>
      <c r="B2077" s="11">
        <v>14769688</v>
      </c>
      <c r="C2077" s="11">
        <v>66</v>
      </c>
      <c r="D2077">
        <v>31680000</v>
      </c>
      <c r="E2077">
        <v>830</v>
      </c>
    </row>
    <row r="2078" ht="13.85" spans="1:5">
      <c r="A2078">
        <f t="shared" si="32"/>
        <v>2077</v>
      </c>
      <c r="B2078" s="11">
        <v>14276944</v>
      </c>
      <c r="C2078" s="11">
        <v>57</v>
      </c>
      <c r="D2078">
        <v>27360000</v>
      </c>
      <c r="E2078">
        <v>829</v>
      </c>
    </row>
    <row r="2079" ht="13.85" spans="1:5">
      <c r="A2079">
        <f t="shared" si="32"/>
        <v>2078</v>
      </c>
      <c r="B2079" s="11">
        <v>14277178</v>
      </c>
      <c r="C2079" s="11">
        <v>47</v>
      </c>
      <c r="D2079">
        <v>22560000</v>
      </c>
      <c r="E2079">
        <v>828</v>
      </c>
    </row>
    <row r="2080" ht="13.85" spans="1:5">
      <c r="A2080">
        <f t="shared" si="32"/>
        <v>2079</v>
      </c>
      <c r="B2080" s="11">
        <v>14362530</v>
      </c>
      <c r="C2080" s="11">
        <v>40</v>
      </c>
      <c r="D2080">
        <v>19200000</v>
      </c>
      <c r="E2080">
        <v>827</v>
      </c>
    </row>
    <row r="2081" ht="13.85" spans="1:5">
      <c r="A2081">
        <f t="shared" si="32"/>
        <v>2080</v>
      </c>
      <c r="B2081" s="11">
        <v>12695626</v>
      </c>
      <c r="C2081" s="11">
        <v>31</v>
      </c>
      <c r="D2081">
        <v>14880000</v>
      </c>
      <c r="E2081">
        <v>826</v>
      </c>
    </row>
    <row r="2082" ht="13.85" spans="1:5">
      <c r="A2082">
        <f t="shared" si="32"/>
        <v>2081</v>
      </c>
      <c r="B2082" s="11">
        <v>13766232</v>
      </c>
      <c r="C2082" s="11">
        <v>25</v>
      </c>
      <c r="D2082">
        <v>12000000</v>
      </c>
      <c r="E2082">
        <v>825</v>
      </c>
    </row>
    <row r="2083" ht="13.85" spans="1:5">
      <c r="A2083">
        <f t="shared" si="32"/>
        <v>2082</v>
      </c>
      <c r="B2083" s="11">
        <v>12588482</v>
      </c>
      <c r="C2083" s="11">
        <v>20</v>
      </c>
      <c r="D2083">
        <v>9600000</v>
      </c>
      <c r="E2083">
        <v>824</v>
      </c>
    </row>
    <row r="2084" ht="13.85" spans="1:5">
      <c r="A2084">
        <f t="shared" si="32"/>
        <v>2083</v>
      </c>
      <c r="B2084" s="11">
        <v>13639702</v>
      </c>
      <c r="C2084" s="11">
        <v>15</v>
      </c>
      <c r="D2084">
        <v>7200000</v>
      </c>
      <c r="E2084">
        <v>823</v>
      </c>
    </row>
    <row r="2085" ht="13.85" spans="1:5">
      <c r="A2085">
        <f t="shared" si="32"/>
        <v>2084</v>
      </c>
      <c r="B2085" s="11">
        <v>14135903</v>
      </c>
      <c r="C2085" s="11">
        <v>36</v>
      </c>
      <c r="D2085">
        <v>17280000</v>
      </c>
      <c r="E2085">
        <v>822</v>
      </c>
    </row>
    <row r="2086" ht="13.85" spans="1:5">
      <c r="A2086">
        <f t="shared" si="32"/>
        <v>2085</v>
      </c>
      <c r="B2086" s="11">
        <v>14695200</v>
      </c>
      <c r="C2086" s="11">
        <v>27</v>
      </c>
      <c r="D2086">
        <v>12960000</v>
      </c>
      <c r="E2086">
        <v>821</v>
      </c>
    </row>
    <row r="2087" ht="13.85" spans="1:5">
      <c r="A2087">
        <f t="shared" si="32"/>
        <v>2086</v>
      </c>
      <c r="B2087" s="11">
        <v>13491525</v>
      </c>
      <c r="C2087" s="11">
        <v>20</v>
      </c>
      <c r="D2087">
        <v>9600000</v>
      </c>
      <c r="E2087">
        <v>820</v>
      </c>
    </row>
    <row r="2088" ht="13.85" spans="1:5">
      <c r="A2088">
        <f t="shared" si="32"/>
        <v>2087</v>
      </c>
      <c r="B2088" s="20">
        <v>15670623</v>
      </c>
      <c r="C2088" s="20">
        <v>15</v>
      </c>
      <c r="D2088">
        <v>7200000</v>
      </c>
      <c r="E2088">
        <v>819</v>
      </c>
    </row>
    <row r="2089" ht="13.85" spans="1:5">
      <c r="A2089">
        <f t="shared" si="32"/>
        <v>2088</v>
      </c>
      <c r="B2089" s="11">
        <v>165702055</v>
      </c>
      <c r="C2089" s="11">
        <v>340</v>
      </c>
      <c r="D2089">
        <v>163200000</v>
      </c>
      <c r="E2089">
        <v>818</v>
      </c>
    </row>
    <row r="2090" ht="13.85" spans="1:5">
      <c r="A2090">
        <f t="shared" si="32"/>
        <v>2089</v>
      </c>
      <c r="B2090" s="11">
        <v>93711624</v>
      </c>
      <c r="C2090" s="11">
        <v>300</v>
      </c>
      <c r="D2090">
        <v>144000000</v>
      </c>
      <c r="E2090">
        <v>817</v>
      </c>
    </row>
    <row r="2091" ht="13.85" spans="1:5">
      <c r="A2091">
        <f t="shared" si="32"/>
        <v>2090</v>
      </c>
      <c r="B2091" s="11">
        <v>63285429</v>
      </c>
      <c r="C2091" s="11">
        <v>240</v>
      </c>
      <c r="D2091">
        <v>115200000</v>
      </c>
      <c r="E2091">
        <v>816</v>
      </c>
    </row>
    <row r="2092" ht="13.85" spans="1:5">
      <c r="A2092">
        <f t="shared" si="32"/>
        <v>2091</v>
      </c>
      <c r="B2092" s="11">
        <v>50064288</v>
      </c>
      <c r="C2092" s="11">
        <v>205</v>
      </c>
      <c r="D2092">
        <v>98400000</v>
      </c>
      <c r="E2092">
        <v>815</v>
      </c>
    </row>
    <row r="2093" ht="13.85" spans="1:5">
      <c r="A2093">
        <f t="shared" si="32"/>
        <v>2092</v>
      </c>
      <c r="B2093" s="11">
        <v>36688866</v>
      </c>
      <c r="C2093" s="11">
        <v>180</v>
      </c>
      <c r="D2093">
        <v>86400000</v>
      </c>
      <c r="E2093">
        <v>814</v>
      </c>
    </row>
    <row r="2094" ht="13.85" spans="1:5">
      <c r="A2094">
        <f t="shared" si="32"/>
        <v>2093</v>
      </c>
      <c r="B2094" s="11">
        <v>33384475</v>
      </c>
      <c r="C2094" s="11">
        <v>167</v>
      </c>
      <c r="D2094">
        <v>80160000</v>
      </c>
      <c r="E2094">
        <v>813</v>
      </c>
    </row>
    <row r="2095" ht="13.85" spans="1:5">
      <c r="A2095">
        <f t="shared" si="32"/>
        <v>2094</v>
      </c>
      <c r="B2095" s="11">
        <v>27917824</v>
      </c>
      <c r="C2095" s="11">
        <v>148</v>
      </c>
      <c r="D2095">
        <v>71040000</v>
      </c>
      <c r="E2095">
        <v>812</v>
      </c>
    </row>
    <row r="2096" ht="13.85" spans="1:5">
      <c r="A2096">
        <f t="shared" si="32"/>
        <v>2095</v>
      </c>
      <c r="B2096" s="11">
        <v>25826780</v>
      </c>
      <c r="C2096" s="11">
        <v>126</v>
      </c>
      <c r="D2096">
        <v>60480000</v>
      </c>
      <c r="E2096">
        <v>811</v>
      </c>
    </row>
    <row r="2097" ht="13.85" spans="1:5">
      <c r="A2097">
        <f t="shared" si="32"/>
        <v>2096</v>
      </c>
      <c r="B2097" s="11">
        <v>21843529</v>
      </c>
      <c r="C2097" s="11">
        <v>108</v>
      </c>
      <c r="D2097">
        <v>51840000</v>
      </c>
      <c r="E2097">
        <v>810</v>
      </c>
    </row>
    <row r="2098" ht="13.85" spans="1:5">
      <c r="A2098">
        <f t="shared" si="32"/>
        <v>2097</v>
      </c>
      <c r="B2098" s="11">
        <v>19369471</v>
      </c>
      <c r="C2098" s="11">
        <v>92</v>
      </c>
      <c r="D2098">
        <v>44160000</v>
      </c>
      <c r="E2098">
        <v>809</v>
      </c>
    </row>
    <row r="2099" ht="13.85" spans="1:5">
      <c r="A2099">
        <f t="shared" si="32"/>
        <v>2098</v>
      </c>
      <c r="B2099" s="11">
        <v>15733224</v>
      </c>
      <c r="C2099" s="11">
        <v>80</v>
      </c>
      <c r="D2099">
        <v>38400000</v>
      </c>
      <c r="E2099">
        <v>808</v>
      </c>
    </row>
    <row r="2100" ht="13.85" spans="1:5">
      <c r="A2100">
        <f t="shared" si="32"/>
        <v>2099</v>
      </c>
      <c r="B2100" s="11">
        <v>15751153</v>
      </c>
      <c r="C2100" s="11">
        <v>70</v>
      </c>
      <c r="D2100">
        <v>33600000</v>
      </c>
      <c r="E2100">
        <v>807</v>
      </c>
    </row>
    <row r="2101" ht="13.85" spans="1:5">
      <c r="A2101">
        <f t="shared" si="32"/>
        <v>2100</v>
      </c>
      <c r="B2101" s="11">
        <v>12903742</v>
      </c>
      <c r="C2101" s="11">
        <v>60</v>
      </c>
      <c r="D2101">
        <v>28800000</v>
      </c>
      <c r="E2101">
        <v>806</v>
      </c>
    </row>
    <row r="2102" ht="13.85" spans="1:5">
      <c r="A2102">
        <f t="shared" si="32"/>
        <v>2101</v>
      </c>
      <c r="B2102" s="11">
        <v>14073885</v>
      </c>
      <c r="C2102" s="11">
        <v>53</v>
      </c>
      <c r="D2102">
        <v>25440000</v>
      </c>
      <c r="E2102">
        <v>805</v>
      </c>
    </row>
    <row r="2103" ht="13.85" spans="1:5">
      <c r="A2103">
        <f t="shared" si="32"/>
        <v>2102</v>
      </c>
      <c r="B2103" s="11">
        <v>11661808</v>
      </c>
      <c r="C2103" s="11">
        <v>44</v>
      </c>
      <c r="D2103">
        <v>21120000</v>
      </c>
      <c r="E2103">
        <v>804</v>
      </c>
    </row>
    <row r="2104" ht="13.85" spans="1:5">
      <c r="A2104">
        <f t="shared" si="32"/>
        <v>2103</v>
      </c>
      <c r="B2104" s="11">
        <v>13194206</v>
      </c>
      <c r="C2104" s="11">
        <v>32</v>
      </c>
      <c r="D2104">
        <v>15360000</v>
      </c>
      <c r="E2104">
        <v>803</v>
      </c>
    </row>
    <row r="2105" ht="13.85" spans="1:5">
      <c r="A2105">
        <f t="shared" si="32"/>
        <v>2104</v>
      </c>
      <c r="B2105" s="11">
        <v>11362334</v>
      </c>
      <c r="C2105" s="11">
        <v>25</v>
      </c>
      <c r="D2105">
        <v>12000000</v>
      </c>
      <c r="E2105">
        <v>802</v>
      </c>
    </row>
    <row r="2106" ht="13.85" spans="1:5">
      <c r="A2106">
        <f t="shared" si="32"/>
        <v>2105</v>
      </c>
      <c r="B2106" s="11">
        <v>12228118</v>
      </c>
      <c r="C2106" s="11">
        <v>19</v>
      </c>
      <c r="D2106">
        <v>9120000</v>
      </c>
      <c r="E2106">
        <v>801</v>
      </c>
    </row>
    <row r="2107" ht="13.85" spans="1:5">
      <c r="A2107">
        <f t="shared" si="32"/>
        <v>2106</v>
      </c>
      <c r="B2107" s="11">
        <v>10452591</v>
      </c>
      <c r="C2107" s="11">
        <v>13</v>
      </c>
      <c r="D2107">
        <v>6240000</v>
      </c>
      <c r="E2107">
        <v>800</v>
      </c>
    </row>
    <row r="2108" ht="13.85" spans="1:5">
      <c r="A2108">
        <f t="shared" si="32"/>
        <v>2107</v>
      </c>
      <c r="B2108" s="17">
        <v>12118475</v>
      </c>
      <c r="C2108" s="17">
        <v>10</v>
      </c>
      <c r="D2108">
        <v>4800000</v>
      </c>
      <c r="E2108">
        <v>799</v>
      </c>
    </row>
    <row r="2109" ht="13.85" spans="1:5">
      <c r="A2109">
        <f t="shared" si="32"/>
        <v>2108</v>
      </c>
      <c r="B2109" s="11">
        <v>20046296</v>
      </c>
      <c r="C2109" s="11">
        <v>92</v>
      </c>
      <c r="D2109">
        <v>44160000</v>
      </c>
      <c r="E2109">
        <v>798</v>
      </c>
    </row>
    <row r="2110" ht="13.85" spans="1:5">
      <c r="A2110">
        <f t="shared" si="32"/>
        <v>2109</v>
      </c>
      <c r="B2110" s="11">
        <v>19410200</v>
      </c>
      <c r="C2110" s="11">
        <v>82</v>
      </c>
      <c r="D2110">
        <v>39360000</v>
      </c>
      <c r="E2110">
        <v>797</v>
      </c>
    </row>
    <row r="2111" ht="13.85" spans="1:5">
      <c r="A2111">
        <f t="shared" si="32"/>
        <v>2110</v>
      </c>
      <c r="B2111" s="11">
        <v>16214682</v>
      </c>
      <c r="C2111" s="11">
        <v>70</v>
      </c>
      <c r="D2111">
        <v>33600000</v>
      </c>
      <c r="E2111">
        <v>796</v>
      </c>
    </row>
    <row r="2112" ht="13.85" spans="1:5">
      <c r="A2112">
        <f t="shared" si="32"/>
        <v>2111</v>
      </c>
      <c r="B2112" s="11">
        <v>16274295</v>
      </c>
      <c r="C2112" s="11">
        <v>62</v>
      </c>
      <c r="D2112">
        <v>29760000</v>
      </c>
      <c r="E2112">
        <v>795</v>
      </c>
    </row>
    <row r="2113" ht="13.85" spans="1:5">
      <c r="A2113">
        <f t="shared" si="32"/>
        <v>2112</v>
      </c>
      <c r="B2113" s="11">
        <v>13218975</v>
      </c>
      <c r="C2113" s="11">
        <v>53</v>
      </c>
      <c r="D2113">
        <v>25440000</v>
      </c>
      <c r="E2113">
        <v>794</v>
      </c>
    </row>
    <row r="2114" ht="13.85" spans="1:5">
      <c r="A2114">
        <f t="shared" ref="A2114:A2177" si="33">ROW()-1</f>
        <v>2113</v>
      </c>
      <c r="B2114" s="11">
        <v>14155392</v>
      </c>
      <c r="C2114" s="11">
        <v>46</v>
      </c>
      <c r="D2114">
        <v>22080000</v>
      </c>
      <c r="E2114">
        <v>793</v>
      </c>
    </row>
    <row r="2115" ht="13.85" spans="1:5">
      <c r="A2115">
        <f t="shared" si="33"/>
        <v>2114</v>
      </c>
      <c r="B2115" s="11">
        <v>12028493</v>
      </c>
      <c r="C2115" s="11">
        <v>38</v>
      </c>
      <c r="D2115">
        <v>18240000</v>
      </c>
      <c r="E2115">
        <v>792</v>
      </c>
    </row>
    <row r="2116" ht="13.85" spans="1:5">
      <c r="A2116">
        <f t="shared" si="33"/>
        <v>2115</v>
      </c>
      <c r="B2116" s="11">
        <v>13179163</v>
      </c>
      <c r="C2116" s="11">
        <v>31</v>
      </c>
      <c r="D2116">
        <v>14880000</v>
      </c>
      <c r="E2116">
        <v>791</v>
      </c>
    </row>
    <row r="2117" ht="13.85" spans="1:5">
      <c r="A2117">
        <f t="shared" si="33"/>
        <v>2116</v>
      </c>
      <c r="B2117" s="11">
        <v>11293239</v>
      </c>
      <c r="C2117" s="11">
        <v>23</v>
      </c>
      <c r="D2117">
        <v>11040000</v>
      </c>
      <c r="E2117">
        <v>790</v>
      </c>
    </row>
    <row r="2118" ht="13.85" spans="1:5">
      <c r="A2118">
        <f t="shared" si="33"/>
        <v>2117</v>
      </c>
      <c r="B2118" s="11">
        <v>12084933</v>
      </c>
      <c r="C2118" s="11">
        <v>18</v>
      </c>
      <c r="D2118">
        <v>8640000</v>
      </c>
      <c r="E2118">
        <v>789</v>
      </c>
    </row>
    <row r="2119" ht="13.85" spans="1:5">
      <c r="A2119">
        <f t="shared" si="33"/>
        <v>2118</v>
      </c>
      <c r="B2119" s="11">
        <v>10092153</v>
      </c>
      <c r="C2119" s="11">
        <v>13</v>
      </c>
      <c r="D2119">
        <v>6240000</v>
      </c>
      <c r="E2119">
        <v>788</v>
      </c>
    </row>
    <row r="2120" ht="13.85" spans="1:5">
      <c r="A2120">
        <f t="shared" si="33"/>
        <v>2119</v>
      </c>
      <c r="B2120" s="11">
        <v>11841643</v>
      </c>
      <c r="C2120" s="11">
        <v>10</v>
      </c>
      <c r="D2120">
        <v>4800000</v>
      </c>
      <c r="E2120">
        <v>787</v>
      </c>
    </row>
    <row r="2121" ht="13.85" spans="1:5">
      <c r="A2121">
        <f t="shared" si="33"/>
        <v>2120</v>
      </c>
      <c r="B2121" s="11">
        <v>10383472</v>
      </c>
      <c r="C2121" s="11">
        <v>10</v>
      </c>
      <c r="D2121">
        <v>4800000</v>
      </c>
      <c r="E2121">
        <v>786</v>
      </c>
    </row>
    <row r="2122" ht="13.85" spans="1:5">
      <c r="A2122">
        <f t="shared" si="33"/>
        <v>2121</v>
      </c>
      <c r="B2122" s="11">
        <v>16869943</v>
      </c>
      <c r="C2122" s="11">
        <v>62</v>
      </c>
      <c r="D2122">
        <v>29760000</v>
      </c>
      <c r="E2122">
        <v>785</v>
      </c>
    </row>
    <row r="2123" ht="13.85" spans="1:5">
      <c r="A2123">
        <f t="shared" si="33"/>
        <v>2122</v>
      </c>
      <c r="B2123" s="11">
        <v>14518940</v>
      </c>
      <c r="C2123" s="11">
        <v>52</v>
      </c>
      <c r="D2123">
        <v>24960000</v>
      </c>
      <c r="E2123">
        <v>784</v>
      </c>
    </row>
    <row r="2124" ht="13.85" spans="1:5">
      <c r="A2124">
        <f t="shared" si="33"/>
        <v>2123</v>
      </c>
      <c r="B2124" s="11">
        <v>15197084</v>
      </c>
      <c r="C2124" s="11">
        <v>43</v>
      </c>
      <c r="D2124">
        <v>20640000</v>
      </c>
      <c r="E2124">
        <v>783</v>
      </c>
    </row>
    <row r="2125" ht="13.85" spans="1:5">
      <c r="A2125">
        <f t="shared" si="33"/>
        <v>2124</v>
      </c>
      <c r="B2125" s="11">
        <v>12757562</v>
      </c>
      <c r="C2125" s="11">
        <v>34</v>
      </c>
      <c r="D2125">
        <v>16320000</v>
      </c>
      <c r="E2125">
        <v>782</v>
      </c>
    </row>
    <row r="2126" ht="13.85" spans="1:5">
      <c r="A2126">
        <f t="shared" si="33"/>
        <v>2125</v>
      </c>
      <c r="B2126" s="11">
        <v>13679770</v>
      </c>
      <c r="C2126" s="11">
        <v>28</v>
      </c>
      <c r="D2126">
        <v>13440000</v>
      </c>
      <c r="E2126">
        <v>781</v>
      </c>
    </row>
    <row r="2127" ht="13.85" spans="1:5">
      <c r="A2127">
        <f t="shared" si="33"/>
        <v>2126</v>
      </c>
      <c r="B2127" s="11">
        <v>11734970</v>
      </c>
      <c r="C2127" s="11">
        <v>20</v>
      </c>
      <c r="D2127">
        <v>9600000</v>
      </c>
      <c r="E2127">
        <v>780</v>
      </c>
    </row>
    <row r="2128" ht="13.85" spans="1:5">
      <c r="A2128">
        <f t="shared" si="33"/>
        <v>2127</v>
      </c>
      <c r="B2128" s="11">
        <v>12711301</v>
      </c>
      <c r="C2128" s="11">
        <v>13</v>
      </c>
      <c r="D2128">
        <v>6240000</v>
      </c>
      <c r="E2128">
        <v>779</v>
      </c>
    </row>
    <row r="2129" ht="13.85" spans="1:5">
      <c r="A2129">
        <f t="shared" si="33"/>
        <v>2128</v>
      </c>
      <c r="B2129" s="11">
        <v>11421109</v>
      </c>
      <c r="C2129" s="11">
        <v>10</v>
      </c>
      <c r="D2129">
        <v>4800000</v>
      </c>
      <c r="E2129">
        <v>778</v>
      </c>
    </row>
    <row r="2130" ht="13.85" spans="1:5">
      <c r="A2130">
        <f t="shared" si="33"/>
        <v>2129</v>
      </c>
      <c r="B2130" s="11">
        <v>68244767</v>
      </c>
      <c r="C2130" s="11">
        <v>220</v>
      </c>
      <c r="D2130">
        <v>105600000</v>
      </c>
      <c r="E2130">
        <v>777</v>
      </c>
    </row>
    <row r="2131" ht="13.85" spans="1:5">
      <c r="A2131">
        <f t="shared" si="33"/>
        <v>2130</v>
      </c>
      <c r="B2131" s="11">
        <v>50606867</v>
      </c>
      <c r="C2131" s="11">
        <v>180</v>
      </c>
      <c r="D2131">
        <v>86400000</v>
      </c>
      <c r="E2131">
        <v>776</v>
      </c>
    </row>
    <row r="2132" ht="13.85" spans="1:5">
      <c r="A2132">
        <f t="shared" si="33"/>
        <v>2131</v>
      </c>
      <c r="B2132" s="11">
        <v>40387916</v>
      </c>
      <c r="C2132" s="11">
        <v>155</v>
      </c>
      <c r="D2132">
        <v>74400000</v>
      </c>
      <c r="E2132">
        <v>775</v>
      </c>
    </row>
    <row r="2133" ht="13.85" spans="1:5">
      <c r="A2133">
        <f t="shared" si="33"/>
        <v>2132</v>
      </c>
      <c r="B2133" s="11">
        <v>32778247</v>
      </c>
      <c r="C2133" s="11">
        <v>129</v>
      </c>
      <c r="D2133">
        <v>61920000</v>
      </c>
      <c r="E2133">
        <v>774</v>
      </c>
    </row>
    <row r="2134" ht="13.85" spans="1:5">
      <c r="A2134">
        <f t="shared" si="33"/>
        <v>2133</v>
      </c>
      <c r="B2134" s="11">
        <v>29487024</v>
      </c>
      <c r="C2134" s="11">
        <v>111</v>
      </c>
      <c r="D2134">
        <v>53280000</v>
      </c>
      <c r="E2134">
        <v>773</v>
      </c>
    </row>
    <row r="2135" ht="13.85" spans="1:5">
      <c r="A2135">
        <f t="shared" si="33"/>
        <v>2134</v>
      </c>
      <c r="B2135" s="11">
        <v>21747095</v>
      </c>
      <c r="C2135" s="11">
        <v>96</v>
      </c>
      <c r="D2135">
        <v>46080000</v>
      </c>
      <c r="E2135">
        <v>772</v>
      </c>
    </row>
    <row r="2136" ht="13.85" spans="1:5">
      <c r="A2136">
        <f t="shared" si="33"/>
        <v>2135</v>
      </c>
      <c r="B2136" s="11">
        <v>19960545</v>
      </c>
      <c r="C2136" s="11">
        <v>83</v>
      </c>
      <c r="D2136">
        <v>39840000</v>
      </c>
      <c r="E2136">
        <v>771</v>
      </c>
    </row>
    <row r="2137" ht="13.85" spans="1:5">
      <c r="A2137">
        <f t="shared" si="33"/>
        <v>2136</v>
      </c>
      <c r="B2137" s="11">
        <v>16782647</v>
      </c>
      <c r="C2137" s="11">
        <v>72</v>
      </c>
      <c r="D2137">
        <v>34560000</v>
      </c>
      <c r="E2137">
        <v>770</v>
      </c>
    </row>
    <row r="2138" ht="13.85" spans="1:5">
      <c r="A2138">
        <f t="shared" si="33"/>
        <v>2137</v>
      </c>
      <c r="B2138" s="11">
        <v>16495834</v>
      </c>
      <c r="C2138" s="11">
        <v>63</v>
      </c>
      <c r="D2138">
        <v>30240000</v>
      </c>
      <c r="E2138">
        <v>769</v>
      </c>
    </row>
    <row r="2139" ht="13.85" spans="1:5">
      <c r="A2139">
        <f t="shared" si="33"/>
        <v>2138</v>
      </c>
      <c r="B2139" s="11">
        <v>13703921</v>
      </c>
      <c r="C2139" s="11">
        <v>54</v>
      </c>
      <c r="D2139">
        <v>25920000</v>
      </c>
      <c r="E2139">
        <v>768</v>
      </c>
    </row>
    <row r="2140" ht="13.85" spans="1:5">
      <c r="A2140">
        <f t="shared" si="33"/>
        <v>2139</v>
      </c>
      <c r="B2140" s="11">
        <v>14073610</v>
      </c>
      <c r="C2140" s="11">
        <v>47</v>
      </c>
      <c r="D2140">
        <v>22560000</v>
      </c>
      <c r="E2140">
        <v>767</v>
      </c>
    </row>
    <row r="2141" ht="13.85" spans="1:5">
      <c r="A2141">
        <f t="shared" si="33"/>
        <v>2140</v>
      </c>
      <c r="B2141" s="11">
        <v>11534775</v>
      </c>
      <c r="C2141" s="11">
        <v>39</v>
      </c>
      <c r="D2141">
        <v>18720000</v>
      </c>
      <c r="E2141">
        <v>766</v>
      </c>
    </row>
    <row r="2142" ht="13.85" spans="1:5">
      <c r="A2142">
        <f t="shared" si="33"/>
        <v>2141</v>
      </c>
      <c r="B2142" s="11">
        <v>12481646</v>
      </c>
      <c r="C2142" s="11">
        <v>32</v>
      </c>
      <c r="D2142">
        <v>15360000</v>
      </c>
      <c r="E2142">
        <v>765</v>
      </c>
    </row>
    <row r="2143" ht="13.85" spans="1:5">
      <c r="A2143">
        <f t="shared" si="33"/>
        <v>2142</v>
      </c>
      <c r="B2143" s="11">
        <v>10607067</v>
      </c>
      <c r="C2143" s="11">
        <v>25</v>
      </c>
      <c r="D2143">
        <v>12000000</v>
      </c>
      <c r="E2143">
        <v>764</v>
      </c>
    </row>
    <row r="2144" ht="13.85" spans="1:5">
      <c r="A2144">
        <f t="shared" si="33"/>
        <v>2143</v>
      </c>
      <c r="B2144" s="11">
        <v>11338636</v>
      </c>
      <c r="C2144" s="11">
        <v>19</v>
      </c>
      <c r="D2144">
        <v>9120000</v>
      </c>
      <c r="E2144">
        <v>763</v>
      </c>
    </row>
    <row r="2145" ht="13.85" spans="1:5">
      <c r="A2145">
        <f t="shared" si="33"/>
        <v>2144</v>
      </c>
      <c r="B2145" s="11">
        <v>9639616</v>
      </c>
      <c r="C2145" s="11">
        <v>12</v>
      </c>
      <c r="D2145">
        <v>5760000</v>
      </c>
      <c r="E2145">
        <v>762</v>
      </c>
    </row>
    <row r="2146" ht="13.85" spans="1:5">
      <c r="A2146">
        <f t="shared" si="33"/>
        <v>2145</v>
      </c>
      <c r="B2146" s="11">
        <v>10939736</v>
      </c>
      <c r="C2146" s="11">
        <v>10</v>
      </c>
      <c r="D2146">
        <v>4800000</v>
      </c>
      <c r="E2146">
        <v>761</v>
      </c>
    </row>
    <row r="2147" ht="13.85" spans="1:5">
      <c r="A2147">
        <f t="shared" si="33"/>
        <v>2146</v>
      </c>
      <c r="B2147" s="11">
        <v>10739292</v>
      </c>
      <c r="C2147" s="11">
        <v>25</v>
      </c>
      <c r="D2147">
        <v>12000000</v>
      </c>
      <c r="E2147">
        <v>760</v>
      </c>
    </row>
    <row r="2148" ht="13.85" spans="1:5">
      <c r="A2148">
        <f t="shared" si="33"/>
        <v>2147</v>
      </c>
      <c r="B2148" s="11">
        <v>11844326</v>
      </c>
      <c r="C2148" s="11">
        <v>19</v>
      </c>
      <c r="D2148">
        <v>9120000</v>
      </c>
      <c r="E2148">
        <v>759</v>
      </c>
    </row>
    <row r="2149" ht="13.85" spans="1:5">
      <c r="A2149">
        <f t="shared" si="33"/>
        <v>2148</v>
      </c>
      <c r="B2149" s="11">
        <v>9684876</v>
      </c>
      <c r="C2149" s="11">
        <v>12</v>
      </c>
      <c r="D2149">
        <v>5760000</v>
      </c>
      <c r="E2149">
        <v>758</v>
      </c>
    </row>
    <row r="2150" ht="13.85" spans="1:5">
      <c r="A2150">
        <f t="shared" si="33"/>
        <v>2149</v>
      </c>
      <c r="B2150" s="11">
        <v>10925963</v>
      </c>
      <c r="C2150" s="11">
        <v>10</v>
      </c>
      <c r="D2150">
        <v>4800000</v>
      </c>
      <c r="E2150">
        <v>757</v>
      </c>
    </row>
    <row r="2151" ht="13.85" spans="1:5">
      <c r="A2151">
        <f t="shared" si="33"/>
        <v>2150</v>
      </c>
      <c r="B2151" s="11">
        <v>10581612</v>
      </c>
      <c r="C2151" s="11">
        <v>18</v>
      </c>
      <c r="D2151">
        <v>8640000</v>
      </c>
      <c r="E2151">
        <v>756</v>
      </c>
    </row>
    <row r="2152" ht="13.85" spans="1:5">
      <c r="A2152">
        <f t="shared" si="33"/>
        <v>2151</v>
      </c>
      <c r="B2152" s="11">
        <v>11339686</v>
      </c>
      <c r="C2152" s="11">
        <v>12</v>
      </c>
      <c r="D2152">
        <v>5760000</v>
      </c>
      <c r="E2152">
        <v>755</v>
      </c>
    </row>
    <row r="2153" ht="13.85" spans="1:5">
      <c r="A2153">
        <f t="shared" si="33"/>
        <v>2152</v>
      </c>
      <c r="B2153" s="11">
        <v>11253878</v>
      </c>
      <c r="C2153" s="11">
        <v>10</v>
      </c>
      <c r="D2153">
        <v>4800000</v>
      </c>
      <c r="E2153">
        <v>754</v>
      </c>
    </row>
    <row r="2154" ht="13.85" spans="1:5">
      <c r="A2154">
        <f t="shared" si="33"/>
        <v>2153</v>
      </c>
      <c r="B2154" s="11">
        <v>12362291</v>
      </c>
      <c r="C2154" s="11">
        <v>19</v>
      </c>
      <c r="D2154">
        <v>9120000</v>
      </c>
      <c r="E2154">
        <v>753</v>
      </c>
    </row>
    <row r="2155" ht="13.85" spans="1:5">
      <c r="A2155">
        <f t="shared" si="33"/>
        <v>2154</v>
      </c>
      <c r="B2155" s="11">
        <v>10109910</v>
      </c>
      <c r="C2155" s="11">
        <v>12</v>
      </c>
      <c r="D2155">
        <v>5760000</v>
      </c>
      <c r="E2155">
        <v>752</v>
      </c>
    </row>
    <row r="2156" ht="13.85" spans="1:5">
      <c r="A2156">
        <f t="shared" si="33"/>
        <v>2155</v>
      </c>
      <c r="B2156" s="11">
        <v>11252184</v>
      </c>
      <c r="C2156" s="11">
        <v>10</v>
      </c>
      <c r="D2156">
        <v>4800000</v>
      </c>
      <c r="E2156">
        <v>751</v>
      </c>
    </row>
    <row r="2157" ht="13.85" spans="1:5">
      <c r="A2157">
        <f t="shared" si="33"/>
        <v>2156</v>
      </c>
      <c r="B2157" s="11">
        <v>10614026</v>
      </c>
      <c r="C2157" s="11">
        <v>18</v>
      </c>
      <c r="D2157">
        <v>8640000</v>
      </c>
      <c r="E2157">
        <v>750</v>
      </c>
    </row>
    <row r="2158" ht="13.85" spans="1:5">
      <c r="A2158">
        <f t="shared" si="33"/>
        <v>2157</v>
      </c>
      <c r="B2158" s="11">
        <v>11726815</v>
      </c>
      <c r="C2158" s="11">
        <v>12</v>
      </c>
      <c r="D2158">
        <v>5760000</v>
      </c>
      <c r="E2158">
        <v>749</v>
      </c>
    </row>
    <row r="2159" ht="13.85" spans="1:5">
      <c r="A2159">
        <f t="shared" si="33"/>
        <v>2158</v>
      </c>
      <c r="B2159" s="11">
        <v>10096589</v>
      </c>
      <c r="C2159" s="11">
        <v>10</v>
      </c>
      <c r="D2159">
        <v>4800000</v>
      </c>
      <c r="E2159">
        <v>748</v>
      </c>
    </row>
    <row r="2160" ht="13.85" spans="1:5">
      <c r="A2160">
        <f t="shared" si="33"/>
        <v>2159</v>
      </c>
      <c r="B2160" s="11">
        <v>14431387</v>
      </c>
      <c r="C2160" s="11">
        <v>41</v>
      </c>
      <c r="D2160">
        <v>19680000</v>
      </c>
      <c r="E2160">
        <v>747</v>
      </c>
    </row>
    <row r="2161" ht="13.85" spans="1:5">
      <c r="A2161">
        <f t="shared" si="33"/>
        <v>2160</v>
      </c>
      <c r="B2161" s="11">
        <v>12082713</v>
      </c>
      <c r="C2161" s="11">
        <v>32</v>
      </c>
      <c r="D2161">
        <v>15360000</v>
      </c>
      <c r="E2161">
        <v>746</v>
      </c>
    </row>
    <row r="2162" ht="13.85" spans="1:5">
      <c r="A2162">
        <f t="shared" si="33"/>
        <v>2161</v>
      </c>
      <c r="B2162" s="11">
        <v>13141349</v>
      </c>
      <c r="C2162" s="11">
        <v>25</v>
      </c>
      <c r="D2162">
        <v>12000000</v>
      </c>
      <c r="E2162">
        <v>745</v>
      </c>
    </row>
    <row r="2163" ht="13.85" spans="1:5">
      <c r="A2163">
        <f t="shared" si="33"/>
        <v>2162</v>
      </c>
      <c r="B2163" s="11">
        <v>10905341</v>
      </c>
      <c r="C2163" s="11">
        <v>18</v>
      </c>
      <c r="D2163">
        <v>8640000</v>
      </c>
      <c r="E2163">
        <v>744</v>
      </c>
    </row>
    <row r="2164" ht="13.85" spans="1:5">
      <c r="A2164">
        <f t="shared" si="33"/>
        <v>2163</v>
      </c>
      <c r="B2164" s="11">
        <v>11445462</v>
      </c>
      <c r="C2164" s="11">
        <v>12</v>
      </c>
      <c r="D2164">
        <v>5760000</v>
      </c>
      <c r="E2164">
        <v>743</v>
      </c>
    </row>
    <row r="2165" ht="13.85" spans="1:5">
      <c r="A2165">
        <f t="shared" si="33"/>
        <v>2164</v>
      </c>
      <c r="B2165" s="11">
        <v>9888417</v>
      </c>
      <c r="C2165" s="11">
        <v>10</v>
      </c>
      <c r="D2165">
        <v>4800000</v>
      </c>
      <c r="E2165">
        <v>742</v>
      </c>
    </row>
    <row r="2166" ht="13.85" spans="1:5">
      <c r="A2166">
        <f t="shared" si="33"/>
        <v>2165</v>
      </c>
      <c r="B2166" s="11">
        <v>12760524</v>
      </c>
      <c r="C2166" s="11">
        <v>26</v>
      </c>
      <c r="D2166">
        <v>12480000</v>
      </c>
      <c r="E2166">
        <v>741</v>
      </c>
    </row>
    <row r="2167" ht="13.85" spans="1:5">
      <c r="A2167">
        <f t="shared" si="33"/>
        <v>2166</v>
      </c>
      <c r="B2167" s="11">
        <v>10788815</v>
      </c>
      <c r="C2167" s="11">
        <v>19</v>
      </c>
      <c r="D2167">
        <v>9120000</v>
      </c>
      <c r="E2167">
        <v>740</v>
      </c>
    </row>
    <row r="2168" ht="13.85" spans="1:5">
      <c r="A2168">
        <f t="shared" si="33"/>
        <v>2167</v>
      </c>
      <c r="B2168" s="11">
        <v>11981740</v>
      </c>
      <c r="C2168" s="11">
        <v>14</v>
      </c>
      <c r="D2168">
        <v>6720000</v>
      </c>
      <c r="E2168">
        <v>739</v>
      </c>
    </row>
    <row r="2169" ht="13.85" spans="1:5">
      <c r="A2169">
        <f t="shared" si="33"/>
        <v>2168</v>
      </c>
      <c r="B2169" s="11">
        <v>10449723</v>
      </c>
      <c r="C2169" s="11">
        <v>10</v>
      </c>
      <c r="D2169">
        <v>4800000</v>
      </c>
      <c r="E2169">
        <v>738</v>
      </c>
    </row>
    <row r="2170" ht="13.85" spans="1:5">
      <c r="A2170">
        <f t="shared" si="33"/>
        <v>2169</v>
      </c>
      <c r="B2170" s="11">
        <v>13947785</v>
      </c>
      <c r="C2170" s="11">
        <v>37</v>
      </c>
      <c r="D2170">
        <v>17760000</v>
      </c>
      <c r="E2170">
        <v>737</v>
      </c>
    </row>
    <row r="2171" ht="13.85" spans="1:5">
      <c r="A2171">
        <f t="shared" si="33"/>
        <v>2170</v>
      </c>
      <c r="B2171" s="11">
        <v>12233136</v>
      </c>
      <c r="C2171" s="11">
        <v>28</v>
      </c>
      <c r="D2171">
        <v>13440000</v>
      </c>
      <c r="E2171">
        <v>736</v>
      </c>
    </row>
    <row r="2172" ht="13.85" spans="1:5">
      <c r="A2172">
        <f t="shared" si="33"/>
        <v>2171</v>
      </c>
      <c r="B2172" s="15">
        <v>13249138</v>
      </c>
      <c r="C2172" s="15">
        <v>21</v>
      </c>
      <c r="D2172">
        <v>10080000</v>
      </c>
      <c r="E2172">
        <v>735</v>
      </c>
    </row>
    <row r="2173" ht="13.85" spans="1:5">
      <c r="A2173">
        <f t="shared" si="33"/>
        <v>2172</v>
      </c>
      <c r="B2173" s="13">
        <v>11359177</v>
      </c>
      <c r="C2173" s="13">
        <v>13</v>
      </c>
      <c r="D2173">
        <v>6240000</v>
      </c>
      <c r="E2173">
        <v>734</v>
      </c>
    </row>
    <row r="2174" ht="13.85" spans="1:5">
      <c r="A2174">
        <f t="shared" si="33"/>
        <v>2173</v>
      </c>
      <c r="B2174" s="11">
        <v>12320437</v>
      </c>
      <c r="C2174" s="11">
        <v>10</v>
      </c>
      <c r="D2174">
        <v>4800000</v>
      </c>
      <c r="E2174">
        <v>733</v>
      </c>
    </row>
    <row r="2175" ht="13.85" spans="1:5">
      <c r="A2175">
        <f t="shared" si="33"/>
        <v>2174</v>
      </c>
      <c r="B2175" s="11">
        <v>13680483</v>
      </c>
      <c r="C2175" s="11">
        <v>30</v>
      </c>
      <c r="D2175">
        <v>14400000</v>
      </c>
      <c r="E2175">
        <v>732</v>
      </c>
    </row>
    <row r="2176" ht="13.85" spans="1:5">
      <c r="A2176">
        <f t="shared" si="33"/>
        <v>2175</v>
      </c>
      <c r="B2176" s="11">
        <v>13986752</v>
      </c>
      <c r="C2176" s="11">
        <v>23</v>
      </c>
      <c r="D2176">
        <v>11040000</v>
      </c>
      <c r="E2176">
        <v>731</v>
      </c>
    </row>
    <row r="2177" ht="13.85" spans="1:5">
      <c r="A2177">
        <f t="shared" si="33"/>
        <v>2176</v>
      </c>
      <c r="B2177" s="11">
        <v>11718337</v>
      </c>
      <c r="C2177" s="11">
        <v>14</v>
      </c>
      <c r="D2177">
        <v>6720000</v>
      </c>
      <c r="E2177">
        <v>730</v>
      </c>
    </row>
    <row r="2178" ht="13.85" spans="1:5">
      <c r="A2178">
        <f t="shared" ref="A2178:A2241" si="34">ROW()-1</f>
        <v>2177</v>
      </c>
      <c r="B2178" s="11">
        <v>13610711</v>
      </c>
      <c r="C2178" s="11">
        <v>10</v>
      </c>
      <c r="D2178">
        <v>4800000</v>
      </c>
      <c r="E2178">
        <v>729</v>
      </c>
    </row>
    <row r="2179" ht="13.85" spans="1:5">
      <c r="A2179">
        <f t="shared" si="34"/>
        <v>2178</v>
      </c>
      <c r="B2179" s="11">
        <v>40943873</v>
      </c>
      <c r="C2179" s="11">
        <v>171</v>
      </c>
      <c r="D2179">
        <v>82080000</v>
      </c>
      <c r="E2179">
        <v>728</v>
      </c>
    </row>
    <row r="2180" ht="13.85" spans="1:5">
      <c r="A2180">
        <f t="shared" si="34"/>
        <v>2179</v>
      </c>
      <c r="B2180" s="11">
        <v>34831278</v>
      </c>
      <c r="C2180" s="11">
        <v>145</v>
      </c>
      <c r="D2180">
        <v>69600000</v>
      </c>
      <c r="E2180">
        <v>727</v>
      </c>
    </row>
    <row r="2181" ht="13.85" spans="1:5">
      <c r="A2181">
        <f t="shared" si="34"/>
        <v>2180</v>
      </c>
      <c r="B2181" s="11">
        <v>28462523</v>
      </c>
      <c r="C2181" s="11">
        <v>127</v>
      </c>
      <c r="D2181">
        <v>60960000</v>
      </c>
      <c r="E2181">
        <v>726</v>
      </c>
    </row>
    <row r="2182" ht="13.85" spans="1:5">
      <c r="A2182">
        <f t="shared" si="34"/>
        <v>2181</v>
      </c>
      <c r="B2182" s="11">
        <v>23228915</v>
      </c>
      <c r="C2182" s="11">
        <v>110</v>
      </c>
      <c r="D2182">
        <v>52800000</v>
      </c>
      <c r="E2182">
        <v>725</v>
      </c>
    </row>
    <row r="2183" ht="13.85" spans="1:5">
      <c r="A2183">
        <f t="shared" si="34"/>
        <v>2182</v>
      </c>
      <c r="B2183" s="11">
        <v>24095321</v>
      </c>
      <c r="C2183" s="11">
        <v>95</v>
      </c>
      <c r="D2183">
        <v>45600000</v>
      </c>
      <c r="E2183">
        <v>724</v>
      </c>
    </row>
    <row r="2184" ht="13.85" spans="1:5">
      <c r="A2184">
        <f t="shared" si="34"/>
        <v>2183</v>
      </c>
      <c r="B2184" s="11">
        <v>19557182</v>
      </c>
      <c r="C2184" s="11">
        <v>83</v>
      </c>
      <c r="D2184">
        <v>39840000</v>
      </c>
      <c r="E2184">
        <v>723</v>
      </c>
    </row>
    <row r="2185" ht="13.85" spans="1:5">
      <c r="A2185">
        <f t="shared" si="34"/>
        <v>2184</v>
      </c>
      <c r="B2185" s="11">
        <v>16554479</v>
      </c>
      <c r="C2185" s="11">
        <v>72</v>
      </c>
      <c r="D2185">
        <v>34560000</v>
      </c>
      <c r="E2185">
        <v>722</v>
      </c>
    </row>
    <row r="2186" ht="13.85" spans="1:5">
      <c r="A2186">
        <f t="shared" si="34"/>
        <v>2185</v>
      </c>
      <c r="B2186" s="11">
        <v>16523227</v>
      </c>
      <c r="C2186" s="11">
        <v>63</v>
      </c>
      <c r="D2186">
        <v>30240000</v>
      </c>
      <c r="E2186">
        <v>721</v>
      </c>
    </row>
    <row r="2187" ht="13.85" spans="1:5">
      <c r="A2187">
        <f t="shared" si="34"/>
        <v>2186</v>
      </c>
      <c r="B2187" s="11">
        <v>14187049</v>
      </c>
      <c r="C2187" s="11">
        <v>52</v>
      </c>
      <c r="D2187">
        <v>24960000</v>
      </c>
      <c r="E2187">
        <v>720</v>
      </c>
    </row>
    <row r="2188" ht="13.85" spans="1:5">
      <c r="A2188">
        <f t="shared" si="34"/>
        <v>2187</v>
      </c>
      <c r="B2188" s="11">
        <v>14852616</v>
      </c>
      <c r="C2188" s="11">
        <v>44</v>
      </c>
      <c r="D2188">
        <v>21120000</v>
      </c>
      <c r="E2188">
        <v>719</v>
      </c>
    </row>
    <row r="2189" ht="13.85" spans="1:5">
      <c r="A2189">
        <f t="shared" si="34"/>
        <v>2188</v>
      </c>
      <c r="B2189" s="11">
        <v>12349232</v>
      </c>
      <c r="C2189" s="11">
        <v>35</v>
      </c>
      <c r="D2189">
        <v>16800000</v>
      </c>
      <c r="E2189">
        <v>718</v>
      </c>
    </row>
    <row r="2190" ht="13.85" spans="1:5">
      <c r="A2190">
        <f t="shared" si="34"/>
        <v>2189</v>
      </c>
      <c r="B2190" s="11">
        <v>13539488</v>
      </c>
      <c r="C2190" s="11">
        <v>28</v>
      </c>
      <c r="D2190">
        <v>13440000</v>
      </c>
      <c r="E2190">
        <v>717</v>
      </c>
    </row>
    <row r="2191" ht="13.85" spans="1:5">
      <c r="A2191">
        <f t="shared" si="34"/>
        <v>2190</v>
      </c>
      <c r="B2191" s="11">
        <v>11497921</v>
      </c>
      <c r="C2191" s="11">
        <v>20</v>
      </c>
      <c r="D2191">
        <v>9600000</v>
      </c>
      <c r="E2191">
        <v>716</v>
      </c>
    </row>
    <row r="2192" ht="13.85" spans="1:5">
      <c r="A2192">
        <f t="shared" si="34"/>
        <v>2191</v>
      </c>
      <c r="B2192" s="11">
        <v>12615047</v>
      </c>
      <c r="C2192" s="11">
        <v>13</v>
      </c>
      <c r="D2192">
        <v>6240000</v>
      </c>
      <c r="E2192">
        <v>715</v>
      </c>
    </row>
    <row r="2193" ht="13.85" spans="1:5">
      <c r="A2193">
        <f t="shared" si="34"/>
        <v>2192</v>
      </c>
      <c r="B2193" s="11">
        <v>10763447</v>
      </c>
      <c r="C2193" s="11">
        <v>10</v>
      </c>
      <c r="D2193">
        <v>4800000</v>
      </c>
      <c r="E2193">
        <v>714</v>
      </c>
    </row>
    <row r="2194" ht="13.85" spans="1:5">
      <c r="A2194">
        <f t="shared" si="34"/>
        <v>2193</v>
      </c>
      <c r="B2194" s="11">
        <v>12916600</v>
      </c>
      <c r="C2194" s="11">
        <v>15</v>
      </c>
      <c r="D2194">
        <v>7200000</v>
      </c>
      <c r="E2194">
        <v>713</v>
      </c>
    </row>
    <row r="2195" ht="13.85" spans="1:5">
      <c r="A2195">
        <f t="shared" si="34"/>
        <v>2194</v>
      </c>
      <c r="B2195" s="11">
        <v>11796809</v>
      </c>
      <c r="C2195" s="11">
        <v>10</v>
      </c>
      <c r="D2195">
        <v>4800000</v>
      </c>
      <c r="E2195">
        <v>712</v>
      </c>
    </row>
    <row r="2196" ht="13.85" spans="1:5">
      <c r="A2196">
        <f t="shared" si="34"/>
        <v>2195</v>
      </c>
      <c r="B2196" s="11">
        <v>63032953</v>
      </c>
      <c r="C2196" s="11">
        <v>215</v>
      </c>
      <c r="D2196">
        <v>103200000</v>
      </c>
      <c r="E2196">
        <v>711</v>
      </c>
    </row>
    <row r="2197" ht="13.85" spans="1:5">
      <c r="A2197">
        <f t="shared" si="34"/>
        <v>2196</v>
      </c>
      <c r="B2197" s="11">
        <v>43361601</v>
      </c>
      <c r="C2197" s="11">
        <v>177</v>
      </c>
      <c r="D2197">
        <v>84960000</v>
      </c>
      <c r="E2197">
        <v>710</v>
      </c>
    </row>
    <row r="2198" ht="13.85" spans="1:5">
      <c r="A2198">
        <f t="shared" si="34"/>
        <v>2197</v>
      </c>
      <c r="B2198" s="11">
        <v>37384497</v>
      </c>
      <c r="C2198" s="11">
        <v>151</v>
      </c>
      <c r="D2198">
        <v>72480000</v>
      </c>
      <c r="E2198">
        <v>709</v>
      </c>
    </row>
    <row r="2199" ht="13.85" spans="1:5">
      <c r="A2199">
        <f t="shared" si="34"/>
        <v>2198</v>
      </c>
      <c r="B2199" s="11">
        <v>29896354</v>
      </c>
      <c r="C2199" s="11">
        <v>128</v>
      </c>
      <c r="D2199">
        <v>61440000</v>
      </c>
      <c r="E2199">
        <v>708</v>
      </c>
    </row>
    <row r="2200" ht="13.85" spans="1:5">
      <c r="A2200">
        <f t="shared" si="34"/>
        <v>2199</v>
      </c>
      <c r="B2200" s="11">
        <v>27476141</v>
      </c>
      <c r="C2200" s="11">
        <v>110</v>
      </c>
      <c r="D2200">
        <v>52800000</v>
      </c>
      <c r="E2200">
        <v>707</v>
      </c>
    </row>
    <row r="2201" ht="13.85" spans="1:5">
      <c r="A2201">
        <f t="shared" si="34"/>
        <v>2200</v>
      </c>
      <c r="B2201" s="11">
        <v>21145819</v>
      </c>
      <c r="C2201" s="11">
        <v>95</v>
      </c>
      <c r="D2201">
        <v>45600000</v>
      </c>
      <c r="E2201">
        <v>706</v>
      </c>
    </row>
    <row r="2202" ht="13.85" spans="1:5">
      <c r="A2202">
        <f t="shared" si="34"/>
        <v>2201</v>
      </c>
      <c r="B2202" s="11">
        <v>19493522</v>
      </c>
      <c r="C2202" s="11">
        <v>84</v>
      </c>
      <c r="D2202">
        <v>40320000</v>
      </c>
      <c r="E2202">
        <v>705</v>
      </c>
    </row>
    <row r="2203" ht="13.85" spans="1:5">
      <c r="A2203">
        <f t="shared" si="34"/>
        <v>2202</v>
      </c>
      <c r="B2203" s="11">
        <v>16587844</v>
      </c>
      <c r="C2203" s="11">
        <v>72</v>
      </c>
      <c r="D2203">
        <v>34560000</v>
      </c>
      <c r="E2203">
        <v>704</v>
      </c>
    </row>
    <row r="2204" ht="13.85" spans="1:5">
      <c r="A2204">
        <f t="shared" si="34"/>
        <v>2203</v>
      </c>
      <c r="B2204" s="11">
        <v>16635119</v>
      </c>
      <c r="C2204" s="11">
        <v>64</v>
      </c>
      <c r="D2204">
        <v>30720000</v>
      </c>
      <c r="E2204">
        <v>703</v>
      </c>
    </row>
    <row r="2205" ht="13.85" spans="1:5">
      <c r="A2205">
        <f t="shared" si="34"/>
        <v>2204</v>
      </c>
      <c r="B2205" s="11">
        <v>13654144</v>
      </c>
      <c r="C2205" s="11">
        <v>54</v>
      </c>
      <c r="D2205">
        <v>25920000</v>
      </c>
      <c r="E2205">
        <v>702</v>
      </c>
    </row>
    <row r="2206" ht="13.85" spans="1:5">
      <c r="A2206">
        <f t="shared" si="34"/>
        <v>2205</v>
      </c>
      <c r="B2206" s="11">
        <v>15231116</v>
      </c>
      <c r="C2206" s="11">
        <v>45</v>
      </c>
      <c r="D2206">
        <v>21600000</v>
      </c>
      <c r="E2206">
        <v>701</v>
      </c>
    </row>
    <row r="2207" ht="13.85" spans="1:5">
      <c r="A2207">
        <f t="shared" si="34"/>
        <v>2206</v>
      </c>
      <c r="B2207" s="11">
        <v>12652438</v>
      </c>
      <c r="C2207" s="11">
        <v>36</v>
      </c>
      <c r="D2207">
        <v>17280000</v>
      </c>
      <c r="E2207">
        <v>700</v>
      </c>
    </row>
    <row r="2208" ht="13.85" spans="1:5">
      <c r="A2208">
        <f t="shared" si="34"/>
        <v>2207</v>
      </c>
      <c r="B2208" s="11">
        <v>13548423</v>
      </c>
      <c r="C2208" s="11">
        <v>28</v>
      </c>
      <c r="D2208">
        <v>13440000</v>
      </c>
      <c r="E2208">
        <v>699</v>
      </c>
    </row>
    <row r="2209" ht="13.85" spans="1:5">
      <c r="A2209">
        <f t="shared" si="34"/>
        <v>2208</v>
      </c>
      <c r="B2209" s="11">
        <v>11582226</v>
      </c>
      <c r="C2209" s="11">
        <v>21</v>
      </c>
      <c r="D2209">
        <v>10080000</v>
      </c>
      <c r="E2209">
        <v>698</v>
      </c>
    </row>
    <row r="2210" ht="13.85" spans="1:5">
      <c r="A2210">
        <f t="shared" si="34"/>
        <v>2209</v>
      </c>
      <c r="B2210" s="11">
        <v>12422337</v>
      </c>
      <c r="C2210" s="11">
        <v>14</v>
      </c>
      <c r="D2210">
        <v>6720000</v>
      </c>
      <c r="E2210">
        <v>697</v>
      </c>
    </row>
    <row r="2211" ht="13.85" spans="1:5">
      <c r="A2211">
        <f t="shared" si="34"/>
        <v>2210</v>
      </c>
      <c r="B2211" s="11">
        <v>11028375</v>
      </c>
      <c r="C2211" s="11">
        <v>10</v>
      </c>
      <c r="D2211">
        <v>4800000</v>
      </c>
      <c r="E2211">
        <v>696</v>
      </c>
    </row>
    <row r="2212" ht="13.85" spans="1:5">
      <c r="A2212">
        <f t="shared" si="34"/>
        <v>2211</v>
      </c>
      <c r="B2212" s="11">
        <v>23951690</v>
      </c>
      <c r="C2212" s="11">
        <v>97</v>
      </c>
      <c r="D2212">
        <v>46560000</v>
      </c>
      <c r="E2212">
        <v>695</v>
      </c>
    </row>
    <row r="2213" ht="13.85" spans="1:5">
      <c r="A2213">
        <f t="shared" si="34"/>
        <v>2212</v>
      </c>
      <c r="B2213" s="11">
        <v>18835239</v>
      </c>
      <c r="C2213" s="11">
        <v>84</v>
      </c>
      <c r="D2213">
        <v>40320000</v>
      </c>
      <c r="E2213">
        <v>694</v>
      </c>
    </row>
    <row r="2214" ht="13.85" spans="1:5">
      <c r="A2214">
        <f t="shared" si="34"/>
        <v>2213</v>
      </c>
      <c r="B2214" s="11">
        <v>18681545</v>
      </c>
      <c r="C2214" s="11">
        <v>76</v>
      </c>
      <c r="D2214">
        <v>36480000</v>
      </c>
      <c r="E2214">
        <v>693</v>
      </c>
    </row>
    <row r="2215" ht="13.85" spans="1:5">
      <c r="A2215">
        <f t="shared" si="34"/>
        <v>2214</v>
      </c>
      <c r="B2215" s="11">
        <v>15639279</v>
      </c>
      <c r="C2215" s="11">
        <v>63</v>
      </c>
      <c r="D2215">
        <v>30240000</v>
      </c>
      <c r="E2215">
        <v>692</v>
      </c>
    </row>
    <row r="2216" ht="13.85" spans="1:5">
      <c r="A2216">
        <f t="shared" si="34"/>
        <v>2215</v>
      </c>
      <c r="B2216" s="11">
        <v>16147018</v>
      </c>
      <c r="C2216" s="11">
        <v>54</v>
      </c>
      <c r="D2216">
        <v>25920000</v>
      </c>
      <c r="E2216">
        <v>691</v>
      </c>
    </row>
    <row r="2217" ht="13.85" spans="1:5">
      <c r="A2217">
        <f t="shared" si="34"/>
        <v>2216</v>
      </c>
      <c r="B2217" s="11">
        <v>12950821</v>
      </c>
      <c r="C2217" s="11">
        <v>44</v>
      </c>
      <c r="D2217">
        <v>21120000</v>
      </c>
      <c r="E2217">
        <v>690</v>
      </c>
    </row>
    <row r="2218" ht="13.85" spans="1:5">
      <c r="A2218">
        <f t="shared" si="34"/>
        <v>2217</v>
      </c>
      <c r="B2218" s="11">
        <v>13580987</v>
      </c>
      <c r="C2218" s="11">
        <v>36</v>
      </c>
      <c r="D2218">
        <v>17280000</v>
      </c>
      <c r="E2218">
        <v>689</v>
      </c>
    </row>
    <row r="2219" ht="13.85" spans="1:5">
      <c r="A2219">
        <f t="shared" si="34"/>
        <v>2218</v>
      </c>
      <c r="B2219" s="11">
        <v>11582105</v>
      </c>
      <c r="C2219" s="11">
        <v>27</v>
      </c>
      <c r="D2219">
        <v>12960000</v>
      </c>
      <c r="E2219">
        <v>688</v>
      </c>
    </row>
    <row r="2220" ht="13.85" spans="1:5">
      <c r="A2220">
        <f t="shared" si="34"/>
        <v>2219</v>
      </c>
      <c r="B2220" s="11">
        <v>12613814</v>
      </c>
      <c r="C2220" s="11">
        <v>21</v>
      </c>
      <c r="D2220">
        <v>10080000</v>
      </c>
      <c r="E2220">
        <v>687</v>
      </c>
    </row>
    <row r="2221" ht="13.85" spans="1:5">
      <c r="A2221">
        <f t="shared" si="34"/>
        <v>2220</v>
      </c>
      <c r="B2221" s="11">
        <v>10530161</v>
      </c>
      <c r="C2221" s="11">
        <v>13</v>
      </c>
      <c r="D2221">
        <v>6240000</v>
      </c>
      <c r="E2221">
        <v>686</v>
      </c>
    </row>
    <row r="2222" ht="13.85" spans="1:5">
      <c r="A2222">
        <f t="shared" si="34"/>
        <v>2221</v>
      </c>
      <c r="B2222" s="11">
        <v>11620775</v>
      </c>
      <c r="C2222" s="11">
        <v>10</v>
      </c>
      <c r="D2222">
        <v>4800000</v>
      </c>
      <c r="E2222">
        <v>685</v>
      </c>
    </row>
    <row r="2223" ht="13.85" spans="1:5">
      <c r="A2223">
        <f t="shared" si="34"/>
        <v>2222</v>
      </c>
      <c r="B2223" s="11">
        <v>11070590</v>
      </c>
      <c r="C2223" s="11">
        <v>21</v>
      </c>
      <c r="D2223">
        <v>10080000</v>
      </c>
      <c r="E2223">
        <v>684</v>
      </c>
    </row>
    <row r="2224" ht="13.85" spans="1:5">
      <c r="A2224">
        <f t="shared" si="34"/>
        <v>2223</v>
      </c>
      <c r="B2224" s="11">
        <v>12992696</v>
      </c>
      <c r="C2224" s="11">
        <v>13</v>
      </c>
      <c r="D2224">
        <v>6240000</v>
      </c>
      <c r="E2224">
        <v>683</v>
      </c>
    </row>
    <row r="2225" ht="13.85" spans="1:5">
      <c r="A2225">
        <f t="shared" si="34"/>
        <v>2224</v>
      </c>
      <c r="B2225" s="11">
        <v>10770005</v>
      </c>
      <c r="C2225" s="11">
        <v>10</v>
      </c>
      <c r="D2225">
        <v>4800000</v>
      </c>
      <c r="E2225">
        <v>682</v>
      </c>
    </row>
    <row r="2226" ht="13.85" spans="1:5">
      <c r="A2226">
        <f t="shared" si="34"/>
        <v>2225</v>
      </c>
      <c r="B2226" s="11">
        <v>16661790</v>
      </c>
      <c r="C2226" s="11">
        <v>67</v>
      </c>
      <c r="D2226">
        <v>32160000</v>
      </c>
      <c r="E2226">
        <v>681</v>
      </c>
    </row>
    <row r="2227" ht="13.85" spans="1:5">
      <c r="A2227">
        <f t="shared" si="34"/>
        <v>2226</v>
      </c>
      <c r="B2227" s="11">
        <v>14138812</v>
      </c>
      <c r="C2227" s="11">
        <v>55</v>
      </c>
      <c r="D2227">
        <v>26400000</v>
      </c>
      <c r="E2227">
        <v>680</v>
      </c>
    </row>
    <row r="2228" ht="13.85" spans="1:5">
      <c r="A2228">
        <f t="shared" si="34"/>
        <v>2227</v>
      </c>
      <c r="B2228" s="11">
        <v>14958705</v>
      </c>
      <c r="C2228" s="11">
        <v>47</v>
      </c>
      <c r="D2228">
        <v>22560000</v>
      </c>
      <c r="E2228">
        <v>679</v>
      </c>
    </row>
    <row r="2229" ht="13.85" spans="1:5">
      <c r="A2229">
        <f t="shared" si="34"/>
        <v>2228</v>
      </c>
      <c r="B2229" s="11">
        <v>12649299</v>
      </c>
      <c r="C2229" s="11">
        <v>38</v>
      </c>
      <c r="D2229">
        <v>18240000</v>
      </c>
      <c r="E2229">
        <v>678</v>
      </c>
    </row>
    <row r="2230" ht="13.85" spans="1:5">
      <c r="A2230">
        <f t="shared" si="34"/>
        <v>2229</v>
      </c>
      <c r="B2230" s="11">
        <v>13550652</v>
      </c>
      <c r="C2230" s="11">
        <v>30</v>
      </c>
      <c r="D2230">
        <v>14400000</v>
      </c>
      <c r="E2230">
        <v>677</v>
      </c>
    </row>
    <row r="2231" ht="13.85" spans="1:5">
      <c r="A2231">
        <f t="shared" si="34"/>
        <v>2230</v>
      </c>
      <c r="B2231" s="11">
        <v>11580793</v>
      </c>
      <c r="C2231" s="11">
        <v>21</v>
      </c>
      <c r="D2231">
        <v>10080000</v>
      </c>
      <c r="E2231">
        <v>676</v>
      </c>
    </row>
    <row r="2232" ht="13.85" spans="1:5">
      <c r="A2232">
        <f t="shared" si="34"/>
        <v>2231</v>
      </c>
      <c r="B2232" s="11">
        <v>12783328</v>
      </c>
      <c r="C2232" s="11">
        <v>14</v>
      </c>
      <c r="D2232">
        <v>6720000</v>
      </c>
      <c r="E2232">
        <v>675</v>
      </c>
    </row>
    <row r="2233" ht="13.85" spans="1:5">
      <c r="A2233">
        <f t="shared" si="34"/>
        <v>2232</v>
      </c>
      <c r="B2233" s="11">
        <v>10678573</v>
      </c>
      <c r="C2233" s="11">
        <v>10</v>
      </c>
      <c r="D2233">
        <v>4800000</v>
      </c>
      <c r="E2233">
        <v>674</v>
      </c>
    </row>
    <row r="2234" ht="13.85" spans="1:5">
      <c r="A2234">
        <f t="shared" si="34"/>
        <v>2233</v>
      </c>
      <c r="B2234" s="11">
        <v>16826621</v>
      </c>
      <c r="C2234" s="11">
        <v>51</v>
      </c>
      <c r="D2234">
        <v>24480000</v>
      </c>
      <c r="E2234">
        <v>673</v>
      </c>
    </row>
    <row r="2235" ht="13.85" spans="1:5">
      <c r="A2235">
        <f t="shared" si="34"/>
        <v>2234</v>
      </c>
      <c r="B2235" s="11">
        <v>14006896</v>
      </c>
      <c r="C2235" s="11">
        <v>41</v>
      </c>
      <c r="D2235">
        <v>19680000</v>
      </c>
      <c r="E2235">
        <v>672</v>
      </c>
    </row>
    <row r="2236" ht="13.85" spans="1:5">
      <c r="A2236">
        <f t="shared" si="34"/>
        <v>2235</v>
      </c>
      <c r="B2236" s="11">
        <v>14893992</v>
      </c>
      <c r="C2236" s="11">
        <v>33</v>
      </c>
      <c r="D2236">
        <v>15840000</v>
      </c>
      <c r="E2236">
        <v>671</v>
      </c>
    </row>
    <row r="2237" ht="13.85" spans="1:5">
      <c r="A2237">
        <f t="shared" si="34"/>
        <v>2236</v>
      </c>
      <c r="B2237" s="11">
        <v>12691270</v>
      </c>
      <c r="C2237" s="11">
        <v>24</v>
      </c>
      <c r="D2237">
        <v>11520000</v>
      </c>
      <c r="E2237">
        <v>670</v>
      </c>
    </row>
    <row r="2238" ht="13.85" spans="1:5">
      <c r="A2238">
        <f t="shared" si="34"/>
        <v>2237</v>
      </c>
      <c r="B2238" s="11">
        <v>13491136</v>
      </c>
      <c r="C2238" s="11">
        <v>15</v>
      </c>
      <c r="D2238">
        <v>7200000</v>
      </c>
      <c r="E2238">
        <v>669</v>
      </c>
    </row>
    <row r="2239" ht="13.85" spans="1:5">
      <c r="A2239">
        <f t="shared" si="34"/>
        <v>2238</v>
      </c>
      <c r="B2239" s="11">
        <v>12319414</v>
      </c>
      <c r="C2239" s="11">
        <v>10</v>
      </c>
      <c r="D2239">
        <v>4800000</v>
      </c>
      <c r="E2239">
        <v>668</v>
      </c>
    </row>
    <row r="2240" ht="13.85" spans="1:5">
      <c r="A2240">
        <f t="shared" si="34"/>
        <v>2239</v>
      </c>
      <c r="B2240" s="11">
        <v>63179604</v>
      </c>
      <c r="C2240" s="11">
        <v>212</v>
      </c>
      <c r="D2240">
        <v>101760000</v>
      </c>
      <c r="E2240">
        <v>667</v>
      </c>
    </row>
    <row r="2241" ht="13.85" spans="1:5">
      <c r="A2241">
        <f t="shared" si="34"/>
        <v>2240</v>
      </c>
      <c r="B2241" s="11">
        <v>44047942</v>
      </c>
      <c r="C2241" s="11">
        <v>170</v>
      </c>
      <c r="D2241">
        <v>81600000</v>
      </c>
      <c r="E2241">
        <v>666</v>
      </c>
    </row>
    <row r="2242" ht="13.85" spans="1:5">
      <c r="A2242">
        <f t="shared" ref="A2242:A2305" si="35">ROW()-1</f>
        <v>2241</v>
      </c>
      <c r="B2242" s="11">
        <v>35100877</v>
      </c>
      <c r="C2242" s="11">
        <v>145</v>
      </c>
      <c r="D2242">
        <v>69600000</v>
      </c>
      <c r="E2242">
        <v>665</v>
      </c>
    </row>
    <row r="2243" ht="13.85" spans="1:5">
      <c r="A2243">
        <f t="shared" si="35"/>
        <v>2242</v>
      </c>
      <c r="B2243" s="11">
        <v>27648713</v>
      </c>
      <c r="C2243" s="11">
        <v>120</v>
      </c>
      <c r="D2243">
        <v>57600000</v>
      </c>
      <c r="E2243">
        <v>664</v>
      </c>
    </row>
    <row r="2244" ht="13.85" spans="1:5">
      <c r="A2244">
        <f t="shared" si="35"/>
        <v>2243</v>
      </c>
      <c r="B2244" s="11">
        <v>25697832</v>
      </c>
      <c r="C2244" s="11">
        <v>103</v>
      </c>
      <c r="D2244">
        <v>49440000</v>
      </c>
      <c r="E2244">
        <v>663</v>
      </c>
    </row>
    <row r="2245" ht="13.85" spans="1:5">
      <c r="A2245">
        <f t="shared" si="35"/>
        <v>2244</v>
      </c>
      <c r="B2245" s="11">
        <v>20230405</v>
      </c>
      <c r="C2245" s="11">
        <v>90</v>
      </c>
      <c r="D2245">
        <v>43200000</v>
      </c>
      <c r="E2245">
        <v>662</v>
      </c>
    </row>
    <row r="2246" ht="13.85" spans="1:5">
      <c r="A2246">
        <f t="shared" si="35"/>
        <v>2245</v>
      </c>
      <c r="B2246" s="11">
        <v>17057381</v>
      </c>
      <c r="C2246" s="11">
        <v>75</v>
      </c>
      <c r="D2246">
        <v>36000000</v>
      </c>
      <c r="E2246">
        <v>661</v>
      </c>
    </row>
    <row r="2247" ht="13.85" spans="1:5">
      <c r="A2247">
        <f t="shared" si="35"/>
        <v>2246</v>
      </c>
      <c r="B2247" s="11">
        <v>14400037</v>
      </c>
      <c r="C2247" s="11">
        <v>65</v>
      </c>
      <c r="D2247">
        <v>31200000</v>
      </c>
      <c r="E2247">
        <v>660</v>
      </c>
    </row>
    <row r="2248" ht="13.85" spans="1:5">
      <c r="A2248">
        <f t="shared" si="35"/>
        <v>2247</v>
      </c>
      <c r="B2248" s="11">
        <v>15487351</v>
      </c>
      <c r="C2248" s="11">
        <v>57</v>
      </c>
      <c r="D2248">
        <v>27360000</v>
      </c>
      <c r="E2248">
        <v>659</v>
      </c>
    </row>
    <row r="2249" ht="13.85" spans="1:5">
      <c r="A2249">
        <f t="shared" si="35"/>
        <v>2248</v>
      </c>
      <c r="B2249" s="11">
        <v>12832161</v>
      </c>
      <c r="C2249" s="11">
        <v>47</v>
      </c>
      <c r="D2249">
        <v>22560000</v>
      </c>
      <c r="E2249">
        <v>658</v>
      </c>
    </row>
    <row r="2250" ht="13.85" spans="1:5">
      <c r="A2250">
        <f t="shared" si="35"/>
        <v>2249</v>
      </c>
      <c r="B2250" s="11">
        <v>13886966</v>
      </c>
      <c r="C2250" s="11">
        <v>39</v>
      </c>
      <c r="D2250">
        <v>18720000</v>
      </c>
      <c r="E2250">
        <v>657</v>
      </c>
    </row>
    <row r="2251" ht="13.85" spans="1:5">
      <c r="A2251">
        <f t="shared" si="35"/>
        <v>2250</v>
      </c>
      <c r="B2251" s="11">
        <v>11690087</v>
      </c>
      <c r="C2251" s="11">
        <v>31</v>
      </c>
      <c r="D2251">
        <v>14880000</v>
      </c>
      <c r="E2251">
        <v>656</v>
      </c>
    </row>
    <row r="2252" ht="13.85" spans="1:5">
      <c r="A2252">
        <f t="shared" si="35"/>
        <v>2251</v>
      </c>
      <c r="B2252" s="11">
        <v>12583802</v>
      </c>
      <c r="C2252" s="11">
        <v>25</v>
      </c>
      <c r="D2252">
        <v>12000000</v>
      </c>
      <c r="E2252">
        <v>655</v>
      </c>
    </row>
    <row r="2253" ht="13.85" spans="1:5">
      <c r="A2253">
        <f t="shared" si="35"/>
        <v>2252</v>
      </c>
      <c r="B2253" s="11">
        <v>10561323</v>
      </c>
      <c r="C2253" s="11">
        <v>18</v>
      </c>
      <c r="D2253">
        <v>8640000</v>
      </c>
      <c r="E2253">
        <v>654</v>
      </c>
    </row>
    <row r="2254" ht="13.85" spans="1:5">
      <c r="A2254">
        <f t="shared" si="35"/>
        <v>2253</v>
      </c>
      <c r="B2254" s="11">
        <v>11534390</v>
      </c>
      <c r="C2254" s="11">
        <v>12</v>
      </c>
      <c r="D2254">
        <v>5760000</v>
      </c>
      <c r="E2254">
        <v>653</v>
      </c>
    </row>
    <row r="2255" ht="13.85" spans="1:5">
      <c r="A2255">
        <f t="shared" si="35"/>
        <v>2254</v>
      </c>
      <c r="B2255" s="11">
        <v>10323150</v>
      </c>
      <c r="C2255" s="11">
        <v>10</v>
      </c>
      <c r="D2255">
        <v>4800000</v>
      </c>
      <c r="E2255">
        <v>652</v>
      </c>
    </row>
    <row r="2256" ht="13.85" spans="1:5">
      <c r="A2256">
        <f t="shared" si="35"/>
        <v>2255</v>
      </c>
      <c r="B2256" s="11">
        <v>20680962</v>
      </c>
      <c r="C2256" s="11">
        <v>90</v>
      </c>
      <c r="D2256">
        <v>43200000</v>
      </c>
      <c r="E2256">
        <v>651</v>
      </c>
    </row>
    <row r="2257" ht="13.85" spans="1:5">
      <c r="A2257">
        <f t="shared" si="35"/>
        <v>2256</v>
      </c>
      <c r="B2257" s="11">
        <v>16751327</v>
      </c>
      <c r="C2257" s="11">
        <v>79</v>
      </c>
      <c r="D2257">
        <v>37920000</v>
      </c>
      <c r="E2257">
        <v>650</v>
      </c>
    </row>
    <row r="2258" ht="13.85" spans="1:5">
      <c r="A2258">
        <f t="shared" si="35"/>
        <v>2257</v>
      </c>
      <c r="B2258" s="11">
        <v>17488092</v>
      </c>
      <c r="C2258" s="11">
        <v>70</v>
      </c>
      <c r="D2258">
        <v>33600000</v>
      </c>
      <c r="E2258">
        <v>649</v>
      </c>
    </row>
    <row r="2259" ht="13.85" spans="1:5">
      <c r="A2259">
        <f t="shared" si="35"/>
        <v>2258</v>
      </c>
      <c r="B2259" s="11">
        <v>14895330</v>
      </c>
      <c r="C2259" s="11">
        <v>61</v>
      </c>
      <c r="D2259">
        <v>29280000</v>
      </c>
      <c r="E2259">
        <v>648</v>
      </c>
    </row>
    <row r="2260" ht="13.85" spans="1:5">
      <c r="A2260">
        <f t="shared" si="35"/>
        <v>2259</v>
      </c>
      <c r="B2260" s="11">
        <v>15345737</v>
      </c>
      <c r="C2260" s="11">
        <v>52</v>
      </c>
      <c r="D2260">
        <v>24960000</v>
      </c>
      <c r="E2260">
        <v>647</v>
      </c>
    </row>
    <row r="2261" ht="13.85" spans="1:5">
      <c r="A2261">
        <f t="shared" si="35"/>
        <v>2260</v>
      </c>
      <c r="B2261" s="11">
        <v>12903650</v>
      </c>
      <c r="C2261" s="11">
        <v>43</v>
      </c>
      <c r="D2261">
        <v>20640000</v>
      </c>
      <c r="E2261">
        <v>646</v>
      </c>
    </row>
    <row r="2262" ht="13.85" spans="1:5">
      <c r="A2262">
        <f t="shared" si="35"/>
        <v>2261</v>
      </c>
      <c r="B2262" s="11">
        <v>13970427</v>
      </c>
      <c r="C2262" s="11">
        <v>35</v>
      </c>
      <c r="D2262">
        <v>16800000</v>
      </c>
      <c r="E2262">
        <v>645</v>
      </c>
    </row>
    <row r="2263" ht="13.85" spans="1:5">
      <c r="A2263">
        <f t="shared" si="35"/>
        <v>2262</v>
      </c>
      <c r="B2263" s="11">
        <v>11623342</v>
      </c>
      <c r="C2263" s="11">
        <v>26</v>
      </c>
      <c r="D2263">
        <v>12480000</v>
      </c>
      <c r="E2263">
        <v>644</v>
      </c>
    </row>
    <row r="2264" ht="13.85" spans="1:5">
      <c r="A2264">
        <f t="shared" si="35"/>
        <v>2263</v>
      </c>
      <c r="B2264" s="11">
        <v>12911556</v>
      </c>
      <c r="C2264" s="11">
        <v>20</v>
      </c>
      <c r="D2264">
        <v>9600000</v>
      </c>
      <c r="E2264">
        <v>643</v>
      </c>
    </row>
    <row r="2265" ht="13.85" spans="1:5">
      <c r="A2265">
        <f t="shared" si="35"/>
        <v>2264</v>
      </c>
      <c r="B2265" s="11">
        <v>10765848</v>
      </c>
      <c r="C2265" s="11">
        <v>13</v>
      </c>
      <c r="D2265">
        <v>6240000</v>
      </c>
      <c r="E2265">
        <v>642</v>
      </c>
    </row>
    <row r="2266" ht="13.85" spans="1:5">
      <c r="A2266">
        <f t="shared" si="35"/>
        <v>2265</v>
      </c>
      <c r="B2266" s="11">
        <v>12350207</v>
      </c>
      <c r="C2266" s="11">
        <v>10</v>
      </c>
      <c r="D2266">
        <v>4800000</v>
      </c>
      <c r="E2266">
        <v>641</v>
      </c>
    </row>
    <row r="2267" ht="13.85" spans="1:5">
      <c r="A2267">
        <f t="shared" si="35"/>
        <v>2266</v>
      </c>
      <c r="B2267" s="11">
        <v>17795366</v>
      </c>
      <c r="C2267" s="11">
        <v>85</v>
      </c>
      <c r="D2267">
        <v>40800000</v>
      </c>
      <c r="E2267">
        <v>640</v>
      </c>
    </row>
    <row r="2268" ht="13.85" spans="1:5">
      <c r="A2268">
        <f t="shared" si="35"/>
        <v>2267</v>
      </c>
      <c r="B2268" s="11">
        <v>18353679</v>
      </c>
      <c r="C2268" s="11">
        <v>74</v>
      </c>
      <c r="D2268">
        <v>35520000</v>
      </c>
      <c r="E2268">
        <v>639</v>
      </c>
    </row>
    <row r="2269" ht="13.85" spans="1:5">
      <c r="A2269">
        <f t="shared" si="35"/>
        <v>2268</v>
      </c>
      <c r="B2269" s="11">
        <v>14377550</v>
      </c>
      <c r="C2269" s="11">
        <v>64</v>
      </c>
      <c r="D2269">
        <v>30720000</v>
      </c>
      <c r="E2269">
        <v>638</v>
      </c>
    </row>
    <row r="2270" ht="13.85" spans="1:5">
      <c r="A2270">
        <f t="shared" si="35"/>
        <v>2269</v>
      </c>
      <c r="B2270" s="11">
        <v>16319807</v>
      </c>
      <c r="C2270" s="11">
        <v>55</v>
      </c>
      <c r="D2270">
        <v>26400000</v>
      </c>
      <c r="E2270">
        <v>637</v>
      </c>
    </row>
    <row r="2271" ht="13.85" spans="1:5">
      <c r="A2271">
        <f t="shared" si="35"/>
        <v>2270</v>
      </c>
      <c r="B2271" s="11">
        <v>13807439</v>
      </c>
      <c r="C2271" s="11">
        <v>46</v>
      </c>
      <c r="D2271">
        <v>22080000</v>
      </c>
      <c r="E2271">
        <v>636</v>
      </c>
    </row>
    <row r="2272" ht="13.85" spans="1:5">
      <c r="A2272">
        <f t="shared" si="35"/>
        <v>2271</v>
      </c>
      <c r="B2272" s="11">
        <v>14585882</v>
      </c>
      <c r="C2272" s="11">
        <v>37</v>
      </c>
      <c r="D2272">
        <v>17760000</v>
      </c>
      <c r="E2272">
        <v>635</v>
      </c>
    </row>
    <row r="2273" ht="13.85" spans="1:5">
      <c r="A2273">
        <f t="shared" si="35"/>
        <v>2272</v>
      </c>
      <c r="B2273" s="11">
        <v>12549931</v>
      </c>
      <c r="C2273" s="11">
        <v>29</v>
      </c>
      <c r="D2273">
        <v>13920000</v>
      </c>
      <c r="E2273">
        <v>634</v>
      </c>
    </row>
    <row r="2274" ht="13.85" spans="1:5">
      <c r="A2274">
        <f t="shared" si="35"/>
        <v>2273</v>
      </c>
      <c r="B2274" s="11">
        <v>13141066</v>
      </c>
      <c r="C2274" s="11">
        <v>21</v>
      </c>
      <c r="D2274">
        <v>10080000</v>
      </c>
      <c r="E2274">
        <v>633</v>
      </c>
    </row>
    <row r="2275" ht="13.85" spans="1:5">
      <c r="A2275">
        <f t="shared" si="35"/>
        <v>2274</v>
      </c>
      <c r="B2275" s="11">
        <v>11131869</v>
      </c>
      <c r="C2275" s="11">
        <v>13</v>
      </c>
      <c r="D2275">
        <v>6240000</v>
      </c>
      <c r="E2275">
        <v>632</v>
      </c>
    </row>
    <row r="2276" ht="13.85" spans="1:5">
      <c r="A2276">
        <f t="shared" si="35"/>
        <v>2275</v>
      </c>
      <c r="B2276" s="15">
        <v>12714617</v>
      </c>
      <c r="C2276" s="15">
        <v>10</v>
      </c>
      <c r="D2276">
        <v>4800000</v>
      </c>
      <c r="E2276">
        <v>631</v>
      </c>
    </row>
    <row r="2277" ht="13.85" spans="1:5">
      <c r="A2277">
        <f t="shared" si="35"/>
        <v>2276</v>
      </c>
      <c r="B2277" s="13">
        <v>89585661</v>
      </c>
      <c r="C2277" s="13">
        <v>210</v>
      </c>
      <c r="D2277">
        <v>100800000</v>
      </c>
      <c r="E2277">
        <v>630</v>
      </c>
    </row>
    <row r="2278" ht="13.85" spans="1:5">
      <c r="A2278">
        <f t="shared" si="35"/>
        <v>2277</v>
      </c>
      <c r="B2278" s="11">
        <v>43544359</v>
      </c>
      <c r="C2278" s="11">
        <v>170</v>
      </c>
      <c r="D2278">
        <v>81600000</v>
      </c>
      <c r="E2278">
        <v>629</v>
      </c>
    </row>
    <row r="2279" ht="13.85" spans="1:5">
      <c r="A2279">
        <f t="shared" si="35"/>
        <v>2278</v>
      </c>
      <c r="B2279" s="11">
        <v>44797436</v>
      </c>
      <c r="C2279" s="11">
        <v>137</v>
      </c>
      <c r="D2279">
        <v>65760000</v>
      </c>
      <c r="E2279">
        <v>628</v>
      </c>
    </row>
    <row r="2280" ht="13.85" spans="1:5">
      <c r="A2280">
        <f t="shared" si="35"/>
        <v>2279</v>
      </c>
      <c r="B2280" s="11">
        <v>29088897</v>
      </c>
      <c r="C2280" s="11">
        <v>116</v>
      </c>
      <c r="D2280">
        <v>55680000</v>
      </c>
      <c r="E2280">
        <v>627</v>
      </c>
    </row>
    <row r="2281" ht="13.85" spans="1:5">
      <c r="A2281">
        <f t="shared" si="35"/>
        <v>2280</v>
      </c>
      <c r="B2281" s="11">
        <v>23555449</v>
      </c>
      <c r="C2281" s="11">
        <v>100</v>
      </c>
      <c r="D2281">
        <v>48000000</v>
      </c>
      <c r="E2281">
        <v>626</v>
      </c>
    </row>
    <row r="2282" ht="13.85" spans="1:5">
      <c r="A2282">
        <f t="shared" si="35"/>
        <v>2281</v>
      </c>
      <c r="B2282" s="11">
        <v>19066752</v>
      </c>
      <c r="C2282" s="11">
        <v>88</v>
      </c>
      <c r="D2282">
        <v>42240000</v>
      </c>
      <c r="E2282">
        <v>625</v>
      </c>
    </row>
    <row r="2283" ht="13.85" spans="1:5">
      <c r="A2283">
        <f t="shared" si="35"/>
        <v>2282</v>
      </c>
      <c r="B2283" s="11">
        <v>15838304</v>
      </c>
      <c r="C2283" s="11">
        <v>76</v>
      </c>
      <c r="D2283">
        <v>36480000</v>
      </c>
      <c r="E2283">
        <v>624</v>
      </c>
    </row>
    <row r="2284" ht="13.85" spans="1:5">
      <c r="A2284">
        <f t="shared" si="35"/>
        <v>2283</v>
      </c>
      <c r="B2284" s="11">
        <v>15573292</v>
      </c>
      <c r="C2284" s="11">
        <v>66</v>
      </c>
      <c r="D2284">
        <v>31680000</v>
      </c>
      <c r="E2284">
        <v>623</v>
      </c>
    </row>
    <row r="2285" ht="13.85" spans="1:5">
      <c r="A2285">
        <f t="shared" si="35"/>
        <v>2284</v>
      </c>
      <c r="B2285" s="11">
        <v>14049942</v>
      </c>
      <c r="C2285" s="11">
        <v>57</v>
      </c>
      <c r="D2285">
        <v>27360000</v>
      </c>
      <c r="E2285">
        <v>622</v>
      </c>
    </row>
    <row r="2286" ht="13.85" spans="1:5">
      <c r="A2286">
        <f t="shared" si="35"/>
        <v>2285</v>
      </c>
      <c r="B2286" s="11">
        <v>13418021</v>
      </c>
      <c r="C2286" s="11">
        <v>48</v>
      </c>
      <c r="D2286">
        <v>23040000</v>
      </c>
      <c r="E2286">
        <v>621</v>
      </c>
    </row>
    <row r="2287" ht="13.85" spans="1:5">
      <c r="A2287">
        <f t="shared" si="35"/>
        <v>2286</v>
      </c>
      <c r="B2287" s="11">
        <v>12986217</v>
      </c>
      <c r="C2287" s="11">
        <v>40</v>
      </c>
      <c r="D2287">
        <v>19200000</v>
      </c>
      <c r="E2287">
        <v>620</v>
      </c>
    </row>
    <row r="2288" ht="13.85" spans="1:5">
      <c r="A2288">
        <f t="shared" si="35"/>
        <v>2287</v>
      </c>
      <c r="B2288" s="11">
        <v>13040858</v>
      </c>
      <c r="C2288" s="11">
        <v>33</v>
      </c>
      <c r="D2288">
        <v>15840000</v>
      </c>
      <c r="E2288">
        <v>619</v>
      </c>
    </row>
    <row r="2289" ht="13.85" spans="1:5">
      <c r="A2289">
        <f t="shared" si="35"/>
        <v>2288</v>
      </c>
      <c r="B2289" s="11">
        <v>11068653</v>
      </c>
      <c r="C2289" s="11">
        <v>25</v>
      </c>
      <c r="D2289">
        <v>12000000</v>
      </c>
      <c r="E2289">
        <v>618</v>
      </c>
    </row>
    <row r="2290" ht="13.85" spans="1:5">
      <c r="A2290">
        <f t="shared" si="35"/>
        <v>2289</v>
      </c>
      <c r="B2290" s="11">
        <v>12016165</v>
      </c>
      <c r="C2290" s="11">
        <v>19</v>
      </c>
      <c r="D2290">
        <v>9120000</v>
      </c>
      <c r="E2290">
        <v>617</v>
      </c>
    </row>
    <row r="2291" ht="13.85" spans="1:5">
      <c r="A2291">
        <f t="shared" si="35"/>
        <v>2290</v>
      </c>
      <c r="B2291" s="11">
        <v>10055876</v>
      </c>
      <c r="C2291" s="11">
        <v>12</v>
      </c>
      <c r="D2291">
        <v>5760000</v>
      </c>
      <c r="E2291">
        <v>616</v>
      </c>
    </row>
    <row r="2292" ht="13.85" spans="1:5">
      <c r="A2292">
        <f t="shared" si="35"/>
        <v>2291</v>
      </c>
      <c r="B2292" s="11">
        <v>11369548</v>
      </c>
      <c r="C2292" s="11">
        <v>10</v>
      </c>
      <c r="D2292">
        <v>4800000</v>
      </c>
      <c r="E2292">
        <v>615</v>
      </c>
    </row>
    <row r="2293" ht="13.85" spans="1:5">
      <c r="A2293">
        <f t="shared" si="35"/>
        <v>2292</v>
      </c>
      <c r="B2293" s="11">
        <v>10423235</v>
      </c>
      <c r="C2293" s="11">
        <v>12</v>
      </c>
      <c r="D2293">
        <v>5760000</v>
      </c>
      <c r="E2293">
        <v>614</v>
      </c>
    </row>
    <row r="2294" ht="13.85" spans="1:5">
      <c r="A2294">
        <f t="shared" si="35"/>
        <v>2293</v>
      </c>
      <c r="B2294" s="11">
        <v>11396987</v>
      </c>
      <c r="C2294" s="11">
        <v>10</v>
      </c>
      <c r="D2294">
        <v>4800000</v>
      </c>
      <c r="E2294">
        <v>613</v>
      </c>
    </row>
    <row r="2295" ht="13.85" spans="1:5">
      <c r="A2295">
        <f t="shared" si="35"/>
        <v>2294</v>
      </c>
      <c r="B2295" s="11">
        <v>10586974</v>
      </c>
      <c r="C2295" s="11">
        <v>10</v>
      </c>
      <c r="D2295">
        <v>4800000</v>
      </c>
      <c r="E2295">
        <v>612</v>
      </c>
    </row>
    <row r="2296" ht="13.85" spans="1:5">
      <c r="A2296">
        <f t="shared" si="35"/>
        <v>2295</v>
      </c>
      <c r="B2296" s="11">
        <v>47152942</v>
      </c>
      <c r="C2296" s="11">
        <v>190</v>
      </c>
      <c r="D2296">
        <v>91200000</v>
      </c>
      <c r="E2296">
        <v>611</v>
      </c>
    </row>
    <row r="2297" ht="13.85" spans="1:5">
      <c r="A2297">
        <f t="shared" si="35"/>
        <v>2296</v>
      </c>
      <c r="B2297" s="11">
        <v>35252267</v>
      </c>
      <c r="C2297" s="11">
        <v>162</v>
      </c>
      <c r="D2297">
        <v>77760000</v>
      </c>
      <c r="E2297">
        <v>610</v>
      </c>
    </row>
    <row r="2298" ht="13.85" spans="1:5">
      <c r="A2298">
        <f t="shared" si="35"/>
        <v>2297</v>
      </c>
      <c r="B2298" s="11">
        <v>30579569</v>
      </c>
      <c r="C2298" s="11">
        <v>140</v>
      </c>
      <c r="D2298">
        <v>67200000</v>
      </c>
      <c r="E2298">
        <v>609</v>
      </c>
    </row>
    <row r="2299" ht="13.85" spans="1:5">
      <c r="A2299">
        <f t="shared" si="35"/>
        <v>2298</v>
      </c>
      <c r="B2299" s="11">
        <v>24965814</v>
      </c>
      <c r="C2299" s="11">
        <v>117</v>
      </c>
      <c r="D2299">
        <v>56160000</v>
      </c>
      <c r="E2299">
        <v>608</v>
      </c>
    </row>
    <row r="2300" ht="13.85" spans="1:5">
      <c r="A2300">
        <f t="shared" si="35"/>
        <v>2299</v>
      </c>
      <c r="B2300" s="11">
        <v>23518073</v>
      </c>
      <c r="C2300" s="11">
        <v>102</v>
      </c>
      <c r="D2300">
        <v>48960000</v>
      </c>
      <c r="E2300">
        <v>607</v>
      </c>
    </row>
    <row r="2301" ht="13.85" spans="1:5">
      <c r="A2301">
        <f t="shared" si="35"/>
        <v>2300</v>
      </c>
      <c r="B2301" s="11">
        <v>17621426</v>
      </c>
      <c r="C2301" s="11">
        <v>88</v>
      </c>
      <c r="D2301">
        <v>42240000</v>
      </c>
      <c r="E2301">
        <v>606</v>
      </c>
    </row>
    <row r="2302" ht="13.85" spans="1:5">
      <c r="A2302">
        <f t="shared" si="35"/>
        <v>2301</v>
      </c>
      <c r="B2302" s="11">
        <v>17724648</v>
      </c>
      <c r="C2302" s="11">
        <v>79</v>
      </c>
      <c r="D2302">
        <v>37920000</v>
      </c>
      <c r="E2302">
        <v>605</v>
      </c>
    </row>
    <row r="2303" ht="13.85" spans="1:5">
      <c r="A2303">
        <f t="shared" si="35"/>
        <v>2302</v>
      </c>
      <c r="B2303" s="11">
        <v>14783816</v>
      </c>
      <c r="C2303" s="11">
        <v>69</v>
      </c>
      <c r="D2303">
        <v>33120000</v>
      </c>
      <c r="E2303">
        <v>604</v>
      </c>
    </row>
    <row r="2304" ht="13.85" spans="1:5">
      <c r="A2304">
        <f t="shared" si="35"/>
        <v>2303</v>
      </c>
      <c r="B2304" s="11">
        <v>15322778</v>
      </c>
      <c r="C2304" s="11">
        <v>60</v>
      </c>
      <c r="D2304">
        <v>28800000</v>
      </c>
      <c r="E2304">
        <v>603</v>
      </c>
    </row>
    <row r="2305" ht="13.85" spans="1:5">
      <c r="A2305">
        <f t="shared" si="35"/>
        <v>2304</v>
      </c>
      <c r="B2305" s="11">
        <v>13194791</v>
      </c>
      <c r="C2305" s="11">
        <v>50</v>
      </c>
      <c r="D2305">
        <v>24000000</v>
      </c>
      <c r="E2305">
        <v>602</v>
      </c>
    </row>
    <row r="2306" ht="13.85" spans="1:5">
      <c r="A2306">
        <f t="shared" ref="A2306:A2369" si="36">ROW()-1</f>
        <v>2305</v>
      </c>
      <c r="B2306" s="11">
        <v>13533164</v>
      </c>
      <c r="C2306" s="11">
        <v>43</v>
      </c>
      <c r="D2306">
        <v>20640000</v>
      </c>
      <c r="E2306">
        <v>601</v>
      </c>
    </row>
    <row r="2307" ht="13.85" spans="1:5">
      <c r="A2307">
        <f t="shared" si="36"/>
        <v>2306</v>
      </c>
      <c r="B2307" s="11">
        <v>11863748</v>
      </c>
      <c r="C2307" s="11">
        <v>35</v>
      </c>
      <c r="D2307">
        <v>16800000</v>
      </c>
      <c r="E2307">
        <v>600</v>
      </c>
    </row>
    <row r="2308" ht="13.85" spans="1:5">
      <c r="A2308">
        <f t="shared" si="36"/>
        <v>2307</v>
      </c>
      <c r="B2308" s="11">
        <v>12618246</v>
      </c>
      <c r="C2308" s="11">
        <v>28</v>
      </c>
      <c r="D2308">
        <v>13440000</v>
      </c>
      <c r="E2308">
        <v>599</v>
      </c>
    </row>
    <row r="2309" ht="13.85" spans="1:5">
      <c r="A2309">
        <f t="shared" si="36"/>
        <v>2308</v>
      </c>
      <c r="B2309" s="11">
        <v>10940370</v>
      </c>
      <c r="C2309" s="11">
        <v>20</v>
      </c>
      <c r="D2309">
        <v>9600000</v>
      </c>
      <c r="E2309">
        <v>598</v>
      </c>
    </row>
    <row r="2310" ht="13.85" spans="1:5">
      <c r="A2310" s="18">
        <f t="shared" si="36"/>
        <v>2309</v>
      </c>
      <c r="B2310" s="11">
        <v>11626184</v>
      </c>
      <c r="C2310" s="11">
        <v>12</v>
      </c>
      <c r="D2310">
        <v>5760000</v>
      </c>
      <c r="E2310">
        <v>597</v>
      </c>
    </row>
    <row r="2311" ht="13.85" spans="1:5">
      <c r="A2311">
        <f t="shared" si="36"/>
        <v>2310</v>
      </c>
      <c r="B2311" s="11">
        <v>10909344</v>
      </c>
      <c r="C2311" s="11">
        <v>10</v>
      </c>
      <c r="D2311">
        <v>4800000</v>
      </c>
      <c r="E2311">
        <v>596</v>
      </c>
    </row>
    <row r="2312" ht="13.85" spans="1:5">
      <c r="A2312">
        <f t="shared" si="36"/>
        <v>2311</v>
      </c>
      <c r="B2312" s="11">
        <v>33265454</v>
      </c>
      <c r="C2312" s="11">
        <v>140</v>
      </c>
      <c r="D2312">
        <v>67200000</v>
      </c>
      <c r="E2312">
        <v>595</v>
      </c>
    </row>
    <row r="2313" ht="13.85" spans="1:5">
      <c r="A2313">
        <f t="shared" si="36"/>
        <v>2312</v>
      </c>
      <c r="B2313" s="11">
        <v>27159453</v>
      </c>
      <c r="C2313" s="11">
        <v>115</v>
      </c>
      <c r="D2313">
        <v>55200000</v>
      </c>
      <c r="E2313">
        <v>594</v>
      </c>
    </row>
    <row r="2314" ht="13.85" spans="1:5">
      <c r="A2314">
        <f t="shared" si="36"/>
        <v>2313</v>
      </c>
      <c r="B2314" s="11">
        <v>25332808</v>
      </c>
      <c r="C2314" s="11">
        <v>100</v>
      </c>
      <c r="D2314">
        <v>48000000</v>
      </c>
      <c r="E2314">
        <v>593</v>
      </c>
    </row>
    <row r="2315" ht="13.85" spans="1:5">
      <c r="A2315">
        <f t="shared" si="36"/>
        <v>2314</v>
      </c>
      <c r="B2315" s="11">
        <v>18505672</v>
      </c>
      <c r="C2315" s="11">
        <v>85</v>
      </c>
      <c r="D2315">
        <v>40800000</v>
      </c>
      <c r="E2315">
        <v>592</v>
      </c>
    </row>
    <row r="2316" ht="13.85" spans="1:5">
      <c r="A2316">
        <f t="shared" si="36"/>
        <v>2315</v>
      </c>
      <c r="B2316" s="11">
        <v>17765663</v>
      </c>
      <c r="C2316" s="11">
        <v>72</v>
      </c>
      <c r="D2316">
        <v>34560000</v>
      </c>
      <c r="E2316">
        <v>591</v>
      </c>
    </row>
    <row r="2317" ht="13.85" spans="1:5">
      <c r="A2317">
        <f t="shared" si="36"/>
        <v>2316</v>
      </c>
      <c r="B2317" s="11">
        <v>15051984</v>
      </c>
      <c r="C2317" s="11">
        <v>61</v>
      </c>
      <c r="D2317">
        <v>29280000</v>
      </c>
      <c r="E2317">
        <v>590</v>
      </c>
    </row>
    <row r="2318" ht="13.85" spans="1:5">
      <c r="A2318">
        <f t="shared" si="36"/>
        <v>2317</v>
      </c>
      <c r="B2318" s="11">
        <v>15006513</v>
      </c>
      <c r="C2318" s="11">
        <v>53</v>
      </c>
      <c r="D2318">
        <v>25440000</v>
      </c>
      <c r="E2318">
        <v>589</v>
      </c>
    </row>
    <row r="2319" ht="13.85" spans="1:5">
      <c r="A2319">
        <f t="shared" si="36"/>
        <v>2318</v>
      </c>
      <c r="B2319" s="11">
        <v>12844765</v>
      </c>
      <c r="C2319" s="11">
        <v>42</v>
      </c>
      <c r="D2319">
        <v>20160000</v>
      </c>
      <c r="E2319">
        <v>588</v>
      </c>
    </row>
    <row r="2320" ht="13.85" spans="1:5">
      <c r="A2320">
        <f t="shared" si="36"/>
        <v>2319</v>
      </c>
      <c r="B2320" s="11">
        <v>13241179</v>
      </c>
      <c r="C2320" s="11">
        <v>33</v>
      </c>
      <c r="D2320">
        <v>15840000</v>
      </c>
      <c r="E2320">
        <v>587</v>
      </c>
    </row>
    <row r="2321" ht="13.85" spans="1:5">
      <c r="A2321">
        <f t="shared" si="36"/>
        <v>2320</v>
      </c>
      <c r="B2321" s="11">
        <v>11224665</v>
      </c>
      <c r="C2321" s="11">
        <v>25</v>
      </c>
      <c r="D2321">
        <v>12000000</v>
      </c>
      <c r="E2321">
        <v>586</v>
      </c>
    </row>
    <row r="2322" ht="13.85" spans="1:5">
      <c r="A2322">
        <f t="shared" si="36"/>
        <v>2321</v>
      </c>
      <c r="B2322" s="11">
        <v>11720425</v>
      </c>
      <c r="C2322" s="11">
        <v>18</v>
      </c>
      <c r="D2322">
        <v>8640000</v>
      </c>
      <c r="E2322">
        <v>585</v>
      </c>
    </row>
    <row r="2323" ht="13.85" spans="1:5">
      <c r="A2323">
        <f t="shared" si="36"/>
        <v>2322</v>
      </c>
      <c r="B2323" s="11">
        <v>10392274</v>
      </c>
      <c r="C2323" s="11">
        <v>12</v>
      </c>
      <c r="D2323">
        <v>5760000</v>
      </c>
      <c r="E2323">
        <v>584</v>
      </c>
    </row>
    <row r="2324" ht="13.85" spans="1:5">
      <c r="A2324">
        <f t="shared" si="36"/>
        <v>2323</v>
      </c>
      <c r="B2324" s="11">
        <v>11283606</v>
      </c>
      <c r="C2324" s="11">
        <v>10</v>
      </c>
      <c r="D2324">
        <v>4800000</v>
      </c>
      <c r="E2324">
        <v>583</v>
      </c>
    </row>
    <row r="2325" ht="13.85" spans="1:5">
      <c r="A2325">
        <f t="shared" si="36"/>
        <v>2324</v>
      </c>
      <c r="B2325" s="11">
        <v>11004107</v>
      </c>
      <c r="C2325" s="11">
        <v>14</v>
      </c>
      <c r="D2325">
        <v>6720000</v>
      </c>
      <c r="E2325">
        <v>582</v>
      </c>
    </row>
    <row r="2326" ht="13.85" spans="1:5">
      <c r="A2326">
        <f t="shared" si="36"/>
        <v>2325</v>
      </c>
      <c r="B2326" s="11">
        <v>12710139</v>
      </c>
      <c r="C2326" s="11">
        <v>10</v>
      </c>
      <c r="D2326">
        <v>4800000</v>
      </c>
      <c r="E2326">
        <v>581</v>
      </c>
    </row>
    <row r="2327" ht="13.85" spans="1:5">
      <c r="A2327">
        <f t="shared" si="36"/>
        <v>2326</v>
      </c>
      <c r="B2327" s="11">
        <v>110055858</v>
      </c>
      <c r="C2327" s="11">
        <v>240</v>
      </c>
      <c r="D2327">
        <v>115200000</v>
      </c>
      <c r="E2327">
        <v>580</v>
      </c>
    </row>
    <row r="2328" ht="13.85" spans="1:5">
      <c r="A2328">
        <f t="shared" si="36"/>
        <v>2327</v>
      </c>
      <c r="B2328" s="11">
        <v>65180563</v>
      </c>
      <c r="C2328" s="11">
        <v>200</v>
      </c>
      <c r="D2328">
        <v>96000000</v>
      </c>
      <c r="E2328">
        <v>579</v>
      </c>
    </row>
    <row r="2329" ht="13.85" spans="1:5">
      <c r="A2329">
        <f t="shared" si="36"/>
        <v>2328</v>
      </c>
      <c r="B2329" s="11">
        <v>48521684</v>
      </c>
      <c r="C2329" s="11">
        <v>165</v>
      </c>
      <c r="D2329">
        <v>79200000</v>
      </c>
      <c r="E2329">
        <v>578</v>
      </c>
    </row>
    <row r="2330" ht="13.85" spans="1:5">
      <c r="A2330" s="9">
        <f t="shared" si="36"/>
        <v>2329</v>
      </c>
      <c r="B2330" s="11">
        <v>36749985</v>
      </c>
      <c r="C2330" s="11">
        <v>135</v>
      </c>
      <c r="D2330">
        <v>64800000</v>
      </c>
      <c r="E2330">
        <v>577</v>
      </c>
    </row>
    <row r="2331" ht="13.85" spans="1:5">
      <c r="A2331">
        <f t="shared" si="36"/>
        <v>2330</v>
      </c>
      <c r="B2331" s="11">
        <v>28800559</v>
      </c>
      <c r="C2331" s="11">
        <v>110</v>
      </c>
      <c r="D2331">
        <v>52800000</v>
      </c>
      <c r="E2331">
        <v>576</v>
      </c>
    </row>
    <row r="2332" ht="13.85" spans="1:5">
      <c r="A2332">
        <f t="shared" si="36"/>
        <v>2331</v>
      </c>
      <c r="B2332" s="11">
        <v>23475972</v>
      </c>
      <c r="C2332" s="11">
        <v>95</v>
      </c>
      <c r="D2332">
        <v>45600000</v>
      </c>
      <c r="E2332">
        <v>575</v>
      </c>
    </row>
    <row r="2333" ht="13.85" spans="1:5">
      <c r="A2333">
        <f t="shared" si="36"/>
        <v>2332</v>
      </c>
      <c r="B2333" s="11">
        <v>18209434</v>
      </c>
      <c r="C2333" s="11">
        <v>82</v>
      </c>
      <c r="D2333">
        <v>39360000</v>
      </c>
      <c r="E2333">
        <v>574</v>
      </c>
    </row>
    <row r="2334" ht="13.85" spans="1:5">
      <c r="A2334">
        <f t="shared" si="36"/>
        <v>2333</v>
      </c>
      <c r="B2334" s="11">
        <v>17263826</v>
      </c>
      <c r="C2334" s="11">
        <v>75</v>
      </c>
      <c r="D2334">
        <v>36000000</v>
      </c>
      <c r="E2334">
        <v>573</v>
      </c>
    </row>
    <row r="2335" ht="13.85" spans="1:5">
      <c r="A2335">
        <f t="shared" si="36"/>
        <v>2334</v>
      </c>
      <c r="B2335" s="11">
        <v>14033722</v>
      </c>
      <c r="C2335" s="11">
        <v>65</v>
      </c>
      <c r="D2335">
        <v>31200000</v>
      </c>
      <c r="E2335">
        <v>572</v>
      </c>
    </row>
    <row r="2336" ht="13.85" spans="1:5">
      <c r="A2336">
        <f t="shared" si="36"/>
        <v>2335</v>
      </c>
      <c r="B2336" s="11">
        <v>14222513</v>
      </c>
      <c r="C2336" s="11">
        <v>57</v>
      </c>
      <c r="D2336">
        <v>27360000</v>
      </c>
      <c r="E2336">
        <v>571</v>
      </c>
    </row>
    <row r="2337" ht="13.85" spans="1:5">
      <c r="A2337">
        <f t="shared" si="36"/>
        <v>2336</v>
      </c>
      <c r="B2337" s="11">
        <v>12149892</v>
      </c>
      <c r="C2337" s="11">
        <v>48</v>
      </c>
      <c r="D2337">
        <v>23040000</v>
      </c>
      <c r="E2337">
        <v>570</v>
      </c>
    </row>
    <row r="2338" ht="13.85" spans="1:5">
      <c r="A2338">
        <f t="shared" si="36"/>
        <v>2337</v>
      </c>
      <c r="B2338" s="11">
        <v>12911499</v>
      </c>
      <c r="C2338" s="11">
        <v>42</v>
      </c>
      <c r="D2338">
        <v>20160000</v>
      </c>
      <c r="E2338">
        <v>569</v>
      </c>
    </row>
    <row r="2339" ht="13.85" spans="1:5">
      <c r="A2339">
        <f t="shared" si="36"/>
        <v>2338</v>
      </c>
      <c r="B2339" s="11">
        <v>10371816</v>
      </c>
      <c r="C2339" s="11">
        <v>35</v>
      </c>
      <c r="D2339">
        <v>16800000</v>
      </c>
      <c r="E2339">
        <v>568</v>
      </c>
    </row>
    <row r="2340" ht="13.85" spans="1:5">
      <c r="A2340">
        <f t="shared" si="36"/>
        <v>2339</v>
      </c>
      <c r="B2340" s="11">
        <v>11643204</v>
      </c>
      <c r="C2340" s="11">
        <v>29</v>
      </c>
      <c r="D2340">
        <v>13920000</v>
      </c>
      <c r="E2340">
        <v>567</v>
      </c>
    </row>
    <row r="2341" ht="13.85" spans="1:5">
      <c r="A2341">
        <f t="shared" si="36"/>
        <v>2340</v>
      </c>
      <c r="B2341" s="11">
        <v>10032236</v>
      </c>
      <c r="C2341" s="11">
        <v>23</v>
      </c>
      <c r="D2341">
        <v>11040000</v>
      </c>
      <c r="E2341">
        <v>566</v>
      </c>
    </row>
    <row r="2342" ht="13.85" spans="1:5">
      <c r="A2342">
        <f t="shared" si="36"/>
        <v>2341</v>
      </c>
      <c r="B2342" s="11">
        <v>10672263</v>
      </c>
      <c r="C2342" s="11">
        <v>18</v>
      </c>
      <c r="D2342">
        <v>8640000</v>
      </c>
      <c r="E2342">
        <v>565</v>
      </c>
    </row>
    <row r="2343" ht="13.85" spans="1:5">
      <c r="A2343">
        <f t="shared" si="36"/>
        <v>2342</v>
      </c>
      <c r="B2343" s="11">
        <v>9098573</v>
      </c>
      <c r="C2343" s="11">
        <v>12</v>
      </c>
      <c r="D2343">
        <v>5760000</v>
      </c>
      <c r="E2343">
        <v>564</v>
      </c>
    </row>
    <row r="2344" ht="13.85" spans="1:5">
      <c r="A2344">
        <f t="shared" si="36"/>
        <v>2343</v>
      </c>
      <c r="B2344" s="11">
        <v>10846519</v>
      </c>
      <c r="C2344" s="11">
        <v>10</v>
      </c>
      <c r="D2344">
        <v>4800000</v>
      </c>
      <c r="E2344">
        <v>563</v>
      </c>
    </row>
    <row r="2345" ht="13.85" spans="1:5">
      <c r="A2345">
        <f t="shared" si="36"/>
        <v>2344</v>
      </c>
      <c r="B2345" s="11">
        <v>19102321</v>
      </c>
      <c r="C2345" s="11">
        <v>87</v>
      </c>
      <c r="D2345">
        <v>41760000</v>
      </c>
      <c r="E2345">
        <v>562</v>
      </c>
    </row>
    <row r="2346" ht="13.85" spans="1:5">
      <c r="A2346">
        <f t="shared" si="36"/>
        <v>2345</v>
      </c>
      <c r="B2346" s="11">
        <v>18122579</v>
      </c>
      <c r="C2346" s="11">
        <v>77</v>
      </c>
      <c r="D2346">
        <v>36960000</v>
      </c>
      <c r="E2346">
        <v>561</v>
      </c>
    </row>
    <row r="2347" ht="13.85" spans="1:5">
      <c r="A2347">
        <f t="shared" si="36"/>
        <v>2346</v>
      </c>
      <c r="B2347" s="11">
        <v>14713597</v>
      </c>
      <c r="C2347" s="11">
        <v>67</v>
      </c>
      <c r="D2347">
        <v>32160000</v>
      </c>
      <c r="E2347">
        <v>560</v>
      </c>
    </row>
    <row r="2348" ht="13.85" spans="1:5">
      <c r="A2348">
        <f t="shared" si="36"/>
        <v>2347</v>
      </c>
      <c r="B2348" s="11">
        <v>14482077</v>
      </c>
      <c r="C2348" s="11">
        <v>59</v>
      </c>
      <c r="D2348">
        <v>28320000</v>
      </c>
      <c r="E2348">
        <v>559</v>
      </c>
    </row>
    <row r="2349" ht="13.85" spans="1:5">
      <c r="A2349">
        <f t="shared" si="36"/>
        <v>2348</v>
      </c>
      <c r="B2349" s="11">
        <v>12432086</v>
      </c>
      <c r="C2349" s="11">
        <v>51</v>
      </c>
      <c r="D2349">
        <v>24480000</v>
      </c>
      <c r="E2349">
        <v>558</v>
      </c>
    </row>
    <row r="2350" ht="13.85" spans="1:5">
      <c r="A2350">
        <f t="shared" si="36"/>
        <v>2349</v>
      </c>
      <c r="B2350" s="11">
        <v>12927602</v>
      </c>
      <c r="C2350" s="11">
        <v>44</v>
      </c>
      <c r="D2350">
        <v>21120000</v>
      </c>
      <c r="E2350">
        <v>557</v>
      </c>
    </row>
    <row r="2351" ht="13.85" spans="1:5">
      <c r="A2351">
        <f t="shared" si="36"/>
        <v>2350</v>
      </c>
      <c r="B2351" s="11">
        <v>10671517</v>
      </c>
      <c r="C2351" s="11">
        <v>37</v>
      </c>
      <c r="D2351">
        <v>17760000</v>
      </c>
      <c r="E2351">
        <v>556</v>
      </c>
    </row>
    <row r="2352" ht="13.85" spans="1:5">
      <c r="A2352">
        <f t="shared" si="36"/>
        <v>2351</v>
      </c>
      <c r="B2352" s="11">
        <v>11500740</v>
      </c>
      <c r="C2352" s="11">
        <v>30</v>
      </c>
      <c r="D2352">
        <v>14400000</v>
      </c>
      <c r="E2352">
        <v>555</v>
      </c>
    </row>
    <row r="2353" ht="13.85" spans="1:5">
      <c r="A2353">
        <f t="shared" si="36"/>
        <v>2352</v>
      </c>
      <c r="B2353" s="11">
        <v>9821258</v>
      </c>
      <c r="C2353" s="11">
        <v>24</v>
      </c>
      <c r="D2353">
        <v>11520000</v>
      </c>
      <c r="E2353">
        <v>554</v>
      </c>
    </row>
    <row r="2354" ht="13.85" spans="1:5">
      <c r="A2354">
        <f t="shared" si="36"/>
        <v>2353</v>
      </c>
      <c r="B2354" s="11">
        <v>10754887</v>
      </c>
      <c r="C2354" s="11">
        <v>18</v>
      </c>
      <c r="D2354">
        <v>8640000</v>
      </c>
      <c r="E2354">
        <v>553</v>
      </c>
    </row>
    <row r="2355" ht="13.85" spans="1:5">
      <c r="A2355">
        <f t="shared" si="36"/>
        <v>2354</v>
      </c>
      <c r="B2355" s="11">
        <v>9035161</v>
      </c>
      <c r="C2355" s="11">
        <v>12</v>
      </c>
      <c r="D2355">
        <v>5760000</v>
      </c>
      <c r="E2355">
        <v>552</v>
      </c>
    </row>
    <row r="2356" ht="13.85" spans="1:5">
      <c r="A2356">
        <f t="shared" si="36"/>
        <v>2355</v>
      </c>
      <c r="B2356" s="11">
        <v>10388784</v>
      </c>
      <c r="C2356" s="11">
        <v>10</v>
      </c>
      <c r="D2356">
        <v>4800000</v>
      </c>
      <c r="E2356">
        <v>551</v>
      </c>
    </row>
    <row r="2357" ht="13.85" spans="1:5">
      <c r="A2357">
        <f t="shared" si="36"/>
        <v>2356</v>
      </c>
      <c r="B2357" s="11">
        <v>13483954</v>
      </c>
      <c r="C2357" s="11">
        <v>62</v>
      </c>
      <c r="D2357">
        <v>29760000</v>
      </c>
      <c r="E2357">
        <v>550</v>
      </c>
    </row>
    <row r="2358" ht="13.85" spans="1:5">
      <c r="A2358">
        <f t="shared" si="36"/>
        <v>2357</v>
      </c>
      <c r="B2358" s="11">
        <v>13796568</v>
      </c>
      <c r="C2358" s="11">
        <v>53</v>
      </c>
      <c r="D2358">
        <v>25440000</v>
      </c>
      <c r="E2358">
        <v>549</v>
      </c>
    </row>
    <row r="2359" ht="13.85" spans="1:5">
      <c r="A2359">
        <f t="shared" si="36"/>
        <v>2358</v>
      </c>
      <c r="B2359" s="11">
        <v>11805627</v>
      </c>
      <c r="C2359" s="11">
        <v>45</v>
      </c>
      <c r="D2359">
        <v>21600000</v>
      </c>
      <c r="E2359">
        <v>548</v>
      </c>
    </row>
    <row r="2360" ht="13.85" spans="1:5">
      <c r="A2360">
        <f t="shared" si="36"/>
        <v>2359</v>
      </c>
      <c r="B2360" s="11">
        <v>12689435</v>
      </c>
      <c r="C2360" s="11">
        <v>38</v>
      </c>
      <c r="D2360">
        <v>18240000</v>
      </c>
      <c r="E2360">
        <v>547</v>
      </c>
    </row>
    <row r="2361" ht="13.85" spans="1:5">
      <c r="A2361">
        <f t="shared" si="36"/>
        <v>2360</v>
      </c>
      <c r="B2361" s="11">
        <v>10803936</v>
      </c>
      <c r="C2361" s="11">
        <v>30</v>
      </c>
      <c r="D2361">
        <v>14400000</v>
      </c>
      <c r="E2361">
        <v>546</v>
      </c>
    </row>
    <row r="2362" ht="13.85" spans="1:5">
      <c r="A2362">
        <f t="shared" si="36"/>
        <v>2361</v>
      </c>
      <c r="B2362" s="11">
        <v>11653655</v>
      </c>
      <c r="C2362" s="11">
        <v>24</v>
      </c>
      <c r="D2362">
        <v>11520000</v>
      </c>
      <c r="E2362">
        <v>545</v>
      </c>
    </row>
    <row r="2363" ht="13.85" spans="1:5">
      <c r="A2363">
        <f t="shared" si="36"/>
        <v>2362</v>
      </c>
      <c r="B2363" s="11">
        <v>9936491</v>
      </c>
      <c r="C2363" s="11">
        <v>17</v>
      </c>
      <c r="D2363">
        <v>8160000</v>
      </c>
      <c r="E2363">
        <v>544</v>
      </c>
    </row>
    <row r="2364" ht="13.85" spans="1:5">
      <c r="A2364">
        <f t="shared" si="36"/>
        <v>2363</v>
      </c>
      <c r="B2364" s="11">
        <v>11031057</v>
      </c>
      <c r="C2364" s="11">
        <v>12</v>
      </c>
      <c r="D2364">
        <v>5760000</v>
      </c>
      <c r="E2364">
        <v>543</v>
      </c>
    </row>
    <row r="2365" ht="13.85" spans="1:5">
      <c r="A2365">
        <f t="shared" si="36"/>
        <v>2364</v>
      </c>
      <c r="B2365" s="11">
        <v>9315306</v>
      </c>
      <c r="C2365" s="11">
        <v>10</v>
      </c>
      <c r="D2365">
        <v>4800000</v>
      </c>
      <c r="E2365">
        <v>542</v>
      </c>
    </row>
    <row r="2366" ht="13.85" spans="1:5">
      <c r="A2366">
        <f t="shared" si="36"/>
        <v>2365</v>
      </c>
      <c r="B2366" s="11">
        <v>13687842</v>
      </c>
      <c r="C2366" s="11">
        <v>42</v>
      </c>
      <c r="D2366">
        <v>20160000</v>
      </c>
      <c r="E2366">
        <v>541</v>
      </c>
    </row>
    <row r="2367" ht="13.85" spans="1:5">
      <c r="A2367">
        <f t="shared" si="36"/>
        <v>2366</v>
      </c>
      <c r="B2367" s="11">
        <v>10990939</v>
      </c>
      <c r="C2367" s="11">
        <v>34</v>
      </c>
      <c r="D2367">
        <v>16320000</v>
      </c>
      <c r="E2367">
        <v>540</v>
      </c>
    </row>
    <row r="2368" ht="13.85" spans="1:5">
      <c r="A2368">
        <f t="shared" si="36"/>
        <v>2367</v>
      </c>
      <c r="B2368" s="11">
        <v>12492689</v>
      </c>
      <c r="C2368" s="11">
        <v>27</v>
      </c>
      <c r="D2368">
        <v>12960000</v>
      </c>
      <c r="E2368">
        <v>539</v>
      </c>
    </row>
    <row r="2369" ht="13.85" spans="1:5">
      <c r="A2369">
        <f t="shared" si="36"/>
        <v>2368</v>
      </c>
      <c r="B2369" s="11">
        <v>10619758</v>
      </c>
      <c r="C2369" s="11">
        <v>20</v>
      </c>
      <c r="D2369">
        <v>9600000</v>
      </c>
      <c r="E2369">
        <v>538</v>
      </c>
    </row>
    <row r="2370" ht="13.85" spans="1:5">
      <c r="A2370">
        <f t="shared" ref="A2370:A2433" si="37">ROW()-1</f>
        <v>2369</v>
      </c>
      <c r="B2370" s="11">
        <v>11680205</v>
      </c>
      <c r="C2370" s="11">
        <v>12</v>
      </c>
      <c r="D2370">
        <v>5760000</v>
      </c>
      <c r="E2370">
        <v>537</v>
      </c>
    </row>
    <row r="2371" ht="13.85" spans="1:5">
      <c r="A2371">
        <f t="shared" si="37"/>
        <v>2370</v>
      </c>
      <c r="B2371" s="11">
        <v>10890725</v>
      </c>
      <c r="C2371" s="11">
        <v>10</v>
      </c>
      <c r="D2371">
        <v>4800000</v>
      </c>
      <c r="E2371">
        <v>536</v>
      </c>
    </row>
    <row r="2372" ht="13.85" spans="1:5">
      <c r="A2372">
        <f t="shared" si="37"/>
        <v>2371</v>
      </c>
      <c r="B2372" s="11">
        <v>25651455</v>
      </c>
      <c r="C2372" s="11">
        <v>100</v>
      </c>
      <c r="D2372">
        <v>48000000</v>
      </c>
      <c r="E2372">
        <v>535</v>
      </c>
    </row>
    <row r="2373" ht="13.85" spans="1:5">
      <c r="A2373">
        <f t="shared" si="37"/>
        <v>2372</v>
      </c>
      <c r="B2373" s="11">
        <v>17650662</v>
      </c>
      <c r="C2373" s="11">
        <v>86</v>
      </c>
      <c r="D2373">
        <v>41280000</v>
      </c>
      <c r="E2373">
        <v>534</v>
      </c>
    </row>
    <row r="2374" ht="13.85" spans="1:5">
      <c r="A2374">
        <f t="shared" si="37"/>
        <v>2373</v>
      </c>
      <c r="B2374" s="11">
        <v>18049039</v>
      </c>
      <c r="C2374" s="11">
        <v>77</v>
      </c>
      <c r="D2374">
        <v>36960000</v>
      </c>
      <c r="E2374">
        <v>533</v>
      </c>
    </row>
    <row r="2375" ht="13.85" spans="1:5">
      <c r="A2375">
        <f t="shared" si="37"/>
        <v>2374</v>
      </c>
      <c r="B2375" s="11">
        <v>15134102</v>
      </c>
      <c r="C2375" s="11">
        <v>67</v>
      </c>
      <c r="D2375">
        <v>32160000</v>
      </c>
      <c r="E2375">
        <v>532</v>
      </c>
    </row>
    <row r="2376" ht="13.85" spans="1:5">
      <c r="A2376">
        <f t="shared" si="37"/>
        <v>2375</v>
      </c>
      <c r="B2376" s="11">
        <v>15852907</v>
      </c>
      <c r="C2376" s="11">
        <v>57</v>
      </c>
      <c r="D2376">
        <v>27360000</v>
      </c>
      <c r="E2376">
        <v>531</v>
      </c>
    </row>
    <row r="2377" ht="13.85" spans="1:5">
      <c r="A2377">
        <f t="shared" si="37"/>
        <v>2376</v>
      </c>
      <c r="B2377" s="11">
        <v>13783628</v>
      </c>
      <c r="C2377" s="11">
        <v>47</v>
      </c>
      <c r="D2377">
        <v>22560000</v>
      </c>
      <c r="E2377">
        <v>530</v>
      </c>
    </row>
    <row r="2378" ht="13.85" spans="1:5">
      <c r="A2378">
        <f t="shared" si="37"/>
        <v>2377</v>
      </c>
      <c r="B2378" s="11">
        <v>14271083</v>
      </c>
      <c r="C2378" s="11">
        <v>38</v>
      </c>
      <c r="D2378">
        <v>18240000</v>
      </c>
      <c r="E2378">
        <v>529</v>
      </c>
    </row>
    <row r="2379" ht="13.85" spans="1:5">
      <c r="A2379">
        <f t="shared" si="37"/>
        <v>2378</v>
      </c>
      <c r="B2379" s="11">
        <v>12403361</v>
      </c>
      <c r="C2379" s="11">
        <v>29</v>
      </c>
      <c r="D2379">
        <v>13920000</v>
      </c>
      <c r="E2379">
        <v>528</v>
      </c>
    </row>
    <row r="2380" ht="13.85" spans="1:5">
      <c r="A2380">
        <f t="shared" si="37"/>
        <v>2379</v>
      </c>
      <c r="B2380" s="11">
        <v>13128795</v>
      </c>
      <c r="C2380" s="11">
        <v>20</v>
      </c>
      <c r="D2380">
        <v>9600000</v>
      </c>
      <c r="E2380">
        <v>527</v>
      </c>
    </row>
    <row r="2381" ht="13.85" spans="1:5">
      <c r="A2381">
        <f t="shared" si="37"/>
        <v>2380</v>
      </c>
      <c r="B2381" s="15">
        <v>11823212</v>
      </c>
      <c r="C2381" s="15">
        <v>12</v>
      </c>
      <c r="D2381">
        <v>5760000</v>
      </c>
      <c r="E2381">
        <v>526</v>
      </c>
    </row>
    <row r="2382" ht="13.85" spans="1:5">
      <c r="A2382">
        <f t="shared" si="37"/>
        <v>2381</v>
      </c>
      <c r="B2382" s="13">
        <v>12957198</v>
      </c>
      <c r="C2382" s="13">
        <v>10</v>
      </c>
      <c r="D2382">
        <v>4800000</v>
      </c>
      <c r="E2382">
        <v>525</v>
      </c>
    </row>
    <row r="2383" ht="13.85" spans="1:5">
      <c r="A2383">
        <f t="shared" si="37"/>
        <v>2382</v>
      </c>
      <c r="B2383" s="11">
        <v>163352371</v>
      </c>
      <c r="C2383" s="11">
        <v>280</v>
      </c>
      <c r="D2383">
        <v>134400000</v>
      </c>
      <c r="E2383">
        <v>524</v>
      </c>
    </row>
    <row r="2384" ht="13.85" spans="1:5">
      <c r="A2384">
        <f t="shared" si="37"/>
        <v>2383</v>
      </c>
      <c r="B2384" s="11">
        <v>92060133</v>
      </c>
      <c r="C2384" s="11">
        <v>215</v>
      </c>
      <c r="D2384">
        <v>103200000</v>
      </c>
      <c r="E2384">
        <v>523</v>
      </c>
    </row>
    <row r="2385" ht="13.85" spans="1:5">
      <c r="A2385">
        <f t="shared" si="37"/>
        <v>2384</v>
      </c>
      <c r="B2385" s="11">
        <v>57359549</v>
      </c>
      <c r="C2385" s="11">
        <v>160</v>
      </c>
      <c r="D2385">
        <v>76800000</v>
      </c>
      <c r="E2385">
        <v>522</v>
      </c>
    </row>
    <row r="2386" ht="13.85" spans="1:5">
      <c r="A2386">
        <f t="shared" si="37"/>
        <v>2385</v>
      </c>
      <c r="B2386" s="11">
        <v>39344907</v>
      </c>
      <c r="C2386" s="11">
        <v>125</v>
      </c>
      <c r="D2386">
        <v>60000000</v>
      </c>
      <c r="E2386">
        <v>521</v>
      </c>
    </row>
    <row r="2387" ht="13.85" spans="1:5">
      <c r="A2387">
        <f t="shared" si="37"/>
        <v>2386</v>
      </c>
      <c r="B2387" s="11">
        <v>28067936</v>
      </c>
      <c r="C2387" s="11">
        <v>101</v>
      </c>
      <c r="D2387">
        <v>48480000</v>
      </c>
      <c r="E2387">
        <v>520</v>
      </c>
    </row>
    <row r="2388" ht="13.85" spans="1:5">
      <c r="A2388">
        <f t="shared" si="37"/>
        <v>2387</v>
      </c>
      <c r="B2388" s="11">
        <v>20139213</v>
      </c>
      <c r="C2388" s="11">
        <v>90</v>
      </c>
      <c r="D2388">
        <v>43200000</v>
      </c>
      <c r="E2388">
        <v>519</v>
      </c>
    </row>
    <row r="2389" ht="13.85" spans="1:5">
      <c r="A2389">
        <f t="shared" si="37"/>
        <v>2388</v>
      </c>
      <c r="B2389" s="11">
        <v>16316519</v>
      </c>
      <c r="C2389" s="11">
        <v>80</v>
      </c>
      <c r="D2389">
        <v>38400000</v>
      </c>
      <c r="E2389">
        <v>518</v>
      </c>
    </row>
    <row r="2390" ht="13.85" spans="1:5">
      <c r="A2390">
        <f t="shared" si="37"/>
        <v>2389</v>
      </c>
      <c r="B2390" s="11">
        <v>13997561</v>
      </c>
      <c r="C2390" s="11">
        <v>69</v>
      </c>
      <c r="D2390">
        <v>33120000</v>
      </c>
      <c r="E2390">
        <v>517</v>
      </c>
    </row>
    <row r="2391" ht="13.85" spans="1:5">
      <c r="A2391">
        <f t="shared" si="37"/>
        <v>2390</v>
      </c>
      <c r="B2391" s="11">
        <v>13591547</v>
      </c>
      <c r="C2391" s="11">
        <v>60</v>
      </c>
      <c r="D2391">
        <v>28800000</v>
      </c>
      <c r="E2391">
        <v>516</v>
      </c>
    </row>
    <row r="2392" ht="13.85" spans="1:5">
      <c r="A2392">
        <f t="shared" si="37"/>
        <v>2391</v>
      </c>
      <c r="B2392" s="11">
        <v>13310465</v>
      </c>
      <c r="C2392" s="11">
        <v>52</v>
      </c>
      <c r="D2392">
        <v>24960000</v>
      </c>
      <c r="E2392">
        <v>515</v>
      </c>
    </row>
    <row r="2393" ht="13.85" spans="1:5">
      <c r="A2393">
        <f t="shared" si="37"/>
        <v>2392</v>
      </c>
      <c r="B2393" s="11">
        <v>11100937</v>
      </c>
      <c r="C2393" s="11">
        <v>44</v>
      </c>
      <c r="D2393">
        <v>21120000</v>
      </c>
      <c r="E2393">
        <v>514</v>
      </c>
    </row>
    <row r="2394" ht="13.85" spans="1:5">
      <c r="A2394">
        <f t="shared" si="37"/>
        <v>2393</v>
      </c>
      <c r="B2394" s="11">
        <v>11845762</v>
      </c>
      <c r="C2394" s="11">
        <v>37</v>
      </c>
      <c r="D2394">
        <v>17760000</v>
      </c>
      <c r="E2394">
        <v>513</v>
      </c>
    </row>
    <row r="2395" ht="13.85" spans="1:5">
      <c r="A2395">
        <f t="shared" si="37"/>
        <v>2394</v>
      </c>
      <c r="B2395" s="11">
        <v>9924976</v>
      </c>
      <c r="C2395" s="11">
        <v>29</v>
      </c>
      <c r="D2395">
        <v>13920000</v>
      </c>
      <c r="E2395">
        <v>512</v>
      </c>
    </row>
    <row r="2396" ht="13.85" spans="1:5">
      <c r="A2396">
        <f t="shared" si="37"/>
        <v>2395</v>
      </c>
      <c r="B2396" s="11">
        <v>10961475</v>
      </c>
      <c r="C2396" s="11">
        <v>23</v>
      </c>
      <c r="D2396">
        <v>11040000</v>
      </c>
      <c r="E2396">
        <v>511</v>
      </c>
    </row>
    <row r="2397" ht="13.85" spans="1:5">
      <c r="A2397">
        <f t="shared" si="37"/>
        <v>2396</v>
      </c>
      <c r="B2397" s="11">
        <v>9102173</v>
      </c>
      <c r="C2397" s="11">
        <v>17</v>
      </c>
      <c r="D2397">
        <v>8160000</v>
      </c>
      <c r="E2397">
        <v>510</v>
      </c>
    </row>
    <row r="2398" ht="13.85" spans="1:5">
      <c r="A2398">
        <f t="shared" si="37"/>
        <v>2397</v>
      </c>
      <c r="B2398" s="11">
        <v>10256540</v>
      </c>
      <c r="C2398" s="11">
        <v>12</v>
      </c>
      <c r="D2398">
        <v>5760000</v>
      </c>
      <c r="E2398">
        <v>509</v>
      </c>
    </row>
    <row r="2399" ht="13.85" spans="1:5">
      <c r="A2399">
        <f t="shared" si="37"/>
        <v>2398</v>
      </c>
      <c r="B2399" s="11">
        <v>9216311</v>
      </c>
      <c r="C2399" s="11">
        <v>10</v>
      </c>
      <c r="D2399">
        <v>4800000</v>
      </c>
      <c r="E2399">
        <v>508</v>
      </c>
    </row>
    <row r="2400" ht="13.85" spans="1:5">
      <c r="A2400">
        <f t="shared" si="37"/>
        <v>2399</v>
      </c>
      <c r="B2400" s="11">
        <v>18687272</v>
      </c>
      <c r="C2400" s="11">
        <v>84</v>
      </c>
      <c r="D2400">
        <v>40320000</v>
      </c>
      <c r="E2400">
        <v>507</v>
      </c>
    </row>
    <row r="2401" ht="13.85" spans="1:5">
      <c r="A2401">
        <f t="shared" si="37"/>
        <v>2400</v>
      </c>
      <c r="B2401" s="11">
        <v>15496585</v>
      </c>
      <c r="C2401" s="11">
        <v>72</v>
      </c>
      <c r="D2401">
        <v>34560000</v>
      </c>
      <c r="E2401">
        <v>506</v>
      </c>
    </row>
    <row r="2402" ht="13.85" spans="1:5">
      <c r="A2402">
        <f t="shared" si="37"/>
        <v>2401</v>
      </c>
      <c r="B2402" s="11">
        <v>15063128</v>
      </c>
      <c r="C2402" s="11">
        <v>60</v>
      </c>
      <c r="D2402">
        <v>28800000</v>
      </c>
      <c r="E2402">
        <v>505</v>
      </c>
    </row>
    <row r="2403" ht="13.85" spans="1:5">
      <c r="A2403">
        <f t="shared" si="37"/>
        <v>2402</v>
      </c>
      <c r="B2403" s="11">
        <v>12519193</v>
      </c>
      <c r="C2403" s="11">
        <v>51</v>
      </c>
      <c r="D2403">
        <v>24480000</v>
      </c>
      <c r="E2403">
        <v>504</v>
      </c>
    </row>
    <row r="2404" ht="13.85" spans="1:5">
      <c r="A2404">
        <f t="shared" si="37"/>
        <v>2403</v>
      </c>
      <c r="B2404" s="11">
        <v>12883818</v>
      </c>
      <c r="C2404" s="11">
        <v>44</v>
      </c>
      <c r="D2404">
        <v>21120000</v>
      </c>
      <c r="E2404">
        <v>503</v>
      </c>
    </row>
    <row r="2405" ht="13.85" spans="1:5">
      <c r="A2405">
        <f t="shared" si="37"/>
        <v>2404</v>
      </c>
      <c r="B2405" s="11">
        <v>11119216</v>
      </c>
      <c r="C2405" s="11">
        <v>36</v>
      </c>
      <c r="D2405">
        <v>17280000</v>
      </c>
      <c r="E2405">
        <v>502</v>
      </c>
    </row>
    <row r="2406" ht="13.85" spans="1:5">
      <c r="A2406">
        <f t="shared" si="37"/>
        <v>2405</v>
      </c>
      <c r="B2406" s="11">
        <v>10587045</v>
      </c>
      <c r="C2406" s="11">
        <v>27</v>
      </c>
      <c r="D2406">
        <v>12960000</v>
      </c>
      <c r="E2406">
        <v>501</v>
      </c>
    </row>
    <row r="2407" ht="13.85" spans="1:5">
      <c r="A2407">
        <f t="shared" si="37"/>
        <v>2406</v>
      </c>
      <c r="B2407" s="11">
        <v>9209014</v>
      </c>
      <c r="C2407" s="11">
        <v>22</v>
      </c>
      <c r="D2407">
        <v>10560000</v>
      </c>
      <c r="E2407">
        <v>500</v>
      </c>
    </row>
    <row r="2408" ht="13.85" spans="1:5">
      <c r="A2408">
        <f t="shared" si="37"/>
        <v>2407</v>
      </c>
      <c r="B2408" s="11">
        <v>9962972</v>
      </c>
      <c r="C2408" s="11">
        <v>18</v>
      </c>
      <c r="D2408">
        <v>8640000</v>
      </c>
      <c r="E2408">
        <v>499</v>
      </c>
    </row>
    <row r="2409" ht="13.85" spans="1:5">
      <c r="A2409">
        <f t="shared" si="37"/>
        <v>2408</v>
      </c>
      <c r="B2409" s="11">
        <v>8575791</v>
      </c>
      <c r="C2409" s="11">
        <v>14</v>
      </c>
      <c r="D2409">
        <v>6720000</v>
      </c>
      <c r="E2409">
        <v>498</v>
      </c>
    </row>
    <row r="2410" ht="13.85" spans="1:5">
      <c r="A2410">
        <f t="shared" si="37"/>
        <v>2409</v>
      </c>
      <c r="B2410" s="11">
        <v>9709325</v>
      </c>
      <c r="C2410" s="11">
        <v>12</v>
      </c>
      <c r="D2410">
        <v>5760000</v>
      </c>
      <c r="E2410">
        <v>497</v>
      </c>
    </row>
    <row r="2411" ht="13.85" spans="1:5">
      <c r="A2411">
        <f t="shared" si="37"/>
        <v>2410</v>
      </c>
      <c r="B2411" s="11">
        <v>9144776</v>
      </c>
      <c r="C2411" s="11">
        <v>10</v>
      </c>
      <c r="D2411">
        <v>4800000</v>
      </c>
      <c r="E2411">
        <v>496</v>
      </c>
    </row>
    <row r="2412" ht="13.85" spans="1:5">
      <c r="A2412">
        <f t="shared" si="37"/>
        <v>2411</v>
      </c>
      <c r="B2412" s="11">
        <v>31587307</v>
      </c>
      <c r="C2412" s="11">
        <v>100</v>
      </c>
      <c r="D2412">
        <v>48000000</v>
      </c>
      <c r="E2412">
        <v>495</v>
      </c>
    </row>
    <row r="2413" ht="13.85" spans="1:5">
      <c r="A2413">
        <f t="shared" si="37"/>
        <v>2412</v>
      </c>
      <c r="B2413" s="11">
        <v>20414347</v>
      </c>
      <c r="C2413" s="11">
        <v>88</v>
      </c>
      <c r="D2413">
        <v>42240000</v>
      </c>
      <c r="E2413">
        <v>494</v>
      </c>
    </row>
    <row r="2414" ht="13.85" spans="1:5">
      <c r="A2414">
        <f t="shared" si="37"/>
        <v>2413</v>
      </c>
      <c r="B2414" s="11">
        <v>19725295</v>
      </c>
      <c r="C2414" s="11">
        <v>80</v>
      </c>
      <c r="D2414">
        <v>38400000</v>
      </c>
      <c r="E2414">
        <v>493</v>
      </c>
    </row>
    <row r="2415" ht="13.85" spans="1:5">
      <c r="A2415">
        <f t="shared" si="37"/>
        <v>2414</v>
      </c>
      <c r="B2415" s="11">
        <v>15607394</v>
      </c>
      <c r="C2415" s="11">
        <v>70</v>
      </c>
      <c r="D2415">
        <v>33600000</v>
      </c>
      <c r="E2415">
        <v>492</v>
      </c>
    </row>
    <row r="2416" ht="13.85" spans="1:5">
      <c r="A2416">
        <f t="shared" si="37"/>
        <v>2415</v>
      </c>
      <c r="B2416" s="11">
        <v>15455980</v>
      </c>
      <c r="C2416" s="11">
        <v>63</v>
      </c>
      <c r="D2416">
        <v>30240000</v>
      </c>
      <c r="E2416">
        <v>491</v>
      </c>
    </row>
    <row r="2417" ht="13.85" spans="1:5">
      <c r="A2417">
        <f t="shared" si="37"/>
        <v>2416</v>
      </c>
      <c r="B2417" s="11">
        <v>12421171</v>
      </c>
      <c r="C2417" s="11">
        <v>55</v>
      </c>
      <c r="D2417">
        <v>26400000</v>
      </c>
      <c r="E2417">
        <v>490</v>
      </c>
    </row>
    <row r="2418" ht="13.85" spans="1:5">
      <c r="A2418">
        <f t="shared" si="37"/>
        <v>2417</v>
      </c>
      <c r="B2418" s="11">
        <v>12509416</v>
      </c>
      <c r="C2418" s="11">
        <v>49</v>
      </c>
      <c r="D2418">
        <v>23520000</v>
      </c>
      <c r="E2418">
        <v>489</v>
      </c>
    </row>
    <row r="2419" ht="13.85" spans="1:5">
      <c r="A2419">
        <f t="shared" si="37"/>
        <v>2418</v>
      </c>
      <c r="B2419" s="11">
        <v>10793249</v>
      </c>
      <c r="C2419" s="11">
        <v>43</v>
      </c>
      <c r="D2419">
        <v>20640000</v>
      </c>
      <c r="E2419">
        <v>488</v>
      </c>
    </row>
    <row r="2420" ht="13.85" spans="1:5">
      <c r="A2420">
        <f t="shared" si="37"/>
        <v>2419</v>
      </c>
      <c r="B2420" s="11">
        <v>11181957</v>
      </c>
      <c r="C2420" s="11">
        <v>38</v>
      </c>
      <c r="D2420">
        <v>18240000</v>
      </c>
      <c r="E2420">
        <v>487</v>
      </c>
    </row>
    <row r="2421" ht="13.85" spans="1:5">
      <c r="A2421">
        <f t="shared" si="37"/>
        <v>2420</v>
      </c>
      <c r="B2421" s="11">
        <v>9694844</v>
      </c>
      <c r="C2421" s="11">
        <v>33</v>
      </c>
      <c r="D2421">
        <v>15840000</v>
      </c>
      <c r="E2421">
        <v>486</v>
      </c>
    </row>
    <row r="2422" ht="13.85" spans="1:5">
      <c r="A2422">
        <f t="shared" si="37"/>
        <v>2421</v>
      </c>
      <c r="B2422" s="11">
        <v>10329896</v>
      </c>
      <c r="C2422" s="11">
        <v>28</v>
      </c>
      <c r="D2422">
        <v>13440000</v>
      </c>
      <c r="E2422">
        <v>485</v>
      </c>
    </row>
    <row r="2423" ht="13.85" spans="1:5">
      <c r="A2423">
        <f t="shared" si="37"/>
        <v>2422</v>
      </c>
      <c r="B2423" s="11">
        <v>8944952</v>
      </c>
      <c r="C2423" s="11">
        <v>22</v>
      </c>
      <c r="D2423">
        <v>10560000</v>
      </c>
      <c r="E2423">
        <v>484</v>
      </c>
    </row>
    <row r="2424" ht="13.85" spans="1:5">
      <c r="A2424">
        <f t="shared" si="37"/>
        <v>2423</v>
      </c>
      <c r="B2424" s="11">
        <v>9684770</v>
      </c>
      <c r="C2424" s="11">
        <v>17</v>
      </c>
      <c r="D2424">
        <v>8160000</v>
      </c>
      <c r="E2424">
        <v>483</v>
      </c>
    </row>
    <row r="2425" ht="13.85" spans="1:5">
      <c r="A2425">
        <f t="shared" si="37"/>
        <v>2424</v>
      </c>
      <c r="B2425" s="11">
        <v>8192740</v>
      </c>
      <c r="C2425" s="11">
        <v>14</v>
      </c>
      <c r="D2425">
        <v>6720000</v>
      </c>
      <c r="E2425">
        <v>482</v>
      </c>
    </row>
    <row r="2426" ht="13.85" spans="1:5">
      <c r="A2426">
        <f t="shared" si="37"/>
        <v>2425</v>
      </c>
      <c r="B2426" s="11">
        <v>9096908</v>
      </c>
      <c r="C2426" s="11">
        <v>12</v>
      </c>
      <c r="D2426">
        <v>5760000</v>
      </c>
      <c r="E2426">
        <v>481</v>
      </c>
    </row>
    <row r="2427" ht="13.85" spans="1:5">
      <c r="A2427">
        <f t="shared" si="37"/>
        <v>2426</v>
      </c>
      <c r="B2427" s="11">
        <v>8023250</v>
      </c>
      <c r="C2427" s="11">
        <v>10</v>
      </c>
      <c r="D2427">
        <v>4800000</v>
      </c>
      <c r="E2427">
        <v>480</v>
      </c>
    </row>
    <row r="2428" ht="13.85" spans="1:5">
      <c r="A2428">
        <f t="shared" si="37"/>
        <v>2427</v>
      </c>
      <c r="B2428" s="11">
        <v>12036060</v>
      </c>
      <c r="C2428" s="11">
        <v>41</v>
      </c>
      <c r="D2428">
        <v>19680000</v>
      </c>
      <c r="E2428">
        <v>479</v>
      </c>
    </row>
    <row r="2429" ht="13.85" spans="1:5">
      <c r="A2429">
        <f t="shared" si="37"/>
        <v>2428</v>
      </c>
      <c r="B2429" s="11">
        <v>10153277</v>
      </c>
      <c r="C2429" s="11">
        <v>35</v>
      </c>
      <c r="D2429">
        <v>16800000</v>
      </c>
      <c r="E2429">
        <v>478</v>
      </c>
    </row>
    <row r="2430" ht="13.85" spans="1:5">
      <c r="A2430">
        <f t="shared" si="37"/>
        <v>2429</v>
      </c>
      <c r="B2430" s="11">
        <v>10972635</v>
      </c>
      <c r="C2430" s="11">
        <v>31</v>
      </c>
      <c r="D2430">
        <v>14880000</v>
      </c>
      <c r="E2430">
        <v>477</v>
      </c>
    </row>
    <row r="2431" ht="13.85" spans="1:5">
      <c r="A2431">
        <f t="shared" si="37"/>
        <v>2430</v>
      </c>
      <c r="B2431" s="11">
        <v>9493334</v>
      </c>
      <c r="C2431" s="11">
        <v>27</v>
      </c>
      <c r="D2431">
        <v>12960000</v>
      </c>
      <c r="E2431">
        <v>476</v>
      </c>
    </row>
    <row r="2432" ht="13.85" spans="1:5">
      <c r="A2432">
        <f t="shared" si="37"/>
        <v>2431</v>
      </c>
      <c r="B2432" s="11">
        <v>9711932</v>
      </c>
      <c r="C2432" s="11">
        <v>22</v>
      </c>
      <c r="D2432">
        <v>10560000</v>
      </c>
      <c r="E2432">
        <v>475</v>
      </c>
    </row>
    <row r="2433" ht="13.85" spans="1:5">
      <c r="A2433">
        <f t="shared" si="37"/>
        <v>2432</v>
      </c>
      <c r="B2433" s="11">
        <v>8819730</v>
      </c>
      <c r="C2433" s="11">
        <v>16</v>
      </c>
      <c r="D2433">
        <v>7680000</v>
      </c>
      <c r="E2433">
        <v>474</v>
      </c>
    </row>
    <row r="2434" ht="13.85" spans="1:5">
      <c r="A2434">
        <f t="shared" ref="A2434:A2497" si="38">ROW()-1</f>
        <v>2433</v>
      </c>
      <c r="B2434" s="11">
        <v>10391229</v>
      </c>
      <c r="C2434" s="11">
        <v>14</v>
      </c>
      <c r="D2434">
        <v>6720000</v>
      </c>
      <c r="E2434">
        <v>473</v>
      </c>
    </row>
    <row r="2435" ht="13.85" spans="1:5">
      <c r="A2435">
        <f t="shared" si="38"/>
        <v>2434</v>
      </c>
      <c r="B2435" s="11">
        <v>6689286</v>
      </c>
      <c r="C2435" s="11">
        <v>12</v>
      </c>
      <c r="D2435">
        <v>5760000</v>
      </c>
      <c r="E2435">
        <v>472</v>
      </c>
    </row>
    <row r="2436" ht="13.85" spans="1:5">
      <c r="A2436">
        <f t="shared" si="38"/>
        <v>2435</v>
      </c>
      <c r="B2436" s="11">
        <v>7415382</v>
      </c>
      <c r="C2436" s="11">
        <v>10</v>
      </c>
      <c r="D2436">
        <v>4800000</v>
      </c>
      <c r="E2436">
        <v>471</v>
      </c>
    </row>
    <row r="2437" ht="13.85" spans="1:5">
      <c r="A2437">
        <f t="shared" si="38"/>
        <v>2436</v>
      </c>
      <c r="B2437" s="11">
        <v>7001587</v>
      </c>
      <c r="C2437" s="11">
        <v>14</v>
      </c>
      <c r="D2437">
        <v>6720000</v>
      </c>
      <c r="E2437">
        <v>470</v>
      </c>
    </row>
    <row r="2438" ht="13.85" spans="1:5">
      <c r="A2438">
        <f t="shared" si="38"/>
        <v>2437</v>
      </c>
      <c r="B2438" s="11">
        <v>7733459</v>
      </c>
      <c r="C2438" s="11">
        <v>12</v>
      </c>
      <c r="D2438">
        <v>5760000</v>
      </c>
      <c r="E2438">
        <v>469</v>
      </c>
    </row>
    <row r="2439" ht="13.85" spans="1:5">
      <c r="A2439">
        <f t="shared" si="38"/>
        <v>2438</v>
      </c>
      <c r="B2439" s="11">
        <v>6829068</v>
      </c>
      <c r="C2439" s="11">
        <v>10</v>
      </c>
      <c r="D2439">
        <v>4800000</v>
      </c>
      <c r="E2439">
        <v>468</v>
      </c>
    </row>
    <row r="2440" ht="13.85" spans="1:5">
      <c r="A2440">
        <f t="shared" si="38"/>
        <v>2439</v>
      </c>
      <c r="B2440" s="11">
        <v>9479504</v>
      </c>
      <c r="C2440" s="11">
        <v>31</v>
      </c>
      <c r="D2440">
        <v>14880000</v>
      </c>
      <c r="E2440">
        <v>467</v>
      </c>
    </row>
    <row r="2441" ht="13.85" spans="1:5">
      <c r="A2441">
        <f t="shared" si="38"/>
        <v>2440</v>
      </c>
      <c r="B2441" s="11">
        <v>8271975</v>
      </c>
      <c r="C2441" s="11">
        <v>26</v>
      </c>
      <c r="D2441">
        <v>12480000</v>
      </c>
      <c r="E2441">
        <v>466</v>
      </c>
    </row>
    <row r="2442" ht="13.85" spans="1:5">
      <c r="A2442">
        <f t="shared" si="38"/>
        <v>2441</v>
      </c>
      <c r="B2442" s="11">
        <v>8761872</v>
      </c>
      <c r="C2442" s="11">
        <v>21</v>
      </c>
      <c r="D2442">
        <v>10080000</v>
      </c>
      <c r="E2442">
        <v>465</v>
      </c>
    </row>
    <row r="2443" ht="13.85" spans="1:5">
      <c r="A2443">
        <f t="shared" si="38"/>
        <v>2442</v>
      </c>
      <c r="B2443" s="11">
        <v>7284821</v>
      </c>
      <c r="C2443" s="11">
        <v>17</v>
      </c>
      <c r="D2443">
        <v>8160000</v>
      </c>
      <c r="E2443">
        <v>464</v>
      </c>
    </row>
    <row r="2444" ht="13.85" spans="1:5">
      <c r="A2444">
        <f t="shared" si="38"/>
        <v>2443</v>
      </c>
      <c r="B2444" s="11">
        <v>8338655</v>
      </c>
      <c r="C2444" s="11">
        <v>14</v>
      </c>
      <c r="D2444">
        <v>6720000</v>
      </c>
      <c r="E2444">
        <v>463</v>
      </c>
    </row>
    <row r="2445" ht="13.85" spans="1:5">
      <c r="A2445">
        <f t="shared" si="38"/>
        <v>2444</v>
      </c>
      <c r="B2445" s="11">
        <v>7386141</v>
      </c>
      <c r="C2445" s="11">
        <v>12</v>
      </c>
      <c r="D2445">
        <v>5760000</v>
      </c>
      <c r="E2445">
        <v>462</v>
      </c>
    </row>
    <row r="2446" ht="13.85" spans="1:5">
      <c r="A2446">
        <f t="shared" si="38"/>
        <v>2445</v>
      </c>
      <c r="B2446" s="11">
        <v>8844819</v>
      </c>
      <c r="C2446" s="11">
        <v>10</v>
      </c>
      <c r="D2446">
        <v>4800000</v>
      </c>
      <c r="E2446">
        <v>461</v>
      </c>
    </row>
    <row r="2447" ht="13.85" spans="1:5">
      <c r="A2447">
        <f t="shared" si="38"/>
        <v>2446</v>
      </c>
      <c r="B2447" s="11">
        <v>16692860</v>
      </c>
      <c r="C2447" s="11">
        <v>80</v>
      </c>
      <c r="D2447">
        <v>38400000</v>
      </c>
      <c r="E2447">
        <v>460</v>
      </c>
    </row>
    <row r="2448" ht="13.85" spans="1:5">
      <c r="A2448">
        <f t="shared" si="38"/>
        <v>2447</v>
      </c>
      <c r="B2448" s="11">
        <v>15439843</v>
      </c>
      <c r="C2448" s="11">
        <v>70</v>
      </c>
      <c r="D2448">
        <v>33600000</v>
      </c>
      <c r="E2448">
        <v>459</v>
      </c>
    </row>
    <row r="2449" ht="13.85" spans="1:5">
      <c r="A2449">
        <f t="shared" si="38"/>
        <v>2448</v>
      </c>
      <c r="B2449" s="11">
        <v>12865524</v>
      </c>
      <c r="C2449" s="11">
        <v>61</v>
      </c>
      <c r="D2449">
        <v>29280000</v>
      </c>
      <c r="E2449">
        <v>458</v>
      </c>
    </row>
    <row r="2450" ht="13.85" spans="1:5">
      <c r="A2450">
        <f t="shared" si="38"/>
        <v>2449</v>
      </c>
      <c r="B2450" s="11">
        <v>12597964</v>
      </c>
      <c r="C2450" s="11">
        <v>54</v>
      </c>
      <c r="D2450">
        <v>25920000</v>
      </c>
      <c r="E2450">
        <v>457</v>
      </c>
    </row>
    <row r="2451" ht="13.85" spans="1:5">
      <c r="A2451">
        <f t="shared" si="38"/>
        <v>2450</v>
      </c>
      <c r="B2451" s="11">
        <v>10727233</v>
      </c>
      <c r="C2451" s="11">
        <v>48</v>
      </c>
      <c r="D2451">
        <v>23040000</v>
      </c>
      <c r="E2451">
        <v>456</v>
      </c>
    </row>
    <row r="2452" ht="13.85" spans="1:5">
      <c r="A2452">
        <f t="shared" si="38"/>
        <v>2451</v>
      </c>
      <c r="B2452" s="11">
        <v>10839433</v>
      </c>
      <c r="C2452" s="11">
        <v>43</v>
      </c>
      <c r="D2452">
        <v>20640000</v>
      </c>
      <c r="E2452">
        <v>455</v>
      </c>
    </row>
    <row r="2453" ht="13.85" spans="1:5">
      <c r="A2453">
        <f t="shared" si="38"/>
        <v>2452</v>
      </c>
      <c r="B2453" s="11">
        <v>9145098</v>
      </c>
      <c r="C2453" s="11">
        <v>38</v>
      </c>
      <c r="D2453">
        <v>18240000</v>
      </c>
      <c r="E2453">
        <v>454</v>
      </c>
    </row>
    <row r="2454" ht="13.85" spans="1:5">
      <c r="A2454">
        <f t="shared" si="38"/>
        <v>2453</v>
      </c>
      <c r="B2454" s="11">
        <v>9815131</v>
      </c>
      <c r="C2454" s="11">
        <v>32</v>
      </c>
      <c r="D2454">
        <v>15360000</v>
      </c>
      <c r="E2454">
        <v>453</v>
      </c>
    </row>
    <row r="2455" ht="13.85" spans="1:5">
      <c r="A2455">
        <f t="shared" si="38"/>
        <v>2454</v>
      </c>
      <c r="B2455" s="11">
        <v>8710721</v>
      </c>
      <c r="C2455" s="11">
        <v>25</v>
      </c>
      <c r="D2455">
        <v>12000000</v>
      </c>
      <c r="E2455">
        <v>452</v>
      </c>
    </row>
    <row r="2456" ht="13.85" spans="1:5">
      <c r="A2456">
        <f t="shared" si="38"/>
        <v>2455</v>
      </c>
      <c r="B2456" s="11">
        <v>9372464</v>
      </c>
      <c r="C2456" s="11">
        <v>21</v>
      </c>
      <c r="D2456">
        <v>10080000</v>
      </c>
      <c r="E2456">
        <v>451</v>
      </c>
    </row>
    <row r="2457" ht="13.85" spans="1:5">
      <c r="A2457">
        <f t="shared" si="38"/>
        <v>2456</v>
      </c>
      <c r="B2457" s="11">
        <v>7596334</v>
      </c>
      <c r="C2457" s="11">
        <v>17</v>
      </c>
      <c r="D2457">
        <v>8160000</v>
      </c>
      <c r="E2457">
        <v>450</v>
      </c>
    </row>
    <row r="2458" ht="13.85" spans="1:5">
      <c r="A2458">
        <f t="shared" si="38"/>
        <v>2457</v>
      </c>
      <c r="B2458" s="11">
        <v>8273694</v>
      </c>
      <c r="C2458" s="11">
        <v>14</v>
      </c>
      <c r="D2458">
        <v>6720000</v>
      </c>
      <c r="E2458">
        <v>449</v>
      </c>
    </row>
    <row r="2459" ht="13.85" spans="1:5">
      <c r="A2459">
        <f t="shared" si="38"/>
        <v>2458</v>
      </c>
      <c r="B2459" s="11">
        <v>7154957</v>
      </c>
      <c r="C2459" s="11">
        <v>12</v>
      </c>
      <c r="D2459">
        <v>5760000</v>
      </c>
      <c r="E2459">
        <v>448</v>
      </c>
    </row>
    <row r="2460" ht="13.85" spans="1:5">
      <c r="A2460">
        <f t="shared" si="38"/>
        <v>2459</v>
      </c>
      <c r="B2460" s="11">
        <v>8372596</v>
      </c>
      <c r="C2460" s="11">
        <v>10</v>
      </c>
      <c r="D2460">
        <v>4800000</v>
      </c>
      <c r="E2460">
        <v>447</v>
      </c>
    </row>
    <row r="2461" ht="13.85" spans="1:5">
      <c r="A2461">
        <f t="shared" si="38"/>
        <v>2460</v>
      </c>
      <c r="B2461" s="11">
        <v>10319719</v>
      </c>
      <c r="C2461" s="11">
        <v>48</v>
      </c>
      <c r="D2461">
        <v>23040000</v>
      </c>
      <c r="E2461">
        <v>446</v>
      </c>
    </row>
    <row r="2462" ht="13.85" spans="1:5">
      <c r="A2462">
        <f t="shared" si="38"/>
        <v>2461</v>
      </c>
      <c r="B2462" s="11">
        <v>10893489</v>
      </c>
      <c r="C2462" s="11">
        <v>43</v>
      </c>
      <c r="D2462">
        <v>20640000</v>
      </c>
      <c r="E2462">
        <v>445</v>
      </c>
    </row>
    <row r="2463" ht="13.85" spans="1:5">
      <c r="A2463">
        <f t="shared" si="38"/>
        <v>2462</v>
      </c>
      <c r="B2463" s="11">
        <v>9136540</v>
      </c>
      <c r="C2463" s="11">
        <v>37</v>
      </c>
      <c r="D2463">
        <v>17760000</v>
      </c>
      <c r="E2463">
        <v>444</v>
      </c>
    </row>
    <row r="2464" ht="13.85" spans="1:5">
      <c r="A2464">
        <f t="shared" si="38"/>
        <v>2463</v>
      </c>
      <c r="B2464" s="11">
        <v>9810248</v>
      </c>
      <c r="C2464" s="11">
        <v>31</v>
      </c>
      <c r="D2464">
        <v>14880000</v>
      </c>
      <c r="E2464">
        <v>443</v>
      </c>
    </row>
    <row r="2465" ht="13.85" spans="1:5">
      <c r="A2465">
        <f t="shared" si="38"/>
        <v>2464</v>
      </c>
      <c r="B2465" s="11">
        <v>8433296</v>
      </c>
      <c r="C2465" s="11">
        <v>26</v>
      </c>
      <c r="D2465">
        <v>12480000</v>
      </c>
      <c r="E2465">
        <v>442</v>
      </c>
    </row>
    <row r="2466" ht="13.85" spans="1:5">
      <c r="A2466">
        <f t="shared" si="38"/>
        <v>2465</v>
      </c>
      <c r="B2466" s="11">
        <v>8982077</v>
      </c>
      <c r="C2466" s="11">
        <v>22</v>
      </c>
      <c r="D2466">
        <v>10560000</v>
      </c>
      <c r="E2466">
        <v>441</v>
      </c>
    </row>
    <row r="2467" ht="13.85" spans="1:5">
      <c r="A2467">
        <f t="shared" si="38"/>
        <v>2466</v>
      </c>
      <c r="B2467" s="11">
        <v>7826893</v>
      </c>
      <c r="C2467" s="11">
        <v>17</v>
      </c>
      <c r="D2467">
        <v>8160000</v>
      </c>
      <c r="E2467">
        <v>440</v>
      </c>
    </row>
    <row r="2468" ht="13.85" spans="1:5">
      <c r="A2468">
        <f t="shared" si="38"/>
        <v>2467</v>
      </c>
      <c r="B2468" s="11">
        <v>8516644</v>
      </c>
      <c r="C2468" s="11">
        <v>14</v>
      </c>
      <c r="D2468">
        <v>6720000</v>
      </c>
      <c r="E2468">
        <v>439</v>
      </c>
    </row>
    <row r="2469" ht="13.85" spans="1:5">
      <c r="A2469">
        <f t="shared" si="38"/>
        <v>2468</v>
      </c>
      <c r="B2469" s="11">
        <v>7278795</v>
      </c>
      <c r="C2469" s="11">
        <v>12</v>
      </c>
      <c r="D2469">
        <v>5760000</v>
      </c>
      <c r="E2469">
        <v>438</v>
      </c>
    </row>
    <row r="2470" ht="13.85" spans="1:5">
      <c r="A2470">
        <f t="shared" si="38"/>
        <v>2469</v>
      </c>
      <c r="B2470" s="11">
        <v>8432510</v>
      </c>
      <c r="C2470" s="11">
        <v>10</v>
      </c>
      <c r="D2470">
        <v>4800000</v>
      </c>
      <c r="E2470">
        <v>437</v>
      </c>
    </row>
    <row r="2471" ht="13.85" spans="1:5">
      <c r="A2471">
        <f t="shared" si="38"/>
        <v>2470</v>
      </c>
      <c r="B2471" s="11">
        <v>9381190</v>
      </c>
      <c r="C2471" s="11">
        <v>32</v>
      </c>
      <c r="D2471">
        <v>15360000</v>
      </c>
      <c r="E2471">
        <v>436</v>
      </c>
    </row>
    <row r="2472" ht="13.85" spans="1:5">
      <c r="A2472">
        <f t="shared" si="38"/>
        <v>2471</v>
      </c>
      <c r="B2472" s="11">
        <v>10036319</v>
      </c>
      <c r="C2472" s="11">
        <v>27</v>
      </c>
      <c r="D2472">
        <v>12960000</v>
      </c>
      <c r="E2472">
        <v>435</v>
      </c>
    </row>
    <row r="2473" ht="13.85" spans="1:5">
      <c r="A2473">
        <f t="shared" si="38"/>
        <v>2472</v>
      </c>
      <c r="B2473" s="11">
        <v>8429272</v>
      </c>
      <c r="C2473" s="11">
        <v>22</v>
      </c>
      <c r="D2473">
        <v>10560000</v>
      </c>
      <c r="E2473">
        <v>434</v>
      </c>
    </row>
    <row r="2474" ht="13.85" spans="1:5">
      <c r="A2474">
        <f t="shared" si="38"/>
        <v>2473</v>
      </c>
      <c r="B2474" s="11">
        <v>9126621</v>
      </c>
      <c r="C2474" s="11">
        <v>18</v>
      </c>
      <c r="D2474">
        <v>8640000</v>
      </c>
      <c r="E2474">
        <v>433</v>
      </c>
    </row>
    <row r="2475" ht="13.85" spans="1:5">
      <c r="A2475">
        <f t="shared" si="38"/>
        <v>2474</v>
      </c>
      <c r="B2475" s="11">
        <v>7737545</v>
      </c>
      <c r="C2475" s="11">
        <v>14</v>
      </c>
      <c r="D2475">
        <v>6720000</v>
      </c>
      <c r="E2475">
        <v>432</v>
      </c>
    </row>
    <row r="2476" ht="13.85" spans="1:5">
      <c r="A2476">
        <f t="shared" si="38"/>
        <v>2475</v>
      </c>
      <c r="B2476" s="11">
        <v>8721797</v>
      </c>
      <c r="C2476" s="11">
        <v>12</v>
      </c>
      <c r="D2476">
        <v>5760000</v>
      </c>
      <c r="E2476">
        <v>431</v>
      </c>
    </row>
    <row r="2477" ht="13.85" spans="1:5">
      <c r="A2477">
        <f t="shared" si="38"/>
        <v>2476</v>
      </c>
      <c r="B2477" s="11">
        <v>7945529</v>
      </c>
      <c r="C2477" s="11">
        <v>10</v>
      </c>
      <c r="D2477">
        <v>4800000</v>
      </c>
      <c r="E2477">
        <v>430</v>
      </c>
    </row>
    <row r="2478" ht="13.85" spans="1:5">
      <c r="A2478">
        <f t="shared" si="38"/>
        <v>2477</v>
      </c>
      <c r="B2478" s="11">
        <v>25845966</v>
      </c>
      <c r="C2478" s="11">
        <v>95</v>
      </c>
      <c r="D2478">
        <v>45600000</v>
      </c>
      <c r="E2478">
        <v>429</v>
      </c>
    </row>
    <row r="2479" ht="13.85" spans="1:5">
      <c r="A2479">
        <f t="shared" si="38"/>
        <v>2478</v>
      </c>
      <c r="B2479" s="11">
        <v>18341699</v>
      </c>
      <c r="C2479" s="11">
        <v>81</v>
      </c>
      <c r="D2479">
        <v>38880000</v>
      </c>
      <c r="E2479">
        <v>428</v>
      </c>
    </row>
    <row r="2480" ht="13.85" spans="1:5">
      <c r="A2480">
        <f t="shared" si="38"/>
        <v>2479</v>
      </c>
      <c r="B2480" s="11">
        <v>16049476</v>
      </c>
      <c r="C2480" s="11">
        <v>71</v>
      </c>
      <c r="D2480">
        <v>34080000</v>
      </c>
      <c r="E2480">
        <v>427</v>
      </c>
    </row>
    <row r="2481" ht="13.85" spans="1:5">
      <c r="A2481">
        <f t="shared" si="38"/>
        <v>2480</v>
      </c>
      <c r="B2481" s="11">
        <v>13130535</v>
      </c>
      <c r="C2481" s="11">
        <v>61</v>
      </c>
      <c r="D2481">
        <v>29280000</v>
      </c>
      <c r="E2481">
        <v>426</v>
      </c>
    </row>
    <row r="2482" ht="13.85" spans="1:5">
      <c r="A2482">
        <f t="shared" si="38"/>
        <v>2481</v>
      </c>
      <c r="B2482" s="11">
        <v>12528568</v>
      </c>
      <c r="C2482" s="11">
        <v>55</v>
      </c>
      <c r="D2482">
        <v>26400000</v>
      </c>
      <c r="E2482">
        <v>425</v>
      </c>
    </row>
    <row r="2483" ht="13.85" spans="1:5">
      <c r="A2483">
        <f t="shared" si="38"/>
        <v>2482</v>
      </c>
      <c r="B2483" s="11">
        <v>10322519</v>
      </c>
      <c r="C2483" s="11">
        <v>49</v>
      </c>
      <c r="D2483">
        <v>23520000</v>
      </c>
      <c r="E2483">
        <v>424</v>
      </c>
    </row>
    <row r="2484" ht="13.85" spans="1:5">
      <c r="A2484">
        <f t="shared" si="38"/>
        <v>2483</v>
      </c>
      <c r="B2484" s="11">
        <v>10554870</v>
      </c>
      <c r="C2484" s="11">
        <v>44</v>
      </c>
      <c r="D2484">
        <v>21120000</v>
      </c>
      <c r="E2484">
        <v>423</v>
      </c>
    </row>
    <row r="2485" ht="13.85" spans="1:5">
      <c r="A2485">
        <f t="shared" si="38"/>
        <v>2484</v>
      </c>
      <c r="B2485" s="15">
        <v>8365258</v>
      </c>
      <c r="C2485" s="15">
        <v>38</v>
      </c>
      <c r="D2485">
        <v>18240000</v>
      </c>
      <c r="E2485">
        <v>422</v>
      </c>
    </row>
    <row r="2486" ht="13.85" spans="1:5">
      <c r="A2486">
        <f t="shared" si="38"/>
        <v>2485</v>
      </c>
      <c r="B2486" s="13">
        <v>9465658</v>
      </c>
      <c r="C2486" s="13">
        <v>33</v>
      </c>
      <c r="D2486">
        <v>15840000</v>
      </c>
      <c r="E2486">
        <v>421</v>
      </c>
    </row>
    <row r="2487" ht="13.85" spans="1:5">
      <c r="A2487">
        <f t="shared" si="38"/>
        <v>2486</v>
      </c>
      <c r="B2487" s="11">
        <v>7521115</v>
      </c>
      <c r="C2487" s="11">
        <v>28</v>
      </c>
      <c r="D2487">
        <v>13440000</v>
      </c>
      <c r="E2487">
        <v>420</v>
      </c>
    </row>
    <row r="2488" ht="13.85" spans="1:5">
      <c r="A2488">
        <f t="shared" si="38"/>
        <v>2487</v>
      </c>
      <c r="B2488" s="11">
        <v>9049477</v>
      </c>
      <c r="C2488" s="11">
        <v>24</v>
      </c>
      <c r="D2488">
        <v>11520000</v>
      </c>
      <c r="E2488">
        <v>419</v>
      </c>
    </row>
    <row r="2489" ht="13.85" spans="1:5">
      <c r="A2489">
        <f t="shared" si="38"/>
        <v>2488</v>
      </c>
      <c r="B2489" s="11">
        <v>7645900</v>
      </c>
      <c r="C2489" s="11">
        <v>20</v>
      </c>
      <c r="D2489">
        <v>9600000</v>
      </c>
      <c r="E2489">
        <v>418</v>
      </c>
    </row>
    <row r="2490" ht="13.85" spans="1:5">
      <c r="A2490">
        <f t="shared" si="38"/>
        <v>2489</v>
      </c>
      <c r="B2490" s="11">
        <v>8136720</v>
      </c>
      <c r="C2490" s="11">
        <v>16</v>
      </c>
      <c r="D2490">
        <v>7680000</v>
      </c>
      <c r="E2490">
        <v>417</v>
      </c>
    </row>
    <row r="2491" ht="13.85" spans="1:5">
      <c r="A2491">
        <f t="shared" si="38"/>
        <v>2490</v>
      </c>
      <c r="B2491" s="11">
        <v>7097026</v>
      </c>
      <c r="C2491" s="11">
        <v>14</v>
      </c>
      <c r="D2491">
        <v>6720000</v>
      </c>
      <c r="E2491">
        <v>416</v>
      </c>
    </row>
    <row r="2492" ht="13.85" spans="1:5">
      <c r="A2492">
        <f t="shared" si="38"/>
        <v>2491</v>
      </c>
      <c r="B2492" s="11">
        <v>7812322</v>
      </c>
      <c r="C2492" s="11">
        <v>12</v>
      </c>
      <c r="D2492">
        <v>5760000</v>
      </c>
      <c r="E2492">
        <v>415</v>
      </c>
    </row>
    <row r="2493" ht="13.85" spans="1:5">
      <c r="A2493">
        <f t="shared" si="38"/>
        <v>2492</v>
      </c>
      <c r="B2493" s="11">
        <v>6881518</v>
      </c>
      <c r="C2493" s="11">
        <v>10</v>
      </c>
      <c r="D2493">
        <v>4800000</v>
      </c>
      <c r="E2493">
        <v>414</v>
      </c>
    </row>
    <row r="2494" ht="13.85" spans="1:5">
      <c r="A2494">
        <f t="shared" si="38"/>
        <v>2493</v>
      </c>
      <c r="B2494" s="11">
        <v>9207857</v>
      </c>
      <c r="C2494" s="11">
        <v>29</v>
      </c>
      <c r="D2494">
        <v>13920000</v>
      </c>
      <c r="E2494">
        <v>413</v>
      </c>
    </row>
    <row r="2495" ht="13.85" spans="1:5">
      <c r="A2495">
        <f t="shared" si="38"/>
        <v>2494</v>
      </c>
      <c r="B2495" s="11">
        <v>8002137</v>
      </c>
      <c r="C2495" s="11">
        <v>24</v>
      </c>
      <c r="D2495">
        <v>11520000</v>
      </c>
      <c r="E2495">
        <v>412</v>
      </c>
    </row>
    <row r="2496" ht="13.85" spans="1:5">
      <c r="A2496">
        <f t="shared" si="38"/>
        <v>2495</v>
      </c>
      <c r="B2496" s="11">
        <v>8205891</v>
      </c>
      <c r="C2496" s="11">
        <v>20</v>
      </c>
      <c r="D2496">
        <v>9600000</v>
      </c>
      <c r="E2496">
        <v>411</v>
      </c>
    </row>
    <row r="2497" ht="13.85" spans="1:5">
      <c r="A2497">
        <f t="shared" si="38"/>
        <v>2496</v>
      </c>
      <c r="B2497" s="11">
        <v>7860000</v>
      </c>
      <c r="C2497" s="11">
        <v>16</v>
      </c>
      <c r="D2497">
        <v>7680000</v>
      </c>
      <c r="E2497">
        <v>410</v>
      </c>
    </row>
    <row r="2498" ht="13.85" spans="1:5">
      <c r="A2498">
        <f t="shared" ref="A2498:A2561" si="39">ROW()-1</f>
        <v>2497</v>
      </c>
      <c r="B2498" s="11">
        <v>8293273</v>
      </c>
      <c r="C2498" s="11">
        <v>14</v>
      </c>
      <c r="D2498">
        <v>6720000</v>
      </c>
      <c r="E2498">
        <v>409</v>
      </c>
    </row>
    <row r="2499" ht="13.85" spans="1:5">
      <c r="A2499">
        <f t="shared" si="39"/>
        <v>2498</v>
      </c>
      <c r="B2499" s="11">
        <v>7242866</v>
      </c>
      <c r="C2499" s="11">
        <v>12</v>
      </c>
      <c r="D2499">
        <v>5760000</v>
      </c>
      <c r="E2499">
        <v>408</v>
      </c>
    </row>
    <row r="2500" ht="13.85" spans="1:5">
      <c r="A2500">
        <f t="shared" si="39"/>
        <v>2499</v>
      </c>
      <c r="B2500" s="11">
        <v>8398910</v>
      </c>
      <c r="C2500" s="11">
        <v>10</v>
      </c>
      <c r="D2500">
        <v>4800000</v>
      </c>
      <c r="E2500">
        <v>407</v>
      </c>
    </row>
    <row r="2501" ht="13.85" spans="1:5">
      <c r="A2501">
        <f t="shared" si="39"/>
        <v>2500</v>
      </c>
      <c r="B2501" s="11">
        <v>11307130</v>
      </c>
      <c r="C2501" s="11">
        <v>55</v>
      </c>
      <c r="D2501">
        <v>26400000</v>
      </c>
      <c r="E2501">
        <v>406</v>
      </c>
    </row>
    <row r="2502" ht="13.85" spans="1:5">
      <c r="A2502">
        <f t="shared" si="39"/>
        <v>2501</v>
      </c>
      <c r="B2502" s="11">
        <v>11927436</v>
      </c>
      <c r="C2502" s="11">
        <v>50</v>
      </c>
      <c r="D2502">
        <v>24000000</v>
      </c>
      <c r="E2502">
        <v>405</v>
      </c>
    </row>
    <row r="2503" ht="13.85" spans="1:5">
      <c r="A2503">
        <f t="shared" si="39"/>
        <v>2502</v>
      </c>
      <c r="B2503" s="11">
        <v>9647767</v>
      </c>
      <c r="C2503" s="11">
        <v>45</v>
      </c>
      <c r="D2503">
        <v>21600000</v>
      </c>
      <c r="E2503">
        <v>404</v>
      </c>
    </row>
    <row r="2504" ht="13.85" spans="1:5">
      <c r="A2504">
        <f t="shared" si="39"/>
        <v>2503</v>
      </c>
      <c r="B2504" s="11">
        <v>10181856</v>
      </c>
      <c r="C2504" s="11">
        <v>40</v>
      </c>
      <c r="D2504">
        <v>19200000</v>
      </c>
      <c r="E2504">
        <v>403</v>
      </c>
    </row>
    <row r="2505" ht="13.85" spans="1:5">
      <c r="A2505">
        <f t="shared" si="39"/>
        <v>2504</v>
      </c>
      <c r="B2505" s="11">
        <v>8762181</v>
      </c>
      <c r="C2505" s="11">
        <v>35</v>
      </c>
      <c r="D2505">
        <v>16800000</v>
      </c>
      <c r="E2505">
        <v>402</v>
      </c>
    </row>
    <row r="2506" ht="13.85" spans="1:5">
      <c r="A2506">
        <f t="shared" si="39"/>
        <v>2505</v>
      </c>
      <c r="B2506" s="11">
        <v>9507534</v>
      </c>
      <c r="C2506" s="11">
        <v>30</v>
      </c>
      <c r="D2506">
        <v>14400000</v>
      </c>
      <c r="E2506">
        <v>401</v>
      </c>
    </row>
    <row r="2507" ht="13.85" spans="1:5">
      <c r="A2507">
        <f t="shared" si="39"/>
        <v>2506</v>
      </c>
      <c r="B2507" s="11">
        <v>8191678</v>
      </c>
      <c r="C2507" s="11">
        <v>25</v>
      </c>
      <c r="D2507">
        <v>12000000</v>
      </c>
      <c r="E2507">
        <v>400</v>
      </c>
    </row>
    <row r="2508" ht="13.85" spans="1:5">
      <c r="A2508">
        <f t="shared" si="39"/>
        <v>2507</v>
      </c>
      <c r="B2508" s="11">
        <v>8962689</v>
      </c>
      <c r="C2508" s="11">
        <v>21</v>
      </c>
      <c r="D2508">
        <v>10080000</v>
      </c>
      <c r="E2508">
        <v>399</v>
      </c>
    </row>
    <row r="2509" ht="13.85" spans="1:5">
      <c r="A2509">
        <f t="shared" si="39"/>
        <v>2508</v>
      </c>
      <c r="B2509" s="11">
        <v>7730059</v>
      </c>
      <c r="C2509" s="11">
        <v>16</v>
      </c>
      <c r="D2509">
        <v>7680000</v>
      </c>
      <c r="E2509">
        <v>398</v>
      </c>
    </row>
    <row r="2510" ht="13.85" spans="1:5">
      <c r="A2510">
        <f t="shared" si="39"/>
        <v>2509</v>
      </c>
      <c r="B2510" s="11">
        <v>8635605</v>
      </c>
      <c r="C2510" s="11">
        <v>14</v>
      </c>
      <c r="D2510">
        <v>6720000</v>
      </c>
      <c r="E2510">
        <v>397</v>
      </c>
    </row>
    <row r="2511" ht="13.85" spans="1:5">
      <c r="A2511">
        <f t="shared" si="39"/>
        <v>2510</v>
      </c>
      <c r="B2511" s="11">
        <v>7700373</v>
      </c>
      <c r="C2511" s="11">
        <v>12</v>
      </c>
      <c r="D2511">
        <v>5760000</v>
      </c>
      <c r="E2511">
        <v>396</v>
      </c>
    </row>
    <row r="2512" ht="13.85" spans="1:5">
      <c r="A2512">
        <f t="shared" si="39"/>
        <v>2511</v>
      </c>
      <c r="B2512" s="11">
        <v>8768966</v>
      </c>
      <c r="C2512" s="11">
        <v>10</v>
      </c>
      <c r="D2512">
        <v>4800000</v>
      </c>
      <c r="E2512">
        <v>395</v>
      </c>
    </row>
    <row r="2513" ht="13.85" spans="1:5">
      <c r="A2513">
        <f t="shared" si="39"/>
        <v>2512</v>
      </c>
      <c r="B2513" s="11">
        <v>10563159</v>
      </c>
      <c r="C2513" s="11">
        <v>48</v>
      </c>
      <c r="D2513">
        <v>23040000</v>
      </c>
      <c r="E2513">
        <v>394</v>
      </c>
    </row>
    <row r="2514" ht="13.85" spans="1:5">
      <c r="A2514">
        <f t="shared" si="39"/>
        <v>2513</v>
      </c>
      <c r="B2514" s="11">
        <v>11299082</v>
      </c>
      <c r="C2514" s="11">
        <v>43</v>
      </c>
      <c r="D2514">
        <v>20640000</v>
      </c>
      <c r="E2514">
        <v>393</v>
      </c>
    </row>
    <row r="2515" ht="13.85" spans="1:5">
      <c r="A2515">
        <f t="shared" si="39"/>
        <v>2514</v>
      </c>
      <c r="B2515" s="11">
        <v>9695191</v>
      </c>
      <c r="C2515" s="11">
        <v>36</v>
      </c>
      <c r="D2515">
        <v>17280000</v>
      </c>
      <c r="E2515">
        <v>392</v>
      </c>
    </row>
    <row r="2516" ht="13.85" spans="1:5">
      <c r="A2516">
        <f t="shared" si="39"/>
        <v>2515</v>
      </c>
      <c r="B2516" s="11">
        <v>10280328</v>
      </c>
      <c r="C2516" s="11">
        <v>31</v>
      </c>
      <c r="D2516">
        <v>14880000</v>
      </c>
      <c r="E2516">
        <v>391</v>
      </c>
    </row>
    <row r="2517" ht="13.85" spans="1:5">
      <c r="A2517">
        <f t="shared" si="39"/>
        <v>2516</v>
      </c>
      <c r="B2517" s="11">
        <v>8913768</v>
      </c>
      <c r="C2517" s="11">
        <v>27</v>
      </c>
      <c r="D2517">
        <v>12960000</v>
      </c>
      <c r="E2517">
        <v>390</v>
      </c>
    </row>
    <row r="2518" ht="13.85" spans="1:5">
      <c r="A2518">
        <f t="shared" si="39"/>
        <v>2517</v>
      </c>
      <c r="B2518" s="11">
        <v>10908295</v>
      </c>
      <c r="C2518" s="11">
        <v>22</v>
      </c>
      <c r="D2518">
        <v>10560000</v>
      </c>
      <c r="E2518">
        <v>389</v>
      </c>
    </row>
    <row r="2519" ht="13.85" spans="1:5">
      <c r="A2519">
        <f t="shared" si="39"/>
        <v>2518</v>
      </c>
      <c r="B2519" s="11">
        <v>9256235</v>
      </c>
      <c r="C2519" s="11">
        <v>16</v>
      </c>
      <c r="D2519">
        <v>7680000</v>
      </c>
      <c r="E2519">
        <v>388</v>
      </c>
    </row>
    <row r="2520" ht="13.85" spans="1:5">
      <c r="A2520">
        <f t="shared" si="39"/>
        <v>2519</v>
      </c>
      <c r="B2520" s="11">
        <v>11038937</v>
      </c>
      <c r="C2520" s="11">
        <v>12</v>
      </c>
      <c r="D2520">
        <v>5760000</v>
      </c>
      <c r="E2520">
        <v>387</v>
      </c>
    </row>
    <row r="2521" ht="13.85" spans="1:5">
      <c r="A2521">
        <f t="shared" si="39"/>
        <v>2520</v>
      </c>
      <c r="B2521" s="11">
        <v>11609972</v>
      </c>
      <c r="C2521" s="11">
        <v>10</v>
      </c>
      <c r="D2521">
        <v>4800000</v>
      </c>
      <c r="E2521">
        <v>386</v>
      </c>
    </row>
    <row r="2522" ht="13.85" spans="1:5">
      <c r="A2522">
        <f t="shared" si="39"/>
        <v>2521</v>
      </c>
      <c r="B2522" s="11">
        <v>203868890</v>
      </c>
      <c r="C2522" s="11">
        <v>280</v>
      </c>
      <c r="D2522">
        <v>134400000</v>
      </c>
      <c r="E2522">
        <v>385</v>
      </c>
    </row>
    <row r="2523" ht="13.85" spans="1:5">
      <c r="A2523">
        <f t="shared" si="39"/>
        <v>2522</v>
      </c>
      <c r="B2523" s="11">
        <v>117448757</v>
      </c>
      <c r="C2523" s="11">
        <v>200</v>
      </c>
      <c r="D2523">
        <v>96000000</v>
      </c>
      <c r="E2523">
        <v>384</v>
      </c>
    </row>
    <row r="2524" ht="13.85" spans="1:5">
      <c r="A2524">
        <f t="shared" si="39"/>
        <v>2523</v>
      </c>
      <c r="B2524" s="11">
        <v>50139368</v>
      </c>
      <c r="C2524" s="11">
        <v>128</v>
      </c>
      <c r="D2524">
        <v>61440000</v>
      </c>
      <c r="E2524">
        <v>383</v>
      </c>
    </row>
    <row r="2525" ht="13.85" spans="1:5">
      <c r="A2525">
        <f t="shared" si="39"/>
        <v>2524</v>
      </c>
      <c r="B2525" s="11">
        <v>33890370</v>
      </c>
      <c r="C2525" s="11">
        <v>100</v>
      </c>
      <c r="D2525">
        <v>48000000</v>
      </c>
      <c r="E2525">
        <v>382</v>
      </c>
    </row>
    <row r="2526" ht="13.85" spans="1:5">
      <c r="A2526">
        <f t="shared" si="39"/>
        <v>2525</v>
      </c>
      <c r="B2526" s="11">
        <v>20096990</v>
      </c>
      <c r="C2526" s="11">
        <v>86</v>
      </c>
      <c r="D2526">
        <v>41280000</v>
      </c>
      <c r="E2526">
        <v>381</v>
      </c>
    </row>
    <row r="2527" ht="13.85" spans="1:5">
      <c r="A2527">
        <f t="shared" si="39"/>
        <v>2526</v>
      </c>
      <c r="B2527" s="11">
        <v>16726966</v>
      </c>
      <c r="C2527" s="11">
        <v>75</v>
      </c>
      <c r="D2527">
        <v>36000000</v>
      </c>
      <c r="E2527">
        <v>380</v>
      </c>
    </row>
    <row r="2528" ht="13.85" spans="1:5">
      <c r="A2528">
        <f t="shared" si="39"/>
        <v>2527</v>
      </c>
      <c r="B2528" s="11">
        <v>15365257</v>
      </c>
      <c r="C2528" s="11">
        <v>67</v>
      </c>
      <c r="D2528">
        <v>32160000</v>
      </c>
      <c r="E2528">
        <v>379</v>
      </c>
    </row>
    <row r="2529" ht="13.85" spans="1:5">
      <c r="A2529">
        <f t="shared" si="39"/>
        <v>2528</v>
      </c>
      <c r="B2529" s="11">
        <v>11632349</v>
      </c>
      <c r="C2529" s="11">
        <v>59</v>
      </c>
      <c r="D2529">
        <v>28320000</v>
      </c>
      <c r="E2529">
        <v>378</v>
      </c>
    </row>
    <row r="2530" ht="13.85" spans="1:5">
      <c r="A2530">
        <f t="shared" si="39"/>
        <v>2529</v>
      </c>
      <c r="B2530" s="11">
        <v>11627802</v>
      </c>
      <c r="C2530" s="11">
        <v>52</v>
      </c>
      <c r="D2530">
        <v>24960000</v>
      </c>
      <c r="E2530">
        <v>377</v>
      </c>
    </row>
    <row r="2531" ht="13.85" spans="1:5">
      <c r="A2531">
        <f t="shared" si="39"/>
        <v>2530</v>
      </c>
      <c r="B2531" s="11">
        <v>9600929</v>
      </c>
      <c r="C2531" s="11">
        <v>46</v>
      </c>
      <c r="D2531">
        <v>22080000</v>
      </c>
      <c r="E2531">
        <v>376</v>
      </c>
    </row>
    <row r="2532" ht="13.85" spans="1:5">
      <c r="A2532">
        <f t="shared" si="39"/>
        <v>2531</v>
      </c>
      <c r="B2532" s="11">
        <v>9878908</v>
      </c>
      <c r="C2532" s="11">
        <v>41</v>
      </c>
      <c r="D2532">
        <v>19680000</v>
      </c>
      <c r="E2532">
        <v>375</v>
      </c>
    </row>
    <row r="2533" ht="13.85" spans="1:5">
      <c r="A2533">
        <f t="shared" si="39"/>
        <v>2532</v>
      </c>
      <c r="B2533" s="11">
        <v>8379525</v>
      </c>
      <c r="C2533" s="11">
        <v>36</v>
      </c>
      <c r="D2533">
        <v>17280000</v>
      </c>
      <c r="E2533">
        <v>374</v>
      </c>
    </row>
    <row r="2534" ht="13.85" spans="1:5">
      <c r="A2534">
        <f t="shared" si="39"/>
        <v>2533</v>
      </c>
      <c r="B2534" s="11">
        <v>8968690</v>
      </c>
      <c r="C2534" s="11">
        <v>31</v>
      </c>
      <c r="D2534">
        <v>14880000</v>
      </c>
      <c r="E2534">
        <v>373</v>
      </c>
    </row>
    <row r="2535" ht="13.85" spans="1:5">
      <c r="A2535">
        <f t="shared" si="39"/>
        <v>2534</v>
      </c>
      <c r="B2535" s="11">
        <v>7591363</v>
      </c>
      <c r="C2535" s="11">
        <v>27</v>
      </c>
      <c r="D2535">
        <v>12960000</v>
      </c>
      <c r="E2535">
        <v>372</v>
      </c>
    </row>
    <row r="2536" ht="13.85" spans="1:5">
      <c r="A2536">
        <f t="shared" si="39"/>
        <v>2535</v>
      </c>
      <c r="B2536" s="11">
        <v>8102034</v>
      </c>
      <c r="C2536" s="11">
        <v>23</v>
      </c>
      <c r="D2536">
        <v>11040000</v>
      </c>
      <c r="E2536">
        <v>371</v>
      </c>
    </row>
    <row r="2537" ht="13.85" spans="1:5">
      <c r="A2537">
        <f t="shared" si="39"/>
        <v>2536</v>
      </c>
      <c r="B2537" s="11">
        <v>6704001</v>
      </c>
      <c r="C2537" s="11">
        <v>18</v>
      </c>
      <c r="D2537">
        <v>8640000</v>
      </c>
      <c r="E2537">
        <v>370</v>
      </c>
    </row>
    <row r="2538" ht="13.85" spans="1:5">
      <c r="A2538">
        <f t="shared" si="39"/>
        <v>2537</v>
      </c>
      <c r="B2538" s="11">
        <v>7652840</v>
      </c>
      <c r="C2538" s="11">
        <v>16</v>
      </c>
      <c r="D2538">
        <v>7680000</v>
      </c>
      <c r="E2538">
        <v>369</v>
      </c>
    </row>
    <row r="2539" ht="13.85" spans="1:5">
      <c r="A2539">
        <f t="shared" si="39"/>
        <v>2538</v>
      </c>
      <c r="B2539" s="11">
        <v>6589883</v>
      </c>
      <c r="C2539" s="11">
        <v>14</v>
      </c>
      <c r="D2539">
        <v>6720000</v>
      </c>
      <c r="E2539">
        <v>368</v>
      </c>
    </row>
    <row r="2540" ht="13.85" spans="1:5">
      <c r="A2540">
        <f t="shared" si="39"/>
        <v>2539</v>
      </c>
      <c r="B2540" s="11">
        <v>7328072</v>
      </c>
      <c r="C2540" s="11">
        <v>12</v>
      </c>
      <c r="D2540">
        <v>5760000</v>
      </c>
      <c r="E2540">
        <v>367</v>
      </c>
    </row>
    <row r="2541" ht="13.85" spans="1:5">
      <c r="A2541">
        <f t="shared" si="39"/>
        <v>2540</v>
      </c>
      <c r="B2541" s="11">
        <v>6339419</v>
      </c>
      <c r="C2541" s="11">
        <v>10</v>
      </c>
      <c r="D2541">
        <v>4800000</v>
      </c>
      <c r="E2541">
        <v>366</v>
      </c>
    </row>
    <row r="2542" ht="13.85" spans="1:5">
      <c r="A2542">
        <f t="shared" si="39"/>
        <v>2541</v>
      </c>
      <c r="B2542" s="11">
        <v>7906112</v>
      </c>
      <c r="C2542" s="11">
        <v>20</v>
      </c>
      <c r="D2542">
        <v>9600000</v>
      </c>
      <c r="E2542">
        <v>365</v>
      </c>
    </row>
    <row r="2543" ht="13.85" spans="1:5">
      <c r="A2543">
        <f t="shared" si="39"/>
        <v>2542</v>
      </c>
      <c r="B2543" s="11">
        <v>6822330</v>
      </c>
      <c r="C2543" s="11">
        <v>16</v>
      </c>
      <c r="D2543">
        <v>7680000</v>
      </c>
      <c r="E2543">
        <v>364</v>
      </c>
    </row>
    <row r="2544" ht="13.85" spans="1:5">
      <c r="A2544">
        <f t="shared" si="39"/>
        <v>2543</v>
      </c>
      <c r="B2544" s="11">
        <v>7520434</v>
      </c>
      <c r="C2544" s="11">
        <v>14</v>
      </c>
      <c r="D2544">
        <v>6720000</v>
      </c>
      <c r="E2544">
        <v>363</v>
      </c>
    </row>
    <row r="2545" ht="13.85" spans="1:5">
      <c r="A2545">
        <f t="shared" si="39"/>
        <v>2544</v>
      </c>
      <c r="B2545" s="11">
        <v>6688909</v>
      </c>
      <c r="C2545" s="11">
        <v>12</v>
      </c>
      <c r="D2545">
        <v>5760000</v>
      </c>
      <c r="E2545">
        <v>362</v>
      </c>
    </row>
    <row r="2546" ht="13.85" spans="1:5">
      <c r="A2546">
        <f t="shared" si="39"/>
        <v>2545</v>
      </c>
      <c r="B2546" s="11">
        <v>7819018</v>
      </c>
      <c r="C2546" s="11">
        <v>10</v>
      </c>
      <c r="D2546">
        <v>4800000</v>
      </c>
      <c r="E2546">
        <v>361</v>
      </c>
    </row>
    <row r="2547" ht="13.85" spans="1:5">
      <c r="A2547">
        <f t="shared" si="39"/>
        <v>2546</v>
      </c>
      <c r="B2547" s="11">
        <v>11241279</v>
      </c>
      <c r="C2547" s="11">
        <v>62</v>
      </c>
      <c r="D2547">
        <v>29760000</v>
      </c>
      <c r="E2547">
        <v>360</v>
      </c>
    </row>
    <row r="2548" ht="13.85" spans="1:5">
      <c r="A2548">
        <f t="shared" si="39"/>
        <v>2547</v>
      </c>
      <c r="B2548" s="11">
        <v>11713185</v>
      </c>
      <c r="C2548" s="11">
        <v>56</v>
      </c>
      <c r="D2548">
        <v>26880000</v>
      </c>
      <c r="E2548">
        <v>359</v>
      </c>
    </row>
    <row r="2549" ht="13.85" spans="1:5">
      <c r="A2549">
        <f t="shared" si="39"/>
        <v>2548</v>
      </c>
      <c r="B2549" s="11">
        <v>9854780</v>
      </c>
      <c r="C2549" s="11">
        <v>49</v>
      </c>
      <c r="D2549">
        <v>23520000</v>
      </c>
      <c r="E2549">
        <v>358</v>
      </c>
    </row>
    <row r="2550" ht="13.85" spans="1:5">
      <c r="A2550">
        <f t="shared" si="39"/>
        <v>2549</v>
      </c>
      <c r="B2550" s="11">
        <v>10130523</v>
      </c>
      <c r="C2550" s="11">
        <v>44</v>
      </c>
      <c r="D2550">
        <v>21120000</v>
      </c>
      <c r="E2550">
        <v>357</v>
      </c>
    </row>
    <row r="2551" ht="13.85" spans="1:5">
      <c r="A2551">
        <f t="shared" si="39"/>
        <v>2550</v>
      </c>
      <c r="B2551" s="11">
        <v>8605823</v>
      </c>
      <c r="C2551" s="11">
        <v>38</v>
      </c>
      <c r="D2551">
        <v>18240000</v>
      </c>
      <c r="E2551">
        <v>356</v>
      </c>
    </row>
    <row r="2552" ht="13.85" spans="1:5">
      <c r="A2552">
        <f t="shared" si="39"/>
        <v>2551</v>
      </c>
      <c r="B2552" s="11">
        <v>9164987</v>
      </c>
      <c r="C2552" s="11">
        <v>34</v>
      </c>
      <c r="D2552">
        <v>16320000</v>
      </c>
      <c r="E2552">
        <v>355</v>
      </c>
    </row>
    <row r="2553" ht="13.85" spans="1:5">
      <c r="A2553">
        <f t="shared" si="39"/>
        <v>2552</v>
      </c>
      <c r="B2553" s="11">
        <v>7829671</v>
      </c>
      <c r="C2553" s="11">
        <v>29</v>
      </c>
      <c r="D2553">
        <v>13920000</v>
      </c>
      <c r="E2553">
        <v>354</v>
      </c>
    </row>
    <row r="2554" ht="13.85" spans="1:5">
      <c r="A2554">
        <f t="shared" si="39"/>
        <v>2553</v>
      </c>
      <c r="B2554" s="11">
        <v>8483770</v>
      </c>
      <c r="C2554" s="11">
        <v>24</v>
      </c>
      <c r="D2554">
        <v>11520000</v>
      </c>
      <c r="E2554">
        <v>353</v>
      </c>
    </row>
    <row r="2555" ht="13.85" spans="1:5">
      <c r="A2555">
        <f t="shared" si="39"/>
        <v>2554</v>
      </c>
      <c r="B2555" s="11">
        <v>7251145</v>
      </c>
      <c r="C2555" s="11">
        <v>20</v>
      </c>
      <c r="D2555">
        <v>9600000</v>
      </c>
      <c r="E2555">
        <v>352</v>
      </c>
    </row>
    <row r="2556" ht="13.85" spans="1:5">
      <c r="A2556">
        <f t="shared" si="39"/>
        <v>2555</v>
      </c>
      <c r="B2556" s="11">
        <v>7874779</v>
      </c>
      <c r="C2556" s="11">
        <v>16</v>
      </c>
      <c r="D2556">
        <v>7680000</v>
      </c>
      <c r="E2556">
        <v>351</v>
      </c>
    </row>
    <row r="2557" ht="13.85" spans="1:5">
      <c r="A2557">
        <f t="shared" si="39"/>
        <v>2556</v>
      </c>
      <c r="B2557" s="11">
        <v>6955650</v>
      </c>
      <c r="C2557" s="11">
        <v>14</v>
      </c>
      <c r="D2557">
        <v>6720000</v>
      </c>
      <c r="E2557">
        <v>350</v>
      </c>
    </row>
    <row r="2558" ht="13.85" spans="1:5">
      <c r="A2558">
        <f t="shared" si="39"/>
        <v>2557</v>
      </c>
      <c r="B2558" s="11">
        <v>7850585</v>
      </c>
      <c r="C2558" s="11">
        <v>12</v>
      </c>
      <c r="D2558">
        <v>5760000</v>
      </c>
      <c r="E2558">
        <v>349</v>
      </c>
    </row>
    <row r="2559" ht="13.85" spans="1:5">
      <c r="A2559">
        <f t="shared" si="39"/>
        <v>2558</v>
      </c>
      <c r="B2559" s="11">
        <v>7326783</v>
      </c>
      <c r="C2559" s="11">
        <v>10</v>
      </c>
      <c r="D2559">
        <v>4800000</v>
      </c>
      <c r="E2559">
        <v>348</v>
      </c>
    </row>
    <row r="2560" ht="13.85" spans="1:5">
      <c r="A2560">
        <f t="shared" si="39"/>
        <v>2559</v>
      </c>
      <c r="B2560" s="11">
        <v>18814912</v>
      </c>
      <c r="C2560" s="11">
        <v>84</v>
      </c>
      <c r="D2560">
        <v>40320000</v>
      </c>
      <c r="E2560">
        <v>347</v>
      </c>
    </row>
    <row r="2561" ht="13.85" spans="1:5">
      <c r="A2561">
        <f t="shared" si="39"/>
        <v>2560</v>
      </c>
      <c r="B2561" s="11">
        <v>15433027</v>
      </c>
      <c r="C2561" s="11">
        <v>74</v>
      </c>
      <c r="D2561">
        <v>35520000</v>
      </c>
      <c r="E2561">
        <v>346</v>
      </c>
    </row>
    <row r="2562" ht="13.85" spans="1:5">
      <c r="A2562">
        <f t="shared" ref="A2562:A2625" si="40">ROW()-1</f>
        <v>2561</v>
      </c>
      <c r="B2562" s="11">
        <v>14283622</v>
      </c>
      <c r="C2562" s="11">
        <v>66</v>
      </c>
      <c r="D2562">
        <v>31680000</v>
      </c>
      <c r="E2562">
        <v>345</v>
      </c>
    </row>
    <row r="2563" ht="13.85" spans="1:5">
      <c r="A2563">
        <f t="shared" si="40"/>
        <v>2562</v>
      </c>
      <c r="B2563" s="11">
        <v>12108440</v>
      </c>
      <c r="C2563" s="11">
        <v>59</v>
      </c>
      <c r="D2563">
        <v>28320000</v>
      </c>
      <c r="E2563">
        <v>344</v>
      </c>
    </row>
    <row r="2564" ht="13.85" spans="1:5">
      <c r="A2564">
        <f t="shared" si="40"/>
        <v>2563</v>
      </c>
      <c r="B2564" s="11">
        <v>12450350</v>
      </c>
      <c r="C2564" s="11">
        <v>52</v>
      </c>
      <c r="D2564">
        <v>24960000</v>
      </c>
      <c r="E2564">
        <v>343</v>
      </c>
    </row>
    <row r="2565" ht="13.85" spans="1:5">
      <c r="A2565">
        <f t="shared" si="40"/>
        <v>2564</v>
      </c>
      <c r="B2565" s="11">
        <v>10204419</v>
      </c>
      <c r="C2565" s="11">
        <v>45</v>
      </c>
      <c r="D2565">
        <v>21600000</v>
      </c>
      <c r="E2565">
        <v>342</v>
      </c>
    </row>
    <row r="2566" ht="13.85" spans="1:5">
      <c r="A2566">
        <f t="shared" si="40"/>
        <v>2565</v>
      </c>
      <c r="B2566" s="11">
        <v>10467071</v>
      </c>
      <c r="C2566" s="11">
        <v>40</v>
      </c>
      <c r="D2566">
        <v>19200000</v>
      </c>
      <c r="E2566">
        <v>341</v>
      </c>
    </row>
    <row r="2567" ht="13.85" spans="1:5">
      <c r="A2567">
        <f t="shared" si="40"/>
        <v>2566</v>
      </c>
      <c r="B2567" s="11">
        <v>9151661</v>
      </c>
      <c r="C2567" s="11">
        <v>35</v>
      </c>
      <c r="D2567">
        <v>16800000</v>
      </c>
      <c r="E2567">
        <v>340</v>
      </c>
    </row>
    <row r="2568" ht="13.85" spans="1:5">
      <c r="A2568">
        <f t="shared" si="40"/>
        <v>2567</v>
      </c>
      <c r="B2568" s="11">
        <v>9673484</v>
      </c>
      <c r="C2568" s="11">
        <v>30</v>
      </c>
      <c r="D2568">
        <v>14400000</v>
      </c>
      <c r="E2568">
        <v>339</v>
      </c>
    </row>
    <row r="2569" ht="13.85" spans="1:5">
      <c r="A2569">
        <f t="shared" si="40"/>
        <v>2568</v>
      </c>
      <c r="B2569" s="11">
        <v>8265191</v>
      </c>
      <c r="C2569" s="11">
        <v>25</v>
      </c>
      <c r="D2569">
        <v>12000000</v>
      </c>
      <c r="E2569">
        <v>338</v>
      </c>
    </row>
    <row r="2570" ht="13.85" spans="1:5">
      <c r="A2570">
        <f t="shared" si="40"/>
        <v>2569</v>
      </c>
      <c r="B2570" s="11">
        <v>8887303</v>
      </c>
      <c r="C2570" s="11">
        <v>21</v>
      </c>
      <c r="D2570">
        <v>10080000</v>
      </c>
      <c r="E2570">
        <v>337</v>
      </c>
    </row>
    <row r="2571" ht="13.85" spans="1:5">
      <c r="A2571">
        <f t="shared" si="40"/>
        <v>2570</v>
      </c>
      <c r="B2571" s="11">
        <v>7539748</v>
      </c>
      <c r="C2571" s="11">
        <v>16</v>
      </c>
      <c r="D2571">
        <v>7680000</v>
      </c>
      <c r="E2571">
        <v>336</v>
      </c>
    </row>
    <row r="2572" ht="13.85" spans="1:5">
      <c r="A2572">
        <f t="shared" si="40"/>
        <v>2571</v>
      </c>
      <c r="B2572" s="11">
        <v>8456250</v>
      </c>
      <c r="C2572" s="11">
        <v>14</v>
      </c>
      <c r="D2572">
        <v>6720000</v>
      </c>
      <c r="E2572">
        <v>335</v>
      </c>
    </row>
    <row r="2573" ht="13.85" spans="1:5">
      <c r="A2573">
        <f t="shared" si="40"/>
        <v>2572</v>
      </c>
      <c r="B2573" s="11">
        <v>7184656</v>
      </c>
      <c r="C2573" s="11">
        <v>12</v>
      </c>
      <c r="D2573">
        <v>5760000</v>
      </c>
      <c r="E2573">
        <v>334</v>
      </c>
    </row>
    <row r="2574" ht="13.85" spans="1:5">
      <c r="A2574">
        <f t="shared" si="40"/>
        <v>2573</v>
      </c>
      <c r="B2574" s="11">
        <v>8637586</v>
      </c>
      <c r="C2574" s="11">
        <v>10</v>
      </c>
      <c r="D2574">
        <v>4800000</v>
      </c>
      <c r="E2574">
        <v>333</v>
      </c>
    </row>
    <row r="2575" ht="13.85" spans="1:5">
      <c r="A2575">
        <f t="shared" si="40"/>
        <v>2574</v>
      </c>
      <c r="B2575" s="11">
        <v>25698387</v>
      </c>
      <c r="C2575" s="11">
        <v>93</v>
      </c>
      <c r="D2575">
        <v>44640000</v>
      </c>
      <c r="E2575">
        <v>332</v>
      </c>
    </row>
    <row r="2576" ht="13.85" spans="1:5">
      <c r="A2576">
        <f t="shared" si="40"/>
        <v>2575</v>
      </c>
      <c r="B2576" s="11">
        <v>20061638</v>
      </c>
      <c r="C2576" s="11">
        <v>80</v>
      </c>
      <c r="D2576">
        <v>38400000</v>
      </c>
      <c r="E2576">
        <v>331</v>
      </c>
    </row>
    <row r="2577" ht="13.85" spans="1:5">
      <c r="A2577">
        <f t="shared" si="40"/>
        <v>2576</v>
      </c>
      <c r="B2577" s="11">
        <v>15817438</v>
      </c>
      <c r="C2577" s="11">
        <v>69</v>
      </c>
      <c r="D2577">
        <v>33120000</v>
      </c>
      <c r="E2577">
        <v>330</v>
      </c>
    </row>
    <row r="2578" ht="13.85" spans="1:5">
      <c r="A2578">
        <f t="shared" si="40"/>
        <v>2577</v>
      </c>
      <c r="B2578" s="11">
        <v>13884274</v>
      </c>
      <c r="C2578" s="11">
        <v>61</v>
      </c>
      <c r="D2578">
        <v>29280000</v>
      </c>
      <c r="E2578">
        <v>329</v>
      </c>
    </row>
    <row r="2579" ht="13.85" spans="1:5">
      <c r="A2579">
        <f t="shared" si="40"/>
        <v>2578</v>
      </c>
      <c r="B2579" s="11">
        <v>11613197</v>
      </c>
      <c r="C2579" s="11">
        <v>53</v>
      </c>
      <c r="D2579">
        <v>25440000</v>
      </c>
      <c r="E2579">
        <v>328</v>
      </c>
    </row>
    <row r="2580" ht="13.85" spans="1:5">
      <c r="A2580">
        <f t="shared" si="40"/>
        <v>2579</v>
      </c>
      <c r="B2580" s="11">
        <v>11293530</v>
      </c>
      <c r="C2580" s="11">
        <v>47</v>
      </c>
      <c r="D2580">
        <v>22560000</v>
      </c>
      <c r="E2580">
        <v>327</v>
      </c>
    </row>
    <row r="2581" ht="13.85" spans="1:5">
      <c r="A2581">
        <f t="shared" si="40"/>
        <v>2580</v>
      </c>
      <c r="B2581" s="11">
        <v>9330370</v>
      </c>
      <c r="C2581" s="11">
        <v>42</v>
      </c>
      <c r="D2581">
        <v>20160000</v>
      </c>
      <c r="E2581">
        <v>326</v>
      </c>
    </row>
    <row r="2582" ht="13.85" spans="1:5">
      <c r="A2582">
        <f t="shared" si="40"/>
        <v>2581</v>
      </c>
      <c r="B2582" s="11">
        <v>9406069</v>
      </c>
      <c r="C2582" s="11">
        <v>37</v>
      </c>
      <c r="D2582">
        <v>17760000</v>
      </c>
      <c r="E2582">
        <v>325</v>
      </c>
    </row>
    <row r="2583" ht="13.85" spans="1:5">
      <c r="A2583">
        <f t="shared" si="40"/>
        <v>2582</v>
      </c>
      <c r="B2583" s="11">
        <v>8183653</v>
      </c>
      <c r="C2583" s="11">
        <v>31</v>
      </c>
      <c r="D2583">
        <v>14880000</v>
      </c>
      <c r="E2583">
        <v>324</v>
      </c>
    </row>
    <row r="2584" ht="13.85" spans="1:5">
      <c r="A2584">
        <f t="shared" si="40"/>
        <v>2583</v>
      </c>
      <c r="B2584" s="11">
        <v>8361102</v>
      </c>
      <c r="C2584" s="11">
        <v>26</v>
      </c>
      <c r="D2584">
        <v>12480000</v>
      </c>
      <c r="E2584">
        <v>323</v>
      </c>
    </row>
    <row r="2585" ht="13.85" spans="1:5">
      <c r="A2585">
        <f t="shared" si="40"/>
        <v>2584</v>
      </c>
      <c r="B2585" s="11">
        <v>7268081</v>
      </c>
      <c r="C2585" s="11">
        <v>22</v>
      </c>
      <c r="D2585">
        <v>10560000</v>
      </c>
      <c r="E2585">
        <v>322</v>
      </c>
    </row>
    <row r="2586" ht="13.85" spans="1:5">
      <c r="A2586">
        <f t="shared" si="40"/>
        <v>2585</v>
      </c>
      <c r="B2586" s="11">
        <v>7831956</v>
      </c>
      <c r="C2586" s="11">
        <v>19</v>
      </c>
      <c r="D2586">
        <v>9120000</v>
      </c>
      <c r="E2586">
        <v>321</v>
      </c>
    </row>
    <row r="2587" ht="13.85" spans="1:5">
      <c r="A2587">
        <f t="shared" si="40"/>
        <v>2586</v>
      </c>
      <c r="B2587" s="11">
        <v>6790990</v>
      </c>
      <c r="C2587" s="11">
        <v>16</v>
      </c>
      <c r="D2587">
        <v>7680000</v>
      </c>
      <c r="E2587">
        <v>320</v>
      </c>
    </row>
    <row r="2588" ht="13.85" spans="1:5">
      <c r="A2588">
        <f t="shared" si="40"/>
        <v>2587</v>
      </c>
      <c r="B2588" s="11">
        <v>7442465</v>
      </c>
      <c r="C2588" s="11">
        <v>14</v>
      </c>
      <c r="D2588">
        <v>6720000</v>
      </c>
      <c r="E2588">
        <v>319</v>
      </c>
    </row>
    <row r="2589" ht="13.85" spans="1:5">
      <c r="A2589">
        <f t="shared" si="40"/>
        <v>2588</v>
      </c>
      <c r="B2589" s="15">
        <v>6244275</v>
      </c>
      <c r="C2589" s="15">
        <v>12</v>
      </c>
      <c r="D2589">
        <v>5760000</v>
      </c>
      <c r="E2589">
        <v>318</v>
      </c>
    </row>
    <row r="2590" ht="13.85" spans="1:5">
      <c r="A2590">
        <f t="shared" si="40"/>
        <v>2589</v>
      </c>
      <c r="B2590" s="13">
        <v>7400633</v>
      </c>
      <c r="C2590" s="13">
        <v>10</v>
      </c>
      <c r="D2590">
        <v>4800000</v>
      </c>
      <c r="E2590">
        <v>317</v>
      </c>
    </row>
    <row r="2591" ht="13.85" spans="1:5">
      <c r="A2591">
        <f t="shared" si="40"/>
        <v>2590</v>
      </c>
      <c r="B2591" s="11">
        <v>7890641</v>
      </c>
      <c r="C2591" s="11">
        <v>33</v>
      </c>
      <c r="D2591">
        <v>15840000</v>
      </c>
      <c r="E2591">
        <v>316</v>
      </c>
    </row>
    <row r="2592" ht="13.85" spans="1:5">
      <c r="A2592">
        <f t="shared" si="40"/>
        <v>2591</v>
      </c>
      <c r="B2592" s="11">
        <v>9359367</v>
      </c>
      <c r="C2592" s="11">
        <v>28</v>
      </c>
      <c r="D2592">
        <v>13440000</v>
      </c>
      <c r="E2592">
        <v>315</v>
      </c>
    </row>
    <row r="2593" ht="13.85" spans="1:5">
      <c r="A2593">
        <f t="shared" si="40"/>
        <v>2592</v>
      </c>
      <c r="B2593" s="11">
        <v>7699958</v>
      </c>
      <c r="C2593" s="11">
        <v>24</v>
      </c>
      <c r="D2593">
        <v>11520000</v>
      </c>
      <c r="E2593">
        <v>314</v>
      </c>
    </row>
    <row r="2594" ht="13.85" spans="1:5">
      <c r="A2594">
        <f t="shared" si="40"/>
        <v>2593</v>
      </c>
      <c r="B2594" s="11">
        <v>8168083</v>
      </c>
      <c r="C2594" s="11">
        <v>20</v>
      </c>
      <c r="D2594">
        <v>9600000</v>
      </c>
      <c r="E2594">
        <v>313</v>
      </c>
    </row>
    <row r="2595" ht="13.85" spans="1:5">
      <c r="A2595">
        <f t="shared" si="40"/>
        <v>2594</v>
      </c>
      <c r="B2595" s="11">
        <v>6870148</v>
      </c>
      <c r="C2595" s="11">
        <v>16</v>
      </c>
      <c r="D2595">
        <v>7680000</v>
      </c>
      <c r="E2595">
        <v>312</v>
      </c>
    </row>
    <row r="2596" ht="13.85" spans="1:5">
      <c r="A2596">
        <f t="shared" si="40"/>
        <v>2595</v>
      </c>
      <c r="B2596" s="11">
        <v>7925823</v>
      </c>
      <c r="C2596" s="11">
        <v>14</v>
      </c>
      <c r="D2596">
        <v>6720000</v>
      </c>
      <c r="E2596">
        <v>311</v>
      </c>
    </row>
    <row r="2597" ht="13.85" spans="1:5">
      <c r="A2597">
        <f t="shared" si="40"/>
        <v>2596</v>
      </c>
      <c r="B2597" s="11">
        <v>7046560</v>
      </c>
      <c r="C2597" s="11">
        <v>12</v>
      </c>
      <c r="D2597">
        <v>5760000</v>
      </c>
      <c r="E2597">
        <v>310</v>
      </c>
    </row>
    <row r="2598" ht="13.85" spans="1:5">
      <c r="A2598">
        <f t="shared" si="40"/>
        <v>2597</v>
      </c>
      <c r="B2598" s="11">
        <v>8323046</v>
      </c>
      <c r="C2598" s="11">
        <v>10</v>
      </c>
      <c r="D2598">
        <v>4800000</v>
      </c>
      <c r="E2598">
        <v>309</v>
      </c>
    </row>
    <row r="2599" ht="13.85" spans="1:5">
      <c r="A2599">
        <f t="shared" si="40"/>
        <v>2598</v>
      </c>
      <c r="B2599" s="11">
        <v>48007720</v>
      </c>
      <c r="C2599" s="11">
        <v>130</v>
      </c>
      <c r="D2599">
        <v>62400000</v>
      </c>
      <c r="E2599">
        <v>308</v>
      </c>
    </row>
    <row r="2600" ht="13.85" spans="1:5">
      <c r="A2600">
        <f t="shared" si="40"/>
        <v>2599</v>
      </c>
      <c r="B2600" s="11">
        <v>27616901</v>
      </c>
      <c r="C2600" s="11">
        <v>105</v>
      </c>
      <c r="D2600">
        <v>50400000</v>
      </c>
      <c r="E2600">
        <v>307</v>
      </c>
    </row>
    <row r="2601" ht="13.85" spans="1:5">
      <c r="A2601">
        <f t="shared" si="40"/>
        <v>2600</v>
      </c>
      <c r="B2601" s="11">
        <v>24244062</v>
      </c>
      <c r="C2601" s="11">
        <v>92</v>
      </c>
      <c r="D2601">
        <v>44160000</v>
      </c>
      <c r="E2601">
        <v>306</v>
      </c>
    </row>
    <row r="2602" ht="13.85" spans="1:5">
      <c r="A2602">
        <f t="shared" si="40"/>
        <v>2601</v>
      </c>
      <c r="B2602" s="11">
        <v>18217356</v>
      </c>
      <c r="C2602" s="11">
        <v>78</v>
      </c>
      <c r="D2602">
        <v>37440000</v>
      </c>
      <c r="E2602">
        <v>305</v>
      </c>
    </row>
    <row r="2603" ht="13.85" spans="1:5">
      <c r="A2603">
        <f t="shared" si="40"/>
        <v>2602</v>
      </c>
      <c r="B2603" s="11">
        <v>15363299</v>
      </c>
      <c r="C2603" s="11">
        <v>70</v>
      </c>
      <c r="D2603">
        <v>33600000</v>
      </c>
      <c r="E2603">
        <v>304</v>
      </c>
    </row>
    <row r="2604" ht="13.85" spans="1:5">
      <c r="A2604">
        <f t="shared" si="40"/>
        <v>2603</v>
      </c>
      <c r="B2604" s="11">
        <v>13571497</v>
      </c>
      <c r="C2604" s="11">
        <v>62</v>
      </c>
      <c r="D2604">
        <v>29760000</v>
      </c>
      <c r="E2604">
        <v>303</v>
      </c>
    </row>
    <row r="2605" ht="13.85" spans="1:5">
      <c r="A2605">
        <f t="shared" si="40"/>
        <v>2604</v>
      </c>
      <c r="B2605" s="11">
        <v>10983474</v>
      </c>
      <c r="C2605" s="11">
        <v>54</v>
      </c>
      <c r="D2605">
        <v>25920000</v>
      </c>
      <c r="E2605">
        <v>302</v>
      </c>
    </row>
    <row r="2606" ht="13.85" spans="1:5">
      <c r="A2606">
        <f t="shared" si="40"/>
        <v>2605</v>
      </c>
      <c r="B2606" s="11">
        <v>11005648</v>
      </c>
      <c r="C2606" s="11">
        <v>47</v>
      </c>
      <c r="D2606">
        <v>22560000</v>
      </c>
      <c r="E2606">
        <v>301</v>
      </c>
    </row>
    <row r="2607" ht="13.85" spans="1:5">
      <c r="A2607">
        <f t="shared" si="40"/>
        <v>2606</v>
      </c>
      <c r="B2607" s="11">
        <v>9156461</v>
      </c>
      <c r="C2607" s="11">
        <v>42</v>
      </c>
      <c r="D2607">
        <v>20160000</v>
      </c>
      <c r="E2607">
        <v>300</v>
      </c>
    </row>
    <row r="2608" ht="13.85" spans="1:5">
      <c r="A2608">
        <f t="shared" si="40"/>
        <v>2607</v>
      </c>
      <c r="B2608" s="11">
        <v>9133387</v>
      </c>
      <c r="C2608" s="11">
        <v>37</v>
      </c>
      <c r="D2608">
        <v>17760000</v>
      </c>
      <c r="E2608">
        <v>299</v>
      </c>
    </row>
    <row r="2609" ht="13.85" spans="1:5">
      <c r="A2609">
        <f t="shared" si="40"/>
        <v>2608</v>
      </c>
      <c r="B2609" s="11">
        <v>7812031</v>
      </c>
      <c r="C2609" s="11">
        <v>32</v>
      </c>
      <c r="D2609">
        <v>15360000</v>
      </c>
      <c r="E2609">
        <v>298</v>
      </c>
    </row>
    <row r="2610" ht="13.85" spans="1:5">
      <c r="A2610">
        <f t="shared" si="40"/>
        <v>2609</v>
      </c>
      <c r="B2610" s="11">
        <v>8057753</v>
      </c>
      <c r="C2610" s="11">
        <v>28</v>
      </c>
      <c r="D2610">
        <v>13440000</v>
      </c>
      <c r="E2610">
        <v>297</v>
      </c>
    </row>
    <row r="2611" ht="13.85" spans="1:5">
      <c r="A2611">
        <f t="shared" si="40"/>
        <v>2610</v>
      </c>
      <c r="B2611" s="11">
        <v>6882598</v>
      </c>
      <c r="C2611" s="11">
        <v>24</v>
      </c>
      <c r="D2611">
        <v>11520000</v>
      </c>
      <c r="E2611">
        <v>296</v>
      </c>
    </row>
    <row r="2612" ht="13.85" spans="1:5">
      <c r="A2612">
        <f t="shared" si="40"/>
        <v>2611</v>
      </c>
      <c r="B2612" s="11">
        <v>7689802</v>
      </c>
      <c r="C2612" s="11">
        <v>21</v>
      </c>
      <c r="D2612">
        <v>10080000</v>
      </c>
      <c r="E2612">
        <v>295</v>
      </c>
    </row>
    <row r="2613" ht="13.85" spans="1:5">
      <c r="A2613">
        <f t="shared" si="40"/>
        <v>2612</v>
      </c>
      <c r="B2613" s="11">
        <v>6349776</v>
      </c>
      <c r="C2613" s="11">
        <v>18</v>
      </c>
      <c r="D2613">
        <v>8640000</v>
      </c>
      <c r="E2613">
        <v>294</v>
      </c>
    </row>
    <row r="2614" ht="13.85" spans="1:5">
      <c r="A2614">
        <f t="shared" si="40"/>
        <v>2613</v>
      </c>
      <c r="B2614" s="11">
        <v>7176187</v>
      </c>
      <c r="C2614" s="11">
        <v>16</v>
      </c>
      <c r="D2614">
        <v>7680000</v>
      </c>
      <c r="E2614">
        <v>293</v>
      </c>
    </row>
    <row r="2615" ht="13.85" spans="1:5">
      <c r="A2615">
        <f t="shared" si="40"/>
        <v>2614</v>
      </c>
      <c r="B2615" s="11">
        <v>6218928</v>
      </c>
      <c r="C2615" s="11">
        <v>14</v>
      </c>
      <c r="D2615">
        <v>6720000</v>
      </c>
      <c r="E2615">
        <v>292</v>
      </c>
    </row>
    <row r="2616" ht="13.85" spans="1:5">
      <c r="A2616">
        <f t="shared" si="40"/>
        <v>2615</v>
      </c>
      <c r="B2616" s="11">
        <v>6911892</v>
      </c>
      <c r="C2616" s="11">
        <v>12</v>
      </c>
      <c r="D2616">
        <v>5760000</v>
      </c>
      <c r="E2616">
        <v>291</v>
      </c>
    </row>
    <row r="2617" ht="13.85" spans="1:5">
      <c r="A2617">
        <f t="shared" si="40"/>
        <v>2616</v>
      </c>
      <c r="B2617" s="11">
        <v>5874304</v>
      </c>
      <c r="C2617" s="11">
        <v>10</v>
      </c>
      <c r="D2617">
        <v>4800000</v>
      </c>
      <c r="E2617">
        <v>290</v>
      </c>
    </row>
    <row r="2618" ht="13.85" spans="1:5">
      <c r="A2618">
        <f t="shared" si="40"/>
        <v>2617</v>
      </c>
      <c r="B2618" s="11">
        <v>8363155</v>
      </c>
      <c r="C2618" s="11">
        <v>29</v>
      </c>
      <c r="D2618">
        <v>13920000</v>
      </c>
      <c r="E2618">
        <v>289</v>
      </c>
    </row>
    <row r="2619" ht="13.85" spans="1:5">
      <c r="A2619">
        <f t="shared" si="40"/>
        <v>2618</v>
      </c>
      <c r="B2619" s="11">
        <v>7166557</v>
      </c>
      <c r="C2619" s="11">
        <v>25</v>
      </c>
      <c r="D2619">
        <v>12000000</v>
      </c>
      <c r="E2619">
        <v>288</v>
      </c>
    </row>
    <row r="2620" ht="13.85" spans="1:5">
      <c r="A2620">
        <f t="shared" si="40"/>
        <v>2619</v>
      </c>
      <c r="B2620" s="11">
        <v>7783310</v>
      </c>
      <c r="C2620" s="11">
        <v>21</v>
      </c>
      <c r="D2620">
        <v>10080000</v>
      </c>
      <c r="E2620">
        <v>287</v>
      </c>
    </row>
    <row r="2621" ht="13.85" spans="1:5">
      <c r="A2621">
        <f t="shared" si="40"/>
        <v>2620</v>
      </c>
      <c r="B2621" s="11">
        <v>6557801</v>
      </c>
      <c r="C2621" s="11">
        <v>18</v>
      </c>
      <c r="D2621">
        <v>8640000</v>
      </c>
      <c r="E2621">
        <v>286</v>
      </c>
    </row>
    <row r="2622" ht="13.85" spans="1:5">
      <c r="A2622">
        <f t="shared" si="40"/>
        <v>2621</v>
      </c>
      <c r="B2622" s="11">
        <v>7306535</v>
      </c>
      <c r="C2622" s="11">
        <v>16</v>
      </c>
      <c r="D2622">
        <v>7680000</v>
      </c>
      <c r="E2622">
        <v>285</v>
      </c>
    </row>
    <row r="2623" ht="13.85" spans="1:5">
      <c r="A2623">
        <f t="shared" si="40"/>
        <v>2622</v>
      </c>
      <c r="B2623" s="11">
        <v>6107990</v>
      </c>
      <c r="C2623" s="11">
        <v>14</v>
      </c>
      <c r="D2623">
        <v>6720000</v>
      </c>
      <c r="E2623">
        <v>284</v>
      </c>
    </row>
    <row r="2624" ht="13.85" spans="1:5">
      <c r="A2624">
        <f t="shared" si="40"/>
        <v>2623</v>
      </c>
      <c r="B2624" s="11">
        <v>7182578</v>
      </c>
      <c r="C2624" s="11">
        <v>12</v>
      </c>
      <c r="D2624">
        <v>5760000</v>
      </c>
      <c r="E2624">
        <v>283</v>
      </c>
    </row>
    <row r="2625" ht="13.85" spans="1:5">
      <c r="A2625">
        <f t="shared" si="40"/>
        <v>2624</v>
      </c>
      <c r="B2625" s="11">
        <v>5987591</v>
      </c>
      <c r="C2625" s="11">
        <v>10</v>
      </c>
      <c r="D2625">
        <v>4800000</v>
      </c>
      <c r="E2625">
        <v>282</v>
      </c>
    </row>
    <row r="2626" ht="13.85" spans="1:5">
      <c r="A2626">
        <f t="shared" ref="A2626:A2689" si="41">ROW()-1</f>
        <v>2625</v>
      </c>
      <c r="B2626" s="11">
        <v>7317120</v>
      </c>
      <c r="C2626" s="11">
        <v>14</v>
      </c>
      <c r="D2626">
        <v>6720000</v>
      </c>
      <c r="E2626">
        <v>281</v>
      </c>
    </row>
    <row r="2627" ht="13.85" spans="1:5">
      <c r="A2627">
        <f t="shared" si="41"/>
        <v>2626</v>
      </c>
      <c r="B2627" s="11">
        <v>6355564</v>
      </c>
      <c r="C2627" s="11">
        <v>12</v>
      </c>
      <c r="D2627">
        <v>5760000</v>
      </c>
      <c r="E2627">
        <v>280</v>
      </c>
    </row>
    <row r="2628" ht="13.85" spans="1:5">
      <c r="A2628">
        <f t="shared" si="41"/>
        <v>2627</v>
      </c>
      <c r="B2628" s="11">
        <v>7142643</v>
      </c>
      <c r="C2628" s="11">
        <v>10</v>
      </c>
      <c r="D2628">
        <v>4800000</v>
      </c>
      <c r="E2628">
        <v>279</v>
      </c>
    </row>
    <row r="2629" ht="13.85" spans="1:5">
      <c r="A2629">
        <f t="shared" si="41"/>
        <v>2628</v>
      </c>
      <c r="B2629" s="11">
        <v>7443529</v>
      </c>
      <c r="C2629" s="11">
        <v>23</v>
      </c>
      <c r="D2629">
        <v>11040000</v>
      </c>
      <c r="E2629">
        <v>278</v>
      </c>
    </row>
    <row r="2630" ht="13.85" spans="1:5">
      <c r="A2630">
        <f t="shared" si="41"/>
        <v>2629</v>
      </c>
      <c r="B2630" s="11">
        <v>7999316</v>
      </c>
      <c r="C2630" s="11">
        <v>19</v>
      </c>
      <c r="D2630">
        <v>9120000</v>
      </c>
      <c r="E2630">
        <v>277</v>
      </c>
    </row>
    <row r="2631" ht="13.85" spans="1:5">
      <c r="A2631">
        <f t="shared" si="41"/>
        <v>2630</v>
      </c>
      <c r="B2631" s="11">
        <v>6872179</v>
      </c>
      <c r="C2631" s="11">
        <v>16</v>
      </c>
      <c r="D2631">
        <v>7680000</v>
      </c>
      <c r="E2631">
        <v>276</v>
      </c>
    </row>
    <row r="2632" ht="13.85" spans="1:5">
      <c r="A2632">
        <f t="shared" si="41"/>
        <v>2631</v>
      </c>
      <c r="B2632" s="11">
        <v>7611868</v>
      </c>
      <c r="C2632" s="11">
        <v>14</v>
      </c>
      <c r="D2632">
        <v>6720000</v>
      </c>
      <c r="E2632">
        <v>275</v>
      </c>
    </row>
    <row r="2633" ht="13.85" spans="1:5">
      <c r="A2633">
        <f t="shared" si="41"/>
        <v>2632</v>
      </c>
      <c r="B2633" s="11">
        <v>6580687</v>
      </c>
      <c r="C2633" s="11">
        <v>12</v>
      </c>
      <c r="D2633">
        <v>5760000</v>
      </c>
      <c r="E2633">
        <v>274</v>
      </c>
    </row>
    <row r="2634" ht="13.85" spans="1:5">
      <c r="A2634">
        <f t="shared" si="41"/>
        <v>2633</v>
      </c>
      <c r="B2634" s="11">
        <v>7245052</v>
      </c>
      <c r="C2634" s="11">
        <v>10</v>
      </c>
      <c r="D2634">
        <v>4800000</v>
      </c>
      <c r="E2634">
        <v>273</v>
      </c>
    </row>
    <row r="2635" ht="13.85" spans="1:5">
      <c r="A2635">
        <f t="shared" si="41"/>
        <v>2634</v>
      </c>
      <c r="B2635" s="11">
        <v>6719122</v>
      </c>
      <c r="C2635" s="11">
        <v>10</v>
      </c>
      <c r="D2635">
        <v>4800000</v>
      </c>
      <c r="E2635">
        <v>272</v>
      </c>
    </row>
    <row r="2636" ht="13.85" spans="1:5">
      <c r="A2636">
        <f t="shared" si="41"/>
        <v>2635</v>
      </c>
      <c r="B2636" s="11">
        <v>13817359</v>
      </c>
      <c r="C2636" s="11">
        <v>65</v>
      </c>
      <c r="D2636">
        <v>31200000</v>
      </c>
      <c r="E2636">
        <v>271</v>
      </c>
    </row>
    <row r="2637" ht="13.85" spans="1:5">
      <c r="A2637">
        <f t="shared" si="41"/>
        <v>2636</v>
      </c>
      <c r="B2637" s="11">
        <v>11384507</v>
      </c>
      <c r="C2637" s="11">
        <v>57</v>
      </c>
      <c r="D2637">
        <v>27360000</v>
      </c>
      <c r="E2637">
        <v>270</v>
      </c>
    </row>
    <row r="2638" ht="13.85" spans="1:5">
      <c r="A2638">
        <f t="shared" si="41"/>
        <v>2637</v>
      </c>
      <c r="B2638" s="11">
        <v>11575918</v>
      </c>
      <c r="C2638" s="11">
        <v>51</v>
      </c>
      <c r="D2638">
        <v>24480000</v>
      </c>
      <c r="E2638">
        <v>269</v>
      </c>
    </row>
    <row r="2639" ht="13.85" spans="1:5">
      <c r="A2639">
        <f t="shared" si="41"/>
        <v>2638</v>
      </c>
      <c r="B2639" s="11">
        <v>9559205</v>
      </c>
      <c r="C2639" s="11">
        <v>45</v>
      </c>
      <c r="D2639">
        <v>21600000</v>
      </c>
      <c r="E2639">
        <v>268</v>
      </c>
    </row>
    <row r="2640" ht="13.85" spans="1:5">
      <c r="A2640">
        <f t="shared" si="41"/>
        <v>2639</v>
      </c>
      <c r="B2640" s="11">
        <v>9904277</v>
      </c>
      <c r="C2640" s="11">
        <v>40</v>
      </c>
      <c r="D2640">
        <v>19200000</v>
      </c>
      <c r="E2640">
        <v>267</v>
      </c>
    </row>
    <row r="2641" ht="13.85" spans="1:5">
      <c r="A2641">
        <f t="shared" si="41"/>
        <v>2640</v>
      </c>
      <c r="B2641" s="11">
        <v>7808775</v>
      </c>
      <c r="C2641" s="11">
        <v>36</v>
      </c>
      <c r="D2641">
        <v>17280000</v>
      </c>
      <c r="E2641">
        <v>266</v>
      </c>
    </row>
    <row r="2642" ht="13.85" spans="1:5">
      <c r="A2642">
        <f t="shared" si="41"/>
        <v>2641</v>
      </c>
      <c r="B2642" s="11">
        <v>8971209</v>
      </c>
      <c r="C2642" s="11">
        <v>31</v>
      </c>
      <c r="D2642">
        <v>14880000</v>
      </c>
      <c r="E2642">
        <v>265</v>
      </c>
    </row>
    <row r="2643" ht="13.85" spans="1:5">
      <c r="A2643">
        <f t="shared" si="41"/>
        <v>2642</v>
      </c>
      <c r="B2643" s="11">
        <v>7542006</v>
      </c>
      <c r="C2643" s="11">
        <v>27</v>
      </c>
      <c r="D2643">
        <v>12960000</v>
      </c>
      <c r="E2643">
        <v>264</v>
      </c>
    </row>
    <row r="2644" ht="13.85" spans="1:5">
      <c r="A2644">
        <f t="shared" si="41"/>
        <v>2643</v>
      </c>
      <c r="B2644" s="11">
        <v>8193996</v>
      </c>
      <c r="C2644" s="11">
        <v>23</v>
      </c>
      <c r="D2644">
        <v>11040000</v>
      </c>
      <c r="E2644">
        <v>263</v>
      </c>
    </row>
    <row r="2645" ht="13.85" spans="1:5">
      <c r="A2645">
        <f t="shared" si="41"/>
        <v>2644</v>
      </c>
      <c r="B2645" s="11">
        <v>6947332</v>
      </c>
      <c r="C2645" s="11">
        <v>18</v>
      </c>
      <c r="D2645">
        <v>8640000</v>
      </c>
      <c r="E2645">
        <v>262</v>
      </c>
    </row>
    <row r="2646" ht="13.85" spans="1:5">
      <c r="A2646">
        <f t="shared" si="41"/>
        <v>2645</v>
      </c>
      <c r="B2646" s="11">
        <v>7686673</v>
      </c>
      <c r="C2646" s="11">
        <v>16</v>
      </c>
      <c r="D2646">
        <v>7680000</v>
      </c>
      <c r="E2646">
        <v>261</v>
      </c>
    </row>
    <row r="2647" ht="13.85" spans="1:5">
      <c r="A2647">
        <f t="shared" si="41"/>
        <v>2646</v>
      </c>
      <c r="B2647" s="11">
        <v>6630878</v>
      </c>
      <c r="C2647" s="11">
        <v>14</v>
      </c>
      <c r="D2647">
        <v>6720000</v>
      </c>
      <c r="E2647">
        <v>260</v>
      </c>
    </row>
    <row r="2648" ht="13.85" spans="1:5">
      <c r="A2648">
        <f t="shared" si="41"/>
        <v>2647</v>
      </c>
      <c r="B2648" s="11">
        <v>7358539</v>
      </c>
      <c r="C2648" s="11">
        <v>12</v>
      </c>
      <c r="D2648">
        <v>5760000</v>
      </c>
      <c r="E2648">
        <v>259</v>
      </c>
    </row>
    <row r="2649" ht="13.85" spans="1:5">
      <c r="A2649">
        <f t="shared" si="41"/>
        <v>2648</v>
      </c>
      <c r="B2649" s="11">
        <v>6477056</v>
      </c>
      <c r="C2649" s="11">
        <v>10</v>
      </c>
      <c r="D2649">
        <v>4800000</v>
      </c>
      <c r="E2649">
        <v>258</v>
      </c>
    </row>
    <row r="2650" ht="13.85" spans="1:5">
      <c r="A2650">
        <f t="shared" si="41"/>
        <v>2649</v>
      </c>
      <c r="B2650" s="11">
        <v>7777539</v>
      </c>
      <c r="C2650" s="11">
        <v>12</v>
      </c>
      <c r="D2650">
        <v>5760000</v>
      </c>
      <c r="E2650">
        <v>257</v>
      </c>
    </row>
    <row r="2651" ht="13.85" spans="1:5">
      <c r="A2651">
        <f t="shared" si="41"/>
        <v>2650</v>
      </c>
      <c r="B2651" s="11">
        <v>6686026</v>
      </c>
      <c r="C2651" s="11">
        <v>10</v>
      </c>
      <c r="D2651">
        <v>4800000</v>
      </c>
      <c r="E2651">
        <v>256</v>
      </c>
    </row>
    <row r="2652" ht="13.85" spans="1:5">
      <c r="A2652">
        <f t="shared" si="41"/>
        <v>2651</v>
      </c>
      <c r="B2652" s="11">
        <v>13668488</v>
      </c>
      <c r="C2652" s="11">
        <v>61</v>
      </c>
      <c r="D2652">
        <v>29280000</v>
      </c>
      <c r="E2652">
        <v>255</v>
      </c>
    </row>
    <row r="2653" ht="13.85" spans="1:5">
      <c r="A2653">
        <f t="shared" si="41"/>
        <v>2652</v>
      </c>
      <c r="B2653" s="11">
        <v>11340234</v>
      </c>
      <c r="C2653" s="11">
        <v>54</v>
      </c>
      <c r="D2653">
        <v>25920000</v>
      </c>
      <c r="E2653">
        <v>254</v>
      </c>
    </row>
    <row r="2654" ht="13.85" spans="1:5">
      <c r="A2654">
        <f t="shared" si="41"/>
        <v>2653</v>
      </c>
      <c r="B2654" s="11">
        <v>11309298</v>
      </c>
      <c r="C2654" s="11">
        <v>48</v>
      </c>
      <c r="D2654">
        <v>23040000</v>
      </c>
      <c r="E2654">
        <v>253</v>
      </c>
    </row>
    <row r="2655" ht="13.85" spans="1:5">
      <c r="A2655">
        <f t="shared" si="41"/>
        <v>2654</v>
      </c>
      <c r="B2655" s="11">
        <v>9866708</v>
      </c>
      <c r="C2655" s="11">
        <v>41</v>
      </c>
      <c r="D2655">
        <v>19680000</v>
      </c>
      <c r="E2655">
        <v>252</v>
      </c>
    </row>
    <row r="2656" ht="13.85" spans="1:5">
      <c r="A2656">
        <f t="shared" si="41"/>
        <v>2655</v>
      </c>
      <c r="B2656" s="11">
        <v>9889051</v>
      </c>
      <c r="C2656" s="11">
        <v>35</v>
      </c>
      <c r="D2656">
        <v>16800000</v>
      </c>
      <c r="E2656">
        <v>251</v>
      </c>
    </row>
    <row r="2657" ht="13.85" spans="1:5">
      <c r="A2657">
        <f t="shared" si="41"/>
        <v>2656</v>
      </c>
      <c r="B2657" s="11">
        <v>8972394</v>
      </c>
      <c r="C2657" s="11">
        <v>28</v>
      </c>
      <c r="D2657">
        <v>13440000</v>
      </c>
      <c r="E2657">
        <v>250</v>
      </c>
    </row>
    <row r="2658" ht="13.85" spans="1:5">
      <c r="A2658">
        <f t="shared" si="41"/>
        <v>2657</v>
      </c>
      <c r="B2658" s="11">
        <v>9542893</v>
      </c>
      <c r="C2658" s="11">
        <v>23</v>
      </c>
      <c r="D2658">
        <v>11040000</v>
      </c>
      <c r="E2658">
        <v>249</v>
      </c>
    </row>
    <row r="2659" ht="13.85" spans="1:5">
      <c r="A2659">
        <f t="shared" si="41"/>
        <v>2658</v>
      </c>
      <c r="B2659" s="11">
        <v>7682962</v>
      </c>
      <c r="C2659" s="11">
        <v>18</v>
      </c>
      <c r="D2659">
        <v>8640000</v>
      </c>
      <c r="E2659">
        <v>248</v>
      </c>
    </row>
    <row r="2660" ht="13.85" spans="1:5">
      <c r="A2660">
        <f t="shared" si="41"/>
        <v>2659</v>
      </c>
      <c r="B2660" s="11">
        <v>8177531</v>
      </c>
      <c r="C2660" s="11">
        <v>14</v>
      </c>
      <c r="D2660">
        <v>6720000</v>
      </c>
      <c r="E2660">
        <v>247</v>
      </c>
    </row>
    <row r="2661" ht="13.85" spans="1:5">
      <c r="A2661">
        <f t="shared" si="41"/>
        <v>2660</v>
      </c>
      <c r="B2661" s="11">
        <v>6992779</v>
      </c>
      <c r="C2661" s="11">
        <v>12</v>
      </c>
      <c r="D2661">
        <v>5760000</v>
      </c>
      <c r="E2661">
        <v>246</v>
      </c>
    </row>
    <row r="2662" ht="13.85" spans="1:5">
      <c r="A2662">
        <f t="shared" si="41"/>
        <v>2661</v>
      </c>
      <c r="B2662" s="11">
        <v>8788695</v>
      </c>
      <c r="C2662" s="11">
        <v>10</v>
      </c>
      <c r="D2662">
        <v>4800000</v>
      </c>
      <c r="E2662">
        <v>245</v>
      </c>
    </row>
    <row r="2663" ht="13.85" spans="1:5">
      <c r="A2663">
        <f t="shared" si="41"/>
        <v>2662</v>
      </c>
      <c r="B2663" s="11">
        <v>18308581</v>
      </c>
      <c r="C2663" s="11">
        <v>80</v>
      </c>
      <c r="D2663">
        <v>38400000</v>
      </c>
      <c r="E2663">
        <v>244</v>
      </c>
    </row>
    <row r="2664" ht="13.85" spans="1:5">
      <c r="A2664">
        <f t="shared" si="41"/>
        <v>2663</v>
      </c>
      <c r="B2664" s="11">
        <v>16865767</v>
      </c>
      <c r="C2664" s="11">
        <v>70</v>
      </c>
      <c r="D2664">
        <v>33600000</v>
      </c>
      <c r="E2664">
        <v>243</v>
      </c>
    </row>
    <row r="2665" ht="13.85" spans="1:5">
      <c r="A2665">
        <f t="shared" si="41"/>
        <v>2664</v>
      </c>
      <c r="B2665" s="11">
        <v>13466748</v>
      </c>
      <c r="C2665" s="11">
        <v>60</v>
      </c>
      <c r="D2665">
        <v>28800000</v>
      </c>
      <c r="E2665">
        <v>242</v>
      </c>
    </row>
    <row r="2666" ht="13.85" spans="1:5">
      <c r="A2666">
        <f t="shared" si="41"/>
        <v>2665</v>
      </c>
      <c r="B2666" s="11">
        <v>13032646</v>
      </c>
      <c r="C2666" s="11">
        <v>54</v>
      </c>
      <c r="D2666">
        <v>25920000</v>
      </c>
      <c r="E2666">
        <v>241</v>
      </c>
    </row>
    <row r="2667" ht="13.85" spans="1:5">
      <c r="A2667">
        <f t="shared" si="41"/>
        <v>2666</v>
      </c>
      <c r="B2667" s="11">
        <v>10729655</v>
      </c>
      <c r="C2667" s="11">
        <v>46</v>
      </c>
      <c r="D2667">
        <v>22080000</v>
      </c>
      <c r="E2667">
        <v>240</v>
      </c>
    </row>
    <row r="2668" ht="13.85" spans="1:5">
      <c r="A2668">
        <f t="shared" si="41"/>
        <v>2667</v>
      </c>
      <c r="B2668" s="11">
        <v>11377659</v>
      </c>
      <c r="C2668" s="11">
        <v>40</v>
      </c>
      <c r="D2668">
        <v>19200000</v>
      </c>
      <c r="E2668">
        <v>239</v>
      </c>
    </row>
    <row r="2669" ht="13.85" spans="1:5">
      <c r="A2669">
        <f t="shared" si="41"/>
        <v>2668</v>
      </c>
      <c r="B2669" s="11">
        <v>9187775</v>
      </c>
      <c r="C2669" s="11">
        <v>34</v>
      </c>
      <c r="D2669">
        <v>16320000</v>
      </c>
      <c r="E2669">
        <v>238</v>
      </c>
    </row>
    <row r="2670" ht="13.85" spans="1:5">
      <c r="A2670">
        <f t="shared" si="41"/>
        <v>2669</v>
      </c>
      <c r="B2670" s="11">
        <v>9699923</v>
      </c>
      <c r="C2670" s="11">
        <v>28</v>
      </c>
      <c r="D2670">
        <v>13440000</v>
      </c>
      <c r="E2670">
        <v>237</v>
      </c>
    </row>
    <row r="2671" ht="13.85" spans="1:5">
      <c r="A2671">
        <f t="shared" si="41"/>
        <v>2670</v>
      </c>
      <c r="B2671" s="11">
        <v>8207077</v>
      </c>
      <c r="C2671" s="11">
        <v>23</v>
      </c>
      <c r="D2671">
        <v>11040000</v>
      </c>
      <c r="E2671">
        <v>236</v>
      </c>
    </row>
    <row r="2672" ht="13.85" spans="1:5">
      <c r="A2672">
        <f t="shared" si="41"/>
        <v>2671</v>
      </c>
      <c r="B2672" s="11">
        <v>8832165</v>
      </c>
      <c r="C2672" s="11">
        <v>18</v>
      </c>
      <c r="D2672">
        <v>8640000</v>
      </c>
      <c r="E2672">
        <v>235</v>
      </c>
    </row>
    <row r="2673" ht="13.85" spans="1:5">
      <c r="A2673">
        <f t="shared" si="41"/>
        <v>2672</v>
      </c>
      <c r="B2673" s="11">
        <v>7595591</v>
      </c>
      <c r="C2673" s="11">
        <v>14</v>
      </c>
      <c r="D2673">
        <v>6720000</v>
      </c>
      <c r="E2673">
        <v>234</v>
      </c>
    </row>
    <row r="2674" ht="13.85" spans="1:5">
      <c r="A2674">
        <f t="shared" si="41"/>
        <v>2673</v>
      </c>
      <c r="B2674" s="11">
        <v>8552240</v>
      </c>
      <c r="C2674" s="11">
        <v>12</v>
      </c>
      <c r="D2674">
        <v>5760000</v>
      </c>
      <c r="E2674">
        <v>233</v>
      </c>
    </row>
    <row r="2675" ht="13.85" spans="1:5">
      <c r="A2675">
        <f t="shared" si="41"/>
        <v>2674</v>
      </c>
      <c r="B2675" s="11">
        <v>8597558</v>
      </c>
      <c r="C2675" s="11">
        <v>10</v>
      </c>
      <c r="D2675">
        <v>4800000</v>
      </c>
      <c r="E2675">
        <v>232</v>
      </c>
    </row>
    <row r="2676" ht="13.85" spans="1:5">
      <c r="A2676">
        <f t="shared" si="41"/>
        <v>2675</v>
      </c>
      <c r="B2676" s="11">
        <v>77092846</v>
      </c>
      <c r="C2676" s="11">
        <v>150</v>
      </c>
      <c r="D2676">
        <v>72000000</v>
      </c>
      <c r="E2676">
        <v>231</v>
      </c>
    </row>
    <row r="2677" ht="13.85" spans="1:5">
      <c r="A2677">
        <f t="shared" si="41"/>
        <v>2676</v>
      </c>
      <c r="B2677" s="11">
        <v>43695461</v>
      </c>
      <c r="C2677" s="11">
        <v>100</v>
      </c>
      <c r="D2677">
        <v>48000000</v>
      </c>
      <c r="E2677">
        <v>230</v>
      </c>
    </row>
    <row r="2678" ht="13.85" spans="1:5">
      <c r="A2678">
        <f t="shared" si="41"/>
        <v>2677</v>
      </c>
      <c r="B2678" s="11">
        <v>24206015</v>
      </c>
      <c r="C2678" s="11">
        <v>83</v>
      </c>
      <c r="D2678">
        <v>39840000</v>
      </c>
      <c r="E2678">
        <v>229</v>
      </c>
    </row>
    <row r="2679" ht="13.85" spans="1:5">
      <c r="A2679">
        <f t="shared" si="41"/>
        <v>2678</v>
      </c>
      <c r="B2679" s="11">
        <v>17993097</v>
      </c>
      <c r="C2679" s="11">
        <v>70</v>
      </c>
      <c r="D2679">
        <v>33600000</v>
      </c>
      <c r="E2679">
        <v>228</v>
      </c>
    </row>
    <row r="2680" ht="13.85" spans="1:5">
      <c r="A2680">
        <f t="shared" si="41"/>
        <v>2679</v>
      </c>
      <c r="B2680" s="11">
        <v>14950267</v>
      </c>
      <c r="C2680" s="11">
        <v>60</v>
      </c>
      <c r="D2680">
        <v>28800000</v>
      </c>
      <c r="E2680">
        <v>227</v>
      </c>
    </row>
    <row r="2681" ht="13.85" spans="1:5">
      <c r="A2681">
        <f t="shared" si="41"/>
        <v>2680</v>
      </c>
      <c r="B2681" s="11">
        <v>12069606</v>
      </c>
      <c r="C2681" s="11">
        <v>51</v>
      </c>
      <c r="D2681">
        <v>24480000</v>
      </c>
      <c r="E2681">
        <v>226</v>
      </c>
    </row>
    <row r="2682" ht="13.85" spans="1:5">
      <c r="A2682">
        <f t="shared" si="41"/>
        <v>2681</v>
      </c>
      <c r="B2682" s="11">
        <v>10972799</v>
      </c>
      <c r="C2682" s="11">
        <v>45</v>
      </c>
      <c r="D2682">
        <v>21600000</v>
      </c>
      <c r="E2682">
        <v>225</v>
      </c>
    </row>
    <row r="2683" ht="13.85" spans="1:5">
      <c r="A2683">
        <f t="shared" si="41"/>
        <v>2682</v>
      </c>
      <c r="B2683" s="11">
        <v>8744437</v>
      </c>
      <c r="C2683" s="11">
        <v>38</v>
      </c>
      <c r="D2683">
        <v>18240000</v>
      </c>
      <c r="E2683">
        <v>224</v>
      </c>
    </row>
    <row r="2684" ht="13.85" spans="1:5">
      <c r="A2684">
        <f t="shared" si="41"/>
        <v>2683</v>
      </c>
      <c r="B2684" s="11">
        <v>9164858</v>
      </c>
      <c r="C2684" s="11">
        <v>33</v>
      </c>
      <c r="D2684">
        <v>15840000</v>
      </c>
      <c r="E2684">
        <v>223</v>
      </c>
    </row>
    <row r="2685" ht="13.85" spans="1:5">
      <c r="A2685">
        <f t="shared" si="41"/>
        <v>2684</v>
      </c>
      <c r="B2685" s="11">
        <v>7435126</v>
      </c>
      <c r="C2685" s="11">
        <v>28</v>
      </c>
      <c r="D2685">
        <v>13440000</v>
      </c>
      <c r="E2685">
        <v>222</v>
      </c>
    </row>
    <row r="2686" ht="13.85" spans="1:5">
      <c r="A2686">
        <f t="shared" si="41"/>
        <v>2685</v>
      </c>
      <c r="B2686" s="11">
        <v>7890695</v>
      </c>
      <c r="C2686" s="11">
        <v>24</v>
      </c>
      <c r="D2686">
        <v>11520000</v>
      </c>
      <c r="E2686">
        <v>221</v>
      </c>
    </row>
    <row r="2687" ht="13.85" spans="1:5">
      <c r="A2687">
        <f t="shared" si="41"/>
        <v>2686</v>
      </c>
      <c r="B2687" s="11">
        <v>6415603</v>
      </c>
      <c r="C2687" s="11">
        <v>19</v>
      </c>
      <c r="D2687">
        <v>9120000</v>
      </c>
      <c r="E2687">
        <v>220</v>
      </c>
    </row>
    <row r="2688" ht="13.85" spans="1:5">
      <c r="A2688">
        <f t="shared" si="41"/>
        <v>2687</v>
      </c>
      <c r="B2688" s="11">
        <v>7159403</v>
      </c>
      <c r="C2688" s="11">
        <v>16</v>
      </c>
      <c r="D2688">
        <v>7680000</v>
      </c>
      <c r="E2688">
        <v>219</v>
      </c>
    </row>
    <row r="2689" ht="13.85" spans="1:5">
      <c r="A2689">
        <f t="shared" si="41"/>
        <v>2688</v>
      </c>
      <c r="B2689" s="11">
        <v>6207533</v>
      </c>
      <c r="C2689" s="11">
        <v>14</v>
      </c>
      <c r="D2689">
        <v>6720000</v>
      </c>
      <c r="E2689">
        <v>218</v>
      </c>
    </row>
    <row r="2690" ht="13.85" spans="1:5">
      <c r="A2690">
        <f t="shared" ref="A2690:A2753" si="42">ROW()-1</f>
        <v>2689</v>
      </c>
      <c r="B2690" s="11">
        <v>7022703</v>
      </c>
      <c r="C2690" s="11">
        <v>12</v>
      </c>
      <c r="D2690">
        <v>5760000</v>
      </c>
      <c r="E2690">
        <v>217</v>
      </c>
    </row>
    <row r="2691" ht="13.85" spans="1:5">
      <c r="A2691">
        <f t="shared" si="42"/>
        <v>2690</v>
      </c>
      <c r="B2691" s="11">
        <v>6083918</v>
      </c>
      <c r="C2691" s="11">
        <v>10</v>
      </c>
      <c r="D2691">
        <v>4800000</v>
      </c>
      <c r="E2691">
        <v>216</v>
      </c>
    </row>
    <row r="2692" ht="13.85" spans="1:5">
      <c r="A2692">
        <f t="shared" si="42"/>
        <v>2691</v>
      </c>
      <c r="B2692" s="11">
        <v>8933349</v>
      </c>
      <c r="C2692" s="11">
        <v>32</v>
      </c>
      <c r="D2692">
        <v>15360000</v>
      </c>
      <c r="E2692">
        <v>215</v>
      </c>
    </row>
    <row r="2693" ht="13.85" spans="1:5">
      <c r="A2693">
        <f t="shared" si="42"/>
        <v>2692</v>
      </c>
      <c r="B2693" s="11">
        <v>7341947</v>
      </c>
      <c r="C2693" s="11">
        <v>27</v>
      </c>
      <c r="D2693">
        <v>12960000</v>
      </c>
      <c r="E2693">
        <v>214</v>
      </c>
    </row>
    <row r="2694" ht="13.85" spans="1:5">
      <c r="A2694">
        <f t="shared" si="42"/>
        <v>2693</v>
      </c>
      <c r="B2694" s="15">
        <v>8320166</v>
      </c>
      <c r="C2694" s="15">
        <v>23</v>
      </c>
      <c r="D2694">
        <v>11040000</v>
      </c>
      <c r="E2694">
        <v>213</v>
      </c>
    </row>
    <row r="2695" ht="13.85" spans="1:5">
      <c r="A2695">
        <f t="shared" si="42"/>
        <v>2694</v>
      </c>
      <c r="B2695" s="13">
        <v>7057116</v>
      </c>
      <c r="C2695" s="13">
        <v>19</v>
      </c>
      <c r="D2695">
        <v>9120000</v>
      </c>
      <c r="E2695">
        <v>212</v>
      </c>
    </row>
    <row r="2696" ht="13.85" spans="1:5">
      <c r="A2696">
        <f t="shared" si="42"/>
        <v>2695</v>
      </c>
      <c r="B2696" s="11">
        <v>6838956</v>
      </c>
      <c r="C2696" s="11">
        <v>16</v>
      </c>
      <c r="D2696">
        <v>7680000</v>
      </c>
      <c r="E2696">
        <v>211</v>
      </c>
    </row>
    <row r="2697" ht="13.85" spans="1:5">
      <c r="A2697">
        <f t="shared" si="42"/>
        <v>2696</v>
      </c>
      <c r="B2697" s="11">
        <v>6705382</v>
      </c>
      <c r="C2697" s="11">
        <v>14</v>
      </c>
      <c r="D2697">
        <v>6720000</v>
      </c>
      <c r="E2697">
        <v>210</v>
      </c>
    </row>
    <row r="2698" ht="13.85" spans="1:5">
      <c r="A2698">
        <f t="shared" si="42"/>
        <v>2697</v>
      </c>
      <c r="B2698" s="11">
        <v>7228949</v>
      </c>
      <c r="C2698" s="11">
        <v>12</v>
      </c>
      <c r="D2698">
        <v>5760000</v>
      </c>
      <c r="E2698">
        <v>209</v>
      </c>
    </row>
    <row r="2699" ht="13.85" spans="1:5">
      <c r="A2699">
        <f t="shared" si="42"/>
        <v>2698</v>
      </c>
      <c r="B2699" s="11">
        <v>6570626</v>
      </c>
      <c r="C2699" s="11">
        <v>10</v>
      </c>
      <c r="D2699">
        <v>4800000</v>
      </c>
      <c r="E2699">
        <v>208</v>
      </c>
    </row>
    <row r="2700" ht="13.85" spans="1:5">
      <c r="A2700">
        <f t="shared" si="42"/>
        <v>2699</v>
      </c>
      <c r="B2700" s="11">
        <v>11142915</v>
      </c>
      <c r="C2700" s="11">
        <v>48</v>
      </c>
      <c r="D2700">
        <v>23040000</v>
      </c>
      <c r="E2700">
        <v>207</v>
      </c>
    </row>
    <row r="2701" ht="13.85" spans="1:5">
      <c r="A2701">
        <f t="shared" si="42"/>
        <v>2700</v>
      </c>
      <c r="B2701" s="11">
        <v>9571667</v>
      </c>
      <c r="C2701" s="11">
        <v>42</v>
      </c>
      <c r="D2701">
        <v>20160000</v>
      </c>
      <c r="E2701">
        <v>206</v>
      </c>
    </row>
    <row r="2702" ht="13.85" spans="1:5">
      <c r="A2702">
        <f t="shared" si="42"/>
        <v>2701</v>
      </c>
      <c r="B2702" s="11">
        <v>9559328</v>
      </c>
      <c r="C2702" s="11">
        <v>37</v>
      </c>
      <c r="D2702">
        <v>17760000</v>
      </c>
      <c r="E2702">
        <v>205</v>
      </c>
    </row>
    <row r="2703" ht="13.85" spans="1:5">
      <c r="A2703">
        <f t="shared" si="42"/>
        <v>2702</v>
      </c>
      <c r="B2703" s="11">
        <v>8258573</v>
      </c>
      <c r="C2703" s="11">
        <v>32</v>
      </c>
      <c r="D2703">
        <v>15360000</v>
      </c>
      <c r="E2703">
        <v>204</v>
      </c>
    </row>
    <row r="2704" ht="13.85" spans="1:5">
      <c r="A2704">
        <f t="shared" si="42"/>
        <v>2703</v>
      </c>
      <c r="B2704" s="11">
        <v>7966471</v>
      </c>
      <c r="C2704" s="11">
        <v>27</v>
      </c>
      <c r="D2704">
        <v>12960000</v>
      </c>
      <c r="E2704">
        <v>203</v>
      </c>
    </row>
    <row r="2705" ht="13.85" spans="1:5">
      <c r="A2705">
        <f t="shared" si="42"/>
        <v>2704</v>
      </c>
      <c r="B2705" s="11">
        <v>7580900</v>
      </c>
      <c r="C2705" s="11">
        <v>23</v>
      </c>
      <c r="D2705">
        <v>11040000</v>
      </c>
      <c r="E2705">
        <v>202</v>
      </c>
    </row>
    <row r="2706" ht="13.85" spans="1:5">
      <c r="A2706">
        <f t="shared" si="42"/>
        <v>2705</v>
      </c>
      <c r="B2706" s="11">
        <v>7864316</v>
      </c>
      <c r="C2706" s="11">
        <v>19</v>
      </c>
      <c r="D2706">
        <v>9120000</v>
      </c>
      <c r="E2706">
        <v>201</v>
      </c>
    </row>
    <row r="2707" ht="13.85" spans="1:5">
      <c r="A2707">
        <f t="shared" si="42"/>
        <v>2706</v>
      </c>
      <c r="B2707" s="11">
        <v>6724712</v>
      </c>
      <c r="C2707" s="11">
        <v>16</v>
      </c>
      <c r="D2707">
        <v>7680000</v>
      </c>
      <c r="E2707">
        <v>200</v>
      </c>
    </row>
    <row r="2708" ht="13.85" spans="1:5">
      <c r="A2708">
        <f t="shared" si="42"/>
        <v>2707</v>
      </c>
      <c r="B2708" s="11">
        <v>7528591</v>
      </c>
      <c r="C2708" s="11">
        <v>14</v>
      </c>
      <c r="D2708">
        <v>6720000</v>
      </c>
      <c r="E2708">
        <v>199</v>
      </c>
    </row>
    <row r="2709" ht="13.85" spans="1:5">
      <c r="A2709">
        <f t="shared" si="42"/>
        <v>2708</v>
      </c>
      <c r="B2709" s="11">
        <v>6496770</v>
      </c>
      <c r="C2709" s="11">
        <v>12</v>
      </c>
      <c r="D2709">
        <v>5760000</v>
      </c>
      <c r="E2709">
        <v>198</v>
      </c>
    </row>
    <row r="2710" ht="13.85" spans="1:5">
      <c r="A2710">
        <f t="shared" si="42"/>
        <v>2709</v>
      </c>
      <c r="B2710" s="11">
        <v>7262748</v>
      </c>
      <c r="C2710" s="11">
        <v>10</v>
      </c>
      <c r="D2710">
        <v>4800000</v>
      </c>
      <c r="E2710">
        <v>197</v>
      </c>
    </row>
    <row r="2711" ht="13.85" spans="1:5">
      <c r="A2711">
        <f t="shared" si="42"/>
        <v>2710</v>
      </c>
      <c r="B2711" s="11">
        <v>6631815</v>
      </c>
      <c r="C2711" s="11">
        <v>10</v>
      </c>
      <c r="D2711">
        <v>4800000</v>
      </c>
      <c r="E2711">
        <v>196</v>
      </c>
    </row>
    <row r="2712" ht="13.85" spans="1:5">
      <c r="A2712">
        <f t="shared" si="42"/>
        <v>2711</v>
      </c>
      <c r="B2712" s="11">
        <v>14177548</v>
      </c>
      <c r="C2712" s="11">
        <v>61</v>
      </c>
      <c r="D2712">
        <v>29280000</v>
      </c>
      <c r="E2712">
        <v>195</v>
      </c>
    </row>
    <row r="2713" ht="13.85" spans="1:5">
      <c r="A2713">
        <f t="shared" si="42"/>
        <v>2712</v>
      </c>
      <c r="B2713" s="11">
        <v>11463916</v>
      </c>
      <c r="C2713" s="11">
        <v>53</v>
      </c>
      <c r="D2713">
        <v>25440000</v>
      </c>
      <c r="E2713">
        <v>194</v>
      </c>
    </row>
    <row r="2714" ht="13.85" spans="1:5">
      <c r="A2714">
        <f t="shared" si="42"/>
        <v>2713</v>
      </c>
      <c r="B2714" s="11">
        <v>10976254</v>
      </c>
      <c r="C2714" s="11">
        <v>46</v>
      </c>
      <c r="D2714">
        <v>22080000</v>
      </c>
      <c r="E2714">
        <v>193</v>
      </c>
    </row>
    <row r="2715" ht="13.85" spans="1:5">
      <c r="A2715">
        <f t="shared" si="42"/>
        <v>2714</v>
      </c>
      <c r="B2715" s="11">
        <v>9173932</v>
      </c>
      <c r="C2715" s="11">
        <v>40</v>
      </c>
      <c r="D2715">
        <v>19200000</v>
      </c>
      <c r="E2715">
        <v>192</v>
      </c>
    </row>
    <row r="2716" ht="13.85" spans="1:5">
      <c r="A2716">
        <f t="shared" si="42"/>
        <v>2715</v>
      </c>
      <c r="B2716" s="11">
        <v>9232452</v>
      </c>
      <c r="C2716" s="11">
        <v>34</v>
      </c>
      <c r="D2716">
        <v>16320000</v>
      </c>
      <c r="E2716">
        <v>191</v>
      </c>
    </row>
    <row r="2717" ht="13.85" spans="1:5">
      <c r="A2717">
        <f t="shared" si="42"/>
        <v>2716</v>
      </c>
      <c r="B2717" s="11">
        <v>7728665</v>
      </c>
      <c r="C2717" s="11">
        <v>29</v>
      </c>
      <c r="D2717">
        <v>13920000</v>
      </c>
      <c r="E2717">
        <v>190</v>
      </c>
    </row>
    <row r="2718" ht="13.85" spans="1:5">
      <c r="A2718">
        <f t="shared" si="42"/>
        <v>2717</v>
      </c>
      <c r="B2718" s="11">
        <v>8404123</v>
      </c>
      <c r="C2718" s="11">
        <v>25</v>
      </c>
      <c r="D2718">
        <v>12000000</v>
      </c>
      <c r="E2718">
        <v>189</v>
      </c>
    </row>
    <row r="2719" ht="13.85" spans="1:5">
      <c r="A2719">
        <f t="shared" si="42"/>
        <v>2718</v>
      </c>
      <c r="B2719" s="11">
        <v>7033357</v>
      </c>
      <c r="C2719" s="11">
        <v>19</v>
      </c>
      <c r="D2719">
        <v>9120000</v>
      </c>
      <c r="E2719">
        <v>188</v>
      </c>
    </row>
    <row r="2720" ht="13.85" spans="1:5">
      <c r="A2720">
        <f t="shared" si="42"/>
        <v>2719</v>
      </c>
      <c r="B2720" s="11">
        <v>7794517</v>
      </c>
      <c r="C2720" s="11">
        <v>16</v>
      </c>
      <c r="D2720">
        <v>7680000</v>
      </c>
      <c r="E2720">
        <v>187</v>
      </c>
    </row>
    <row r="2721" ht="13.85" spans="1:5">
      <c r="A2721">
        <f t="shared" si="42"/>
        <v>2720</v>
      </c>
      <c r="B2721" s="11">
        <v>6546234</v>
      </c>
      <c r="C2721" s="11">
        <v>14</v>
      </c>
      <c r="D2721">
        <v>6720000</v>
      </c>
      <c r="E2721">
        <v>186</v>
      </c>
    </row>
    <row r="2722" ht="13.85" spans="1:5">
      <c r="A2722">
        <f t="shared" si="42"/>
        <v>2721</v>
      </c>
      <c r="B2722" s="11">
        <v>7286141</v>
      </c>
      <c r="C2722" s="11">
        <v>12</v>
      </c>
      <c r="D2722">
        <v>5760000</v>
      </c>
      <c r="E2722">
        <v>185</v>
      </c>
    </row>
    <row r="2723" ht="13.85" spans="1:5">
      <c r="A2723">
        <f t="shared" si="42"/>
        <v>2722</v>
      </c>
      <c r="B2723" s="11">
        <v>6411063</v>
      </c>
      <c r="C2723" s="11">
        <v>10</v>
      </c>
      <c r="D2723">
        <v>4800000</v>
      </c>
      <c r="E2723">
        <v>184</v>
      </c>
    </row>
    <row r="2724" ht="13.85" spans="1:5">
      <c r="A2724">
        <f t="shared" si="42"/>
        <v>2723</v>
      </c>
      <c r="B2724" s="11">
        <v>10374333</v>
      </c>
      <c r="C2724" s="11">
        <v>41</v>
      </c>
      <c r="D2724">
        <v>19680000</v>
      </c>
      <c r="E2724">
        <v>183</v>
      </c>
    </row>
    <row r="2725" ht="13.85" spans="1:5">
      <c r="A2725">
        <f t="shared" si="42"/>
        <v>2724</v>
      </c>
      <c r="B2725" s="11">
        <v>8675114</v>
      </c>
      <c r="C2725" s="11">
        <v>36</v>
      </c>
      <c r="D2725">
        <v>17280000</v>
      </c>
      <c r="E2725">
        <v>182</v>
      </c>
    </row>
    <row r="2726" ht="13.85" spans="1:5">
      <c r="A2726">
        <f t="shared" si="42"/>
        <v>2725</v>
      </c>
      <c r="B2726" s="11">
        <v>9199393</v>
      </c>
      <c r="C2726" s="11">
        <v>31</v>
      </c>
      <c r="D2726">
        <v>14880000</v>
      </c>
      <c r="E2726">
        <v>181</v>
      </c>
    </row>
    <row r="2727" ht="13.85" spans="1:5">
      <c r="A2727">
        <f t="shared" si="42"/>
        <v>2726</v>
      </c>
      <c r="B2727" s="11">
        <v>7558521</v>
      </c>
      <c r="C2727" s="11">
        <v>25</v>
      </c>
      <c r="D2727">
        <v>12000000</v>
      </c>
      <c r="E2727">
        <v>180</v>
      </c>
    </row>
    <row r="2728" ht="13.85" spans="1:5">
      <c r="A2728">
        <f t="shared" si="42"/>
        <v>2727</v>
      </c>
      <c r="B2728" s="11">
        <v>8558281</v>
      </c>
      <c r="C2728" s="11">
        <v>21</v>
      </c>
      <c r="D2728">
        <v>10080000</v>
      </c>
      <c r="E2728">
        <v>179</v>
      </c>
    </row>
    <row r="2729" ht="13.85" spans="1:5">
      <c r="A2729">
        <f t="shared" si="42"/>
        <v>2728</v>
      </c>
      <c r="B2729" s="11">
        <v>7038882</v>
      </c>
      <c r="C2729" s="11">
        <v>16</v>
      </c>
      <c r="D2729">
        <v>7680000</v>
      </c>
      <c r="E2729">
        <v>178</v>
      </c>
    </row>
    <row r="2730" ht="13.85" spans="1:5">
      <c r="A2730">
        <f t="shared" si="42"/>
        <v>2729</v>
      </c>
      <c r="B2730" s="11">
        <v>7711916</v>
      </c>
      <c r="C2730" s="11">
        <v>14</v>
      </c>
      <c r="D2730">
        <v>6720000</v>
      </c>
      <c r="E2730">
        <v>177</v>
      </c>
    </row>
    <row r="2731" ht="13.85" spans="1:5">
      <c r="A2731">
        <f t="shared" si="42"/>
        <v>2730</v>
      </c>
      <c r="B2731" s="11">
        <v>6730374</v>
      </c>
      <c r="C2731" s="11">
        <v>12</v>
      </c>
      <c r="D2731">
        <v>5760000</v>
      </c>
      <c r="E2731">
        <v>176</v>
      </c>
    </row>
    <row r="2732" ht="13.85" spans="1:5">
      <c r="A2732">
        <f t="shared" si="42"/>
        <v>2731</v>
      </c>
      <c r="B2732" s="11">
        <v>7656491</v>
      </c>
      <c r="C2732" s="11">
        <v>10</v>
      </c>
      <c r="D2732">
        <v>4800000</v>
      </c>
      <c r="E2732">
        <v>175</v>
      </c>
    </row>
    <row r="2733" ht="13.85" spans="1:5">
      <c r="A2733">
        <f t="shared" si="42"/>
        <v>2732</v>
      </c>
      <c r="B2733" s="11">
        <v>8709488</v>
      </c>
      <c r="C2733" s="11">
        <v>32</v>
      </c>
      <c r="D2733">
        <v>15360000</v>
      </c>
      <c r="E2733">
        <v>174</v>
      </c>
    </row>
    <row r="2734" ht="13.85" spans="1:5">
      <c r="A2734">
        <f t="shared" si="42"/>
        <v>2733</v>
      </c>
      <c r="B2734" s="11">
        <v>9132088</v>
      </c>
      <c r="C2734" s="11">
        <v>27</v>
      </c>
      <c r="D2734">
        <v>12960000</v>
      </c>
      <c r="E2734">
        <v>173</v>
      </c>
    </row>
    <row r="2735" ht="13.85" spans="1:5">
      <c r="A2735">
        <f t="shared" si="42"/>
        <v>2734</v>
      </c>
      <c r="B2735" s="11">
        <v>7793571</v>
      </c>
      <c r="C2735" s="11">
        <v>21</v>
      </c>
      <c r="D2735">
        <v>10080000</v>
      </c>
      <c r="E2735">
        <v>172</v>
      </c>
    </row>
    <row r="2736" ht="13.85" spans="1:5">
      <c r="A2736">
        <f t="shared" si="42"/>
        <v>2735</v>
      </c>
      <c r="B2736" s="11">
        <v>8304029</v>
      </c>
      <c r="C2736" s="11">
        <v>17</v>
      </c>
      <c r="D2736">
        <v>8160000</v>
      </c>
      <c r="E2736">
        <v>171</v>
      </c>
    </row>
    <row r="2737" ht="13.85" spans="1:5">
      <c r="A2737">
        <f t="shared" si="42"/>
        <v>2736</v>
      </c>
      <c r="B2737" s="11">
        <v>7239467</v>
      </c>
      <c r="C2737" s="11">
        <v>14</v>
      </c>
      <c r="D2737">
        <v>6720000</v>
      </c>
      <c r="E2737">
        <v>170</v>
      </c>
    </row>
    <row r="2738" ht="13.85" spans="1:5">
      <c r="A2738">
        <f t="shared" si="42"/>
        <v>2737</v>
      </c>
      <c r="B2738" s="11">
        <v>7909455</v>
      </c>
      <c r="C2738" s="11">
        <v>12</v>
      </c>
      <c r="D2738">
        <v>5760000</v>
      </c>
      <c r="E2738">
        <v>169</v>
      </c>
    </row>
    <row r="2739" ht="13.85" spans="1:5">
      <c r="A2739">
        <f t="shared" si="42"/>
        <v>2738</v>
      </c>
      <c r="B2739" s="11">
        <v>6957291</v>
      </c>
      <c r="C2739" s="11">
        <v>10</v>
      </c>
      <c r="D2739">
        <v>4800000</v>
      </c>
      <c r="E2739">
        <v>168</v>
      </c>
    </row>
    <row r="2740" ht="13.85" spans="1:5">
      <c r="A2740">
        <f t="shared" si="42"/>
        <v>2739</v>
      </c>
      <c r="B2740" s="11">
        <v>10049501</v>
      </c>
      <c r="C2740" s="11">
        <v>34</v>
      </c>
      <c r="D2740">
        <v>16320000</v>
      </c>
      <c r="E2740">
        <v>167</v>
      </c>
    </row>
    <row r="2741" ht="13.85" spans="1:5">
      <c r="A2741">
        <f t="shared" si="42"/>
        <v>2740</v>
      </c>
      <c r="B2741" s="11">
        <v>8658223</v>
      </c>
      <c r="C2741" s="11">
        <v>27</v>
      </c>
      <c r="D2741">
        <v>12960000</v>
      </c>
      <c r="E2741">
        <v>166</v>
      </c>
    </row>
    <row r="2742" ht="13.85" spans="1:5">
      <c r="A2742">
        <f t="shared" si="42"/>
        <v>2741</v>
      </c>
      <c r="B2742" s="11">
        <v>9302002</v>
      </c>
      <c r="C2742" s="11">
        <v>23</v>
      </c>
      <c r="D2742">
        <v>11040000</v>
      </c>
      <c r="E2742">
        <v>165</v>
      </c>
    </row>
    <row r="2743" ht="13.85" spans="1:5">
      <c r="A2743">
        <f t="shared" si="42"/>
        <v>2742</v>
      </c>
      <c r="B2743" s="11">
        <v>8038837</v>
      </c>
      <c r="C2743" s="11">
        <v>18</v>
      </c>
      <c r="D2743">
        <v>8640000</v>
      </c>
      <c r="E2743">
        <v>164</v>
      </c>
    </row>
    <row r="2744" ht="13.85" spans="1:5">
      <c r="A2744">
        <f t="shared" si="42"/>
        <v>2743</v>
      </c>
      <c r="B2744" s="11">
        <v>8504270</v>
      </c>
      <c r="C2744" s="11">
        <v>14</v>
      </c>
      <c r="D2744">
        <v>6720000</v>
      </c>
      <c r="E2744">
        <v>163</v>
      </c>
    </row>
    <row r="2745" ht="13.85" spans="1:5">
      <c r="A2745">
        <f t="shared" si="42"/>
        <v>2744</v>
      </c>
      <c r="B2745" s="11">
        <v>7259169</v>
      </c>
      <c r="C2745" s="11">
        <v>12</v>
      </c>
      <c r="D2745">
        <v>5760000</v>
      </c>
      <c r="E2745">
        <v>162</v>
      </c>
    </row>
    <row r="2746" ht="13.85" spans="1:5">
      <c r="A2746">
        <f t="shared" si="42"/>
        <v>2745</v>
      </c>
      <c r="B2746" s="11">
        <v>8822458</v>
      </c>
      <c r="C2746" s="11">
        <v>10</v>
      </c>
      <c r="D2746">
        <v>4800000</v>
      </c>
      <c r="E2746">
        <v>161</v>
      </c>
    </row>
    <row r="2747" ht="13.85" spans="1:5">
      <c r="A2747">
        <f t="shared" si="42"/>
        <v>2746</v>
      </c>
      <c r="B2747" s="11">
        <v>69797117</v>
      </c>
      <c r="C2747" s="11">
        <v>145</v>
      </c>
      <c r="D2747">
        <v>69600000</v>
      </c>
      <c r="E2747">
        <v>160</v>
      </c>
    </row>
    <row r="2748" ht="13.85" spans="1:5">
      <c r="A2748">
        <f t="shared" si="42"/>
        <v>2747</v>
      </c>
      <c r="B2748" s="11">
        <v>39028119</v>
      </c>
      <c r="C2748" s="11">
        <v>100</v>
      </c>
      <c r="D2748">
        <v>48000000</v>
      </c>
      <c r="E2748">
        <v>159</v>
      </c>
    </row>
    <row r="2749" ht="13.85" spans="1:5">
      <c r="A2749">
        <f t="shared" si="42"/>
        <v>2748</v>
      </c>
      <c r="B2749" s="11">
        <v>23185915</v>
      </c>
      <c r="C2749" s="11">
        <v>88</v>
      </c>
      <c r="D2749">
        <v>42240000</v>
      </c>
      <c r="E2749">
        <v>158</v>
      </c>
    </row>
    <row r="2750" ht="13.85" spans="1:5">
      <c r="A2750">
        <f t="shared" si="42"/>
        <v>2749</v>
      </c>
      <c r="B2750" s="11">
        <v>18460078</v>
      </c>
      <c r="C2750" s="11">
        <v>77</v>
      </c>
      <c r="D2750">
        <v>36960000</v>
      </c>
      <c r="E2750">
        <v>157</v>
      </c>
    </row>
    <row r="2751" ht="13.85" spans="1:5">
      <c r="A2751">
        <f t="shared" si="42"/>
        <v>2750</v>
      </c>
      <c r="B2751" s="11">
        <v>14508839</v>
      </c>
      <c r="C2751" s="11">
        <v>67</v>
      </c>
      <c r="D2751">
        <v>32160000</v>
      </c>
      <c r="E2751">
        <v>156</v>
      </c>
    </row>
    <row r="2752" ht="13.85" spans="1:5">
      <c r="A2752">
        <f t="shared" si="42"/>
        <v>2751</v>
      </c>
      <c r="B2752" s="11">
        <v>12952631</v>
      </c>
      <c r="C2752" s="11">
        <v>58</v>
      </c>
      <c r="D2752">
        <v>27840000</v>
      </c>
      <c r="E2752">
        <v>155</v>
      </c>
    </row>
    <row r="2753" ht="13.85" spans="1:5">
      <c r="A2753">
        <f t="shared" si="42"/>
        <v>2752</v>
      </c>
      <c r="B2753" s="11">
        <v>10935748</v>
      </c>
      <c r="C2753" s="11">
        <v>50</v>
      </c>
      <c r="D2753">
        <v>24000000</v>
      </c>
      <c r="E2753">
        <v>154</v>
      </c>
    </row>
    <row r="2754" ht="13.85" spans="1:5">
      <c r="A2754">
        <f t="shared" ref="A2754:A2817" si="43">ROW()-1</f>
        <v>2753</v>
      </c>
      <c r="B2754" s="11">
        <v>10769114</v>
      </c>
      <c r="C2754" s="11">
        <v>45</v>
      </c>
      <c r="D2754">
        <v>21600000</v>
      </c>
      <c r="E2754">
        <v>153</v>
      </c>
    </row>
    <row r="2755" ht="13.85" spans="1:5">
      <c r="A2755">
        <f t="shared" si="43"/>
        <v>2754</v>
      </c>
      <c r="B2755" s="11">
        <v>8445202</v>
      </c>
      <c r="C2755" s="11">
        <v>39</v>
      </c>
      <c r="D2755">
        <v>18720000</v>
      </c>
      <c r="E2755">
        <v>152</v>
      </c>
    </row>
    <row r="2756" ht="13.85" spans="1:5">
      <c r="A2756">
        <f t="shared" si="43"/>
        <v>2755</v>
      </c>
      <c r="B2756" s="11">
        <v>9330645</v>
      </c>
      <c r="C2756" s="11">
        <v>34</v>
      </c>
      <c r="D2756">
        <v>16320000</v>
      </c>
      <c r="E2756">
        <v>151</v>
      </c>
    </row>
    <row r="2757" ht="13.85" spans="1:5">
      <c r="A2757">
        <f t="shared" si="43"/>
        <v>2756</v>
      </c>
      <c r="B2757" s="11">
        <v>7784487</v>
      </c>
      <c r="C2757" s="11">
        <v>29</v>
      </c>
      <c r="D2757">
        <v>13920000</v>
      </c>
      <c r="E2757">
        <v>150</v>
      </c>
    </row>
    <row r="2758" ht="13.85" spans="1:5">
      <c r="A2758">
        <f t="shared" si="43"/>
        <v>2757</v>
      </c>
      <c r="B2758" s="11">
        <v>8497797</v>
      </c>
      <c r="C2758" s="11">
        <v>25</v>
      </c>
      <c r="D2758">
        <v>12000000</v>
      </c>
      <c r="E2758">
        <v>149</v>
      </c>
    </row>
    <row r="2759" ht="13.85" spans="1:5">
      <c r="A2759">
        <f t="shared" si="43"/>
        <v>2758</v>
      </c>
      <c r="B2759" s="11">
        <v>7359468</v>
      </c>
      <c r="C2759" s="11">
        <v>21</v>
      </c>
      <c r="D2759">
        <v>10080000</v>
      </c>
      <c r="E2759">
        <v>148</v>
      </c>
    </row>
    <row r="2760" ht="13.85" spans="1:5">
      <c r="A2760">
        <f t="shared" si="43"/>
        <v>2759</v>
      </c>
      <c r="B2760" s="11">
        <v>7955354</v>
      </c>
      <c r="C2760" s="11">
        <v>17</v>
      </c>
      <c r="D2760">
        <v>8160000</v>
      </c>
      <c r="E2760">
        <v>147</v>
      </c>
    </row>
    <row r="2761" ht="13.85" spans="1:5">
      <c r="A2761">
        <f t="shared" si="43"/>
        <v>2760</v>
      </c>
      <c r="B2761" s="11">
        <v>6768893</v>
      </c>
      <c r="C2761" s="11">
        <v>14</v>
      </c>
      <c r="D2761">
        <v>6720000</v>
      </c>
      <c r="E2761">
        <v>146</v>
      </c>
    </row>
    <row r="2762" ht="13.85" spans="1:5">
      <c r="A2762">
        <f t="shared" si="43"/>
        <v>2761</v>
      </c>
      <c r="B2762" s="11">
        <v>7643960</v>
      </c>
      <c r="C2762" s="11">
        <v>12</v>
      </c>
      <c r="D2762">
        <v>5760000</v>
      </c>
      <c r="E2762">
        <v>145</v>
      </c>
    </row>
    <row r="2763" ht="13.85" spans="1:5">
      <c r="A2763">
        <f t="shared" si="43"/>
        <v>2762</v>
      </c>
      <c r="B2763" s="11">
        <v>6774362</v>
      </c>
      <c r="C2763" s="11">
        <v>10</v>
      </c>
      <c r="D2763">
        <v>4800000</v>
      </c>
      <c r="E2763">
        <v>144</v>
      </c>
    </row>
    <row r="2764" ht="13.85" spans="1:5">
      <c r="A2764">
        <f t="shared" si="43"/>
        <v>2763</v>
      </c>
      <c r="B2764" s="11">
        <v>11593486</v>
      </c>
      <c r="C2764" s="11">
        <v>47</v>
      </c>
      <c r="D2764">
        <v>22560000</v>
      </c>
      <c r="E2764">
        <v>143</v>
      </c>
    </row>
    <row r="2765" ht="13.85" spans="1:5">
      <c r="A2765">
        <f t="shared" si="43"/>
        <v>2764</v>
      </c>
      <c r="B2765" s="11">
        <v>9901613</v>
      </c>
      <c r="C2765" s="11">
        <v>41</v>
      </c>
      <c r="D2765">
        <v>19680000</v>
      </c>
      <c r="E2765">
        <v>142</v>
      </c>
    </row>
    <row r="2766" ht="13.85" spans="1:5">
      <c r="A2766">
        <f t="shared" si="43"/>
        <v>2765</v>
      </c>
      <c r="B2766" s="11">
        <v>9897769</v>
      </c>
      <c r="C2766" s="11">
        <v>36</v>
      </c>
      <c r="D2766">
        <v>17280000</v>
      </c>
      <c r="E2766">
        <v>141</v>
      </c>
    </row>
    <row r="2767" ht="13.85" spans="1:5">
      <c r="A2767">
        <f t="shared" si="43"/>
        <v>2766</v>
      </c>
      <c r="B2767" s="11">
        <v>8564553</v>
      </c>
      <c r="C2767" s="11">
        <v>30</v>
      </c>
      <c r="D2767">
        <v>14400000</v>
      </c>
      <c r="E2767">
        <v>140</v>
      </c>
    </row>
    <row r="2768" ht="13.85" spans="1:5">
      <c r="A2768">
        <f t="shared" si="43"/>
        <v>2767</v>
      </c>
      <c r="B2768" s="11">
        <v>9148038</v>
      </c>
      <c r="C2768" s="11">
        <v>25</v>
      </c>
      <c r="D2768">
        <v>12000000</v>
      </c>
      <c r="E2768">
        <v>139</v>
      </c>
    </row>
    <row r="2769" ht="13.85" spans="1:5">
      <c r="A2769">
        <f t="shared" si="43"/>
        <v>2768</v>
      </c>
      <c r="B2769" s="11">
        <v>7622055</v>
      </c>
      <c r="C2769" s="11">
        <v>20</v>
      </c>
      <c r="D2769">
        <v>9600000</v>
      </c>
      <c r="E2769">
        <v>138</v>
      </c>
    </row>
    <row r="2770" ht="13.85" spans="1:5">
      <c r="A2770">
        <f t="shared" si="43"/>
        <v>2769</v>
      </c>
      <c r="B2770" s="11">
        <v>8226441</v>
      </c>
      <c r="C2770" s="11">
        <v>17</v>
      </c>
      <c r="D2770">
        <v>8160000</v>
      </c>
      <c r="E2770">
        <v>137</v>
      </c>
    </row>
    <row r="2771" ht="13.85" spans="1:5">
      <c r="A2771">
        <f t="shared" si="43"/>
        <v>2770</v>
      </c>
      <c r="B2771" s="11">
        <v>7177646</v>
      </c>
      <c r="C2771" s="11">
        <v>14</v>
      </c>
      <c r="D2771">
        <v>6720000</v>
      </c>
      <c r="E2771">
        <v>136</v>
      </c>
    </row>
    <row r="2772" ht="13.85" spans="1:5">
      <c r="A2772">
        <f t="shared" si="43"/>
        <v>2771</v>
      </c>
      <c r="B2772" s="11">
        <v>8360740</v>
      </c>
      <c r="C2772" s="11">
        <v>12</v>
      </c>
      <c r="D2772">
        <v>5760000</v>
      </c>
      <c r="E2772">
        <v>135</v>
      </c>
    </row>
    <row r="2773" ht="13.85" spans="1:5">
      <c r="A2773">
        <f t="shared" si="43"/>
        <v>2772</v>
      </c>
      <c r="B2773" s="11">
        <v>7322218</v>
      </c>
      <c r="C2773" s="11">
        <v>10</v>
      </c>
      <c r="D2773">
        <v>4800000</v>
      </c>
      <c r="E2773">
        <v>134</v>
      </c>
    </row>
    <row r="2774" ht="13.85" spans="1:5">
      <c r="A2774">
        <f t="shared" si="43"/>
        <v>2773</v>
      </c>
      <c r="B2774" s="11">
        <v>19708296</v>
      </c>
      <c r="C2774" s="11">
        <v>70</v>
      </c>
      <c r="D2774">
        <v>33600000</v>
      </c>
      <c r="E2774">
        <v>133</v>
      </c>
    </row>
    <row r="2775" ht="13.85" spans="1:5">
      <c r="A2775">
        <f t="shared" si="43"/>
        <v>2774</v>
      </c>
      <c r="B2775" s="11">
        <v>14840912</v>
      </c>
      <c r="C2775" s="11">
        <v>60</v>
      </c>
      <c r="D2775">
        <v>28800000</v>
      </c>
      <c r="E2775">
        <v>132</v>
      </c>
    </row>
    <row r="2776" ht="13.85" spans="1:5">
      <c r="A2776">
        <f t="shared" si="43"/>
        <v>2775</v>
      </c>
      <c r="B2776" s="11">
        <v>13529791</v>
      </c>
      <c r="C2776" s="11">
        <v>52</v>
      </c>
      <c r="D2776">
        <v>24960000</v>
      </c>
      <c r="E2776">
        <v>131</v>
      </c>
    </row>
    <row r="2777" ht="13.85" spans="1:5">
      <c r="A2777">
        <f t="shared" si="43"/>
        <v>2776</v>
      </c>
      <c r="B2777" s="11">
        <v>10541640</v>
      </c>
      <c r="C2777" s="11">
        <v>45</v>
      </c>
      <c r="D2777">
        <v>21600000</v>
      </c>
      <c r="E2777">
        <v>130</v>
      </c>
    </row>
    <row r="2778" ht="13.85" spans="1:5">
      <c r="A2778">
        <f t="shared" si="43"/>
        <v>2777</v>
      </c>
      <c r="B2778" s="11">
        <v>10903897</v>
      </c>
      <c r="C2778" s="11">
        <v>40</v>
      </c>
      <c r="D2778">
        <v>19200000</v>
      </c>
      <c r="E2778">
        <v>129</v>
      </c>
    </row>
    <row r="2779" ht="13.85" spans="1:5">
      <c r="A2779">
        <f t="shared" si="43"/>
        <v>2778</v>
      </c>
      <c r="B2779" s="11">
        <v>8617808</v>
      </c>
      <c r="C2779" s="11">
        <v>34</v>
      </c>
      <c r="D2779">
        <v>16320000</v>
      </c>
      <c r="E2779">
        <v>128</v>
      </c>
    </row>
    <row r="2780" ht="13.85" spans="1:5">
      <c r="A2780">
        <f t="shared" si="43"/>
        <v>2779</v>
      </c>
      <c r="B2780" s="11">
        <v>9222965</v>
      </c>
      <c r="C2780" s="11">
        <v>28</v>
      </c>
      <c r="D2780">
        <v>13440000</v>
      </c>
      <c r="E2780">
        <v>127</v>
      </c>
    </row>
    <row r="2781" ht="13.85" spans="1:5">
      <c r="A2781">
        <f t="shared" si="43"/>
        <v>2780</v>
      </c>
      <c r="B2781" s="11">
        <v>7803698</v>
      </c>
      <c r="C2781" s="11">
        <v>24</v>
      </c>
      <c r="D2781">
        <v>11520000</v>
      </c>
      <c r="E2781">
        <v>126</v>
      </c>
    </row>
    <row r="2782" ht="13.85" spans="1:5">
      <c r="A2782">
        <f t="shared" si="43"/>
        <v>2781</v>
      </c>
      <c r="B2782" s="11">
        <v>8470042</v>
      </c>
      <c r="C2782" s="11">
        <v>20</v>
      </c>
      <c r="D2782">
        <v>9600000</v>
      </c>
      <c r="E2782">
        <v>125</v>
      </c>
    </row>
    <row r="2783" ht="13.85" spans="1:5">
      <c r="A2783">
        <f t="shared" si="43"/>
        <v>2782</v>
      </c>
      <c r="B2783" s="11">
        <v>6968169</v>
      </c>
      <c r="C2783" s="11">
        <v>16</v>
      </c>
      <c r="D2783">
        <v>7680000</v>
      </c>
      <c r="E2783">
        <v>124</v>
      </c>
    </row>
    <row r="2784" ht="13.85" spans="1:5">
      <c r="A2784">
        <f t="shared" si="43"/>
        <v>2783</v>
      </c>
      <c r="B2784" s="11">
        <v>7864156</v>
      </c>
      <c r="C2784" s="11">
        <v>14</v>
      </c>
      <c r="D2784">
        <v>6720000</v>
      </c>
      <c r="E2784">
        <v>123</v>
      </c>
    </row>
    <row r="2785" ht="13.85" spans="1:5">
      <c r="A2785">
        <f t="shared" si="43"/>
        <v>2784</v>
      </c>
      <c r="B2785" s="11">
        <v>6590645</v>
      </c>
      <c r="C2785" s="11">
        <v>12</v>
      </c>
      <c r="D2785">
        <v>5760000</v>
      </c>
      <c r="E2785">
        <v>122</v>
      </c>
    </row>
    <row r="2786" ht="13.85" spans="1:5">
      <c r="A2786">
        <f t="shared" si="43"/>
        <v>2785</v>
      </c>
      <c r="B2786" s="11">
        <v>7483417</v>
      </c>
      <c r="C2786" s="11">
        <v>10</v>
      </c>
      <c r="D2786">
        <v>4800000</v>
      </c>
      <c r="E2786">
        <v>121</v>
      </c>
    </row>
    <row r="2787" ht="13.85" spans="1:5">
      <c r="A2787">
        <f t="shared" si="43"/>
        <v>2786</v>
      </c>
      <c r="B2787" s="11">
        <v>8212966</v>
      </c>
      <c r="C2787" s="11">
        <v>28</v>
      </c>
      <c r="D2787">
        <v>13440000</v>
      </c>
      <c r="E2787">
        <v>120</v>
      </c>
    </row>
    <row r="2788" ht="13.85" spans="1:5">
      <c r="A2788">
        <f t="shared" si="43"/>
        <v>2787</v>
      </c>
      <c r="B2788" s="11">
        <v>8967548</v>
      </c>
      <c r="C2788" s="11">
        <v>24</v>
      </c>
      <c r="D2788">
        <v>11520000</v>
      </c>
      <c r="E2788">
        <v>119</v>
      </c>
    </row>
    <row r="2789" ht="13.85" spans="1:5">
      <c r="A2789">
        <f t="shared" si="43"/>
        <v>2788</v>
      </c>
      <c r="B2789" s="11">
        <v>7427052</v>
      </c>
      <c r="C2789" s="11">
        <v>19</v>
      </c>
      <c r="D2789">
        <v>9120000</v>
      </c>
      <c r="E2789">
        <v>118</v>
      </c>
    </row>
    <row r="2790" ht="13.85" spans="1:5">
      <c r="A2790">
        <f t="shared" si="43"/>
        <v>2789</v>
      </c>
      <c r="B2790" s="11">
        <v>8202179</v>
      </c>
      <c r="C2790" s="11">
        <v>16</v>
      </c>
      <c r="D2790">
        <v>7680000</v>
      </c>
      <c r="E2790">
        <v>117</v>
      </c>
    </row>
    <row r="2791" ht="13.85" spans="1:5">
      <c r="A2791">
        <f t="shared" si="43"/>
        <v>2790</v>
      </c>
      <c r="B2791" s="11">
        <v>6924878</v>
      </c>
      <c r="C2791" s="11">
        <v>14</v>
      </c>
      <c r="D2791">
        <v>6720000</v>
      </c>
      <c r="E2791">
        <v>116</v>
      </c>
    </row>
    <row r="2792" ht="13.85" spans="1:5">
      <c r="A2792">
        <f t="shared" si="43"/>
        <v>2791</v>
      </c>
      <c r="B2792" s="11">
        <v>7790750</v>
      </c>
      <c r="C2792" s="11">
        <v>12</v>
      </c>
      <c r="D2792">
        <v>5760000</v>
      </c>
      <c r="E2792">
        <v>115</v>
      </c>
    </row>
    <row r="2793" ht="13.85" spans="1:5">
      <c r="A2793">
        <f t="shared" si="43"/>
        <v>2792</v>
      </c>
      <c r="B2793" s="11">
        <v>7014150</v>
      </c>
      <c r="C2793" s="11">
        <v>10</v>
      </c>
      <c r="D2793">
        <v>4800000</v>
      </c>
      <c r="E2793">
        <v>114</v>
      </c>
    </row>
    <row r="2794" ht="13.85" spans="1:5">
      <c r="A2794">
        <f t="shared" si="43"/>
        <v>2793</v>
      </c>
      <c r="B2794" s="11">
        <v>16686911</v>
      </c>
      <c r="C2794" s="11">
        <v>66</v>
      </c>
      <c r="D2794">
        <v>31680000</v>
      </c>
      <c r="E2794">
        <v>113</v>
      </c>
    </row>
    <row r="2795" ht="13.85" spans="1:5">
      <c r="A2795">
        <f t="shared" si="43"/>
        <v>2794</v>
      </c>
      <c r="B2795" s="11">
        <v>13247846</v>
      </c>
      <c r="C2795" s="11">
        <v>57</v>
      </c>
      <c r="D2795">
        <v>27360000</v>
      </c>
      <c r="E2795">
        <v>112</v>
      </c>
    </row>
    <row r="2796" ht="13.85" spans="1:5">
      <c r="A2796">
        <f t="shared" si="43"/>
        <v>2795</v>
      </c>
      <c r="B2796" s="11">
        <v>12142102</v>
      </c>
      <c r="C2796" s="11">
        <v>50</v>
      </c>
      <c r="D2796">
        <v>24000000</v>
      </c>
      <c r="E2796">
        <v>111</v>
      </c>
    </row>
    <row r="2797" ht="13.85" spans="1:5">
      <c r="A2797">
        <f t="shared" si="43"/>
        <v>2796</v>
      </c>
      <c r="B2797" s="11">
        <v>9912637</v>
      </c>
      <c r="C2797" s="11">
        <v>45</v>
      </c>
      <c r="D2797">
        <v>21600000</v>
      </c>
      <c r="E2797">
        <v>110</v>
      </c>
    </row>
    <row r="2798" ht="13.85" spans="1:5">
      <c r="A2798">
        <f t="shared" si="43"/>
        <v>2797</v>
      </c>
      <c r="B2798" s="15">
        <v>9020255</v>
      </c>
      <c r="C2798" s="15">
        <v>40</v>
      </c>
      <c r="D2798">
        <v>19200000</v>
      </c>
      <c r="E2798">
        <v>109</v>
      </c>
    </row>
    <row r="2799" ht="13.85" spans="1:5">
      <c r="A2799">
        <f t="shared" si="43"/>
        <v>2798</v>
      </c>
      <c r="B2799" s="13">
        <v>8823368</v>
      </c>
      <c r="C2799" s="13">
        <v>35</v>
      </c>
      <c r="D2799">
        <v>16800000</v>
      </c>
      <c r="E2799">
        <v>108</v>
      </c>
    </row>
    <row r="2800" ht="13.85" spans="1:5">
      <c r="A2800">
        <f t="shared" si="43"/>
        <v>2799</v>
      </c>
      <c r="B2800" s="11">
        <v>8256426</v>
      </c>
      <c r="C2800" s="11">
        <v>30</v>
      </c>
      <c r="D2800">
        <v>14400000</v>
      </c>
      <c r="E2800">
        <v>107</v>
      </c>
    </row>
    <row r="2801" ht="13.85" spans="1:5">
      <c r="A2801">
        <f t="shared" si="43"/>
        <v>2800</v>
      </c>
      <c r="B2801" s="11">
        <v>8092329</v>
      </c>
      <c r="C2801" s="11">
        <v>26</v>
      </c>
      <c r="D2801">
        <v>12480000</v>
      </c>
      <c r="E2801">
        <v>106</v>
      </c>
    </row>
    <row r="2802" ht="13.85" spans="1:5">
      <c r="A2802">
        <f t="shared" si="43"/>
        <v>2801</v>
      </c>
      <c r="B2802" s="11">
        <v>8351633</v>
      </c>
      <c r="C2802" s="11">
        <v>23</v>
      </c>
      <c r="D2802">
        <v>11040000</v>
      </c>
      <c r="E2802">
        <v>105</v>
      </c>
    </row>
    <row r="2803" ht="13.85" spans="1:5">
      <c r="A2803">
        <f t="shared" si="43"/>
        <v>2802</v>
      </c>
      <c r="B2803" s="11">
        <v>7039503</v>
      </c>
      <c r="C2803" s="11">
        <v>18</v>
      </c>
      <c r="D2803">
        <v>8640000</v>
      </c>
      <c r="E2803">
        <v>104</v>
      </c>
    </row>
    <row r="2804" ht="13.85" spans="1:5">
      <c r="A2804">
        <f t="shared" si="43"/>
        <v>2803</v>
      </c>
      <c r="B2804" s="11">
        <v>7814176</v>
      </c>
      <c r="C2804" s="11">
        <v>16</v>
      </c>
      <c r="D2804">
        <v>7680000</v>
      </c>
      <c r="E2804">
        <v>103</v>
      </c>
    </row>
    <row r="2805" ht="13.85" spans="1:5">
      <c r="A2805">
        <f t="shared" si="43"/>
        <v>2804</v>
      </c>
      <c r="B2805" s="11">
        <v>6721399</v>
      </c>
      <c r="C2805" s="11">
        <v>14</v>
      </c>
      <c r="D2805">
        <v>6720000</v>
      </c>
      <c r="E2805">
        <v>102</v>
      </c>
    </row>
    <row r="2806" ht="13.85" spans="1:5">
      <c r="A2806">
        <f t="shared" si="43"/>
        <v>2805</v>
      </c>
      <c r="B2806" s="11">
        <v>7615053</v>
      </c>
      <c r="C2806" s="11">
        <v>12</v>
      </c>
      <c r="D2806">
        <v>5760000</v>
      </c>
      <c r="E2806">
        <v>101</v>
      </c>
    </row>
    <row r="2807" ht="13.85" spans="1:5">
      <c r="A2807">
        <f t="shared" si="43"/>
        <v>2806</v>
      </c>
      <c r="B2807" s="11">
        <v>6609741</v>
      </c>
      <c r="C2807" s="11">
        <v>10</v>
      </c>
      <c r="D2807">
        <v>4800000</v>
      </c>
      <c r="E2807">
        <v>100</v>
      </c>
    </row>
    <row r="2808" ht="13.85" spans="1:5">
      <c r="A2808">
        <f t="shared" si="43"/>
        <v>2807</v>
      </c>
      <c r="B2808" s="11">
        <v>8899079</v>
      </c>
      <c r="C2808" s="11">
        <v>32</v>
      </c>
      <c r="D2808">
        <v>15360000</v>
      </c>
      <c r="E2808">
        <v>99</v>
      </c>
    </row>
    <row r="2809" ht="13.85" spans="1:5">
      <c r="A2809">
        <f t="shared" si="43"/>
        <v>2808</v>
      </c>
      <c r="B2809" s="11">
        <v>8359112</v>
      </c>
      <c r="C2809" s="11">
        <v>28</v>
      </c>
      <c r="D2809">
        <v>13440000</v>
      </c>
      <c r="E2809">
        <v>98</v>
      </c>
    </row>
    <row r="2810" ht="13.85" spans="1:5">
      <c r="A2810">
        <f t="shared" si="43"/>
        <v>2809</v>
      </c>
      <c r="B2810" s="11">
        <v>8764402</v>
      </c>
      <c r="C2810" s="11">
        <v>24</v>
      </c>
      <c r="D2810">
        <v>11520000</v>
      </c>
      <c r="E2810">
        <v>97</v>
      </c>
    </row>
    <row r="2811" ht="13.85" spans="1:5">
      <c r="A2811">
        <f t="shared" si="43"/>
        <v>2810</v>
      </c>
      <c r="B2811" s="11">
        <v>7566242</v>
      </c>
      <c r="C2811" s="11">
        <v>20</v>
      </c>
      <c r="D2811">
        <v>9600000</v>
      </c>
      <c r="E2811">
        <v>96</v>
      </c>
    </row>
    <row r="2812" ht="13.85" spans="1:5">
      <c r="A2812">
        <f t="shared" si="43"/>
        <v>2811</v>
      </c>
      <c r="B2812" s="11">
        <v>8289110</v>
      </c>
      <c r="C2812" s="11">
        <v>16</v>
      </c>
      <c r="D2812">
        <v>7680000</v>
      </c>
      <c r="E2812">
        <v>95</v>
      </c>
    </row>
    <row r="2813" ht="13.85" spans="1:5">
      <c r="A2813">
        <f t="shared" si="43"/>
        <v>2812</v>
      </c>
      <c r="B2813" s="11">
        <v>6909549</v>
      </c>
      <c r="C2813" s="11">
        <v>14</v>
      </c>
      <c r="D2813">
        <v>6720000</v>
      </c>
      <c r="E2813">
        <v>94</v>
      </c>
    </row>
    <row r="2814" ht="13.85" spans="1:5">
      <c r="A2814">
        <f t="shared" si="43"/>
        <v>2813</v>
      </c>
      <c r="B2814" s="11">
        <v>7961543</v>
      </c>
      <c r="C2814" s="11">
        <v>12</v>
      </c>
      <c r="D2814">
        <v>5760000</v>
      </c>
      <c r="E2814">
        <v>93</v>
      </c>
    </row>
    <row r="2815" ht="13.85" spans="1:5">
      <c r="A2815">
        <f t="shared" si="43"/>
        <v>2814</v>
      </c>
      <c r="B2815" s="11">
        <v>6917311</v>
      </c>
      <c r="C2815" s="11">
        <v>10</v>
      </c>
      <c r="D2815">
        <v>4800000</v>
      </c>
      <c r="E2815">
        <v>92</v>
      </c>
    </row>
    <row r="2816" ht="13.85" spans="1:5">
      <c r="A2816">
        <f t="shared" si="43"/>
        <v>2815</v>
      </c>
      <c r="B2816" s="11">
        <v>11717759</v>
      </c>
      <c r="C2816" s="11">
        <v>45</v>
      </c>
      <c r="D2816">
        <v>21600000</v>
      </c>
      <c r="E2816">
        <v>91</v>
      </c>
    </row>
    <row r="2817" ht="13.85" spans="1:5">
      <c r="A2817">
        <f t="shared" si="43"/>
        <v>2816</v>
      </c>
      <c r="B2817" s="11">
        <v>9940196</v>
      </c>
      <c r="C2817" s="11">
        <v>40</v>
      </c>
      <c r="D2817">
        <v>19200000</v>
      </c>
      <c r="E2817">
        <v>90</v>
      </c>
    </row>
    <row r="2818" ht="13.85" spans="1:5">
      <c r="A2818">
        <f t="shared" ref="A2818:A2881" si="44">ROW()-1</f>
        <v>2817</v>
      </c>
      <c r="B2818" s="11">
        <v>9959954</v>
      </c>
      <c r="C2818" s="11">
        <v>34</v>
      </c>
      <c r="D2818">
        <v>16320000</v>
      </c>
      <c r="E2818">
        <v>89</v>
      </c>
    </row>
    <row r="2819" ht="13.85" spans="1:5">
      <c r="A2819">
        <f t="shared" si="44"/>
        <v>2818</v>
      </c>
      <c r="B2819" s="11">
        <v>8412139</v>
      </c>
      <c r="C2819" s="11">
        <v>29</v>
      </c>
      <c r="D2819">
        <v>13920000</v>
      </c>
      <c r="E2819">
        <v>88</v>
      </c>
    </row>
    <row r="2820" ht="13.85" spans="1:5">
      <c r="A2820">
        <f t="shared" si="44"/>
        <v>2819</v>
      </c>
      <c r="B2820" s="11">
        <v>9221381</v>
      </c>
      <c r="C2820" s="11">
        <v>25</v>
      </c>
      <c r="D2820">
        <v>12000000</v>
      </c>
      <c r="E2820">
        <v>87</v>
      </c>
    </row>
    <row r="2821" ht="13.85" spans="1:5">
      <c r="A2821">
        <f t="shared" si="44"/>
        <v>2820</v>
      </c>
      <c r="B2821" s="11">
        <v>7800856</v>
      </c>
      <c r="C2821" s="11">
        <v>20</v>
      </c>
      <c r="D2821">
        <v>9600000</v>
      </c>
      <c r="E2821">
        <v>86</v>
      </c>
    </row>
    <row r="2822" ht="13.85" spans="1:5">
      <c r="A2822">
        <f t="shared" si="44"/>
        <v>2821</v>
      </c>
      <c r="B2822" s="11">
        <v>8507048</v>
      </c>
      <c r="C2822" s="11">
        <v>16</v>
      </c>
      <c r="D2822">
        <v>7680000</v>
      </c>
      <c r="E2822">
        <v>85</v>
      </c>
    </row>
    <row r="2823" ht="13.85" spans="1:5">
      <c r="A2823">
        <f t="shared" si="44"/>
        <v>2822</v>
      </c>
      <c r="B2823" s="11">
        <v>7428276</v>
      </c>
      <c r="C2823" s="11">
        <v>14</v>
      </c>
      <c r="D2823">
        <v>6720000</v>
      </c>
      <c r="E2823">
        <v>84</v>
      </c>
    </row>
    <row r="2824" ht="13.85" spans="1:5">
      <c r="A2824">
        <f t="shared" si="44"/>
        <v>2823</v>
      </c>
      <c r="B2824" s="11">
        <v>8429487</v>
      </c>
      <c r="C2824" s="11">
        <v>12</v>
      </c>
      <c r="D2824">
        <v>5760000</v>
      </c>
      <c r="E2824">
        <v>83</v>
      </c>
    </row>
    <row r="2825" ht="13.85" spans="1:5">
      <c r="A2825">
        <f t="shared" si="44"/>
        <v>2824</v>
      </c>
      <c r="B2825" s="11">
        <v>7285309</v>
      </c>
      <c r="C2825" s="11">
        <v>10</v>
      </c>
      <c r="D2825">
        <v>4800000</v>
      </c>
      <c r="E2825">
        <v>82</v>
      </c>
    </row>
    <row r="2826" ht="13.85" spans="1:5">
      <c r="A2826">
        <f t="shared" si="44"/>
        <v>2825</v>
      </c>
      <c r="B2826" s="11">
        <v>12671213</v>
      </c>
      <c r="C2826" s="11">
        <v>49</v>
      </c>
      <c r="D2826">
        <v>23520000</v>
      </c>
      <c r="E2826">
        <v>81</v>
      </c>
    </row>
    <row r="2827" ht="13.85" spans="1:5">
      <c r="A2827">
        <f t="shared" si="44"/>
        <v>2826</v>
      </c>
      <c r="B2827" s="11">
        <v>10808216</v>
      </c>
      <c r="C2827" s="11">
        <v>43</v>
      </c>
      <c r="D2827">
        <v>20640000</v>
      </c>
      <c r="E2827">
        <v>80</v>
      </c>
    </row>
    <row r="2828" ht="13.85" spans="1:5">
      <c r="A2828">
        <f t="shared" si="44"/>
        <v>2827</v>
      </c>
      <c r="B2828" s="11">
        <v>10946062</v>
      </c>
      <c r="C2828" s="11">
        <v>38</v>
      </c>
      <c r="D2828">
        <v>18240000</v>
      </c>
      <c r="E2828">
        <v>79</v>
      </c>
    </row>
    <row r="2829" ht="13.85" spans="1:5">
      <c r="A2829">
        <f t="shared" si="44"/>
        <v>2828</v>
      </c>
      <c r="B2829" s="11">
        <v>9499322</v>
      </c>
      <c r="C2829" s="11">
        <v>32</v>
      </c>
      <c r="D2829">
        <v>15360000</v>
      </c>
      <c r="E2829">
        <v>78</v>
      </c>
    </row>
    <row r="2830" ht="13.85" spans="1:5">
      <c r="A2830">
        <f t="shared" si="44"/>
        <v>2829</v>
      </c>
      <c r="B2830" s="11">
        <v>9832220</v>
      </c>
      <c r="C2830" s="11">
        <v>27</v>
      </c>
      <c r="D2830">
        <v>12960000</v>
      </c>
      <c r="E2830">
        <v>77</v>
      </c>
    </row>
    <row r="2831" ht="13.85" spans="1:5">
      <c r="A2831">
        <f t="shared" si="44"/>
        <v>2830</v>
      </c>
      <c r="B2831" s="11">
        <v>8479801</v>
      </c>
      <c r="C2831" s="11">
        <v>23</v>
      </c>
      <c r="D2831">
        <v>11040000</v>
      </c>
      <c r="E2831">
        <v>76</v>
      </c>
    </row>
    <row r="2832" ht="13.85" spans="1:5">
      <c r="A2832">
        <f t="shared" si="44"/>
        <v>2831</v>
      </c>
      <c r="B2832" s="11">
        <v>9587273</v>
      </c>
      <c r="C2832" s="11">
        <v>18</v>
      </c>
      <c r="D2832">
        <v>8640000</v>
      </c>
      <c r="E2832">
        <v>75</v>
      </c>
    </row>
    <row r="2833" ht="13.85" spans="1:5">
      <c r="A2833">
        <f t="shared" si="44"/>
        <v>2832</v>
      </c>
      <c r="B2833" s="11">
        <v>8198291</v>
      </c>
      <c r="C2833" s="11">
        <v>14</v>
      </c>
      <c r="D2833">
        <v>6720000</v>
      </c>
      <c r="E2833">
        <v>74</v>
      </c>
    </row>
    <row r="2834" ht="13.85" spans="1:5">
      <c r="A2834">
        <f t="shared" si="44"/>
        <v>2833</v>
      </c>
      <c r="B2834" s="11">
        <v>9108702</v>
      </c>
      <c r="C2834" s="11">
        <v>12</v>
      </c>
      <c r="D2834">
        <v>5760000</v>
      </c>
      <c r="E2834">
        <v>73</v>
      </c>
    </row>
    <row r="2835" ht="13.85" spans="1:5">
      <c r="A2835">
        <f t="shared" si="44"/>
        <v>2834</v>
      </c>
      <c r="B2835" s="11">
        <v>8239264</v>
      </c>
      <c r="C2835" s="11">
        <v>10</v>
      </c>
      <c r="D2835">
        <v>4800000</v>
      </c>
      <c r="E2835">
        <v>72</v>
      </c>
    </row>
    <row r="2836" ht="13.85" spans="1:5">
      <c r="A2836">
        <f t="shared" si="44"/>
        <v>2835</v>
      </c>
      <c r="B2836" s="11">
        <v>13675013</v>
      </c>
      <c r="C2836" s="11">
        <v>43</v>
      </c>
      <c r="D2836">
        <v>20640000</v>
      </c>
      <c r="E2836">
        <v>71</v>
      </c>
    </row>
    <row r="2837" ht="13.85" spans="1:5">
      <c r="A2837">
        <f t="shared" si="44"/>
        <v>2836</v>
      </c>
      <c r="B2837" s="11">
        <v>11595849</v>
      </c>
      <c r="C2837" s="11">
        <v>35</v>
      </c>
      <c r="D2837">
        <v>16800000</v>
      </c>
      <c r="E2837">
        <v>70</v>
      </c>
    </row>
    <row r="2838" ht="13.85" spans="1:5">
      <c r="A2838">
        <f t="shared" si="44"/>
        <v>2837</v>
      </c>
      <c r="B2838" s="11">
        <v>12397921</v>
      </c>
      <c r="C2838" s="11">
        <v>30</v>
      </c>
      <c r="D2838">
        <v>14400000</v>
      </c>
      <c r="E2838">
        <v>69</v>
      </c>
    </row>
    <row r="2839" ht="13.85" spans="1:5">
      <c r="A2839">
        <f t="shared" si="44"/>
        <v>2838</v>
      </c>
      <c r="B2839" s="11">
        <v>10648205</v>
      </c>
      <c r="C2839" s="11">
        <v>22</v>
      </c>
      <c r="D2839">
        <v>10560000</v>
      </c>
      <c r="E2839">
        <v>68</v>
      </c>
    </row>
    <row r="2840" ht="13.85" spans="1:5">
      <c r="A2840">
        <f t="shared" si="44"/>
        <v>2839</v>
      </c>
      <c r="B2840" s="11">
        <v>11012912</v>
      </c>
      <c r="C2840" s="11">
        <v>17</v>
      </c>
      <c r="D2840">
        <v>8160000</v>
      </c>
      <c r="E2840">
        <v>67</v>
      </c>
    </row>
    <row r="2841" ht="13.85" spans="1:5">
      <c r="A2841">
        <f t="shared" si="44"/>
        <v>2840</v>
      </c>
      <c r="B2841" s="11">
        <v>10065520</v>
      </c>
      <c r="C2841" s="11">
        <v>12</v>
      </c>
      <c r="D2841">
        <v>5760000</v>
      </c>
      <c r="E2841">
        <v>66</v>
      </c>
    </row>
    <row r="2842" ht="13.85" spans="1:5">
      <c r="A2842">
        <f t="shared" si="44"/>
        <v>2841</v>
      </c>
      <c r="B2842" s="11">
        <v>12778842</v>
      </c>
      <c r="C2842" s="11">
        <v>10</v>
      </c>
      <c r="D2842">
        <v>4800000</v>
      </c>
      <c r="E2842">
        <v>65</v>
      </c>
    </row>
    <row r="2843" ht="13.85" spans="1:5">
      <c r="A2843">
        <f t="shared" si="44"/>
        <v>2842</v>
      </c>
      <c r="B2843" s="11">
        <v>210850582</v>
      </c>
      <c r="C2843" s="11">
        <v>250</v>
      </c>
      <c r="D2843">
        <v>120000000</v>
      </c>
      <c r="E2843">
        <v>64</v>
      </c>
    </row>
    <row r="2844" ht="13.85" spans="1:5">
      <c r="A2844">
        <f t="shared" si="44"/>
        <v>2843</v>
      </c>
      <c r="B2844" s="11">
        <v>100306918</v>
      </c>
      <c r="C2844" s="11">
        <v>180</v>
      </c>
      <c r="D2844">
        <v>86400000</v>
      </c>
      <c r="E2844">
        <v>63</v>
      </c>
    </row>
    <row r="2845" ht="13.85" spans="1:5">
      <c r="A2845">
        <f t="shared" si="44"/>
        <v>2844</v>
      </c>
      <c r="B2845" s="11">
        <v>59979949</v>
      </c>
      <c r="C2845" s="11">
        <v>125</v>
      </c>
      <c r="D2845">
        <v>60000000</v>
      </c>
      <c r="E2845">
        <v>62</v>
      </c>
    </row>
    <row r="2846" ht="13.85" spans="1:5">
      <c r="A2846">
        <f t="shared" si="44"/>
        <v>2845</v>
      </c>
      <c r="B2846" s="11">
        <v>32529149</v>
      </c>
      <c r="C2846" s="11">
        <v>95</v>
      </c>
      <c r="D2846">
        <v>45600000</v>
      </c>
      <c r="E2846">
        <v>61</v>
      </c>
    </row>
    <row r="2847" ht="13.85" spans="1:5">
      <c r="A2847">
        <f t="shared" si="44"/>
        <v>2846</v>
      </c>
      <c r="B2847" s="11">
        <v>20625320</v>
      </c>
      <c r="C2847" s="11">
        <v>80</v>
      </c>
      <c r="D2847">
        <v>38400000</v>
      </c>
      <c r="E2847">
        <v>60</v>
      </c>
    </row>
    <row r="2848" ht="13.85" spans="1:5">
      <c r="A2848">
        <f t="shared" si="44"/>
        <v>2847</v>
      </c>
      <c r="B2848" s="11">
        <v>16347727</v>
      </c>
      <c r="C2848" s="11">
        <v>69</v>
      </c>
      <c r="D2848">
        <v>33120000</v>
      </c>
      <c r="E2848">
        <v>59</v>
      </c>
    </row>
    <row r="2849" ht="13.85" spans="1:5">
      <c r="A2849">
        <f t="shared" si="44"/>
        <v>2848</v>
      </c>
      <c r="B2849" s="11">
        <v>13843758</v>
      </c>
      <c r="C2849" s="11">
        <v>60</v>
      </c>
      <c r="D2849">
        <v>28800000</v>
      </c>
      <c r="E2849">
        <v>58</v>
      </c>
    </row>
    <row r="2850" ht="13.85" spans="1:5">
      <c r="A2850">
        <f t="shared" si="44"/>
        <v>2849</v>
      </c>
      <c r="B2850" s="11">
        <v>12583535</v>
      </c>
      <c r="C2850" s="11">
        <v>54</v>
      </c>
      <c r="D2850">
        <v>25920000</v>
      </c>
      <c r="E2850">
        <v>57</v>
      </c>
    </row>
    <row r="2851" ht="13.85" spans="1:5">
      <c r="A2851">
        <f t="shared" si="44"/>
        <v>2850</v>
      </c>
      <c r="B2851" s="11">
        <v>10715561</v>
      </c>
      <c r="C2851" s="11">
        <v>48</v>
      </c>
      <c r="D2851">
        <v>23040000</v>
      </c>
      <c r="E2851">
        <v>56</v>
      </c>
    </row>
    <row r="2852" ht="13.85" spans="1:5">
      <c r="A2852">
        <f t="shared" si="44"/>
        <v>2851</v>
      </c>
      <c r="B2852" s="11">
        <v>10846115</v>
      </c>
      <c r="C2852" s="11">
        <v>42</v>
      </c>
      <c r="D2852">
        <v>20160000</v>
      </c>
      <c r="E2852">
        <v>55</v>
      </c>
    </row>
    <row r="2853" ht="13.85" spans="1:5">
      <c r="A2853">
        <f t="shared" si="44"/>
        <v>2852</v>
      </c>
      <c r="B2853" s="11">
        <v>8985832</v>
      </c>
      <c r="C2853" s="11">
        <v>36</v>
      </c>
      <c r="D2853">
        <v>17280000</v>
      </c>
      <c r="E2853">
        <v>54</v>
      </c>
    </row>
    <row r="2854" ht="13.85" spans="1:5">
      <c r="A2854">
        <f t="shared" si="44"/>
        <v>2853</v>
      </c>
      <c r="B2854" s="11">
        <v>9686833</v>
      </c>
      <c r="C2854" s="11">
        <v>32</v>
      </c>
      <c r="D2854">
        <v>15360000</v>
      </c>
      <c r="E2854">
        <v>53</v>
      </c>
    </row>
    <row r="2855" ht="13.85" spans="1:5">
      <c r="A2855">
        <f t="shared" si="44"/>
        <v>2854</v>
      </c>
      <c r="B2855" s="11">
        <v>8219689</v>
      </c>
      <c r="C2855" s="11">
        <v>28</v>
      </c>
      <c r="D2855">
        <v>13440000</v>
      </c>
      <c r="E2855">
        <v>52</v>
      </c>
    </row>
    <row r="2856" ht="13.85" spans="1:5">
      <c r="A2856">
        <f t="shared" si="44"/>
        <v>2855</v>
      </c>
      <c r="B2856" s="11">
        <v>8764267</v>
      </c>
      <c r="C2856" s="11">
        <v>24</v>
      </c>
      <c r="D2856">
        <v>11520000</v>
      </c>
      <c r="E2856">
        <v>51</v>
      </c>
    </row>
    <row r="2857" ht="13.85" spans="1:5">
      <c r="A2857">
        <f t="shared" si="44"/>
        <v>2856</v>
      </c>
      <c r="B2857" s="11">
        <v>7474819</v>
      </c>
      <c r="C2857" s="11">
        <v>19</v>
      </c>
      <c r="D2857">
        <v>9120000</v>
      </c>
      <c r="E2857">
        <v>50</v>
      </c>
    </row>
    <row r="2858" ht="13.85" spans="1:5">
      <c r="A2858">
        <f t="shared" si="44"/>
        <v>2857</v>
      </c>
      <c r="B2858" s="11">
        <v>8246564</v>
      </c>
      <c r="C2858" s="11">
        <v>16</v>
      </c>
      <c r="D2858">
        <v>7680000</v>
      </c>
      <c r="E2858">
        <v>49</v>
      </c>
    </row>
    <row r="2859" ht="13.85" spans="1:5">
      <c r="A2859">
        <f t="shared" si="44"/>
        <v>2858</v>
      </c>
      <c r="B2859" s="11">
        <v>7414854</v>
      </c>
      <c r="C2859" s="11">
        <v>14</v>
      </c>
      <c r="D2859">
        <v>6720000</v>
      </c>
      <c r="E2859">
        <v>48</v>
      </c>
    </row>
    <row r="2860" ht="13.85" spans="1:5">
      <c r="A2860">
        <f t="shared" si="44"/>
        <v>2859</v>
      </c>
      <c r="B2860" s="11">
        <v>8078978</v>
      </c>
      <c r="C2860" s="11">
        <v>12</v>
      </c>
      <c r="D2860">
        <v>5760000</v>
      </c>
      <c r="E2860">
        <v>47</v>
      </c>
    </row>
    <row r="2861" ht="13.85" spans="1:5">
      <c r="A2861">
        <f t="shared" si="44"/>
        <v>2860</v>
      </c>
      <c r="B2861" s="11">
        <v>6933812</v>
      </c>
      <c r="C2861" s="11">
        <v>10</v>
      </c>
      <c r="D2861">
        <v>4800000</v>
      </c>
      <c r="E2861">
        <v>46</v>
      </c>
    </row>
    <row r="2862" ht="13.85" spans="1:5">
      <c r="A2862">
        <f t="shared" si="44"/>
        <v>2861</v>
      </c>
      <c r="B2862" s="11">
        <v>9192941</v>
      </c>
      <c r="C2862" s="11">
        <v>10</v>
      </c>
      <c r="D2862">
        <v>4800000</v>
      </c>
      <c r="E2862">
        <v>45</v>
      </c>
    </row>
    <row r="2863" ht="13.85" spans="1:5">
      <c r="A2863">
        <f t="shared" si="44"/>
        <v>2862</v>
      </c>
      <c r="B2863" s="11">
        <v>138549398</v>
      </c>
      <c r="C2863" s="11">
        <v>175</v>
      </c>
      <c r="D2863">
        <v>84000000</v>
      </c>
      <c r="E2863">
        <v>44</v>
      </c>
    </row>
    <row r="2864" ht="13.85" spans="1:5">
      <c r="A2864">
        <f t="shared" si="44"/>
        <v>2863</v>
      </c>
      <c r="B2864" s="11">
        <v>61984620</v>
      </c>
      <c r="C2864" s="11">
        <v>113</v>
      </c>
      <c r="D2864">
        <v>54240000</v>
      </c>
      <c r="E2864">
        <v>43</v>
      </c>
    </row>
    <row r="2865" ht="13.85" spans="1:5">
      <c r="A2865">
        <f t="shared" si="44"/>
        <v>2864</v>
      </c>
      <c r="B2865" s="11">
        <v>32046086</v>
      </c>
      <c r="C2865" s="11">
        <v>85</v>
      </c>
      <c r="D2865">
        <v>40800000</v>
      </c>
      <c r="E2865">
        <v>42</v>
      </c>
    </row>
    <row r="2866" ht="13.85" spans="1:5">
      <c r="A2866">
        <f t="shared" si="44"/>
        <v>2865</v>
      </c>
      <c r="B2866" s="11">
        <v>22360263</v>
      </c>
      <c r="C2866" s="11">
        <v>70</v>
      </c>
      <c r="D2866">
        <v>33600000</v>
      </c>
      <c r="E2866">
        <v>41</v>
      </c>
    </row>
    <row r="2867" ht="13.85" spans="1:5">
      <c r="A2867">
        <f t="shared" si="44"/>
        <v>2866</v>
      </c>
      <c r="B2867" s="11">
        <v>14567820</v>
      </c>
      <c r="C2867" s="11">
        <v>58</v>
      </c>
      <c r="D2867">
        <v>27840000</v>
      </c>
      <c r="E2867">
        <v>40</v>
      </c>
    </row>
    <row r="2868" ht="13.85" spans="1:5">
      <c r="A2868">
        <f t="shared" si="44"/>
        <v>2867</v>
      </c>
      <c r="B2868" s="11">
        <v>14000936</v>
      </c>
      <c r="C2868" s="11">
        <v>50</v>
      </c>
      <c r="D2868">
        <v>24000000</v>
      </c>
      <c r="E2868">
        <v>39</v>
      </c>
    </row>
    <row r="2869" ht="13.85" spans="1:5">
      <c r="A2869">
        <f t="shared" si="44"/>
        <v>2868</v>
      </c>
      <c r="B2869" s="11">
        <v>10543200</v>
      </c>
      <c r="C2869" s="11">
        <v>44</v>
      </c>
      <c r="D2869">
        <v>21120000</v>
      </c>
      <c r="E2869">
        <v>38</v>
      </c>
    </row>
    <row r="2870" ht="13.85" spans="1:5">
      <c r="A2870">
        <f t="shared" si="44"/>
        <v>2869</v>
      </c>
      <c r="B2870" s="11">
        <v>10076622</v>
      </c>
      <c r="C2870" s="11">
        <v>39</v>
      </c>
      <c r="D2870">
        <v>18720000</v>
      </c>
      <c r="E2870">
        <v>37</v>
      </c>
    </row>
    <row r="2871" ht="13.85" spans="1:5">
      <c r="A2871">
        <f t="shared" si="44"/>
        <v>2870</v>
      </c>
      <c r="B2871" s="11">
        <v>8382167</v>
      </c>
      <c r="C2871" s="11">
        <v>33</v>
      </c>
      <c r="D2871">
        <v>15840000</v>
      </c>
      <c r="E2871">
        <v>36</v>
      </c>
    </row>
    <row r="2872" ht="13.85" spans="1:5">
      <c r="A2872">
        <f t="shared" si="44"/>
        <v>2871</v>
      </c>
      <c r="B2872" s="11">
        <v>8519890</v>
      </c>
      <c r="C2872" s="11">
        <v>29</v>
      </c>
      <c r="D2872">
        <v>13920000</v>
      </c>
      <c r="E2872">
        <v>35</v>
      </c>
    </row>
    <row r="2873" ht="13.85" spans="1:5">
      <c r="A2873">
        <f t="shared" si="44"/>
        <v>2872</v>
      </c>
      <c r="B2873" s="11">
        <v>7209218</v>
      </c>
      <c r="C2873" s="11">
        <v>25</v>
      </c>
      <c r="D2873">
        <v>12000000</v>
      </c>
      <c r="E2873">
        <v>34</v>
      </c>
    </row>
    <row r="2874" ht="13.85" spans="1:5">
      <c r="A2874">
        <f t="shared" si="44"/>
        <v>2873</v>
      </c>
      <c r="B2874" s="11">
        <v>8021762</v>
      </c>
      <c r="C2874" s="11">
        <v>21</v>
      </c>
      <c r="D2874">
        <v>10080000</v>
      </c>
      <c r="E2874">
        <v>33</v>
      </c>
    </row>
    <row r="2875" ht="13.85" spans="1:5">
      <c r="A2875">
        <f t="shared" si="44"/>
        <v>2874</v>
      </c>
      <c r="B2875" s="11">
        <v>6562674</v>
      </c>
      <c r="C2875" s="11">
        <v>18</v>
      </c>
      <c r="D2875">
        <v>8640000</v>
      </c>
      <c r="E2875">
        <v>32</v>
      </c>
    </row>
    <row r="2876" ht="13.85" spans="1:5">
      <c r="A2876">
        <f t="shared" si="44"/>
        <v>2875</v>
      </c>
      <c r="B2876" s="11">
        <v>7613970</v>
      </c>
      <c r="C2876" s="11">
        <v>16</v>
      </c>
      <c r="D2876">
        <v>7680000</v>
      </c>
      <c r="E2876">
        <v>31</v>
      </c>
    </row>
    <row r="2877" ht="13.85" spans="1:5">
      <c r="A2877">
        <f t="shared" si="44"/>
        <v>2876</v>
      </c>
      <c r="B2877" s="11">
        <v>6295816</v>
      </c>
      <c r="C2877" s="11">
        <v>14</v>
      </c>
      <c r="D2877">
        <v>6720000</v>
      </c>
      <c r="E2877">
        <v>30</v>
      </c>
    </row>
    <row r="2878" ht="13.85" spans="1:5">
      <c r="A2878">
        <f t="shared" si="44"/>
        <v>2877</v>
      </c>
      <c r="B2878" s="11">
        <v>7158322</v>
      </c>
      <c r="C2878" s="11">
        <v>12</v>
      </c>
      <c r="D2878">
        <v>5760000</v>
      </c>
      <c r="E2878">
        <v>29</v>
      </c>
    </row>
    <row r="2879" ht="13.85" spans="1:5">
      <c r="A2879">
        <f t="shared" si="44"/>
        <v>2878</v>
      </c>
      <c r="B2879" s="11">
        <v>6113886</v>
      </c>
      <c r="C2879" s="11">
        <v>10</v>
      </c>
      <c r="D2879">
        <v>4800000</v>
      </c>
      <c r="E2879">
        <v>28</v>
      </c>
    </row>
    <row r="2880" ht="13.85" spans="1:5">
      <c r="A2880">
        <f t="shared" si="44"/>
        <v>2879</v>
      </c>
      <c r="B2880" s="11">
        <v>9121170</v>
      </c>
      <c r="C2880" s="11">
        <v>28</v>
      </c>
      <c r="D2880">
        <v>13440000</v>
      </c>
      <c r="E2880">
        <v>27</v>
      </c>
    </row>
    <row r="2881" ht="13.85" spans="1:5">
      <c r="A2881">
        <f t="shared" si="44"/>
        <v>2880</v>
      </c>
      <c r="B2881" s="11">
        <v>7717612</v>
      </c>
      <c r="C2881" s="11">
        <v>23</v>
      </c>
      <c r="D2881">
        <v>11040000</v>
      </c>
      <c r="E2881">
        <v>26</v>
      </c>
    </row>
    <row r="2882" ht="13.85" spans="1:5">
      <c r="A2882">
        <f t="shared" ref="A2882:A2906" si="45">ROW()-1</f>
        <v>2881</v>
      </c>
      <c r="B2882" s="11">
        <v>8390526</v>
      </c>
      <c r="C2882" s="11">
        <v>19</v>
      </c>
      <c r="D2882">
        <v>9120000</v>
      </c>
      <c r="E2882">
        <v>25</v>
      </c>
    </row>
    <row r="2883" ht="13.85" spans="1:5">
      <c r="A2883">
        <f t="shared" si="45"/>
        <v>2882</v>
      </c>
      <c r="B2883" s="11">
        <v>6854234</v>
      </c>
      <c r="C2883" s="11">
        <v>16</v>
      </c>
      <c r="D2883">
        <v>7680000</v>
      </c>
      <c r="E2883">
        <v>24</v>
      </c>
    </row>
    <row r="2884" ht="13.85" spans="1:5">
      <c r="A2884">
        <f t="shared" si="45"/>
        <v>2883</v>
      </c>
      <c r="B2884" s="11">
        <v>8045505</v>
      </c>
      <c r="C2884" s="11">
        <v>14</v>
      </c>
      <c r="D2884">
        <v>6720000</v>
      </c>
      <c r="E2884">
        <v>23</v>
      </c>
    </row>
    <row r="2885" ht="13.85" spans="1:5">
      <c r="A2885">
        <f t="shared" si="45"/>
        <v>2884</v>
      </c>
      <c r="B2885" s="11">
        <v>6847576</v>
      </c>
      <c r="C2885" s="11">
        <v>12</v>
      </c>
      <c r="D2885">
        <v>5760000</v>
      </c>
      <c r="E2885">
        <v>22</v>
      </c>
    </row>
    <row r="2886" ht="13.85" spans="1:5">
      <c r="A2886">
        <f t="shared" si="45"/>
        <v>2885</v>
      </c>
      <c r="B2886" s="11">
        <v>8074956</v>
      </c>
      <c r="C2886" s="11">
        <v>10</v>
      </c>
      <c r="D2886">
        <v>4800000</v>
      </c>
      <c r="E2886">
        <v>21</v>
      </c>
    </row>
    <row r="2887" ht="13.85" spans="1:5">
      <c r="A2887">
        <f t="shared" si="45"/>
        <v>2886</v>
      </c>
      <c r="B2887" s="11">
        <v>15260981</v>
      </c>
      <c r="C2887" s="11">
        <v>55</v>
      </c>
      <c r="D2887">
        <v>26400000</v>
      </c>
      <c r="E2887">
        <v>20</v>
      </c>
    </row>
    <row r="2888" ht="13.85" spans="1:5">
      <c r="A2888">
        <f t="shared" si="45"/>
        <v>2887</v>
      </c>
      <c r="B2888" s="11">
        <v>13963082</v>
      </c>
      <c r="C2888" s="11">
        <v>48</v>
      </c>
      <c r="D2888">
        <v>23040000</v>
      </c>
      <c r="E2888">
        <v>19</v>
      </c>
    </row>
    <row r="2889" ht="13.85" spans="1:5">
      <c r="A2889">
        <f t="shared" si="45"/>
        <v>2888</v>
      </c>
      <c r="B2889" s="11">
        <v>10745471</v>
      </c>
      <c r="C2889" s="11">
        <v>40</v>
      </c>
      <c r="D2889">
        <v>19200000</v>
      </c>
      <c r="E2889">
        <v>18</v>
      </c>
    </row>
    <row r="2890" ht="13.85" spans="1:5">
      <c r="A2890">
        <f t="shared" si="45"/>
        <v>2889</v>
      </c>
      <c r="B2890" s="11">
        <v>10601927</v>
      </c>
      <c r="C2890" s="11">
        <v>35</v>
      </c>
      <c r="D2890">
        <v>16800000</v>
      </c>
      <c r="E2890">
        <v>17</v>
      </c>
    </row>
    <row r="2891" ht="13.85" spans="1:5">
      <c r="A2891">
        <f t="shared" si="45"/>
        <v>2890</v>
      </c>
      <c r="B2891" s="11">
        <v>8638951</v>
      </c>
      <c r="C2891" s="11">
        <v>30</v>
      </c>
      <c r="D2891">
        <v>14400000</v>
      </c>
      <c r="E2891">
        <v>16</v>
      </c>
    </row>
    <row r="2892" ht="13.85" spans="1:5">
      <c r="A2892">
        <f t="shared" si="45"/>
        <v>2891</v>
      </c>
      <c r="B2892" s="11">
        <v>8938844</v>
      </c>
      <c r="C2892" s="11">
        <v>26</v>
      </c>
      <c r="D2892">
        <v>12480000</v>
      </c>
      <c r="E2892">
        <v>15</v>
      </c>
    </row>
    <row r="2893" ht="13.85" spans="1:5">
      <c r="A2893">
        <f t="shared" si="45"/>
        <v>2892</v>
      </c>
      <c r="B2893" s="11">
        <v>7362067</v>
      </c>
      <c r="C2893" s="11">
        <v>21</v>
      </c>
      <c r="D2893">
        <v>10080000</v>
      </c>
      <c r="E2893">
        <v>14</v>
      </c>
    </row>
    <row r="2894" ht="13.85" spans="1:5">
      <c r="A2894">
        <f t="shared" si="45"/>
        <v>2893</v>
      </c>
      <c r="B2894" s="11">
        <v>8046572</v>
      </c>
      <c r="C2894" s="11">
        <v>18</v>
      </c>
      <c r="D2894">
        <v>8640000</v>
      </c>
      <c r="E2894">
        <v>13</v>
      </c>
    </row>
    <row r="2895" ht="13.85" spans="1:5">
      <c r="A2895">
        <f t="shared" si="45"/>
        <v>2894</v>
      </c>
      <c r="B2895" s="11">
        <v>6537272</v>
      </c>
      <c r="C2895" s="11">
        <v>16</v>
      </c>
      <c r="D2895">
        <v>7680000</v>
      </c>
      <c r="E2895">
        <v>12</v>
      </c>
    </row>
    <row r="2896" ht="13.85" spans="1:5">
      <c r="A2896">
        <f t="shared" si="45"/>
        <v>2895</v>
      </c>
      <c r="B2896" s="11">
        <v>7465361</v>
      </c>
      <c r="C2896" s="11">
        <v>14</v>
      </c>
      <c r="D2896">
        <v>6720000</v>
      </c>
      <c r="E2896">
        <v>11</v>
      </c>
    </row>
    <row r="2897" ht="13.85" spans="1:5">
      <c r="A2897">
        <f t="shared" si="45"/>
        <v>2896</v>
      </c>
      <c r="B2897" s="11">
        <v>6249225</v>
      </c>
      <c r="C2897" s="11">
        <v>12</v>
      </c>
      <c r="D2897">
        <v>5760000</v>
      </c>
      <c r="E2897">
        <v>10</v>
      </c>
    </row>
    <row r="2898" ht="13.85" spans="1:5">
      <c r="A2898">
        <f t="shared" si="45"/>
        <v>2897</v>
      </c>
      <c r="B2898" s="11">
        <v>7193526</v>
      </c>
      <c r="C2898" s="11">
        <v>10</v>
      </c>
      <c r="D2898">
        <v>4800000</v>
      </c>
      <c r="E2898">
        <v>9</v>
      </c>
    </row>
    <row r="2899" ht="13.85" spans="1:5">
      <c r="A2899">
        <f t="shared" si="45"/>
        <v>2898</v>
      </c>
      <c r="B2899" s="11">
        <v>6138176</v>
      </c>
      <c r="C2899" s="11">
        <v>10</v>
      </c>
      <c r="D2899">
        <v>4800000</v>
      </c>
      <c r="E2899">
        <v>8</v>
      </c>
    </row>
    <row r="2900" ht="13.85" spans="1:5">
      <c r="A2900">
        <f t="shared" si="45"/>
        <v>2899</v>
      </c>
      <c r="B2900" s="11">
        <v>7496539</v>
      </c>
      <c r="C2900" s="11">
        <v>10</v>
      </c>
      <c r="D2900">
        <v>4800000</v>
      </c>
      <c r="E2900">
        <v>7</v>
      </c>
    </row>
    <row r="2901" ht="13.85" spans="1:5">
      <c r="A2901">
        <f t="shared" si="45"/>
        <v>2900</v>
      </c>
      <c r="B2901" s="11">
        <v>8075392</v>
      </c>
      <c r="C2901" s="11">
        <v>25</v>
      </c>
      <c r="D2901">
        <v>12000000</v>
      </c>
      <c r="E2901">
        <v>6</v>
      </c>
    </row>
    <row r="2902" ht="13.85" spans="1:5">
      <c r="A2902">
        <f t="shared" si="45"/>
        <v>2901</v>
      </c>
      <c r="B2902" s="15">
        <v>8460240</v>
      </c>
      <c r="C2902" s="15">
        <v>20</v>
      </c>
      <c r="D2902">
        <v>9600000</v>
      </c>
      <c r="E2902">
        <v>5</v>
      </c>
    </row>
    <row r="2903" ht="13.85" spans="1:5">
      <c r="A2903">
        <f t="shared" si="45"/>
        <v>2902</v>
      </c>
      <c r="B2903" s="13">
        <v>7950903</v>
      </c>
      <c r="C2903" s="13">
        <v>17</v>
      </c>
      <c r="D2903">
        <v>8160000</v>
      </c>
      <c r="E2903">
        <v>4</v>
      </c>
    </row>
    <row r="2904" ht="13.85" spans="1:5">
      <c r="A2904">
        <f t="shared" si="45"/>
        <v>2903</v>
      </c>
      <c r="B2904" s="11">
        <v>7192612</v>
      </c>
      <c r="C2904" s="11">
        <v>14</v>
      </c>
      <c r="D2904">
        <v>6720000</v>
      </c>
      <c r="E2904">
        <v>3</v>
      </c>
    </row>
    <row r="2905" ht="13.85" spans="1:5">
      <c r="A2905">
        <f t="shared" si="45"/>
        <v>2904</v>
      </c>
      <c r="B2905" s="11">
        <v>7694837</v>
      </c>
      <c r="C2905" s="11">
        <v>12</v>
      </c>
      <c r="D2905">
        <v>5760000</v>
      </c>
      <c r="E2905">
        <v>2</v>
      </c>
    </row>
    <row r="2906" ht="13.85" spans="1:5">
      <c r="A2906">
        <f t="shared" si="45"/>
        <v>2905</v>
      </c>
      <c r="B2906" s="20">
        <v>8044227</v>
      </c>
      <c r="C2906" s="20">
        <v>10</v>
      </c>
      <c r="D2906">
        <v>4800000</v>
      </c>
      <c r="E2906">
        <v>1</v>
      </c>
    </row>
  </sheetData>
  <sortState ref="B2:E2906">
    <sortCondition ref="E2:E2906" descending="1"/>
  </sortState>
  <hyperlinks>
    <hyperlink ref="C25" r:id="rId1" display=" 1.325B" tooltip="https://www.lottoreport.com/PB1BillionWin040624.htm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06"/>
  <sheetViews>
    <sheetView workbookViewId="0">
      <selection activeCell="F2" sqref="F2:F2906"/>
    </sheetView>
  </sheetViews>
  <sheetFormatPr defaultColWidth="9" defaultRowHeight="13.5" outlineLevelCol="5"/>
  <cols>
    <col min="2" max="2" width="12.1592920353982" customWidth="1"/>
    <col min="5" max="5" width="11.6637168141593"/>
    <col min="6" max="6" width="10.5309734513274"/>
  </cols>
  <sheetData>
    <row r="1" ht="27" spans="1:2">
      <c r="A1" t="s">
        <v>1997</v>
      </c>
      <c r="B1" s="6" t="s">
        <v>1998</v>
      </c>
    </row>
    <row r="2" ht="13.85" spans="1:6">
      <c r="A2">
        <f t="shared" ref="A2:A65" si="0">ROW()-1</f>
        <v>1</v>
      </c>
      <c r="B2" s="7"/>
      <c r="C2" s="8">
        <v>10</v>
      </c>
      <c r="D2" s="9">
        <f t="shared" ref="D2:D65" si="1">IF(RIGHT(C2,1)="B",VALUE(LEFT(C2,LEN(C2)-1))*1000,C2)</f>
        <v>10</v>
      </c>
      <c r="E2" s="9">
        <f t="shared" ref="E2:E65" si="2">D2*1000000</f>
        <v>10000000</v>
      </c>
      <c r="F2">
        <f t="shared" ref="F2:F65" si="3">E2*0.48</f>
        <v>4800000</v>
      </c>
    </row>
    <row r="3" ht="13.85" spans="1:6">
      <c r="A3">
        <f t="shared" si="0"/>
        <v>2</v>
      </c>
      <c r="B3" s="10"/>
      <c r="C3" s="11">
        <v>12</v>
      </c>
      <c r="D3">
        <f t="shared" si="1"/>
        <v>12</v>
      </c>
      <c r="E3">
        <f t="shared" si="2"/>
        <v>12000000</v>
      </c>
      <c r="F3">
        <f t="shared" si="3"/>
        <v>5760000</v>
      </c>
    </row>
    <row r="4" ht="13.85" spans="1:6">
      <c r="A4">
        <f t="shared" si="0"/>
        <v>3</v>
      </c>
      <c r="B4" s="10"/>
      <c r="C4" s="11">
        <v>14</v>
      </c>
      <c r="D4">
        <f t="shared" si="1"/>
        <v>14</v>
      </c>
      <c r="E4">
        <f t="shared" si="2"/>
        <v>14000000</v>
      </c>
      <c r="F4">
        <f t="shared" si="3"/>
        <v>6720000</v>
      </c>
    </row>
    <row r="5" ht="13.85" spans="1:6">
      <c r="A5">
        <f t="shared" si="0"/>
        <v>4</v>
      </c>
      <c r="B5" s="10"/>
      <c r="C5" s="11">
        <v>17</v>
      </c>
      <c r="D5">
        <f t="shared" si="1"/>
        <v>17</v>
      </c>
      <c r="E5">
        <f t="shared" si="2"/>
        <v>17000000</v>
      </c>
      <c r="F5">
        <f t="shared" si="3"/>
        <v>8160000</v>
      </c>
    </row>
    <row r="6" ht="13.85" spans="1:6">
      <c r="A6">
        <f t="shared" si="0"/>
        <v>5</v>
      </c>
      <c r="B6" s="10"/>
      <c r="C6" s="11">
        <v>20</v>
      </c>
      <c r="D6">
        <f t="shared" si="1"/>
        <v>20</v>
      </c>
      <c r="E6">
        <f t="shared" si="2"/>
        <v>20000000</v>
      </c>
      <c r="F6">
        <f t="shared" si="3"/>
        <v>9600000</v>
      </c>
    </row>
    <row r="7" ht="13.85" spans="1:6">
      <c r="A7">
        <f t="shared" si="0"/>
        <v>6</v>
      </c>
      <c r="B7" s="10"/>
      <c r="C7" s="11">
        <v>25</v>
      </c>
      <c r="D7">
        <f t="shared" si="1"/>
        <v>25</v>
      </c>
      <c r="E7">
        <f t="shared" si="2"/>
        <v>25000000</v>
      </c>
      <c r="F7">
        <f t="shared" si="3"/>
        <v>12000000</v>
      </c>
    </row>
    <row r="8" ht="13.85" spans="1:6">
      <c r="A8">
        <f t="shared" si="0"/>
        <v>7</v>
      </c>
      <c r="B8" s="10"/>
      <c r="C8" s="11">
        <v>10</v>
      </c>
      <c r="D8">
        <f t="shared" si="1"/>
        <v>10</v>
      </c>
      <c r="E8">
        <f t="shared" si="2"/>
        <v>10000000</v>
      </c>
      <c r="F8">
        <f t="shared" si="3"/>
        <v>4800000</v>
      </c>
    </row>
    <row r="9" ht="13.85" spans="1:6">
      <c r="A9">
        <f t="shared" si="0"/>
        <v>8</v>
      </c>
      <c r="B9" s="10"/>
      <c r="C9" s="11">
        <v>10</v>
      </c>
      <c r="D9">
        <f t="shared" si="1"/>
        <v>10</v>
      </c>
      <c r="E9">
        <f t="shared" si="2"/>
        <v>10000000</v>
      </c>
      <c r="F9">
        <f t="shared" si="3"/>
        <v>4800000</v>
      </c>
    </row>
    <row r="10" ht="13.85" spans="1:6">
      <c r="A10">
        <f t="shared" si="0"/>
        <v>9</v>
      </c>
      <c r="B10" s="10"/>
      <c r="C10" s="11">
        <v>10</v>
      </c>
      <c r="D10">
        <f t="shared" si="1"/>
        <v>10</v>
      </c>
      <c r="E10">
        <f t="shared" si="2"/>
        <v>10000000</v>
      </c>
      <c r="F10">
        <f t="shared" si="3"/>
        <v>4800000</v>
      </c>
    </row>
    <row r="11" ht="13.85" spans="1:6">
      <c r="A11">
        <f t="shared" si="0"/>
        <v>10</v>
      </c>
      <c r="B11" s="10"/>
      <c r="C11" s="11">
        <v>12</v>
      </c>
      <c r="D11">
        <f t="shared" si="1"/>
        <v>12</v>
      </c>
      <c r="E11">
        <f t="shared" si="2"/>
        <v>12000000</v>
      </c>
      <c r="F11">
        <f t="shared" si="3"/>
        <v>5760000</v>
      </c>
    </row>
    <row r="12" ht="13.85" spans="1:6">
      <c r="A12">
        <f t="shared" si="0"/>
        <v>11</v>
      </c>
      <c r="B12" s="10"/>
      <c r="C12" s="11">
        <v>14</v>
      </c>
      <c r="D12">
        <f t="shared" si="1"/>
        <v>14</v>
      </c>
      <c r="E12">
        <f t="shared" si="2"/>
        <v>14000000</v>
      </c>
      <c r="F12">
        <f t="shared" si="3"/>
        <v>6720000</v>
      </c>
    </row>
    <row r="13" ht="13.85" spans="1:6">
      <c r="A13">
        <f t="shared" si="0"/>
        <v>12</v>
      </c>
      <c r="B13" s="10"/>
      <c r="C13" s="11">
        <v>16</v>
      </c>
      <c r="D13">
        <f t="shared" si="1"/>
        <v>16</v>
      </c>
      <c r="E13">
        <f t="shared" si="2"/>
        <v>16000000</v>
      </c>
      <c r="F13">
        <f t="shared" si="3"/>
        <v>7680000</v>
      </c>
    </row>
    <row r="14" ht="13.85" spans="1:6">
      <c r="A14">
        <f t="shared" si="0"/>
        <v>13</v>
      </c>
      <c r="B14" s="10"/>
      <c r="C14" s="11">
        <v>18</v>
      </c>
      <c r="D14">
        <f t="shared" si="1"/>
        <v>18</v>
      </c>
      <c r="E14">
        <f t="shared" si="2"/>
        <v>18000000</v>
      </c>
      <c r="F14">
        <f t="shared" si="3"/>
        <v>8640000</v>
      </c>
    </row>
    <row r="15" ht="13.85" spans="1:6">
      <c r="A15">
        <f t="shared" si="0"/>
        <v>14</v>
      </c>
      <c r="B15" s="10"/>
      <c r="C15" s="11">
        <v>21</v>
      </c>
      <c r="D15">
        <f t="shared" si="1"/>
        <v>21</v>
      </c>
      <c r="E15">
        <f t="shared" si="2"/>
        <v>21000000</v>
      </c>
      <c r="F15">
        <f t="shared" si="3"/>
        <v>10080000</v>
      </c>
    </row>
    <row r="16" ht="13.85" spans="1:6">
      <c r="A16">
        <f t="shared" si="0"/>
        <v>15</v>
      </c>
      <c r="B16" s="10"/>
      <c r="C16" s="11">
        <v>26</v>
      </c>
      <c r="D16">
        <f t="shared" si="1"/>
        <v>26</v>
      </c>
      <c r="E16">
        <f t="shared" si="2"/>
        <v>26000000</v>
      </c>
      <c r="F16">
        <f t="shared" si="3"/>
        <v>12480000</v>
      </c>
    </row>
    <row r="17" ht="13.85" spans="1:6">
      <c r="A17">
        <f t="shared" si="0"/>
        <v>16</v>
      </c>
      <c r="B17" s="10"/>
      <c r="C17" s="11">
        <v>30</v>
      </c>
      <c r="D17">
        <f t="shared" si="1"/>
        <v>30</v>
      </c>
      <c r="E17">
        <f t="shared" si="2"/>
        <v>30000000</v>
      </c>
      <c r="F17">
        <f t="shared" si="3"/>
        <v>14400000</v>
      </c>
    </row>
    <row r="18" ht="13.85" spans="1:6">
      <c r="A18">
        <f t="shared" si="0"/>
        <v>17</v>
      </c>
      <c r="B18" s="10"/>
      <c r="C18" s="11">
        <v>35</v>
      </c>
      <c r="D18">
        <f t="shared" si="1"/>
        <v>35</v>
      </c>
      <c r="E18">
        <f t="shared" si="2"/>
        <v>35000000</v>
      </c>
      <c r="F18">
        <f t="shared" si="3"/>
        <v>16800000</v>
      </c>
    </row>
    <row r="19" ht="13.85" spans="1:6">
      <c r="A19">
        <f t="shared" si="0"/>
        <v>18</v>
      </c>
      <c r="B19" s="10"/>
      <c r="C19" s="11">
        <v>40</v>
      </c>
      <c r="D19">
        <f t="shared" si="1"/>
        <v>40</v>
      </c>
      <c r="E19">
        <f t="shared" si="2"/>
        <v>40000000</v>
      </c>
      <c r="F19">
        <f t="shared" si="3"/>
        <v>19200000</v>
      </c>
    </row>
    <row r="20" ht="13.85" spans="1:6">
      <c r="A20">
        <f t="shared" si="0"/>
        <v>19</v>
      </c>
      <c r="B20" s="10"/>
      <c r="C20" s="11">
        <v>48</v>
      </c>
      <c r="D20">
        <f t="shared" si="1"/>
        <v>48</v>
      </c>
      <c r="E20">
        <f t="shared" si="2"/>
        <v>48000000</v>
      </c>
      <c r="F20">
        <f t="shared" si="3"/>
        <v>23040000</v>
      </c>
    </row>
    <row r="21" ht="13.85" spans="1:6">
      <c r="A21">
        <f t="shared" si="0"/>
        <v>20</v>
      </c>
      <c r="B21" s="10"/>
      <c r="C21" s="11">
        <v>55</v>
      </c>
      <c r="D21">
        <f t="shared" si="1"/>
        <v>55</v>
      </c>
      <c r="E21">
        <f t="shared" si="2"/>
        <v>55000000</v>
      </c>
      <c r="F21">
        <f t="shared" si="3"/>
        <v>26400000</v>
      </c>
    </row>
    <row r="22" ht="13.85" spans="1:6">
      <c r="A22">
        <f t="shared" si="0"/>
        <v>21</v>
      </c>
      <c r="B22" s="10"/>
      <c r="C22" s="11">
        <v>10</v>
      </c>
      <c r="D22">
        <f t="shared" si="1"/>
        <v>10</v>
      </c>
      <c r="E22">
        <f t="shared" si="2"/>
        <v>10000000</v>
      </c>
      <c r="F22">
        <f t="shared" si="3"/>
        <v>4800000</v>
      </c>
    </row>
    <row r="23" ht="13.85" spans="1:6">
      <c r="A23">
        <f t="shared" si="0"/>
        <v>22</v>
      </c>
      <c r="B23" s="10"/>
      <c r="C23" s="11">
        <v>12</v>
      </c>
      <c r="D23">
        <f t="shared" si="1"/>
        <v>12</v>
      </c>
      <c r="E23">
        <f t="shared" si="2"/>
        <v>12000000</v>
      </c>
      <c r="F23">
        <f t="shared" si="3"/>
        <v>5760000</v>
      </c>
    </row>
    <row r="24" ht="13.85" spans="1:6">
      <c r="A24">
        <f t="shared" si="0"/>
        <v>23</v>
      </c>
      <c r="B24" s="10"/>
      <c r="C24" s="11">
        <v>14</v>
      </c>
      <c r="D24">
        <f t="shared" si="1"/>
        <v>14</v>
      </c>
      <c r="E24">
        <f t="shared" si="2"/>
        <v>14000000</v>
      </c>
      <c r="F24">
        <f t="shared" si="3"/>
        <v>6720000</v>
      </c>
    </row>
    <row r="25" ht="13.85" spans="1:6">
      <c r="A25">
        <f t="shared" si="0"/>
        <v>24</v>
      </c>
      <c r="B25" s="10"/>
      <c r="C25" s="11">
        <v>16</v>
      </c>
      <c r="D25">
        <f t="shared" si="1"/>
        <v>16</v>
      </c>
      <c r="E25">
        <f t="shared" si="2"/>
        <v>16000000</v>
      </c>
      <c r="F25">
        <f t="shared" si="3"/>
        <v>7680000</v>
      </c>
    </row>
    <row r="26" ht="13.85" spans="1:6">
      <c r="A26">
        <f t="shared" si="0"/>
        <v>25</v>
      </c>
      <c r="B26" s="10"/>
      <c r="C26" s="11">
        <v>19</v>
      </c>
      <c r="D26">
        <f t="shared" si="1"/>
        <v>19</v>
      </c>
      <c r="E26">
        <f t="shared" si="2"/>
        <v>19000000</v>
      </c>
      <c r="F26">
        <f t="shared" si="3"/>
        <v>9120000</v>
      </c>
    </row>
    <row r="27" ht="13.85" spans="1:6">
      <c r="A27">
        <f t="shared" si="0"/>
        <v>26</v>
      </c>
      <c r="B27" s="10"/>
      <c r="C27" s="11">
        <v>23</v>
      </c>
      <c r="D27">
        <f t="shared" si="1"/>
        <v>23</v>
      </c>
      <c r="E27">
        <f t="shared" si="2"/>
        <v>23000000</v>
      </c>
      <c r="F27">
        <f t="shared" si="3"/>
        <v>11040000</v>
      </c>
    </row>
    <row r="28" ht="13.85" spans="1:6">
      <c r="A28">
        <f t="shared" si="0"/>
        <v>27</v>
      </c>
      <c r="B28" s="10"/>
      <c r="C28" s="11">
        <v>28</v>
      </c>
      <c r="D28">
        <f t="shared" si="1"/>
        <v>28</v>
      </c>
      <c r="E28">
        <f t="shared" si="2"/>
        <v>28000000</v>
      </c>
      <c r="F28">
        <f t="shared" si="3"/>
        <v>13440000</v>
      </c>
    </row>
    <row r="29" ht="13.85" spans="1:6">
      <c r="A29">
        <f t="shared" si="0"/>
        <v>28</v>
      </c>
      <c r="B29" s="10"/>
      <c r="C29" s="11">
        <v>10</v>
      </c>
      <c r="D29">
        <f t="shared" si="1"/>
        <v>10</v>
      </c>
      <c r="E29">
        <f t="shared" si="2"/>
        <v>10000000</v>
      </c>
      <c r="F29">
        <f t="shared" si="3"/>
        <v>4800000</v>
      </c>
    </row>
    <row r="30" ht="13.85" spans="1:6">
      <c r="A30">
        <f t="shared" si="0"/>
        <v>29</v>
      </c>
      <c r="B30" s="10"/>
      <c r="C30" s="11">
        <v>12</v>
      </c>
      <c r="D30">
        <f t="shared" si="1"/>
        <v>12</v>
      </c>
      <c r="E30">
        <f t="shared" si="2"/>
        <v>12000000</v>
      </c>
      <c r="F30">
        <f t="shared" si="3"/>
        <v>5760000</v>
      </c>
    </row>
    <row r="31" ht="13.85" spans="1:6">
      <c r="A31">
        <f t="shared" si="0"/>
        <v>30</v>
      </c>
      <c r="B31" s="10"/>
      <c r="C31" s="11">
        <v>14</v>
      </c>
      <c r="D31">
        <f t="shared" si="1"/>
        <v>14</v>
      </c>
      <c r="E31">
        <f t="shared" si="2"/>
        <v>14000000</v>
      </c>
      <c r="F31">
        <f t="shared" si="3"/>
        <v>6720000</v>
      </c>
    </row>
    <row r="32" ht="13.85" spans="1:6">
      <c r="A32">
        <f t="shared" si="0"/>
        <v>31</v>
      </c>
      <c r="B32" s="10"/>
      <c r="C32" s="11">
        <v>16</v>
      </c>
      <c r="D32">
        <f t="shared" si="1"/>
        <v>16</v>
      </c>
      <c r="E32">
        <f t="shared" si="2"/>
        <v>16000000</v>
      </c>
      <c r="F32">
        <f t="shared" si="3"/>
        <v>7680000</v>
      </c>
    </row>
    <row r="33" ht="13.85" spans="1:6">
      <c r="A33">
        <f t="shared" si="0"/>
        <v>32</v>
      </c>
      <c r="B33" s="10"/>
      <c r="C33" s="11">
        <v>18</v>
      </c>
      <c r="D33">
        <f t="shared" si="1"/>
        <v>18</v>
      </c>
      <c r="E33">
        <f t="shared" si="2"/>
        <v>18000000</v>
      </c>
      <c r="F33">
        <f t="shared" si="3"/>
        <v>8640000</v>
      </c>
    </row>
    <row r="34" ht="13.85" spans="1:6">
      <c r="A34">
        <f t="shared" si="0"/>
        <v>33</v>
      </c>
      <c r="B34" s="10"/>
      <c r="C34" s="11">
        <v>21</v>
      </c>
      <c r="D34">
        <f t="shared" si="1"/>
        <v>21</v>
      </c>
      <c r="E34">
        <f t="shared" si="2"/>
        <v>21000000</v>
      </c>
      <c r="F34">
        <f t="shared" si="3"/>
        <v>10080000</v>
      </c>
    </row>
    <row r="35" ht="13.85" spans="1:6">
      <c r="A35">
        <f t="shared" si="0"/>
        <v>34</v>
      </c>
      <c r="B35" s="10"/>
      <c r="C35" s="11">
        <v>25</v>
      </c>
      <c r="D35">
        <f t="shared" si="1"/>
        <v>25</v>
      </c>
      <c r="E35">
        <f t="shared" si="2"/>
        <v>25000000</v>
      </c>
      <c r="F35">
        <f t="shared" si="3"/>
        <v>12000000</v>
      </c>
    </row>
    <row r="36" ht="13.85" spans="1:6">
      <c r="A36">
        <f t="shared" si="0"/>
        <v>35</v>
      </c>
      <c r="B36" s="10"/>
      <c r="C36" s="11">
        <v>29</v>
      </c>
      <c r="D36">
        <f t="shared" si="1"/>
        <v>29</v>
      </c>
      <c r="E36">
        <f t="shared" si="2"/>
        <v>29000000</v>
      </c>
      <c r="F36">
        <f t="shared" si="3"/>
        <v>13920000</v>
      </c>
    </row>
    <row r="37" ht="13.85" spans="1:6">
      <c r="A37">
        <f t="shared" si="0"/>
        <v>36</v>
      </c>
      <c r="B37" s="10"/>
      <c r="C37" s="11">
        <v>33</v>
      </c>
      <c r="D37">
        <f t="shared" si="1"/>
        <v>33</v>
      </c>
      <c r="E37">
        <f t="shared" si="2"/>
        <v>33000000</v>
      </c>
      <c r="F37">
        <f t="shared" si="3"/>
        <v>15840000</v>
      </c>
    </row>
    <row r="38" ht="13.85" spans="1:6">
      <c r="A38">
        <f t="shared" si="0"/>
        <v>37</v>
      </c>
      <c r="B38" s="10"/>
      <c r="C38" s="11">
        <v>39</v>
      </c>
      <c r="D38">
        <f t="shared" si="1"/>
        <v>39</v>
      </c>
      <c r="E38">
        <f t="shared" si="2"/>
        <v>39000000</v>
      </c>
      <c r="F38">
        <f t="shared" si="3"/>
        <v>18720000</v>
      </c>
    </row>
    <row r="39" ht="13.85" spans="1:6">
      <c r="A39">
        <f t="shared" si="0"/>
        <v>38</v>
      </c>
      <c r="B39" s="10"/>
      <c r="C39" s="11">
        <v>44</v>
      </c>
      <c r="D39">
        <f t="shared" si="1"/>
        <v>44</v>
      </c>
      <c r="E39">
        <f t="shared" si="2"/>
        <v>44000000</v>
      </c>
      <c r="F39">
        <f t="shared" si="3"/>
        <v>21120000</v>
      </c>
    </row>
    <row r="40" ht="13.85" spans="1:6">
      <c r="A40">
        <f t="shared" si="0"/>
        <v>39</v>
      </c>
      <c r="B40" s="10"/>
      <c r="C40" s="11">
        <v>50</v>
      </c>
      <c r="D40">
        <f t="shared" si="1"/>
        <v>50</v>
      </c>
      <c r="E40">
        <f t="shared" si="2"/>
        <v>50000000</v>
      </c>
      <c r="F40">
        <f t="shared" si="3"/>
        <v>24000000</v>
      </c>
    </row>
    <row r="41" ht="13.85" spans="1:6">
      <c r="A41">
        <f t="shared" si="0"/>
        <v>40</v>
      </c>
      <c r="B41" s="10"/>
      <c r="C41" s="11">
        <v>58</v>
      </c>
      <c r="D41">
        <f t="shared" si="1"/>
        <v>58</v>
      </c>
      <c r="E41">
        <f t="shared" si="2"/>
        <v>58000000</v>
      </c>
      <c r="F41">
        <f t="shared" si="3"/>
        <v>27840000</v>
      </c>
    </row>
    <row r="42" ht="13.85" spans="1:6">
      <c r="A42">
        <f t="shared" si="0"/>
        <v>41</v>
      </c>
      <c r="B42" s="10"/>
      <c r="C42" s="11">
        <v>70</v>
      </c>
      <c r="D42">
        <f t="shared" si="1"/>
        <v>70</v>
      </c>
      <c r="E42">
        <f t="shared" si="2"/>
        <v>70000000</v>
      </c>
      <c r="F42">
        <f t="shared" si="3"/>
        <v>33600000</v>
      </c>
    </row>
    <row r="43" ht="13.85" spans="1:6">
      <c r="A43">
        <f t="shared" si="0"/>
        <v>42</v>
      </c>
      <c r="B43" s="10"/>
      <c r="C43" s="11">
        <v>85</v>
      </c>
      <c r="D43">
        <f t="shared" si="1"/>
        <v>85</v>
      </c>
      <c r="E43">
        <f t="shared" si="2"/>
        <v>85000000</v>
      </c>
      <c r="F43">
        <f t="shared" si="3"/>
        <v>40800000</v>
      </c>
    </row>
    <row r="44" ht="13.85" spans="1:6">
      <c r="A44">
        <f t="shared" si="0"/>
        <v>43</v>
      </c>
      <c r="B44" s="10"/>
      <c r="C44" s="11">
        <v>113</v>
      </c>
      <c r="D44">
        <f t="shared" si="1"/>
        <v>113</v>
      </c>
      <c r="E44">
        <f t="shared" si="2"/>
        <v>113000000</v>
      </c>
      <c r="F44">
        <f t="shared" si="3"/>
        <v>54240000</v>
      </c>
    </row>
    <row r="45" ht="13.85" spans="1:6">
      <c r="A45">
        <f t="shared" si="0"/>
        <v>44</v>
      </c>
      <c r="B45" s="10"/>
      <c r="C45" s="11">
        <v>175</v>
      </c>
      <c r="D45">
        <f t="shared" si="1"/>
        <v>175</v>
      </c>
      <c r="E45">
        <f t="shared" si="2"/>
        <v>175000000</v>
      </c>
      <c r="F45">
        <f t="shared" si="3"/>
        <v>84000000</v>
      </c>
    </row>
    <row r="46" ht="13.85" spans="1:6">
      <c r="A46">
        <f t="shared" si="0"/>
        <v>45</v>
      </c>
      <c r="B46" s="10"/>
      <c r="C46" s="11">
        <v>10</v>
      </c>
      <c r="D46">
        <f t="shared" si="1"/>
        <v>10</v>
      </c>
      <c r="E46">
        <f t="shared" si="2"/>
        <v>10000000</v>
      </c>
      <c r="F46">
        <f t="shared" si="3"/>
        <v>4800000</v>
      </c>
    </row>
    <row r="47" ht="13.85" spans="1:6">
      <c r="A47">
        <f t="shared" si="0"/>
        <v>46</v>
      </c>
      <c r="B47" s="10"/>
      <c r="C47" s="11">
        <v>10</v>
      </c>
      <c r="D47">
        <f t="shared" si="1"/>
        <v>10</v>
      </c>
      <c r="E47">
        <f t="shared" si="2"/>
        <v>10000000</v>
      </c>
      <c r="F47">
        <f t="shared" si="3"/>
        <v>4800000</v>
      </c>
    </row>
    <row r="48" ht="13.85" spans="1:6">
      <c r="A48">
        <f t="shared" si="0"/>
        <v>47</v>
      </c>
      <c r="B48" s="10"/>
      <c r="C48" s="11">
        <v>12</v>
      </c>
      <c r="D48">
        <f t="shared" si="1"/>
        <v>12</v>
      </c>
      <c r="E48">
        <f t="shared" si="2"/>
        <v>12000000</v>
      </c>
      <c r="F48">
        <f t="shared" si="3"/>
        <v>5760000</v>
      </c>
    </row>
    <row r="49" ht="13.85" spans="1:6">
      <c r="A49">
        <f t="shared" si="0"/>
        <v>48</v>
      </c>
      <c r="B49" s="10"/>
      <c r="C49" s="11">
        <v>14</v>
      </c>
      <c r="D49">
        <f t="shared" si="1"/>
        <v>14</v>
      </c>
      <c r="E49">
        <f t="shared" si="2"/>
        <v>14000000</v>
      </c>
      <c r="F49">
        <f t="shared" si="3"/>
        <v>6720000</v>
      </c>
    </row>
    <row r="50" ht="13.85" spans="1:6">
      <c r="A50">
        <f t="shared" si="0"/>
        <v>49</v>
      </c>
      <c r="B50" s="10"/>
      <c r="C50" s="11">
        <v>16</v>
      </c>
      <c r="D50">
        <f t="shared" si="1"/>
        <v>16</v>
      </c>
      <c r="E50">
        <f t="shared" si="2"/>
        <v>16000000</v>
      </c>
      <c r="F50">
        <f t="shared" si="3"/>
        <v>7680000</v>
      </c>
    </row>
    <row r="51" ht="13.85" spans="1:6">
      <c r="A51">
        <f t="shared" si="0"/>
        <v>50</v>
      </c>
      <c r="B51" s="10"/>
      <c r="C51" s="11">
        <v>19</v>
      </c>
      <c r="D51">
        <f t="shared" si="1"/>
        <v>19</v>
      </c>
      <c r="E51">
        <f t="shared" si="2"/>
        <v>19000000</v>
      </c>
      <c r="F51">
        <f t="shared" si="3"/>
        <v>9120000</v>
      </c>
    </row>
    <row r="52" ht="13.85" spans="1:6">
      <c r="A52">
        <f t="shared" si="0"/>
        <v>51</v>
      </c>
      <c r="B52" s="10"/>
      <c r="C52" s="11">
        <v>24</v>
      </c>
      <c r="D52">
        <f t="shared" si="1"/>
        <v>24</v>
      </c>
      <c r="E52">
        <f t="shared" si="2"/>
        <v>24000000</v>
      </c>
      <c r="F52">
        <f t="shared" si="3"/>
        <v>11520000</v>
      </c>
    </row>
    <row r="53" ht="13.85" spans="1:6">
      <c r="A53">
        <f t="shared" si="0"/>
        <v>52</v>
      </c>
      <c r="B53" s="10"/>
      <c r="C53" s="11">
        <v>28</v>
      </c>
      <c r="D53">
        <f t="shared" si="1"/>
        <v>28</v>
      </c>
      <c r="E53">
        <f t="shared" si="2"/>
        <v>28000000</v>
      </c>
      <c r="F53">
        <f t="shared" si="3"/>
        <v>13440000</v>
      </c>
    </row>
    <row r="54" ht="13.85" spans="1:6">
      <c r="A54">
        <f t="shared" si="0"/>
        <v>53</v>
      </c>
      <c r="B54" s="10"/>
      <c r="C54" s="11">
        <v>32</v>
      </c>
      <c r="D54">
        <f t="shared" si="1"/>
        <v>32</v>
      </c>
      <c r="E54">
        <f t="shared" si="2"/>
        <v>32000000</v>
      </c>
      <c r="F54">
        <f t="shared" si="3"/>
        <v>15360000</v>
      </c>
    </row>
    <row r="55" ht="13.85" spans="1:6">
      <c r="A55">
        <f t="shared" si="0"/>
        <v>54</v>
      </c>
      <c r="B55" s="10"/>
      <c r="C55" s="11">
        <v>36</v>
      </c>
      <c r="D55">
        <f t="shared" si="1"/>
        <v>36</v>
      </c>
      <c r="E55">
        <f t="shared" si="2"/>
        <v>36000000</v>
      </c>
      <c r="F55">
        <f t="shared" si="3"/>
        <v>17280000</v>
      </c>
    </row>
    <row r="56" ht="13.85" spans="1:6">
      <c r="A56">
        <f t="shared" si="0"/>
        <v>55</v>
      </c>
      <c r="B56" s="10"/>
      <c r="C56" s="11">
        <v>42</v>
      </c>
      <c r="D56">
        <f t="shared" si="1"/>
        <v>42</v>
      </c>
      <c r="E56">
        <f t="shared" si="2"/>
        <v>42000000</v>
      </c>
      <c r="F56">
        <f t="shared" si="3"/>
        <v>20160000</v>
      </c>
    </row>
    <row r="57" ht="13.85" spans="1:6">
      <c r="A57">
        <f t="shared" si="0"/>
        <v>56</v>
      </c>
      <c r="B57" s="10"/>
      <c r="C57" s="11">
        <v>48</v>
      </c>
      <c r="D57">
        <f t="shared" si="1"/>
        <v>48</v>
      </c>
      <c r="E57">
        <f t="shared" si="2"/>
        <v>48000000</v>
      </c>
      <c r="F57">
        <f t="shared" si="3"/>
        <v>23040000</v>
      </c>
    </row>
    <row r="58" ht="13.85" spans="1:6">
      <c r="A58">
        <f t="shared" si="0"/>
        <v>57</v>
      </c>
      <c r="B58" s="10"/>
      <c r="C58" s="11">
        <v>54</v>
      </c>
      <c r="D58">
        <f t="shared" si="1"/>
        <v>54</v>
      </c>
      <c r="E58">
        <f t="shared" si="2"/>
        <v>54000000</v>
      </c>
      <c r="F58">
        <f t="shared" si="3"/>
        <v>25920000</v>
      </c>
    </row>
    <row r="59" ht="13.85" spans="1:6">
      <c r="A59">
        <f t="shared" si="0"/>
        <v>58</v>
      </c>
      <c r="B59" s="10"/>
      <c r="C59" s="11">
        <v>60</v>
      </c>
      <c r="D59">
        <f t="shared" si="1"/>
        <v>60</v>
      </c>
      <c r="E59">
        <f t="shared" si="2"/>
        <v>60000000</v>
      </c>
      <c r="F59">
        <f t="shared" si="3"/>
        <v>28800000</v>
      </c>
    </row>
    <row r="60" ht="13.85" spans="1:6">
      <c r="A60">
        <f t="shared" si="0"/>
        <v>59</v>
      </c>
      <c r="B60" s="10"/>
      <c r="C60" s="11">
        <v>69</v>
      </c>
      <c r="D60">
        <f t="shared" si="1"/>
        <v>69</v>
      </c>
      <c r="E60">
        <f t="shared" si="2"/>
        <v>69000000</v>
      </c>
      <c r="F60">
        <f t="shared" si="3"/>
        <v>33120000</v>
      </c>
    </row>
    <row r="61" ht="13.85" spans="1:6">
      <c r="A61">
        <f t="shared" si="0"/>
        <v>60</v>
      </c>
      <c r="B61" s="10"/>
      <c r="C61" s="11">
        <v>80</v>
      </c>
      <c r="D61">
        <f t="shared" si="1"/>
        <v>80</v>
      </c>
      <c r="E61">
        <f t="shared" si="2"/>
        <v>80000000</v>
      </c>
      <c r="F61">
        <f t="shared" si="3"/>
        <v>38400000</v>
      </c>
    </row>
    <row r="62" ht="13.85" spans="1:6">
      <c r="A62">
        <f t="shared" si="0"/>
        <v>61</v>
      </c>
      <c r="B62" s="10"/>
      <c r="C62" s="11">
        <v>95</v>
      </c>
      <c r="D62">
        <f t="shared" si="1"/>
        <v>95</v>
      </c>
      <c r="E62">
        <f t="shared" si="2"/>
        <v>95000000</v>
      </c>
      <c r="F62">
        <f t="shared" si="3"/>
        <v>45600000</v>
      </c>
    </row>
    <row r="63" ht="13.85" spans="1:6">
      <c r="A63">
        <f t="shared" si="0"/>
        <v>62</v>
      </c>
      <c r="B63" s="10"/>
      <c r="C63" s="11">
        <v>125</v>
      </c>
      <c r="D63">
        <f t="shared" si="1"/>
        <v>125</v>
      </c>
      <c r="E63">
        <f t="shared" si="2"/>
        <v>125000000</v>
      </c>
      <c r="F63">
        <f t="shared" si="3"/>
        <v>60000000</v>
      </c>
    </row>
    <row r="64" ht="13.85" spans="1:6">
      <c r="A64">
        <f t="shared" si="0"/>
        <v>63</v>
      </c>
      <c r="B64" s="10"/>
      <c r="C64" s="11">
        <v>180</v>
      </c>
      <c r="D64">
        <f t="shared" si="1"/>
        <v>180</v>
      </c>
      <c r="E64">
        <f t="shared" si="2"/>
        <v>180000000</v>
      </c>
      <c r="F64">
        <f t="shared" si="3"/>
        <v>86400000</v>
      </c>
    </row>
    <row r="65" ht="13.85" spans="1:6">
      <c r="A65">
        <f t="shared" si="0"/>
        <v>64</v>
      </c>
      <c r="B65" s="10"/>
      <c r="C65" s="11">
        <v>250</v>
      </c>
      <c r="D65">
        <f t="shared" si="1"/>
        <v>250</v>
      </c>
      <c r="E65">
        <f t="shared" si="2"/>
        <v>250000000</v>
      </c>
      <c r="F65">
        <f t="shared" si="3"/>
        <v>120000000</v>
      </c>
    </row>
    <row r="66" ht="13.85" spans="1:6">
      <c r="A66">
        <f t="shared" ref="A66:A129" si="4">ROW()-1</f>
        <v>65</v>
      </c>
      <c r="B66" s="10"/>
      <c r="C66" s="11">
        <v>10</v>
      </c>
      <c r="D66">
        <f t="shared" ref="D66:D129" si="5">IF(RIGHT(C66,1)="B",VALUE(LEFT(C66,LEN(C66)-1))*1000,C66)</f>
        <v>10</v>
      </c>
      <c r="E66">
        <f t="shared" ref="E66:E129" si="6">D66*1000000</f>
        <v>10000000</v>
      </c>
      <c r="F66">
        <f t="shared" ref="F66:F129" si="7">E66*0.48</f>
        <v>4800000</v>
      </c>
    </row>
    <row r="67" ht="13.85" spans="1:6">
      <c r="A67">
        <f t="shared" si="4"/>
        <v>66</v>
      </c>
      <c r="B67" s="12"/>
      <c r="C67" s="13">
        <v>12</v>
      </c>
      <c r="D67">
        <f t="shared" si="5"/>
        <v>12</v>
      </c>
      <c r="E67">
        <f t="shared" si="6"/>
        <v>12000000</v>
      </c>
      <c r="F67">
        <f t="shared" si="7"/>
        <v>5760000</v>
      </c>
    </row>
    <row r="68" ht="13.85" spans="1:6">
      <c r="A68">
        <f t="shared" si="4"/>
        <v>67</v>
      </c>
      <c r="B68" s="10"/>
      <c r="C68" s="11">
        <v>17</v>
      </c>
      <c r="D68">
        <f t="shared" si="5"/>
        <v>17</v>
      </c>
      <c r="E68">
        <f t="shared" si="6"/>
        <v>17000000</v>
      </c>
      <c r="F68">
        <f t="shared" si="7"/>
        <v>8160000</v>
      </c>
    </row>
    <row r="69" ht="13.85" spans="1:6">
      <c r="A69">
        <f t="shared" si="4"/>
        <v>68</v>
      </c>
      <c r="B69" s="10"/>
      <c r="C69" s="11">
        <v>22</v>
      </c>
      <c r="D69">
        <f t="shared" si="5"/>
        <v>22</v>
      </c>
      <c r="E69">
        <f t="shared" si="6"/>
        <v>22000000</v>
      </c>
      <c r="F69">
        <f t="shared" si="7"/>
        <v>10560000</v>
      </c>
    </row>
    <row r="70" ht="13.85" spans="1:6">
      <c r="A70">
        <f t="shared" si="4"/>
        <v>69</v>
      </c>
      <c r="B70" s="10"/>
      <c r="C70" s="11">
        <v>30</v>
      </c>
      <c r="D70">
        <f t="shared" si="5"/>
        <v>30</v>
      </c>
      <c r="E70">
        <f t="shared" si="6"/>
        <v>30000000</v>
      </c>
      <c r="F70">
        <f t="shared" si="7"/>
        <v>14400000</v>
      </c>
    </row>
    <row r="71" ht="13.85" spans="1:6">
      <c r="A71">
        <f t="shared" si="4"/>
        <v>70</v>
      </c>
      <c r="B71" s="10"/>
      <c r="C71" s="11">
        <v>35</v>
      </c>
      <c r="D71">
        <f t="shared" si="5"/>
        <v>35</v>
      </c>
      <c r="E71">
        <f t="shared" si="6"/>
        <v>35000000</v>
      </c>
      <c r="F71">
        <f t="shared" si="7"/>
        <v>16800000</v>
      </c>
    </row>
    <row r="72" ht="13.85" spans="1:6">
      <c r="A72">
        <f t="shared" si="4"/>
        <v>71</v>
      </c>
      <c r="B72" s="10"/>
      <c r="C72" s="11">
        <v>43</v>
      </c>
      <c r="D72">
        <f t="shared" si="5"/>
        <v>43</v>
      </c>
      <c r="E72">
        <f t="shared" si="6"/>
        <v>43000000</v>
      </c>
      <c r="F72">
        <f t="shared" si="7"/>
        <v>20640000</v>
      </c>
    </row>
    <row r="73" ht="13.85" spans="1:6">
      <c r="A73">
        <f t="shared" si="4"/>
        <v>72</v>
      </c>
      <c r="B73" s="10"/>
      <c r="C73" s="11">
        <v>10</v>
      </c>
      <c r="D73">
        <f t="shared" si="5"/>
        <v>10</v>
      </c>
      <c r="E73">
        <f t="shared" si="6"/>
        <v>10000000</v>
      </c>
      <c r="F73">
        <f t="shared" si="7"/>
        <v>4800000</v>
      </c>
    </row>
    <row r="74" ht="13.85" spans="1:6">
      <c r="A74">
        <f t="shared" si="4"/>
        <v>73</v>
      </c>
      <c r="B74" s="10"/>
      <c r="C74" s="11">
        <v>12</v>
      </c>
      <c r="D74">
        <f t="shared" si="5"/>
        <v>12</v>
      </c>
      <c r="E74">
        <f t="shared" si="6"/>
        <v>12000000</v>
      </c>
      <c r="F74">
        <f t="shared" si="7"/>
        <v>5760000</v>
      </c>
    </row>
    <row r="75" ht="13.85" spans="1:6">
      <c r="A75">
        <f t="shared" si="4"/>
        <v>74</v>
      </c>
      <c r="B75" s="10"/>
      <c r="C75" s="11">
        <v>14</v>
      </c>
      <c r="D75">
        <f t="shared" si="5"/>
        <v>14</v>
      </c>
      <c r="E75">
        <f t="shared" si="6"/>
        <v>14000000</v>
      </c>
      <c r="F75">
        <f t="shared" si="7"/>
        <v>6720000</v>
      </c>
    </row>
    <row r="76" ht="13.85" spans="1:6">
      <c r="A76">
        <f t="shared" si="4"/>
        <v>75</v>
      </c>
      <c r="B76" s="10"/>
      <c r="C76" s="11">
        <v>18</v>
      </c>
      <c r="D76">
        <f t="shared" si="5"/>
        <v>18</v>
      </c>
      <c r="E76">
        <f t="shared" si="6"/>
        <v>18000000</v>
      </c>
      <c r="F76">
        <f t="shared" si="7"/>
        <v>8640000</v>
      </c>
    </row>
    <row r="77" ht="13.85" spans="1:6">
      <c r="A77">
        <f t="shared" si="4"/>
        <v>76</v>
      </c>
      <c r="B77" s="10"/>
      <c r="C77" s="11">
        <v>23</v>
      </c>
      <c r="D77">
        <f t="shared" si="5"/>
        <v>23</v>
      </c>
      <c r="E77">
        <f t="shared" si="6"/>
        <v>23000000</v>
      </c>
      <c r="F77">
        <f t="shared" si="7"/>
        <v>11040000</v>
      </c>
    </row>
    <row r="78" ht="13.85" spans="1:6">
      <c r="A78">
        <f t="shared" si="4"/>
        <v>77</v>
      </c>
      <c r="B78" s="10"/>
      <c r="C78" s="11">
        <v>27</v>
      </c>
      <c r="D78">
        <f t="shared" si="5"/>
        <v>27</v>
      </c>
      <c r="E78">
        <f t="shared" si="6"/>
        <v>27000000</v>
      </c>
      <c r="F78">
        <f t="shared" si="7"/>
        <v>12960000</v>
      </c>
    </row>
    <row r="79" ht="13.85" spans="1:6">
      <c r="A79">
        <f t="shared" si="4"/>
        <v>78</v>
      </c>
      <c r="B79" s="10"/>
      <c r="C79" s="11">
        <v>32</v>
      </c>
      <c r="D79">
        <f t="shared" si="5"/>
        <v>32</v>
      </c>
      <c r="E79">
        <f t="shared" si="6"/>
        <v>32000000</v>
      </c>
      <c r="F79">
        <f t="shared" si="7"/>
        <v>15360000</v>
      </c>
    </row>
    <row r="80" ht="13.85" spans="1:6">
      <c r="A80">
        <f t="shared" si="4"/>
        <v>79</v>
      </c>
      <c r="B80" s="10"/>
      <c r="C80" s="11">
        <v>38</v>
      </c>
      <c r="D80">
        <f t="shared" si="5"/>
        <v>38</v>
      </c>
      <c r="E80">
        <f t="shared" si="6"/>
        <v>38000000</v>
      </c>
      <c r="F80">
        <f t="shared" si="7"/>
        <v>18240000</v>
      </c>
    </row>
    <row r="81" ht="13.85" spans="1:6">
      <c r="A81">
        <f t="shared" si="4"/>
        <v>80</v>
      </c>
      <c r="B81" s="10"/>
      <c r="C81" s="11">
        <v>43</v>
      </c>
      <c r="D81">
        <f t="shared" si="5"/>
        <v>43</v>
      </c>
      <c r="E81">
        <f t="shared" si="6"/>
        <v>43000000</v>
      </c>
      <c r="F81">
        <f t="shared" si="7"/>
        <v>20640000</v>
      </c>
    </row>
    <row r="82" ht="13.85" spans="1:6">
      <c r="A82">
        <f t="shared" si="4"/>
        <v>81</v>
      </c>
      <c r="B82" s="10"/>
      <c r="C82" s="11">
        <v>49</v>
      </c>
      <c r="D82">
        <f t="shared" si="5"/>
        <v>49</v>
      </c>
      <c r="E82">
        <f t="shared" si="6"/>
        <v>49000000</v>
      </c>
      <c r="F82">
        <f t="shared" si="7"/>
        <v>23520000</v>
      </c>
    </row>
    <row r="83" ht="13.85" spans="1:6">
      <c r="A83">
        <f t="shared" si="4"/>
        <v>82</v>
      </c>
      <c r="B83" s="10"/>
      <c r="C83" s="11">
        <v>10</v>
      </c>
      <c r="D83">
        <f t="shared" si="5"/>
        <v>10</v>
      </c>
      <c r="E83">
        <f t="shared" si="6"/>
        <v>10000000</v>
      </c>
      <c r="F83">
        <f t="shared" si="7"/>
        <v>4800000</v>
      </c>
    </row>
    <row r="84" ht="13.85" spans="1:6">
      <c r="A84">
        <f t="shared" si="4"/>
        <v>83</v>
      </c>
      <c r="B84" s="10"/>
      <c r="C84" s="11">
        <v>12</v>
      </c>
      <c r="D84">
        <f t="shared" si="5"/>
        <v>12</v>
      </c>
      <c r="E84">
        <f t="shared" si="6"/>
        <v>12000000</v>
      </c>
      <c r="F84">
        <f t="shared" si="7"/>
        <v>5760000</v>
      </c>
    </row>
    <row r="85" ht="13.85" spans="1:6">
      <c r="A85">
        <f t="shared" si="4"/>
        <v>84</v>
      </c>
      <c r="B85" s="10"/>
      <c r="C85" s="11">
        <v>14</v>
      </c>
      <c r="D85">
        <f t="shared" si="5"/>
        <v>14</v>
      </c>
      <c r="E85">
        <f t="shared" si="6"/>
        <v>14000000</v>
      </c>
      <c r="F85">
        <f t="shared" si="7"/>
        <v>6720000</v>
      </c>
    </row>
    <row r="86" ht="13.85" spans="1:6">
      <c r="A86">
        <f t="shared" si="4"/>
        <v>85</v>
      </c>
      <c r="B86" s="10"/>
      <c r="C86" s="11">
        <v>16</v>
      </c>
      <c r="D86">
        <f t="shared" si="5"/>
        <v>16</v>
      </c>
      <c r="E86">
        <f t="shared" si="6"/>
        <v>16000000</v>
      </c>
      <c r="F86">
        <f t="shared" si="7"/>
        <v>7680000</v>
      </c>
    </row>
    <row r="87" ht="13.85" spans="1:6">
      <c r="A87">
        <f t="shared" si="4"/>
        <v>86</v>
      </c>
      <c r="B87" s="10"/>
      <c r="C87" s="11">
        <v>20</v>
      </c>
      <c r="D87">
        <f t="shared" si="5"/>
        <v>20</v>
      </c>
      <c r="E87">
        <f t="shared" si="6"/>
        <v>20000000</v>
      </c>
      <c r="F87">
        <f t="shared" si="7"/>
        <v>9600000</v>
      </c>
    </row>
    <row r="88" ht="13.85" spans="1:6">
      <c r="A88">
        <f t="shared" si="4"/>
        <v>87</v>
      </c>
      <c r="B88" s="10"/>
      <c r="C88" s="11">
        <v>25</v>
      </c>
      <c r="D88">
        <f t="shared" si="5"/>
        <v>25</v>
      </c>
      <c r="E88">
        <f t="shared" si="6"/>
        <v>25000000</v>
      </c>
      <c r="F88">
        <f t="shared" si="7"/>
        <v>12000000</v>
      </c>
    </row>
    <row r="89" ht="13.85" spans="1:6">
      <c r="A89">
        <f t="shared" si="4"/>
        <v>88</v>
      </c>
      <c r="B89" s="10"/>
      <c r="C89" s="11">
        <v>29</v>
      </c>
      <c r="D89">
        <f t="shared" si="5"/>
        <v>29</v>
      </c>
      <c r="E89">
        <f t="shared" si="6"/>
        <v>29000000</v>
      </c>
      <c r="F89">
        <f t="shared" si="7"/>
        <v>13920000</v>
      </c>
    </row>
    <row r="90" ht="13.85" spans="1:6">
      <c r="A90">
        <f t="shared" si="4"/>
        <v>89</v>
      </c>
      <c r="B90" s="10"/>
      <c r="C90" s="11">
        <v>34</v>
      </c>
      <c r="D90">
        <f t="shared" si="5"/>
        <v>34</v>
      </c>
      <c r="E90">
        <f t="shared" si="6"/>
        <v>34000000</v>
      </c>
      <c r="F90">
        <f t="shared" si="7"/>
        <v>16320000</v>
      </c>
    </row>
    <row r="91" ht="13.85" spans="1:6">
      <c r="A91">
        <f t="shared" si="4"/>
        <v>90</v>
      </c>
      <c r="B91" s="10"/>
      <c r="C91" s="11">
        <v>40</v>
      </c>
      <c r="D91">
        <f t="shared" si="5"/>
        <v>40</v>
      </c>
      <c r="E91">
        <f t="shared" si="6"/>
        <v>40000000</v>
      </c>
      <c r="F91">
        <f t="shared" si="7"/>
        <v>19200000</v>
      </c>
    </row>
    <row r="92" ht="13.85" spans="1:6">
      <c r="A92">
        <f t="shared" si="4"/>
        <v>91</v>
      </c>
      <c r="B92" s="10"/>
      <c r="C92" s="11">
        <v>45</v>
      </c>
      <c r="D92">
        <f t="shared" si="5"/>
        <v>45</v>
      </c>
      <c r="E92">
        <f t="shared" si="6"/>
        <v>45000000</v>
      </c>
      <c r="F92">
        <f t="shared" si="7"/>
        <v>21600000</v>
      </c>
    </row>
    <row r="93" ht="13.85" spans="1:6">
      <c r="A93">
        <f t="shared" si="4"/>
        <v>92</v>
      </c>
      <c r="B93" s="10"/>
      <c r="C93" s="11">
        <v>10</v>
      </c>
      <c r="D93">
        <f t="shared" si="5"/>
        <v>10</v>
      </c>
      <c r="E93">
        <f t="shared" si="6"/>
        <v>10000000</v>
      </c>
      <c r="F93">
        <f t="shared" si="7"/>
        <v>4800000</v>
      </c>
    </row>
    <row r="94" ht="13.85" spans="1:6">
      <c r="A94">
        <f t="shared" si="4"/>
        <v>93</v>
      </c>
      <c r="B94" s="10"/>
      <c r="C94" s="11">
        <v>12</v>
      </c>
      <c r="D94">
        <f t="shared" si="5"/>
        <v>12</v>
      </c>
      <c r="E94">
        <f t="shared" si="6"/>
        <v>12000000</v>
      </c>
      <c r="F94">
        <f t="shared" si="7"/>
        <v>5760000</v>
      </c>
    </row>
    <row r="95" ht="13.85" spans="1:6">
      <c r="A95">
        <f t="shared" si="4"/>
        <v>94</v>
      </c>
      <c r="B95" s="10"/>
      <c r="C95" s="11">
        <v>14</v>
      </c>
      <c r="D95">
        <f t="shared" si="5"/>
        <v>14</v>
      </c>
      <c r="E95">
        <f t="shared" si="6"/>
        <v>14000000</v>
      </c>
      <c r="F95">
        <f t="shared" si="7"/>
        <v>6720000</v>
      </c>
    </row>
    <row r="96" ht="13.85" spans="1:6">
      <c r="A96">
        <f t="shared" si="4"/>
        <v>95</v>
      </c>
      <c r="B96" s="10"/>
      <c r="C96" s="11">
        <v>16</v>
      </c>
      <c r="D96">
        <f t="shared" si="5"/>
        <v>16</v>
      </c>
      <c r="E96">
        <f t="shared" si="6"/>
        <v>16000000</v>
      </c>
      <c r="F96">
        <f t="shared" si="7"/>
        <v>7680000</v>
      </c>
    </row>
    <row r="97" ht="13.85" spans="1:6">
      <c r="A97">
        <f t="shared" si="4"/>
        <v>96</v>
      </c>
      <c r="B97" s="10"/>
      <c r="C97" s="11">
        <v>20</v>
      </c>
      <c r="D97">
        <f t="shared" si="5"/>
        <v>20</v>
      </c>
      <c r="E97">
        <f t="shared" si="6"/>
        <v>20000000</v>
      </c>
      <c r="F97">
        <f t="shared" si="7"/>
        <v>9600000</v>
      </c>
    </row>
    <row r="98" ht="13.85" spans="1:6">
      <c r="A98">
        <f t="shared" si="4"/>
        <v>97</v>
      </c>
      <c r="B98" s="10"/>
      <c r="C98" s="11">
        <v>24</v>
      </c>
      <c r="D98">
        <f t="shared" si="5"/>
        <v>24</v>
      </c>
      <c r="E98">
        <f t="shared" si="6"/>
        <v>24000000</v>
      </c>
      <c r="F98">
        <f t="shared" si="7"/>
        <v>11520000</v>
      </c>
    </row>
    <row r="99" ht="13.85" spans="1:6">
      <c r="A99">
        <f t="shared" si="4"/>
        <v>98</v>
      </c>
      <c r="B99" s="10"/>
      <c r="C99" s="11">
        <v>28</v>
      </c>
      <c r="D99">
        <f t="shared" si="5"/>
        <v>28</v>
      </c>
      <c r="E99">
        <f t="shared" si="6"/>
        <v>28000000</v>
      </c>
      <c r="F99">
        <f t="shared" si="7"/>
        <v>13440000</v>
      </c>
    </row>
    <row r="100" ht="13.85" spans="1:6">
      <c r="A100">
        <f t="shared" si="4"/>
        <v>99</v>
      </c>
      <c r="B100" s="10"/>
      <c r="C100" s="11">
        <v>32</v>
      </c>
      <c r="D100">
        <f t="shared" si="5"/>
        <v>32</v>
      </c>
      <c r="E100">
        <f t="shared" si="6"/>
        <v>32000000</v>
      </c>
      <c r="F100">
        <f t="shared" si="7"/>
        <v>15360000</v>
      </c>
    </row>
    <row r="101" ht="13.85" spans="1:6">
      <c r="A101">
        <f t="shared" si="4"/>
        <v>100</v>
      </c>
      <c r="B101" s="10"/>
      <c r="C101" s="11">
        <v>10</v>
      </c>
      <c r="D101">
        <f t="shared" si="5"/>
        <v>10</v>
      </c>
      <c r="E101">
        <f t="shared" si="6"/>
        <v>10000000</v>
      </c>
      <c r="F101">
        <f t="shared" si="7"/>
        <v>4800000</v>
      </c>
    </row>
    <row r="102" ht="13.85" spans="1:6">
      <c r="A102">
        <f t="shared" si="4"/>
        <v>101</v>
      </c>
      <c r="B102" s="10"/>
      <c r="C102" s="11">
        <v>12</v>
      </c>
      <c r="D102">
        <f t="shared" si="5"/>
        <v>12</v>
      </c>
      <c r="E102">
        <f t="shared" si="6"/>
        <v>12000000</v>
      </c>
      <c r="F102">
        <f t="shared" si="7"/>
        <v>5760000</v>
      </c>
    </row>
    <row r="103" ht="13.85" spans="1:6">
      <c r="A103">
        <f t="shared" si="4"/>
        <v>102</v>
      </c>
      <c r="B103" s="10"/>
      <c r="C103" s="11">
        <v>14</v>
      </c>
      <c r="D103">
        <f t="shared" si="5"/>
        <v>14</v>
      </c>
      <c r="E103">
        <f t="shared" si="6"/>
        <v>14000000</v>
      </c>
      <c r="F103">
        <f t="shared" si="7"/>
        <v>6720000</v>
      </c>
    </row>
    <row r="104" ht="13.85" spans="1:6">
      <c r="A104">
        <f t="shared" si="4"/>
        <v>103</v>
      </c>
      <c r="B104" s="10"/>
      <c r="C104" s="11">
        <v>16</v>
      </c>
      <c r="D104">
        <f t="shared" si="5"/>
        <v>16</v>
      </c>
      <c r="E104">
        <f t="shared" si="6"/>
        <v>16000000</v>
      </c>
      <c r="F104">
        <f t="shared" si="7"/>
        <v>7680000</v>
      </c>
    </row>
    <row r="105" ht="13.85" spans="1:6">
      <c r="A105">
        <f t="shared" si="4"/>
        <v>104</v>
      </c>
      <c r="B105" s="10"/>
      <c r="C105" s="11">
        <v>18</v>
      </c>
      <c r="D105">
        <f t="shared" si="5"/>
        <v>18</v>
      </c>
      <c r="E105">
        <f t="shared" si="6"/>
        <v>18000000</v>
      </c>
      <c r="F105">
        <f t="shared" si="7"/>
        <v>8640000</v>
      </c>
    </row>
    <row r="106" ht="13.85" spans="1:6">
      <c r="A106">
        <f t="shared" si="4"/>
        <v>105</v>
      </c>
      <c r="B106" s="10"/>
      <c r="C106" s="11">
        <v>23</v>
      </c>
      <c r="D106">
        <f t="shared" si="5"/>
        <v>23</v>
      </c>
      <c r="E106">
        <f t="shared" si="6"/>
        <v>23000000</v>
      </c>
      <c r="F106">
        <f t="shared" si="7"/>
        <v>11040000</v>
      </c>
    </row>
    <row r="107" ht="13.85" spans="1:6">
      <c r="A107">
        <f t="shared" si="4"/>
        <v>106</v>
      </c>
      <c r="B107" s="10"/>
      <c r="C107" s="11">
        <v>26</v>
      </c>
      <c r="D107">
        <f t="shared" si="5"/>
        <v>26</v>
      </c>
      <c r="E107">
        <f t="shared" si="6"/>
        <v>26000000</v>
      </c>
      <c r="F107">
        <f t="shared" si="7"/>
        <v>12480000</v>
      </c>
    </row>
    <row r="108" ht="13.85" spans="1:6">
      <c r="A108">
        <f t="shared" si="4"/>
        <v>107</v>
      </c>
      <c r="B108" s="10"/>
      <c r="C108" s="11">
        <v>30</v>
      </c>
      <c r="D108">
        <f t="shared" si="5"/>
        <v>30</v>
      </c>
      <c r="E108">
        <f t="shared" si="6"/>
        <v>30000000</v>
      </c>
      <c r="F108">
        <f t="shared" si="7"/>
        <v>14400000</v>
      </c>
    </row>
    <row r="109" ht="13.85" spans="1:6">
      <c r="A109">
        <f t="shared" si="4"/>
        <v>108</v>
      </c>
      <c r="B109" s="10"/>
      <c r="C109" s="11">
        <v>35</v>
      </c>
      <c r="D109">
        <f t="shared" si="5"/>
        <v>35</v>
      </c>
      <c r="E109">
        <f t="shared" si="6"/>
        <v>35000000</v>
      </c>
      <c r="F109">
        <f t="shared" si="7"/>
        <v>16800000</v>
      </c>
    </row>
    <row r="110" ht="13.85" spans="1:6">
      <c r="A110">
        <f t="shared" si="4"/>
        <v>109</v>
      </c>
      <c r="B110" s="10"/>
      <c r="C110" s="11">
        <v>40</v>
      </c>
      <c r="D110">
        <f t="shared" si="5"/>
        <v>40</v>
      </c>
      <c r="E110">
        <f t="shared" si="6"/>
        <v>40000000</v>
      </c>
      <c r="F110">
        <f t="shared" si="7"/>
        <v>19200000</v>
      </c>
    </row>
    <row r="111" ht="13.85" spans="1:6">
      <c r="A111">
        <f t="shared" si="4"/>
        <v>110</v>
      </c>
      <c r="B111" s="10"/>
      <c r="C111" s="11">
        <v>45</v>
      </c>
      <c r="D111">
        <f t="shared" si="5"/>
        <v>45</v>
      </c>
      <c r="E111">
        <f t="shared" si="6"/>
        <v>45000000</v>
      </c>
      <c r="F111">
        <f t="shared" si="7"/>
        <v>21600000</v>
      </c>
    </row>
    <row r="112" ht="13.85" spans="1:6">
      <c r="A112">
        <f t="shared" si="4"/>
        <v>111</v>
      </c>
      <c r="B112" s="10"/>
      <c r="C112" s="11">
        <v>50</v>
      </c>
      <c r="D112">
        <f t="shared" si="5"/>
        <v>50</v>
      </c>
      <c r="E112">
        <f t="shared" si="6"/>
        <v>50000000</v>
      </c>
      <c r="F112">
        <f t="shared" si="7"/>
        <v>24000000</v>
      </c>
    </row>
    <row r="113" ht="13.85" spans="1:6">
      <c r="A113">
        <f t="shared" si="4"/>
        <v>112</v>
      </c>
      <c r="B113" s="10"/>
      <c r="C113" s="11">
        <v>57</v>
      </c>
      <c r="D113">
        <f t="shared" si="5"/>
        <v>57</v>
      </c>
      <c r="E113">
        <f t="shared" si="6"/>
        <v>57000000</v>
      </c>
      <c r="F113">
        <f t="shared" si="7"/>
        <v>27360000</v>
      </c>
    </row>
    <row r="114" ht="13.85" spans="1:6">
      <c r="A114">
        <f t="shared" si="4"/>
        <v>113</v>
      </c>
      <c r="B114" s="10"/>
      <c r="C114" s="11">
        <v>66</v>
      </c>
      <c r="D114">
        <f t="shared" si="5"/>
        <v>66</v>
      </c>
      <c r="E114">
        <f t="shared" si="6"/>
        <v>66000000</v>
      </c>
      <c r="F114">
        <f t="shared" si="7"/>
        <v>31680000</v>
      </c>
    </row>
    <row r="115" ht="13.85" spans="1:6">
      <c r="A115">
        <f t="shared" si="4"/>
        <v>114</v>
      </c>
      <c r="B115" s="10"/>
      <c r="C115" s="11">
        <v>10</v>
      </c>
      <c r="D115">
        <f t="shared" si="5"/>
        <v>10</v>
      </c>
      <c r="E115">
        <f t="shared" si="6"/>
        <v>10000000</v>
      </c>
      <c r="F115">
        <f t="shared" si="7"/>
        <v>4800000</v>
      </c>
    </row>
    <row r="116" ht="13.85" spans="1:6">
      <c r="A116">
        <f t="shared" si="4"/>
        <v>115</v>
      </c>
      <c r="B116" s="10"/>
      <c r="C116" s="11">
        <v>12</v>
      </c>
      <c r="D116">
        <f t="shared" si="5"/>
        <v>12</v>
      </c>
      <c r="E116">
        <f t="shared" si="6"/>
        <v>12000000</v>
      </c>
      <c r="F116">
        <f t="shared" si="7"/>
        <v>5760000</v>
      </c>
    </row>
    <row r="117" ht="13.85" spans="1:6">
      <c r="A117">
        <f t="shared" si="4"/>
        <v>116</v>
      </c>
      <c r="B117" s="10"/>
      <c r="C117" s="11">
        <v>14</v>
      </c>
      <c r="D117">
        <f t="shared" si="5"/>
        <v>14</v>
      </c>
      <c r="E117">
        <f t="shared" si="6"/>
        <v>14000000</v>
      </c>
      <c r="F117">
        <f t="shared" si="7"/>
        <v>6720000</v>
      </c>
    </row>
    <row r="118" ht="13.85" spans="1:6">
      <c r="A118">
        <f t="shared" si="4"/>
        <v>117</v>
      </c>
      <c r="B118" s="10"/>
      <c r="C118" s="11">
        <v>16</v>
      </c>
      <c r="D118">
        <f t="shared" si="5"/>
        <v>16</v>
      </c>
      <c r="E118">
        <f t="shared" si="6"/>
        <v>16000000</v>
      </c>
      <c r="F118">
        <f t="shared" si="7"/>
        <v>7680000</v>
      </c>
    </row>
    <row r="119" ht="13.85" spans="1:6">
      <c r="A119">
        <f t="shared" si="4"/>
        <v>118</v>
      </c>
      <c r="B119" s="10"/>
      <c r="C119" s="11">
        <v>19</v>
      </c>
      <c r="D119">
        <f t="shared" si="5"/>
        <v>19</v>
      </c>
      <c r="E119">
        <f t="shared" si="6"/>
        <v>19000000</v>
      </c>
      <c r="F119">
        <f t="shared" si="7"/>
        <v>9120000</v>
      </c>
    </row>
    <row r="120" ht="13.85" spans="1:6">
      <c r="A120">
        <f t="shared" si="4"/>
        <v>119</v>
      </c>
      <c r="B120" s="10"/>
      <c r="C120" s="11">
        <v>24</v>
      </c>
      <c r="D120">
        <f t="shared" si="5"/>
        <v>24</v>
      </c>
      <c r="E120">
        <f t="shared" si="6"/>
        <v>24000000</v>
      </c>
      <c r="F120">
        <f t="shared" si="7"/>
        <v>11520000</v>
      </c>
    </row>
    <row r="121" ht="13.85" spans="1:6">
      <c r="A121">
        <f t="shared" si="4"/>
        <v>120</v>
      </c>
      <c r="B121" s="10"/>
      <c r="C121" s="11">
        <v>28</v>
      </c>
      <c r="D121">
        <f t="shared" si="5"/>
        <v>28</v>
      </c>
      <c r="E121">
        <f t="shared" si="6"/>
        <v>28000000</v>
      </c>
      <c r="F121">
        <f t="shared" si="7"/>
        <v>13440000</v>
      </c>
    </row>
    <row r="122" ht="13.85" spans="1:6">
      <c r="A122">
        <f t="shared" si="4"/>
        <v>121</v>
      </c>
      <c r="B122" s="10"/>
      <c r="C122" s="11">
        <v>10</v>
      </c>
      <c r="D122">
        <f t="shared" si="5"/>
        <v>10</v>
      </c>
      <c r="E122">
        <f t="shared" si="6"/>
        <v>10000000</v>
      </c>
      <c r="F122">
        <f t="shared" si="7"/>
        <v>4800000</v>
      </c>
    </row>
    <row r="123" ht="13.85" spans="1:6">
      <c r="A123">
        <f t="shared" si="4"/>
        <v>122</v>
      </c>
      <c r="B123" s="10"/>
      <c r="C123" s="11">
        <v>12</v>
      </c>
      <c r="D123">
        <f t="shared" si="5"/>
        <v>12</v>
      </c>
      <c r="E123">
        <f t="shared" si="6"/>
        <v>12000000</v>
      </c>
      <c r="F123">
        <f t="shared" si="7"/>
        <v>5760000</v>
      </c>
    </row>
    <row r="124" ht="13.85" spans="1:6">
      <c r="A124">
        <f t="shared" si="4"/>
        <v>123</v>
      </c>
      <c r="B124" s="10"/>
      <c r="C124" s="11">
        <v>14</v>
      </c>
      <c r="D124">
        <f t="shared" si="5"/>
        <v>14</v>
      </c>
      <c r="E124">
        <f t="shared" si="6"/>
        <v>14000000</v>
      </c>
      <c r="F124">
        <f t="shared" si="7"/>
        <v>6720000</v>
      </c>
    </row>
    <row r="125" ht="13.85" spans="1:6">
      <c r="A125">
        <f t="shared" si="4"/>
        <v>124</v>
      </c>
      <c r="B125" s="10"/>
      <c r="C125" s="11">
        <v>16</v>
      </c>
      <c r="D125">
        <f t="shared" si="5"/>
        <v>16</v>
      </c>
      <c r="E125">
        <f t="shared" si="6"/>
        <v>16000000</v>
      </c>
      <c r="F125">
        <f t="shared" si="7"/>
        <v>7680000</v>
      </c>
    </row>
    <row r="126" ht="13.85" spans="1:6">
      <c r="A126">
        <f t="shared" si="4"/>
        <v>125</v>
      </c>
      <c r="B126" s="10"/>
      <c r="C126" s="11">
        <v>20</v>
      </c>
      <c r="D126">
        <f t="shared" si="5"/>
        <v>20</v>
      </c>
      <c r="E126">
        <f t="shared" si="6"/>
        <v>20000000</v>
      </c>
      <c r="F126">
        <f t="shared" si="7"/>
        <v>9600000</v>
      </c>
    </row>
    <row r="127" ht="13.85" spans="1:6">
      <c r="A127">
        <f t="shared" si="4"/>
        <v>126</v>
      </c>
      <c r="B127" s="10"/>
      <c r="C127" s="11">
        <v>24</v>
      </c>
      <c r="D127">
        <f t="shared" si="5"/>
        <v>24</v>
      </c>
      <c r="E127">
        <f t="shared" si="6"/>
        <v>24000000</v>
      </c>
      <c r="F127">
        <f t="shared" si="7"/>
        <v>11520000</v>
      </c>
    </row>
    <row r="128" ht="13.85" spans="1:6">
      <c r="A128">
        <f t="shared" si="4"/>
        <v>127</v>
      </c>
      <c r="B128" s="10"/>
      <c r="C128" s="11">
        <v>28</v>
      </c>
      <c r="D128">
        <f t="shared" si="5"/>
        <v>28</v>
      </c>
      <c r="E128">
        <f t="shared" si="6"/>
        <v>28000000</v>
      </c>
      <c r="F128">
        <f t="shared" si="7"/>
        <v>13440000</v>
      </c>
    </row>
    <row r="129" ht="13.85" spans="1:6">
      <c r="A129">
        <f t="shared" si="4"/>
        <v>128</v>
      </c>
      <c r="B129" s="10"/>
      <c r="C129" s="11">
        <v>34</v>
      </c>
      <c r="D129">
        <f t="shared" si="5"/>
        <v>34</v>
      </c>
      <c r="E129">
        <f t="shared" si="6"/>
        <v>34000000</v>
      </c>
      <c r="F129">
        <f t="shared" si="7"/>
        <v>16320000</v>
      </c>
    </row>
    <row r="130" ht="13.85" spans="1:6">
      <c r="A130">
        <f t="shared" ref="A130:A193" si="8">ROW()-1</f>
        <v>129</v>
      </c>
      <c r="B130" s="10"/>
      <c r="C130" s="11">
        <v>40</v>
      </c>
      <c r="D130">
        <f t="shared" ref="D130:D193" si="9">IF(RIGHT(C130,1)="B",VALUE(LEFT(C130,LEN(C130)-1))*1000,C130)</f>
        <v>40</v>
      </c>
      <c r="E130">
        <f t="shared" ref="E130:E193" si="10">D130*1000000</f>
        <v>40000000</v>
      </c>
      <c r="F130">
        <f t="shared" ref="F130:F193" si="11">E130*0.48</f>
        <v>19200000</v>
      </c>
    </row>
    <row r="131" ht="13.85" spans="1:6">
      <c r="A131">
        <f t="shared" si="8"/>
        <v>130</v>
      </c>
      <c r="B131" s="10"/>
      <c r="C131" s="11">
        <v>45</v>
      </c>
      <c r="D131">
        <f t="shared" si="9"/>
        <v>45</v>
      </c>
      <c r="E131">
        <f t="shared" si="10"/>
        <v>45000000</v>
      </c>
      <c r="F131">
        <f t="shared" si="11"/>
        <v>21600000</v>
      </c>
    </row>
    <row r="132" ht="13.85" spans="1:6">
      <c r="A132">
        <f t="shared" si="8"/>
        <v>131</v>
      </c>
      <c r="B132" s="10"/>
      <c r="C132" s="11">
        <v>52</v>
      </c>
      <c r="D132">
        <f t="shared" si="9"/>
        <v>52</v>
      </c>
      <c r="E132">
        <f t="shared" si="10"/>
        <v>52000000</v>
      </c>
      <c r="F132">
        <f t="shared" si="11"/>
        <v>24960000</v>
      </c>
    </row>
    <row r="133" ht="13.85" spans="1:6">
      <c r="A133">
        <f t="shared" si="8"/>
        <v>132</v>
      </c>
      <c r="B133" s="10"/>
      <c r="C133" s="11">
        <v>60</v>
      </c>
      <c r="D133">
        <f t="shared" si="9"/>
        <v>60</v>
      </c>
      <c r="E133">
        <f t="shared" si="10"/>
        <v>60000000</v>
      </c>
      <c r="F133">
        <f t="shared" si="11"/>
        <v>28800000</v>
      </c>
    </row>
    <row r="134" ht="13.85" spans="1:6">
      <c r="A134">
        <f t="shared" si="8"/>
        <v>133</v>
      </c>
      <c r="B134" s="10"/>
      <c r="C134" s="11">
        <v>70</v>
      </c>
      <c r="D134">
        <f t="shared" si="9"/>
        <v>70</v>
      </c>
      <c r="E134">
        <f t="shared" si="10"/>
        <v>70000000</v>
      </c>
      <c r="F134">
        <f t="shared" si="11"/>
        <v>33600000</v>
      </c>
    </row>
    <row r="135" ht="13.85" spans="1:6">
      <c r="A135">
        <f t="shared" si="8"/>
        <v>134</v>
      </c>
      <c r="B135" s="10"/>
      <c r="C135" s="11">
        <v>10</v>
      </c>
      <c r="D135">
        <f t="shared" si="9"/>
        <v>10</v>
      </c>
      <c r="E135">
        <f t="shared" si="10"/>
        <v>10000000</v>
      </c>
      <c r="F135">
        <f t="shared" si="11"/>
        <v>4800000</v>
      </c>
    </row>
    <row r="136" ht="13.85" spans="1:6">
      <c r="A136">
        <f t="shared" si="8"/>
        <v>135</v>
      </c>
      <c r="B136" s="10"/>
      <c r="C136" s="11">
        <v>12</v>
      </c>
      <c r="D136">
        <f t="shared" si="9"/>
        <v>12</v>
      </c>
      <c r="E136">
        <f t="shared" si="10"/>
        <v>12000000</v>
      </c>
      <c r="F136">
        <f t="shared" si="11"/>
        <v>5760000</v>
      </c>
    </row>
    <row r="137" ht="13.85" spans="1:6">
      <c r="A137">
        <f t="shared" si="8"/>
        <v>136</v>
      </c>
      <c r="B137" s="10"/>
      <c r="C137" s="11">
        <v>14</v>
      </c>
      <c r="D137">
        <f t="shared" si="9"/>
        <v>14</v>
      </c>
      <c r="E137">
        <f t="shared" si="10"/>
        <v>14000000</v>
      </c>
      <c r="F137">
        <f t="shared" si="11"/>
        <v>6720000</v>
      </c>
    </row>
    <row r="138" ht="13.85" spans="1:6">
      <c r="A138">
        <f t="shared" si="8"/>
        <v>137</v>
      </c>
      <c r="B138" s="10"/>
      <c r="C138" s="11">
        <v>17</v>
      </c>
      <c r="D138">
        <f t="shared" si="9"/>
        <v>17</v>
      </c>
      <c r="E138">
        <f t="shared" si="10"/>
        <v>17000000</v>
      </c>
      <c r="F138">
        <f t="shared" si="11"/>
        <v>8160000</v>
      </c>
    </row>
    <row r="139" ht="13.85" spans="1:6">
      <c r="A139">
        <f t="shared" si="8"/>
        <v>138</v>
      </c>
      <c r="B139" s="10"/>
      <c r="C139" s="11">
        <v>20</v>
      </c>
      <c r="D139">
        <f t="shared" si="9"/>
        <v>20</v>
      </c>
      <c r="E139">
        <f t="shared" si="10"/>
        <v>20000000</v>
      </c>
      <c r="F139">
        <f t="shared" si="11"/>
        <v>9600000</v>
      </c>
    </row>
    <row r="140" ht="13.85" spans="1:6">
      <c r="A140">
        <f t="shared" si="8"/>
        <v>139</v>
      </c>
      <c r="B140" s="10"/>
      <c r="C140" s="11">
        <v>25</v>
      </c>
      <c r="D140">
        <f t="shared" si="9"/>
        <v>25</v>
      </c>
      <c r="E140">
        <f t="shared" si="10"/>
        <v>25000000</v>
      </c>
      <c r="F140">
        <f t="shared" si="11"/>
        <v>12000000</v>
      </c>
    </row>
    <row r="141" ht="13.85" spans="1:6">
      <c r="A141">
        <f t="shared" si="8"/>
        <v>140</v>
      </c>
      <c r="B141" s="10"/>
      <c r="C141" s="11">
        <v>30</v>
      </c>
      <c r="D141">
        <f t="shared" si="9"/>
        <v>30</v>
      </c>
      <c r="E141">
        <f t="shared" si="10"/>
        <v>30000000</v>
      </c>
      <c r="F141">
        <f t="shared" si="11"/>
        <v>14400000</v>
      </c>
    </row>
    <row r="142" ht="13.85" spans="1:6">
      <c r="A142">
        <f t="shared" si="8"/>
        <v>141</v>
      </c>
      <c r="B142" s="10"/>
      <c r="C142" s="11">
        <v>36</v>
      </c>
      <c r="D142">
        <f t="shared" si="9"/>
        <v>36</v>
      </c>
      <c r="E142">
        <f t="shared" si="10"/>
        <v>36000000</v>
      </c>
      <c r="F142">
        <f t="shared" si="11"/>
        <v>17280000</v>
      </c>
    </row>
    <row r="143" ht="13.85" spans="1:6">
      <c r="A143">
        <f t="shared" si="8"/>
        <v>142</v>
      </c>
      <c r="B143" s="10"/>
      <c r="C143" s="11">
        <v>41</v>
      </c>
      <c r="D143">
        <f t="shared" si="9"/>
        <v>41</v>
      </c>
      <c r="E143">
        <f t="shared" si="10"/>
        <v>41000000</v>
      </c>
      <c r="F143">
        <f t="shared" si="11"/>
        <v>19680000</v>
      </c>
    </row>
    <row r="144" ht="13.85" spans="1:6">
      <c r="A144">
        <f t="shared" si="8"/>
        <v>143</v>
      </c>
      <c r="B144" s="10"/>
      <c r="C144" s="11">
        <v>47</v>
      </c>
      <c r="D144">
        <f t="shared" si="9"/>
        <v>47</v>
      </c>
      <c r="E144">
        <f t="shared" si="10"/>
        <v>47000000</v>
      </c>
      <c r="F144">
        <f t="shared" si="11"/>
        <v>22560000</v>
      </c>
    </row>
    <row r="145" ht="13.85" spans="1:6">
      <c r="A145">
        <f t="shared" si="8"/>
        <v>144</v>
      </c>
      <c r="B145" s="10"/>
      <c r="C145" s="11">
        <v>10</v>
      </c>
      <c r="D145">
        <f t="shared" si="9"/>
        <v>10</v>
      </c>
      <c r="E145">
        <f t="shared" si="10"/>
        <v>10000000</v>
      </c>
      <c r="F145">
        <f t="shared" si="11"/>
        <v>4800000</v>
      </c>
    </row>
    <row r="146" ht="13.85" spans="1:6">
      <c r="A146">
        <f t="shared" si="8"/>
        <v>145</v>
      </c>
      <c r="B146" s="10"/>
      <c r="C146" s="11">
        <v>12</v>
      </c>
      <c r="D146">
        <f t="shared" si="9"/>
        <v>12</v>
      </c>
      <c r="E146">
        <f t="shared" si="10"/>
        <v>12000000</v>
      </c>
      <c r="F146">
        <f t="shared" si="11"/>
        <v>5760000</v>
      </c>
    </row>
    <row r="147" ht="13.85" spans="1:6">
      <c r="A147">
        <f t="shared" si="8"/>
        <v>146</v>
      </c>
      <c r="B147" s="10"/>
      <c r="C147" s="11">
        <v>14</v>
      </c>
      <c r="D147">
        <f t="shared" si="9"/>
        <v>14</v>
      </c>
      <c r="E147">
        <f t="shared" si="10"/>
        <v>14000000</v>
      </c>
      <c r="F147">
        <f t="shared" si="11"/>
        <v>6720000</v>
      </c>
    </row>
    <row r="148" ht="13.85" spans="1:6">
      <c r="A148">
        <f t="shared" si="8"/>
        <v>147</v>
      </c>
      <c r="B148" s="10"/>
      <c r="C148" s="11">
        <v>17</v>
      </c>
      <c r="D148">
        <f t="shared" si="9"/>
        <v>17</v>
      </c>
      <c r="E148">
        <f t="shared" si="10"/>
        <v>17000000</v>
      </c>
      <c r="F148">
        <f t="shared" si="11"/>
        <v>8160000</v>
      </c>
    </row>
    <row r="149" ht="13.85" spans="1:6">
      <c r="A149">
        <f t="shared" si="8"/>
        <v>148</v>
      </c>
      <c r="B149" s="10"/>
      <c r="C149" s="11">
        <v>21</v>
      </c>
      <c r="D149">
        <f t="shared" si="9"/>
        <v>21</v>
      </c>
      <c r="E149">
        <f t="shared" si="10"/>
        <v>21000000</v>
      </c>
      <c r="F149">
        <f t="shared" si="11"/>
        <v>10080000</v>
      </c>
    </row>
    <row r="150" ht="13.85" spans="1:6">
      <c r="A150">
        <f t="shared" si="8"/>
        <v>149</v>
      </c>
      <c r="B150" s="10"/>
      <c r="C150" s="11">
        <v>25</v>
      </c>
      <c r="D150">
        <f t="shared" si="9"/>
        <v>25</v>
      </c>
      <c r="E150">
        <f t="shared" si="10"/>
        <v>25000000</v>
      </c>
      <c r="F150">
        <f t="shared" si="11"/>
        <v>12000000</v>
      </c>
    </row>
    <row r="151" ht="13.85" spans="1:6">
      <c r="A151">
        <f t="shared" si="8"/>
        <v>150</v>
      </c>
      <c r="B151" s="10"/>
      <c r="C151" s="11">
        <v>29</v>
      </c>
      <c r="D151">
        <f t="shared" si="9"/>
        <v>29</v>
      </c>
      <c r="E151">
        <f t="shared" si="10"/>
        <v>29000000</v>
      </c>
      <c r="F151">
        <f t="shared" si="11"/>
        <v>13920000</v>
      </c>
    </row>
    <row r="152" ht="13.85" spans="1:6">
      <c r="A152">
        <f t="shared" si="8"/>
        <v>151</v>
      </c>
      <c r="B152" s="10"/>
      <c r="C152" s="11">
        <v>34</v>
      </c>
      <c r="D152">
        <f t="shared" si="9"/>
        <v>34</v>
      </c>
      <c r="E152">
        <f t="shared" si="10"/>
        <v>34000000</v>
      </c>
      <c r="F152">
        <f t="shared" si="11"/>
        <v>16320000</v>
      </c>
    </row>
    <row r="153" ht="13.85" spans="1:6">
      <c r="A153">
        <f t="shared" si="8"/>
        <v>152</v>
      </c>
      <c r="B153" s="10"/>
      <c r="C153" s="11">
        <v>39</v>
      </c>
      <c r="D153">
        <f t="shared" si="9"/>
        <v>39</v>
      </c>
      <c r="E153">
        <f t="shared" si="10"/>
        <v>39000000</v>
      </c>
      <c r="F153">
        <f t="shared" si="11"/>
        <v>18720000</v>
      </c>
    </row>
    <row r="154" ht="13.85" spans="1:6">
      <c r="A154">
        <f t="shared" si="8"/>
        <v>153</v>
      </c>
      <c r="B154" s="10"/>
      <c r="C154" s="11">
        <v>45</v>
      </c>
      <c r="D154">
        <f t="shared" si="9"/>
        <v>45</v>
      </c>
      <c r="E154">
        <f t="shared" si="10"/>
        <v>45000000</v>
      </c>
      <c r="F154">
        <f t="shared" si="11"/>
        <v>21600000</v>
      </c>
    </row>
    <row r="155" ht="13.85" spans="1:6">
      <c r="A155">
        <f t="shared" si="8"/>
        <v>154</v>
      </c>
      <c r="B155" s="10"/>
      <c r="C155" s="11">
        <v>50</v>
      </c>
      <c r="D155">
        <f t="shared" si="9"/>
        <v>50</v>
      </c>
      <c r="E155">
        <f t="shared" si="10"/>
        <v>50000000</v>
      </c>
      <c r="F155">
        <f t="shared" si="11"/>
        <v>24000000</v>
      </c>
    </row>
    <row r="156" ht="13.85" spans="1:6">
      <c r="A156">
        <f t="shared" si="8"/>
        <v>155</v>
      </c>
      <c r="B156" s="10"/>
      <c r="C156" s="11">
        <v>58</v>
      </c>
      <c r="D156">
        <f t="shared" si="9"/>
        <v>58</v>
      </c>
      <c r="E156">
        <f t="shared" si="10"/>
        <v>58000000</v>
      </c>
      <c r="F156">
        <f t="shared" si="11"/>
        <v>27840000</v>
      </c>
    </row>
    <row r="157" ht="13.85" spans="1:6">
      <c r="A157">
        <f t="shared" si="8"/>
        <v>156</v>
      </c>
      <c r="B157" s="10"/>
      <c r="C157" s="11">
        <v>67</v>
      </c>
      <c r="D157">
        <f t="shared" si="9"/>
        <v>67</v>
      </c>
      <c r="E157">
        <f t="shared" si="10"/>
        <v>67000000</v>
      </c>
      <c r="F157">
        <f t="shared" si="11"/>
        <v>32160000</v>
      </c>
    </row>
    <row r="158" ht="13.85" spans="1:6">
      <c r="A158">
        <f t="shared" si="8"/>
        <v>157</v>
      </c>
      <c r="B158" s="10"/>
      <c r="C158" s="11">
        <v>77</v>
      </c>
      <c r="D158">
        <f t="shared" si="9"/>
        <v>77</v>
      </c>
      <c r="E158">
        <f t="shared" si="10"/>
        <v>77000000</v>
      </c>
      <c r="F158">
        <f t="shared" si="11"/>
        <v>36960000</v>
      </c>
    </row>
    <row r="159" ht="13.85" spans="1:6">
      <c r="A159">
        <f t="shared" si="8"/>
        <v>158</v>
      </c>
      <c r="B159" s="10"/>
      <c r="C159" s="11">
        <v>88</v>
      </c>
      <c r="D159">
        <f t="shared" si="9"/>
        <v>88</v>
      </c>
      <c r="E159">
        <f t="shared" si="10"/>
        <v>88000000</v>
      </c>
      <c r="F159">
        <f t="shared" si="11"/>
        <v>42240000</v>
      </c>
    </row>
    <row r="160" ht="13.85" spans="1:6">
      <c r="A160">
        <f t="shared" si="8"/>
        <v>159</v>
      </c>
      <c r="B160" s="10"/>
      <c r="C160" s="11">
        <v>100</v>
      </c>
      <c r="D160">
        <f t="shared" si="9"/>
        <v>100</v>
      </c>
      <c r="E160">
        <f t="shared" si="10"/>
        <v>100000000</v>
      </c>
      <c r="F160">
        <f t="shared" si="11"/>
        <v>48000000</v>
      </c>
    </row>
    <row r="161" ht="13.85" spans="1:6">
      <c r="A161">
        <f t="shared" si="8"/>
        <v>160</v>
      </c>
      <c r="B161" s="10"/>
      <c r="C161" s="11">
        <v>145</v>
      </c>
      <c r="D161">
        <f t="shared" si="9"/>
        <v>145</v>
      </c>
      <c r="E161">
        <f t="shared" si="10"/>
        <v>145000000</v>
      </c>
      <c r="F161">
        <f t="shared" si="11"/>
        <v>69600000</v>
      </c>
    </row>
    <row r="162" ht="13.85" spans="1:6">
      <c r="A162">
        <f t="shared" si="8"/>
        <v>161</v>
      </c>
      <c r="B162" s="10"/>
      <c r="C162" s="11">
        <v>10</v>
      </c>
      <c r="D162">
        <f t="shared" si="9"/>
        <v>10</v>
      </c>
      <c r="E162">
        <f t="shared" si="10"/>
        <v>10000000</v>
      </c>
      <c r="F162">
        <f t="shared" si="11"/>
        <v>4800000</v>
      </c>
    </row>
    <row r="163" ht="13.85" spans="1:6">
      <c r="A163">
        <f t="shared" si="8"/>
        <v>162</v>
      </c>
      <c r="B163" s="10"/>
      <c r="C163" s="11">
        <v>12</v>
      </c>
      <c r="D163">
        <f t="shared" si="9"/>
        <v>12</v>
      </c>
      <c r="E163">
        <f t="shared" si="10"/>
        <v>12000000</v>
      </c>
      <c r="F163">
        <f t="shared" si="11"/>
        <v>5760000</v>
      </c>
    </row>
    <row r="164" ht="13.85" spans="1:6">
      <c r="A164">
        <f t="shared" si="8"/>
        <v>163</v>
      </c>
      <c r="B164" s="10"/>
      <c r="C164" s="11">
        <v>14</v>
      </c>
      <c r="D164">
        <f t="shared" si="9"/>
        <v>14</v>
      </c>
      <c r="E164">
        <f t="shared" si="10"/>
        <v>14000000</v>
      </c>
      <c r="F164">
        <f t="shared" si="11"/>
        <v>6720000</v>
      </c>
    </row>
    <row r="165" ht="13.85" spans="1:6">
      <c r="A165">
        <f t="shared" si="8"/>
        <v>164</v>
      </c>
      <c r="B165" s="10"/>
      <c r="C165" s="11">
        <v>18</v>
      </c>
      <c r="D165">
        <f t="shared" si="9"/>
        <v>18</v>
      </c>
      <c r="E165">
        <f t="shared" si="10"/>
        <v>18000000</v>
      </c>
      <c r="F165">
        <f t="shared" si="11"/>
        <v>8640000</v>
      </c>
    </row>
    <row r="166" ht="13.85" spans="1:6">
      <c r="A166">
        <f t="shared" si="8"/>
        <v>165</v>
      </c>
      <c r="B166" s="10"/>
      <c r="C166" s="11">
        <v>23</v>
      </c>
      <c r="D166">
        <f t="shared" si="9"/>
        <v>23</v>
      </c>
      <c r="E166">
        <f t="shared" si="10"/>
        <v>23000000</v>
      </c>
      <c r="F166">
        <f t="shared" si="11"/>
        <v>11040000</v>
      </c>
    </row>
    <row r="167" ht="13.85" spans="1:6">
      <c r="A167">
        <f t="shared" si="8"/>
        <v>166</v>
      </c>
      <c r="B167" s="10"/>
      <c r="C167" s="11">
        <v>27</v>
      </c>
      <c r="D167">
        <f t="shared" si="9"/>
        <v>27</v>
      </c>
      <c r="E167">
        <f t="shared" si="10"/>
        <v>27000000</v>
      </c>
      <c r="F167">
        <f t="shared" si="11"/>
        <v>12960000</v>
      </c>
    </row>
    <row r="168" ht="13.85" spans="1:6">
      <c r="A168">
        <f t="shared" si="8"/>
        <v>167</v>
      </c>
      <c r="B168" s="10"/>
      <c r="C168" s="11">
        <v>34</v>
      </c>
      <c r="D168">
        <f t="shared" si="9"/>
        <v>34</v>
      </c>
      <c r="E168">
        <f t="shared" si="10"/>
        <v>34000000</v>
      </c>
      <c r="F168">
        <f t="shared" si="11"/>
        <v>16320000</v>
      </c>
    </row>
    <row r="169" ht="13.85" spans="1:6">
      <c r="A169">
        <f t="shared" si="8"/>
        <v>168</v>
      </c>
      <c r="B169" s="10"/>
      <c r="C169" s="11">
        <v>10</v>
      </c>
      <c r="D169">
        <f t="shared" si="9"/>
        <v>10</v>
      </c>
      <c r="E169">
        <f t="shared" si="10"/>
        <v>10000000</v>
      </c>
      <c r="F169">
        <f t="shared" si="11"/>
        <v>4800000</v>
      </c>
    </row>
    <row r="170" ht="13.85" spans="1:6">
      <c r="A170">
        <f t="shared" si="8"/>
        <v>169</v>
      </c>
      <c r="B170" s="10"/>
      <c r="C170" s="11">
        <v>12</v>
      </c>
      <c r="D170">
        <f t="shared" si="9"/>
        <v>12</v>
      </c>
      <c r="E170">
        <f t="shared" si="10"/>
        <v>12000000</v>
      </c>
      <c r="F170">
        <f t="shared" si="11"/>
        <v>5760000</v>
      </c>
    </row>
    <row r="171" ht="13.85" spans="1:6">
      <c r="A171">
        <f t="shared" si="8"/>
        <v>170</v>
      </c>
      <c r="B171" s="10"/>
      <c r="C171" s="11">
        <v>14</v>
      </c>
      <c r="D171">
        <f t="shared" si="9"/>
        <v>14</v>
      </c>
      <c r="E171">
        <f t="shared" si="10"/>
        <v>14000000</v>
      </c>
      <c r="F171">
        <f t="shared" si="11"/>
        <v>6720000</v>
      </c>
    </row>
    <row r="172" ht="13.85" spans="1:6">
      <c r="A172">
        <f t="shared" si="8"/>
        <v>171</v>
      </c>
      <c r="B172" s="10"/>
      <c r="C172" s="11">
        <v>17</v>
      </c>
      <c r="D172">
        <f t="shared" si="9"/>
        <v>17</v>
      </c>
      <c r="E172">
        <f t="shared" si="10"/>
        <v>17000000</v>
      </c>
      <c r="F172">
        <f t="shared" si="11"/>
        <v>8160000</v>
      </c>
    </row>
    <row r="173" ht="13.85" spans="1:6">
      <c r="A173">
        <f t="shared" si="8"/>
        <v>172</v>
      </c>
      <c r="B173" s="10"/>
      <c r="C173" s="11">
        <v>21</v>
      </c>
      <c r="D173">
        <f t="shared" si="9"/>
        <v>21</v>
      </c>
      <c r="E173">
        <f t="shared" si="10"/>
        <v>21000000</v>
      </c>
      <c r="F173">
        <f t="shared" si="11"/>
        <v>10080000</v>
      </c>
    </row>
    <row r="174" ht="13.85" spans="1:6">
      <c r="A174">
        <f t="shared" si="8"/>
        <v>173</v>
      </c>
      <c r="B174" s="10"/>
      <c r="C174" s="11">
        <v>27</v>
      </c>
      <c r="D174">
        <f t="shared" si="9"/>
        <v>27</v>
      </c>
      <c r="E174">
        <f t="shared" si="10"/>
        <v>27000000</v>
      </c>
      <c r="F174">
        <f t="shared" si="11"/>
        <v>12960000</v>
      </c>
    </row>
    <row r="175" ht="13.85" spans="1:6">
      <c r="A175">
        <f t="shared" si="8"/>
        <v>174</v>
      </c>
      <c r="B175" s="10"/>
      <c r="C175" s="11">
        <v>32</v>
      </c>
      <c r="D175">
        <f t="shared" si="9"/>
        <v>32</v>
      </c>
      <c r="E175">
        <f t="shared" si="10"/>
        <v>32000000</v>
      </c>
      <c r="F175">
        <f t="shared" si="11"/>
        <v>15360000</v>
      </c>
    </row>
    <row r="176" ht="13.85" spans="1:6">
      <c r="A176">
        <f t="shared" si="8"/>
        <v>175</v>
      </c>
      <c r="B176" s="10"/>
      <c r="C176" s="11">
        <v>10</v>
      </c>
      <c r="D176">
        <f t="shared" si="9"/>
        <v>10</v>
      </c>
      <c r="E176">
        <f t="shared" si="10"/>
        <v>10000000</v>
      </c>
      <c r="F176">
        <f t="shared" si="11"/>
        <v>4800000</v>
      </c>
    </row>
    <row r="177" ht="13.85" spans="1:6">
      <c r="A177">
        <f t="shared" si="8"/>
        <v>176</v>
      </c>
      <c r="B177" s="10"/>
      <c r="C177" s="11">
        <v>12</v>
      </c>
      <c r="D177">
        <f t="shared" si="9"/>
        <v>12</v>
      </c>
      <c r="E177">
        <f t="shared" si="10"/>
        <v>12000000</v>
      </c>
      <c r="F177">
        <f t="shared" si="11"/>
        <v>5760000</v>
      </c>
    </row>
    <row r="178" ht="13.85" spans="1:6">
      <c r="A178">
        <f t="shared" si="8"/>
        <v>177</v>
      </c>
      <c r="B178" s="10"/>
      <c r="C178" s="11">
        <v>14</v>
      </c>
      <c r="D178">
        <f t="shared" si="9"/>
        <v>14</v>
      </c>
      <c r="E178">
        <f t="shared" si="10"/>
        <v>14000000</v>
      </c>
      <c r="F178">
        <f t="shared" si="11"/>
        <v>6720000</v>
      </c>
    </row>
    <row r="179" ht="13.85" spans="1:6">
      <c r="A179">
        <f t="shared" si="8"/>
        <v>178</v>
      </c>
      <c r="B179" s="10"/>
      <c r="C179" s="11">
        <v>16</v>
      </c>
      <c r="D179">
        <f t="shared" si="9"/>
        <v>16</v>
      </c>
      <c r="E179">
        <f t="shared" si="10"/>
        <v>16000000</v>
      </c>
      <c r="F179">
        <f t="shared" si="11"/>
        <v>7680000</v>
      </c>
    </row>
    <row r="180" ht="13.85" spans="1:6">
      <c r="A180">
        <f t="shared" si="8"/>
        <v>179</v>
      </c>
      <c r="B180" s="10"/>
      <c r="C180" s="11">
        <v>21</v>
      </c>
      <c r="D180">
        <f t="shared" si="9"/>
        <v>21</v>
      </c>
      <c r="E180">
        <f t="shared" si="10"/>
        <v>21000000</v>
      </c>
      <c r="F180">
        <f t="shared" si="11"/>
        <v>10080000</v>
      </c>
    </row>
    <row r="181" ht="13.85" spans="1:6">
      <c r="A181">
        <f t="shared" si="8"/>
        <v>180</v>
      </c>
      <c r="B181" s="10"/>
      <c r="C181" s="11">
        <v>25</v>
      </c>
      <c r="D181">
        <f t="shared" si="9"/>
        <v>25</v>
      </c>
      <c r="E181">
        <f t="shared" si="10"/>
        <v>25000000</v>
      </c>
      <c r="F181">
        <f t="shared" si="11"/>
        <v>12000000</v>
      </c>
    </row>
    <row r="182" ht="13.85" spans="1:6">
      <c r="A182">
        <f t="shared" si="8"/>
        <v>181</v>
      </c>
      <c r="B182" s="10"/>
      <c r="C182" s="11">
        <v>31</v>
      </c>
      <c r="D182">
        <f t="shared" si="9"/>
        <v>31</v>
      </c>
      <c r="E182">
        <f t="shared" si="10"/>
        <v>31000000</v>
      </c>
      <c r="F182">
        <f t="shared" si="11"/>
        <v>14880000</v>
      </c>
    </row>
    <row r="183" ht="13.85" spans="1:6">
      <c r="A183">
        <f t="shared" si="8"/>
        <v>182</v>
      </c>
      <c r="B183" s="10"/>
      <c r="C183" s="11">
        <v>36</v>
      </c>
      <c r="D183">
        <f t="shared" si="9"/>
        <v>36</v>
      </c>
      <c r="E183">
        <f t="shared" si="10"/>
        <v>36000000</v>
      </c>
      <c r="F183">
        <f t="shared" si="11"/>
        <v>17280000</v>
      </c>
    </row>
    <row r="184" ht="13.85" spans="1:6">
      <c r="A184">
        <f t="shared" si="8"/>
        <v>183</v>
      </c>
      <c r="B184" s="10"/>
      <c r="C184" s="11">
        <v>41</v>
      </c>
      <c r="D184">
        <f t="shared" si="9"/>
        <v>41</v>
      </c>
      <c r="E184">
        <f t="shared" si="10"/>
        <v>41000000</v>
      </c>
      <c r="F184">
        <f t="shared" si="11"/>
        <v>19680000</v>
      </c>
    </row>
    <row r="185" ht="13.85" spans="1:6">
      <c r="A185">
        <f t="shared" si="8"/>
        <v>184</v>
      </c>
      <c r="B185" s="10"/>
      <c r="C185" s="11">
        <v>10</v>
      </c>
      <c r="D185">
        <f t="shared" si="9"/>
        <v>10</v>
      </c>
      <c r="E185">
        <f t="shared" si="10"/>
        <v>10000000</v>
      </c>
      <c r="F185">
        <f t="shared" si="11"/>
        <v>4800000</v>
      </c>
    </row>
    <row r="186" ht="13.85" spans="1:6">
      <c r="A186">
        <f t="shared" si="8"/>
        <v>185</v>
      </c>
      <c r="B186" s="10"/>
      <c r="C186" s="11">
        <v>12</v>
      </c>
      <c r="D186">
        <f t="shared" si="9"/>
        <v>12</v>
      </c>
      <c r="E186">
        <f t="shared" si="10"/>
        <v>12000000</v>
      </c>
      <c r="F186">
        <f t="shared" si="11"/>
        <v>5760000</v>
      </c>
    </row>
    <row r="187" ht="13.85" spans="1:6">
      <c r="A187">
        <f t="shared" si="8"/>
        <v>186</v>
      </c>
      <c r="B187" s="10"/>
      <c r="C187" s="11">
        <v>14</v>
      </c>
      <c r="D187">
        <f t="shared" si="9"/>
        <v>14</v>
      </c>
      <c r="E187">
        <f t="shared" si="10"/>
        <v>14000000</v>
      </c>
      <c r="F187">
        <f t="shared" si="11"/>
        <v>6720000</v>
      </c>
    </row>
    <row r="188" ht="13.85" spans="1:6">
      <c r="A188">
        <f t="shared" si="8"/>
        <v>187</v>
      </c>
      <c r="B188" s="10"/>
      <c r="C188" s="11">
        <v>16</v>
      </c>
      <c r="D188">
        <f t="shared" si="9"/>
        <v>16</v>
      </c>
      <c r="E188">
        <f t="shared" si="10"/>
        <v>16000000</v>
      </c>
      <c r="F188">
        <f t="shared" si="11"/>
        <v>7680000</v>
      </c>
    </row>
    <row r="189" ht="13.85" spans="1:6">
      <c r="A189">
        <f t="shared" si="8"/>
        <v>188</v>
      </c>
      <c r="B189" s="10"/>
      <c r="C189" s="11">
        <v>19</v>
      </c>
      <c r="D189">
        <f t="shared" si="9"/>
        <v>19</v>
      </c>
      <c r="E189">
        <f t="shared" si="10"/>
        <v>19000000</v>
      </c>
      <c r="F189">
        <f t="shared" si="11"/>
        <v>9120000</v>
      </c>
    </row>
    <row r="190" ht="13.85" spans="1:6">
      <c r="A190">
        <f t="shared" si="8"/>
        <v>189</v>
      </c>
      <c r="B190" s="10"/>
      <c r="C190" s="11">
        <v>25</v>
      </c>
      <c r="D190">
        <f t="shared" si="9"/>
        <v>25</v>
      </c>
      <c r="E190">
        <f t="shared" si="10"/>
        <v>25000000</v>
      </c>
      <c r="F190">
        <f t="shared" si="11"/>
        <v>12000000</v>
      </c>
    </row>
    <row r="191" ht="13.85" spans="1:6">
      <c r="A191">
        <f t="shared" si="8"/>
        <v>190</v>
      </c>
      <c r="B191" s="10"/>
      <c r="C191" s="11">
        <v>29</v>
      </c>
      <c r="D191">
        <f t="shared" si="9"/>
        <v>29</v>
      </c>
      <c r="E191">
        <f t="shared" si="10"/>
        <v>29000000</v>
      </c>
      <c r="F191">
        <f t="shared" si="11"/>
        <v>13920000</v>
      </c>
    </row>
    <row r="192" ht="13.85" spans="1:6">
      <c r="A192">
        <f t="shared" si="8"/>
        <v>191</v>
      </c>
      <c r="B192" s="10"/>
      <c r="C192" s="11">
        <v>34</v>
      </c>
      <c r="D192">
        <f t="shared" si="9"/>
        <v>34</v>
      </c>
      <c r="E192">
        <f t="shared" si="10"/>
        <v>34000000</v>
      </c>
      <c r="F192">
        <f t="shared" si="11"/>
        <v>16320000</v>
      </c>
    </row>
    <row r="193" ht="13.85" spans="1:6">
      <c r="A193">
        <f t="shared" si="8"/>
        <v>192</v>
      </c>
      <c r="B193" s="10"/>
      <c r="C193" s="11">
        <v>40</v>
      </c>
      <c r="D193">
        <f t="shared" si="9"/>
        <v>40</v>
      </c>
      <c r="E193">
        <f t="shared" si="10"/>
        <v>40000000</v>
      </c>
      <c r="F193">
        <f t="shared" si="11"/>
        <v>19200000</v>
      </c>
    </row>
    <row r="194" ht="13.85" spans="1:6">
      <c r="A194">
        <f t="shared" ref="A194:A257" si="12">ROW()-1</f>
        <v>193</v>
      </c>
      <c r="B194" s="10"/>
      <c r="C194" s="11">
        <v>46</v>
      </c>
      <c r="D194">
        <f t="shared" ref="D194:D257" si="13">IF(RIGHT(C194,1)="B",VALUE(LEFT(C194,LEN(C194)-1))*1000,C194)</f>
        <v>46</v>
      </c>
      <c r="E194">
        <f t="shared" ref="E194:E257" si="14">D194*1000000</f>
        <v>46000000</v>
      </c>
      <c r="F194">
        <f t="shared" ref="F194:F257" si="15">E194*0.48</f>
        <v>22080000</v>
      </c>
    </row>
    <row r="195" ht="13.85" spans="1:6">
      <c r="A195">
        <f t="shared" si="12"/>
        <v>194</v>
      </c>
      <c r="B195" s="10"/>
      <c r="C195" s="11">
        <v>53</v>
      </c>
      <c r="D195">
        <f t="shared" si="13"/>
        <v>53</v>
      </c>
      <c r="E195">
        <f t="shared" si="14"/>
        <v>53000000</v>
      </c>
      <c r="F195">
        <f t="shared" si="15"/>
        <v>25440000</v>
      </c>
    </row>
    <row r="196" ht="13.85" spans="1:6">
      <c r="A196">
        <f t="shared" si="12"/>
        <v>195</v>
      </c>
      <c r="B196" s="10"/>
      <c r="C196" s="11">
        <v>61</v>
      </c>
      <c r="D196">
        <f t="shared" si="13"/>
        <v>61</v>
      </c>
      <c r="E196">
        <f t="shared" si="14"/>
        <v>61000000</v>
      </c>
      <c r="F196">
        <f t="shared" si="15"/>
        <v>29280000</v>
      </c>
    </row>
    <row r="197" ht="13.85" spans="1:6">
      <c r="A197">
        <f t="shared" si="12"/>
        <v>196</v>
      </c>
      <c r="B197" s="10"/>
      <c r="C197" s="11">
        <v>10</v>
      </c>
      <c r="D197">
        <f t="shared" si="13"/>
        <v>10</v>
      </c>
      <c r="E197">
        <f t="shared" si="14"/>
        <v>10000000</v>
      </c>
      <c r="F197">
        <f t="shared" si="15"/>
        <v>4800000</v>
      </c>
    </row>
    <row r="198" ht="13.85" spans="1:6">
      <c r="A198">
        <f t="shared" si="12"/>
        <v>197</v>
      </c>
      <c r="B198" s="10"/>
      <c r="C198" s="11">
        <v>10</v>
      </c>
      <c r="D198">
        <f t="shared" si="13"/>
        <v>10</v>
      </c>
      <c r="E198">
        <f t="shared" si="14"/>
        <v>10000000</v>
      </c>
      <c r="F198">
        <f t="shared" si="15"/>
        <v>4800000</v>
      </c>
    </row>
    <row r="199" ht="13.85" spans="1:6">
      <c r="A199">
        <f t="shared" si="12"/>
        <v>198</v>
      </c>
      <c r="B199" s="10"/>
      <c r="C199" s="11">
        <v>12</v>
      </c>
      <c r="D199">
        <f t="shared" si="13"/>
        <v>12</v>
      </c>
      <c r="E199">
        <f t="shared" si="14"/>
        <v>12000000</v>
      </c>
      <c r="F199">
        <f t="shared" si="15"/>
        <v>5760000</v>
      </c>
    </row>
    <row r="200" ht="13.85" spans="1:6">
      <c r="A200">
        <f t="shared" si="12"/>
        <v>199</v>
      </c>
      <c r="B200" s="10"/>
      <c r="C200" s="11">
        <v>14</v>
      </c>
      <c r="D200">
        <f t="shared" si="13"/>
        <v>14</v>
      </c>
      <c r="E200">
        <f t="shared" si="14"/>
        <v>14000000</v>
      </c>
      <c r="F200">
        <f t="shared" si="15"/>
        <v>6720000</v>
      </c>
    </row>
    <row r="201" ht="13.85" spans="1:6">
      <c r="A201">
        <f t="shared" si="12"/>
        <v>200</v>
      </c>
      <c r="B201" s="10"/>
      <c r="C201" s="11">
        <v>16</v>
      </c>
      <c r="D201">
        <f t="shared" si="13"/>
        <v>16</v>
      </c>
      <c r="E201">
        <f t="shared" si="14"/>
        <v>16000000</v>
      </c>
      <c r="F201">
        <f t="shared" si="15"/>
        <v>7680000</v>
      </c>
    </row>
    <row r="202" ht="13.85" spans="1:6">
      <c r="A202">
        <f t="shared" si="12"/>
        <v>201</v>
      </c>
      <c r="B202" s="10"/>
      <c r="C202" s="11">
        <v>19</v>
      </c>
      <c r="D202">
        <f t="shared" si="13"/>
        <v>19</v>
      </c>
      <c r="E202">
        <f t="shared" si="14"/>
        <v>19000000</v>
      </c>
      <c r="F202">
        <f t="shared" si="15"/>
        <v>9120000</v>
      </c>
    </row>
    <row r="203" ht="13.85" spans="1:6">
      <c r="A203">
        <f t="shared" si="12"/>
        <v>202</v>
      </c>
      <c r="B203" s="10"/>
      <c r="C203" s="11">
        <v>23</v>
      </c>
      <c r="D203">
        <f t="shared" si="13"/>
        <v>23</v>
      </c>
      <c r="E203">
        <f t="shared" si="14"/>
        <v>23000000</v>
      </c>
      <c r="F203">
        <f t="shared" si="15"/>
        <v>11040000</v>
      </c>
    </row>
    <row r="204" ht="13.85" spans="1:6">
      <c r="A204">
        <f t="shared" si="12"/>
        <v>203</v>
      </c>
      <c r="B204" s="10"/>
      <c r="C204" s="11">
        <v>27</v>
      </c>
      <c r="D204">
        <f t="shared" si="13"/>
        <v>27</v>
      </c>
      <c r="E204">
        <f t="shared" si="14"/>
        <v>27000000</v>
      </c>
      <c r="F204">
        <f t="shared" si="15"/>
        <v>12960000</v>
      </c>
    </row>
    <row r="205" ht="13.85" spans="1:6">
      <c r="A205">
        <f t="shared" si="12"/>
        <v>204</v>
      </c>
      <c r="B205" s="10"/>
      <c r="C205" s="11">
        <v>32</v>
      </c>
      <c r="D205">
        <f t="shared" si="13"/>
        <v>32</v>
      </c>
      <c r="E205">
        <f t="shared" si="14"/>
        <v>32000000</v>
      </c>
      <c r="F205">
        <f t="shared" si="15"/>
        <v>15360000</v>
      </c>
    </row>
    <row r="206" ht="13.85" spans="1:6">
      <c r="A206">
        <f t="shared" si="12"/>
        <v>205</v>
      </c>
      <c r="B206" s="10"/>
      <c r="C206" s="11">
        <v>37</v>
      </c>
      <c r="D206">
        <f t="shared" si="13"/>
        <v>37</v>
      </c>
      <c r="E206">
        <f t="shared" si="14"/>
        <v>37000000</v>
      </c>
      <c r="F206">
        <f t="shared" si="15"/>
        <v>17760000</v>
      </c>
    </row>
    <row r="207" ht="13.85" spans="1:6">
      <c r="A207">
        <f t="shared" si="12"/>
        <v>206</v>
      </c>
      <c r="B207" s="10"/>
      <c r="C207" s="11">
        <v>42</v>
      </c>
      <c r="D207">
        <f t="shared" si="13"/>
        <v>42</v>
      </c>
      <c r="E207">
        <f t="shared" si="14"/>
        <v>42000000</v>
      </c>
      <c r="F207">
        <f t="shared" si="15"/>
        <v>20160000</v>
      </c>
    </row>
    <row r="208" ht="13.85" spans="1:6">
      <c r="A208">
        <f t="shared" si="12"/>
        <v>207</v>
      </c>
      <c r="B208" s="10"/>
      <c r="C208" s="11">
        <v>48</v>
      </c>
      <c r="D208">
        <f t="shared" si="13"/>
        <v>48</v>
      </c>
      <c r="E208">
        <f t="shared" si="14"/>
        <v>48000000</v>
      </c>
      <c r="F208">
        <f t="shared" si="15"/>
        <v>23040000</v>
      </c>
    </row>
    <row r="209" ht="13.85" spans="1:6">
      <c r="A209">
        <f t="shared" si="12"/>
        <v>208</v>
      </c>
      <c r="B209" s="10"/>
      <c r="C209" s="11">
        <v>10</v>
      </c>
      <c r="D209">
        <f t="shared" si="13"/>
        <v>10</v>
      </c>
      <c r="E209">
        <f t="shared" si="14"/>
        <v>10000000</v>
      </c>
      <c r="F209">
        <f t="shared" si="15"/>
        <v>4800000</v>
      </c>
    </row>
    <row r="210" ht="13.85" spans="1:6">
      <c r="A210">
        <f t="shared" si="12"/>
        <v>209</v>
      </c>
      <c r="B210" s="10"/>
      <c r="C210" s="11">
        <v>12</v>
      </c>
      <c r="D210">
        <f t="shared" si="13"/>
        <v>12</v>
      </c>
      <c r="E210">
        <f t="shared" si="14"/>
        <v>12000000</v>
      </c>
      <c r="F210">
        <f t="shared" si="15"/>
        <v>5760000</v>
      </c>
    </row>
    <row r="211" ht="13.85" spans="1:6">
      <c r="A211">
        <f t="shared" si="12"/>
        <v>210</v>
      </c>
      <c r="B211" s="10"/>
      <c r="C211" s="11">
        <v>14</v>
      </c>
      <c r="D211">
        <f t="shared" si="13"/>
        <v>14</v>
      </c>
      <c r="E211">
        <f t="shared" si="14"/>
        <v>14000000</v>
      </c>
      <c r="F211">
        <f t="shared" si="15"/>
        <v>6720000</v>
      </c>
    </row>
    <row r="212" ht="13.85" spans="1:6">
      <c r="A212">
        <f t="shared" si="12"/>
        <v>211</v>
      </c>
      <c r="B212" s="10"/>
      <c r="C212" s="11">
        <v>16</v>
      </c>
      <c r="D212">
        <f t="shared" si="13"/>
        <v>16</v>
      </c>
      <c r="E212">
        <f t="shared" si="14"/>
        <v>16000000</v>
      </c>
      <c r="F212">
        <f t="shared" si="15"/>
        <v>7680000</v>
      </c>
    </row>
    <row r="213" ht="13.85" spans="1:6">
      <c r="A213">
        <f t="shared" si="12"/>
        <v>212</v>
      </c>
      <c r="B213" s="10"/>
      <c r="C213" s="11">
        <v>19</v>
      </c>
      <c r="D213">
        <f t="shared" si="13"/>
        <v>19</v>
      </c>
      <c r="E213">
        <f t="shared" si="14"/>
        <v>19000000</v>
      </c>
      <c r="F213">
        <f t="shared" si="15"/>
        <v>9120000</v>
      </c>
    </row>
    <row r="214" ht="13.85" spans="1:6">
      <c r="A214">
        <f t="shared" si="12"/>
        <v>213</v>
      </c>
      <c r="B214" s="10"/>
      <c r="C214" s="11">
        <v>23</v>
      </c>
      <c r="D214">
        <f t="shared" si="13"/>
        <v>23</v>
      </c>
      <c r="E214">
        <f t="shared" si="14"/>
        <v>23000000</v>
      </c>
      <c r="F214">
        <f t="shared" si="15"/>
        <v>11040000</v>
      </c>
    </row>
    <row r="215" ht="13.85" spans="1:6">
      <c r="A215">
        <f t="shared" si="12"/>
        <v>214</v>
      </c>
      <c r="B215" s="10"/>
      <c r="C215" s="11">
        <v>27</v>
      </c>
      <c r="D215">
        <f t="shared" si="13"/>
        <v>27</v>
      </c>
      <c r="E215">
        <f t="shared" si="14"/>
        <v>27000000</v>
      </c>
      <c r="F215">
        <f t="shared" si="15"/>
        <v>12960000</v>
      </c>
    </row>
    <row r="216" ht="13.85" spans="1:6">
      <c r="A216">
        <f t="shared" si="12"/>
        <v>215</v>
      </c>
      <c r="B216" s="10"/>
      <c r="C216" s="11">
        <v>32</v>
      </c>
      <c r="D216">
        <f t="shared" si="13"/>
        <v>32</v>
      </c>
      <c r="E216">
        <f t="shared" si="14"/>
        <v>32000000</v>
      </c>
      <c r="F216">
        <f t="shared" si="15"/>
        <v>15360000</v>
      </c>
    </row>
    <row r="217" ht="13.85" spans="1:6">
      <c r="A217">
        <f t="shared" si="12"/>
        <v>216</v>
      </c>
      <c r="B217" s="10"/>
      <c r="C217" s="11">
        <v>10</v>
      </c>
      <c r="D217">
        <f t="shared" si="13"/>
        <v>10</v>
      </c>
      <c r="E217">
        <f t="shared" si="14"/>
        <v>10000000</v>
      </c>
      <c r="F217">
        <f t="shared" si="15"/>
        <v>4800000</v>
      </c>
    </row>
    <row r="218" ht="13.85" spans="1:6">
      <c r="A218">
        <f t="shared" si="12"/>
        <v>217</v>
      </c>
      <c r="B218" s="10"/>
      <c r="C218" s="11">
        <v>12</v>
      </c>
      <c r="D218">
        <f t="shared" si="13"/>
        <v>12</v>
      </c>
      <c r="E218">
        <f t="shared" si="14"/>
        <v>12000000</v>
      </c>
      <c r="F218">
        <f t="shared" si="15"/>
        <v>5760000</v>
      </c>
    </row>
    <row r="219" ht="13.85" spans="1:6">
      <c r="A219">
        <f t="shared" si="12"/>
        <v>218</v>
      </c>
      <c r="B219" s="10"/>
      <c r="C219" s="11">
        <v>14</v>
      </c>
      <c r="D219">
        <f t="shared" si="13"/>
        <v>14</v>
      </c>
      <c r="E219">
        <f t="shared" si="14"/>
        <v>14000000</v>
      </c>
      <c r="F219">
        <f t="shared" si="15"/>
        <v>6720000</v>
      </c>
    </row>
    <row r="220" ht="13.85" spans="1:6">
      <c r="A220">
        <f t="shared" si="12"/>
        <v>219</v>
      </c>
      <c r="B220" s="10"/>
      <c r="C220" s="11">
        <v>16</v>
      </c>
      <c r="D220">
        <f t="shared" si="13"/>
        <v>16</v>
      </c>
      <c r="E220">
        <f t="shared" si="14"/>
        <v>16000000</v>
      </c>
      <c r="F220">
        <f t="shared" si="15"/>
        <v>7680000</v>
      </c>
    </row>
    <row r="221" ht="13.85" spans="1:6">
      <c r="A221">
        <f t="shared" si="12"/>
        <v>220</v>
      </c>
      <c r="B221" s="10"/>
      <c r="C221" s="11">
        <v>19</v>
      </c>
      <c r="D221">
        <f t="shared" si="13"/>
        <v>19</v>
      </c>
      <c r="E221">
        <f t="shared" si="14"/>
        <v>19000000</v>
      </c>
      <c r="F221">
        <f t="shared" si="15"/>
        <v>9120000</v>
      </c>
    </row>
    <row r="222" ht="13.85" spans="1:6">
      <c r="A222">
        <f t="shared" si="12"/>
        <v>221</v>
      </c>
      <c r="B222" s="14"/>
      <c r="C222" s="15">
        <v>24</v>
      </c>
      <c r="D222">
        <f t="shared" si="13"/>
        <v>24</v>
      </c>
      <c r="E222">
        <f t="shared" si="14"/>
        <v>24000000</v>
      </c>
      <c r="F222">
        <f t="shared" si="15"/>
        <v>11520000</v>
      </c>
    </row>
    <row r="223" ht="13.85" spans="1:6">
      <c r="A223">
        <f t="shared" si="12"/>
        <v>222</v>
      </c>
      <c r="B223" s="12"/>
      <c r="C223" s="13">
        <v>28</v>
      </c>
      <c r="D223">
        <f t="shared" si="13"/>
        <v>28</v>
      </c>
      <c r="E223">
        <f t="shared" si="14"/>
        <v>28000000</v>
      </c>
      <c r="F223">
        <f t="shared" si="15"/>
        <v>13440000</v>
      </c>
    </row>
    <row r="224" ht="13.85" spans="1:6">
      <c r="A224">
        <f t="shared" si="12"/>
        <v>223</v>
      </c>
      <c r="B224" s="10"/>
      <c r="C224" s="11">
        <v>33</v>
      </c>
      <c r="D224">
        <f t="shared" si="13"/>
        <v>33</v>
      </c>
      <c r="E224">
        <f t="shared" si="14"/>
        <v>33000000</v>
      </c>
      <c r="F224">
        <f t="shared" si="15"/>
        <v>15840000</v>
      </c>
    </row>
    <row r="225" ht="13.85" spans="1:6">
      <c r="A225">
        <f t="shared" si="12"/>
        <v>224</v>
      </c>
      <c r="B225" s="10"/>
      <c r="C225" s="11">
        <v>38</v>
      </c>
      <c r="D225">
        <f t="shared" si="13"/>
        <v>38</v>
      </c>
      <c r="E225">
        <f t="shared" si="14"/>
        <v>38000000</v>
      </c>
      <c r="F225">
        <f t="shared" si="15"/>
        <v>18240000</v>
      </c>
    </row>
    <row r="226" ht="13.85" spans="1:6">
      <c r="A226">
        <f t="shared" si="12"/>
        <v>225</v>
      </c>
      <c r="B226" s="10"/>
      <c r="C226" s="11">
        <v>45</v>
      </c>
      <c r="D226">
        <f t="shared" si="13"/>
        <v>45</v>
      </c>
      <c r="E226">
        <f t="shared" si="14"/>
        <v>45000000</v>
      </c>
      <c r="F226">
        <f t="shared" si="15"/>
        <v>21600000</v>
      </c>
    </row>
    <row r="227" ht="13.85" spans="1:6">
      <c r="A227">
        <f t="shared" si="12"/>
        <v>226</v>
      </c>
      <c r="B227" s="10"/>
      <c r="C227" s="11">
        <v>51</v>
      </c>
      <c r="D227">
        <f t="shared" si="13"/>
        <v>51</v>
      </c>
      <c r="E227">
        <f t="shared" si="14"/>
        <v>51000000</v>
      </c>
      <c r="F227">
        <f t="shared" si="15"/>
        <v>24480000</v>
      </c>
    </row>
    <row r="228" ht="13.85" spans="1:6">
      <c r="A228">
        <f t="shared" si="12"/>
        <v>227</v>
      </c>
      <c r="B228" s="10"/>
      <c r="C228" s="11">
        <v>60</v>
      </c>
      <c r="D228">
        <f t="shared" si="13"/>
        <v>60</v>
      </c>
      <c r="E228">
        <f t="shared" si="14"/>
        <v>60000000</v>
      </c>
      <c r="F228">
        <f t="shared" si="15"/>
        <v>28800000</v>
      </c>
    </row>
    <row r="229" ht="13.85" spans="1:6">
      <c r="A229">
        <f t="shared" si="12"/>
        <v>228</v>
      </c>
      <c r="B229" s="10"/>
      <c r="C229" s="11">
        <v>70</v>
      </c>
      <c r="D229">
        <f t="shared" si="13"/>
        <v>70</v>
      </c>
      <c r="E229">
        <f t="shared" si="14"/>
        <v>70000000</v>
      </c>
      <c r="F229">
        <f t="shared" si="15"/>
        <v>33600000</v>
      </c>
    </row>
    <row r="230" ht="13.85" spans="1:6">
      <c r="A230">
        <f t="shared" si="12"/>
        <v>229</v>
      </c>
      <c r="B230" s="10"/>
      <c r="C230" s="11">
        <v>83</v>
      </c>
      <c r="D230">
        <f t="shared" si="13"/>
        <v>83</v>
      </c>
      <c r="E230">
        <f t="shared" si="14"/>
        <v>83000000</v>
      </c>
      <c r="F230">
        <f t="shared" si="15"/>
        <v>39840000</v>
      </c>
    </row>
    <row r="231" ht="13.85" spans="1:6">
      <c r="A231">
        <f t="shared" si="12"/>
        <v>230</v>
      </c>
      <c r="B231" s="10"/>
      <c r="C231" s="11">
        <v>100</v>
      </c>
      <c r="D231">
        <f t="shared" si="13"/>
        <v>100</v>
      </c>
      <c r="E231">
        <f t="shared" si="14"/>
        <v>100000000</v>
      </c>
      <c r="F231">
        <f t="shared" si="15"/>
        <v>48000000</v>
      </c>
    </row>
    <row r="232" ht="13.85" spans="1:6">
      <c r="A232">
        <f t="shared" si="12"/>
        <v>231</v>
      </c>
      <c r="B232" s="10"/>
      <c r="C232" s="11">
        <v>150</v>
      </c>
      <c r="D232">
        <f t="shared" si="13"/>
        <v>150</v>
      </c>
      <c r="E232">
        <f t="shared" si="14"/>
        <v>150000000</v>
      </c>
      <c r="F232">
        <f t="shared" si="15"/>
        <v>72000000</v>
      </c>
    </row>
    <row r="233" ht="13.85" spans="1:6">
      <c r="A233">
        <f t="shared" si="12"/>
        <v>232</v>
      </c>
      <c r="B233" s="10"/>
      <c r="C233" s="11">
        <v>10</v>
      </c>
      <c r="D233">
        <f t="shared" si="13"/>
        <v>10</v>
      </c>
      <c r="E233">
        <f t="shared" si="14"/>
        <v>10000000</v>
      </c>
      <c r="F233">
        <f t="shared" si="15"/>
        <v>4800000</v>
      </c>
    </row>
    <row r="234" ht="13.85" spans="1:6">
      <c r="A234">
        <f t="shared" si="12"/>
        <v>233</v>
      </c>
      <c r="B234" s="10"/>
      <c r="C234" s="11">
        <v>12</v>
      </c>
      <c r="D234">
        <f t="shared" si="13"/>
        <v>12</v>
      </c>
      <c r="E234">
        <f t="shared" si="14"/>
        <v>12000000</v>
      </c>
      <c r="F234">
        <f t="shared" si="15"/>
        <v>5760000</v>
      </c>
    </row>
    <row r="235" ht="13.85" spans="1:6">
      <c r="A235">
        <f t="shared" si="12"/>
        <v>234</v>
      </c>
      <c r="B235" s="10"/>
      <c r="C235" s="11">
        <v>14</v>
      </c>
      <c r="D235">
        <f t="shared" si="13"/>
        <v>14</v>
      </c>
      <c r="E235">
        <f t="shared" si="14"/>
        <v>14000000</v>
      </c>
      <c r="F235">
        <f t="shared" si="15"/>
        <v>6720000</v>
      </c>
    </row>
    <row r="236" ht="13.85" spans="1:6">
      <c r="A236">
        <f t="shared" si="12"/>
        <v>235</v>
      </c>
      <c r="B236" s="10"/>
      <c r="C236" s="11">
        <v>18</v>
      </c>
      <c r="D236">
        <f t="shared" si="13"/>
        <v>18</v>
      </c>
      <c r="E236">
        <f t="shared" si="14"/>
        <v>18000000</v>
      </c>
      <c r="F236">
        <f t="shared" si="15"/>
        <v>8640000</v>
      </c>
    </row>
    <row r="237" ht="13.85" spans="1:6">
      <c r="A237">
        <f t="shared" si="12"/>
        <v>236</v>
      </c>
      <c r="B237" s="10"/>
      <c r="C237" s="11">
        <v>23</v>
      </c>
      <c r="D237">
        <f t="shared" si="13"/>
        <v>23</v>
      </c>
      <c r="E237">
        <f t="shared" si="14"/>
        <v>23000000</v>
      </c>
      <c r="F237">
        <f t="shared" si="15"/>
        <v>11040000</v>
      </c>
    </row>
    <row r="238" ht="13.85" spans="1:6">
      <c r="A238">
        <f t="shared" si="12"/>
        <v>237</v>
      </c>
      <c r="B238" s="10"/>
      <c r="C238" s="11">
        <v>28</v>
      </c>
      <c r="D238">
        <f t="shared" si="13"/>
        <v>28</v>
      </c>
      <c r="E238">
        <f t="shared" si="14"/>
        <v>28000000</v>
      </c>
      <c r="F238">
        <f t="shared" si="15"/>
        <v>13440000</v>
      </c>
    </row>
    <row r="239" ht="13.85" spans="1:6">
      <c r="A239">
        <f t="shared" si="12"/>
        <v>238</v>
      </c>
      <c r="B239" s="10"/>
      <c r="C239" s="11">
        <v>34</v>
      </c>
      <c r="D239">
        <f t="shared" si="13"/>
        <v>34</v>
      </c>
      <c r="E239">
        <f t="shared" si="14"/>
        <v>34000000</v>
      </c>
      <c r="F239">
        <f t="shared" si="15"/>
        <v>16320000</v>
      </c>
    </row>
    <row r="240" ht="13.85" spans="1:6">
      <c r="A240">
        <f t="shared" si="12"/>
        <v>239</v>
      </c>
      <c r="B240" s="10"/>
      <c r="C240" s="11">
        <v>40</v>
      </c>
      <c r="D240">
        <f t="shared" si="13"/>
        <v>40</v>
      </c>
      <c r="E240">
        <f t="shared" si="14"/>
        <v>40000000</v>
      </c>
      <c r="F240">
        <f t="shared" si="15"/>
        <v>19200000</v>
      </c>
    </row>
    <row r="241" ht="13.85" spans="1:6">
      <c r="A241">
        <f t="shared" si="12"/>
        <v>240</v>
      </c>
      <c r="B241" s="10"/>
      <c r="C241" s="11">
        <v>46</v>
      </c>
      <c r="D241">
        <f t="shared" si="13"/>
        <v>46</v>
      </c>
      <c r="E241">
        <f t="shared" si="14"/>
        <v>46000000</v>
      </c>
      <c r="F241">
        <f t="shared" si="15"/>
        <v>22080000</v>
      </c>
    </row>
    <row r="242" ht="13.85" spans="1:6">
      <c r="A242">
        <f t="shared" si="12"/>
        <v>241</v>
      </c>
      <c r="B242" s="10"/>
      <c r="C242" s="11">
        <v>54</v>
      </c>
      <c r="D242">
        <f t="shared" si="13"/>
        <v>54</v>
      </c>
      <c r="E242">
        <f t="shared" si="14"/>
        <v>54000000</v>
      </c>
      <c r="F242">
        <f t="shared" si="15"/>
        <v>25920000</v>
      </c>
    </row>
    <row r="243" ht="13.85" spans="1:6">
      <c r="A243">
        <f t="shared" si="12"/>
        <v>242</v>
      </c>
      <c r="B243" s="10"/>
      <c r="C243" s="11">
        <v>60</v>
      </c>
      <c r="D243">
        <f t="shared" si="13"/>
        <v>60</v>
      </c>
      <c r="E243">
        <f t="shared" si="14"/>
        <v>60000000</v>
      </c>
      <c r="F243">
        <f t="shared" si="15"/>
        <v>28800000</v>
      </c>
    </row>
    <row r="244" ht="13.85" spans="1:6">
      <c r="A244">
        <f t="shared" si="12"/>
        <v>243</v>
      </c>
      <c r="B244" s="10"/>
      <c r="C244" s="11">
        <v>70</v>
      </c>
      <c r="D244">
        <f t="shared" si="13"/>
        <v>70</v>
      </c>
      <c r="E244">
        <f t="shared" si="14"/>
        <v>70000000</v>
      </c>
      <c r="F244">
        <f t="shared" si="15"/>
        <v>33600000</v>
      </c>
    </row>
    <row r="245" ht="13.85" spans="1:6">
      <c r="A245">
        <f t="shared" si="12"/>
        <v>244</v>
      </c>
      <c r="B245" s="10"/>
      <c r="C245" s="11">
        <v>80</v>
      </c>
      <c r="D245">
        <f t="shared" si="13"/>
        <v>80</v>
      </c>
      <c r="E245">
        <f t="shared" si="14"/>
        <v>80000000</v>
      </c>
      <c r="F245">
        <f t="shared" si="15"/>
        <v>38400000</v>
      </c>
    </row>
    <row r="246" ht="13.85" spans="1:6">
      <c r="A246">
        <f t="shared" si="12"/>
        <v>245</v>
      </c>
      <c r="B246" s="10"/>
      <c r="C246" s="11">
        <v>10</v>
      </c>
      <c r="D246">
        <f t="shared" si="13"/>
        <v>10</v>
      </c>
      <c r="E246">
        <f t="shared" si="14"/>
        <v>10000000</v>
      </c>
      <c r="F246">
        <f t="shared" si="15"/>
        <v>4800000</v>
      </c>
    </row>
    <row r="247" ht="13.85" spans="1:6">
      <c r="A247">
        <f t="shared" si="12"/>
        <v>246</v>
      </c>
      <c r="B247" s="10"/>
      <c r="C247" s="11">
        <v>12</v>
      </c>
      <c r="D247">
        <f t="shared" si="13"/>
        <v>12</v>
      </c>
      <c r="E247">
        <f t="shared" si="14"/>
        <v>12000000</v>
      </c>
      <c r="F247">
        <f t="shared" si="15"/>
        <v>5760000</v>
      </c>
    </row>
    <row r="248" ht="13.85" spans="1:6">
      <c r="A248">
        <f t="shared" si="12"/>
        <v>247</v>
      </c>
      <c r="B248" s="10"/>
      <c r="C248" s="11">
        <v>14</v>
      </c>
      <c r="D248">
        <f t="shared" si="13"/>
        <v>14</v>
      </c>
      <c r="E248">
        <f t="shared" si="14"/>
        <v>14000000</v>
      </c>
      <c r="F248">
        <f t="shared" si="15"/>
        <v>6720000</v>
      </c>
    </row>
    <row r="249" ht="13.85" spans="1:6">
      <c r="A249">
        <f t="shared" si="12"/>
        <v>248</v>
      </c>
      <c r="B249" s="10"/>
      <c r="C249" s="11">
        <v>18</v>
      </c>
      <c r="D249">
        <f t="shared" si="13"/>
        <v>18</v>
      </c>
      <c r="E249">
        <f t="shared" si="14"/>
        <v>18000000</v>
      </c>
      <c r="F249">
        <f t="shared" si="15"/>
        <v>8640000</v>
      </c>
    </row>
    <row r="250" ht="13.85" spans="1:6">
      <c r="A250">
        <f t="shared" si="12"/>
        <v>249</v>
      </c>
      <c r="B250" s="10"/>
      <c r="C250" s="11">
        <v>23</v>
      </c>
      <c r="D250">
        <f t="shared" si="13"/>
        <v>23</v>
      </c>
      <c r="E250">
        <f t="shared" si="14"/>
        <v>23000000</v>
      </c>
      <c r="F250">
        <f t="shared" si="15"/>
        <v>11040000</v>
      </c>
    </row>
    <row r="251" ht="13.85" spans="1:6">
      <c r="A251">
        <f t="shared" si="12"/>
        <v>250</v>
      </c>
      <c r="B251" s="10"/>
      <c r="C251" s="11">
        <v>28</v>
      </c>
      <c r="D251">
        <f t="shared" si="13"/>
        <v>28</v>
      </c>
      <c r="E251">
        <f t="shared" si="14"/>
        <v>28000000</v>
      </c>
      <c r="F251">
        <f t="shared" si="15"/>
        <v>13440000</v>
      </c>
    </row>
    <row r="252" ht="13.85" spans="1:6">
      <c r="A252">
        <f t="shared" si="12"/>
        <v>251</v>
      </c>
      <c r="B252" s="10"/>
      <c r="C252" s="11">
        <v>35</v>
      </c>
      <c r="D252">
        <f t="shared" si="13"/>
        <v>35</v>
      </c>
      <c r="E252">
        <f t="shared" si="14"/>
        <v>35000000</v>
      </c>
      <c r="F252">
        <f t="shared" si="15"/>
        <v>16800000</v>
      </c>
    </row>
    <row r="253" ht="13.85" spans="1:6">
      <c r="A253">
        <f t="shared" si="12"/>
        <v>252</v>
      </c>
      <c r="B253" s="10"/>
      <c r="C253" s="11">
        <v>41</v>
      </c>
      <c r="D253">
        <f t="shared" si="13"/>
        <v>41</v>
      </c>
      <c r="E253">
        <f t="shared" si="14"/>
        <v>41000000</v>
      </c>
      <c r="F253">
        <f t="shared" si="15"/>
        <v>19680000</v>
      </c>
    </row>
    <row r="254" ht="13.85" spans="1:6">
      <c r="A254">
        <f t="shared" si="12"/>
        <v>253</v>
      </c>
      <c r="B254" s="10"/>
      <c r="C254" s="11">
        <v>48</v>
      </c>
      <c r="D254">
        <f t="shared" si="13"/>
        <v>48</v>
      </c>
      <c r="E254">
        <f t="shared" si="14"/>
        <v>48000000</v>
      </c>
      <c r="F254">
        <f t="shared" si="15"/>
        <v>23040000</v>
      </c>
    </row>
    <row r="255" ht="13.85" spans="1:6">
      <c r="A255">
        <f t="shared" si="12"/>
        <v>254</v>
      </c>
      <c r="B255" s="10"/>
      <c r="C255" s="11">
        <v>54</v>
      </c>
      <c r="D255">
        <f t="shared" si="13"/>
        <v>54</v>
      </c>
      <c r="E255">
        <f t="shared" si="14"/>
        <v>54000000</v>
      </c>
      <c r="F255">
        <f t="shared" si="15"/>
        <v>25920000</v>
      </c>
    </row>
    <row r="256" ht="13.85" spans="1:6">
      <c r="A256">
        <f t="shared" si="12"/>
        <v>255</v>
      </c>
      <c r="B256" s="10"/>
      <c r="C256" s="11">
        <v>61</v>
      </c>
      <c r="D256">
        <f t="shared" si="13"/>
        <v>61</v>
      </c>
      <c r="E256">
        <f t="shared" si="14"/>
        <v>61000000</v>
      </c>
      <c r="F256">
        <f t="shared" si="15"/>
        <v>29280000</v>
      </c>
    </row>
    <row r="257" ht="13.85" spans="1:6">
      <c r="A257">
        <f t="shared" si="12"/>
        <v>256</v>
      </c>
      <c r="B257" s="10"/>
      <c r="C257" s="11">
        <v>10</v>
      </c>
      <c r="D257">
        <f t="shared" si="13"/>
        <v>10</v>
      </c>
      <c r="E257">
        <f t="shared" si="14"/>
        <v>10000000</v>
      </c>
      <c r="F257">
        <f t="shared" si="15"/>
        <v>4800000</v>
      </c>
    </row>
    <row r="258" ht="13.85" spans="1:6">
      <c r="A258">
        <f t="shared" ref="A258:A321" si="16">ROW()-1</f>
        <v>257</v>
      </c>
      <c r="B258" s="10"/>
      <c r="C258" s="11">
        <v>12</v>
      </c>
      <c r="D258">
        <f t="shared" ref="D258:D321" si="17">IF(RIGHT(C258,1)="B",VALUE(LEFT(C258,LEN(C258)-1))*1000,C258)</f>
        <v>12</v>
      </c>
      <c r="E258">
        <f t="shared" ref="E258:E321" si="18">D258*1000000</f>
        <v>12000000</v>
      </c>
      <c r="F258">
        <f t="shared" ref="F258:F321" si="19">E258*0.48</f>
        <v>5760000</v>
      </c>
    </row>
    <row r="259" ht="13.85" spans="1:6">
      <c r="A259">
        <f t="shared" si="16"/>
        <v>258</v>
      </c>
      <c r="B259" s="10"/>
      <c r="C259" s="11">
        <v>10</v>
      </c>
      <c r="D259">
        <f t="shared" si="17"/>
        <v>10</v>
      </c>
      <c r="E259">
        <f t="shared" si="18"/>
        <v>10000000</v>
      </c>
      <c r="F259">
        <f t="shared" si="19"/>
        <v>4800000</v>
      </c>
    </row>
    <row r="260" ht="13.85" spans="1:6">
      <c r="A260">
        <f t="shared" si="16"/>
        <v>259</v>
      </c>
      <c r="B260" s="10"/>
      <c r="C260" s="11">
        <v>12</v>
      </c>
      <c r="D260">
        <f t="shared" si="17"/>
        <v>12</v>
      </c>
      <c r="E260">
        <f t="shared" si="18"/>
        <v>12000000</v>
      </c>
      <c r="F260">
        <f t="shared" si="19"/>
        <v>5760000</v>
      </c>
    </row>
    <row r="261" ht="13.85" spans="1:6">
      <c r="A261">
        <f t="shared" si="16"/>
        <v>260</v>
      </c>
      <c r="B261" s="10"/>
      <c r="C261" s="11">
        <v>14</v>
      </c>
      <c r="D261">
        <f t="shared" si="17"/>
        <v>14</v>
      </c>
      <c r="E261">
        <f t="shared" si="18"/>
        <v>14000000</v>
      </c>
      <c r="F261">
        <f t="shared" si="19"/>
        <v>6720000</v>
      </c>
    </row>
    <row r="262" ht="13.85" spans="1:6">
      <c r="A262">
        <f t="shared" si="16"/>
        <v>261</v>
      </c>
      <c r="B262" s="10"/>
      <c r="C262" s="11">
        <v>16</v>
      </c>
      <c r="D262">
        <f t="shared" si="17"/>
        <v>16</v>
      </c>
      <c r="E262">
        <f t="shared" si="18"/>
        <v>16000000</v>
      </c>
      <c r="F262">
        <f t="shared" si="19"/>
        <v>7680000</v>
      </c>
    </row>
    <row r="263" ht="13.85" spans="1:6">
      <c r="A263">
        <f t="shared" si="16"/>
        <v>262</v>
      </c>
      <c r="B263" s="10"/>
      <c r="C263" s="11">
        <v>18</v>
      </c>
      <c r="D263">
        <f t="shared" si="17"/>
        <v>18</v>
      </c>
      <c r="E263">
        <f t="shared" si="18"/>
        <v>18000000</v>
      </c>
      <c r="F263">
        <f t="shared" si="19"/>
        <v>8640000</v>
      </c>
    </row>
    <row r="264" ht="13.85" spans="1:6">
      <c r="A264">
        <f t="shared" si="16"/>
        <v>263</v>
      </c>
      <c r="B264" s="10"/>
      <c r="C264" s="11">
        <v>23</v>
      </c>
      <c r="D264">
        <f t="shared" si="17"/>
        <v>23</v>
      </c>
      <c r="E264">
        <f t="shared" si="18"/>
        <v>23000000</v>
      </c>
      <c r="F264">
        <f t="shared" si="19"/>
        <v>11040000</v>
      </c>
    </row>
    <row r="265" ht="13.85" spans="1:6">
      <c r="A265">
        <f t="shared" si="16"/>
        <v>264</v>
      </c>
      <c r="B265" s="10"/>
      <c r="C265" s="11">
        <v>27</v>
      </c>
      <c r="D265">
        <f t="shared" si="17"/>
        <v>27</v>
      </c>
      <c r="E265">
        <f t="shared" si="18"/>
        <v>27000000</v>
      </c>
      <c r="F265">
        <f t="shared" si="19"/>
        <v>12960000</v>
      </c>
    </row>
    <row r="266" ht="13.85" spans="1:6">
      <c r="A266">
        <f t="shared" si="16"/>
        <v>265</v>
      </c>
      <c r="B266" s="10"/>
      <c r="C266" s="11">
        <v>31</v>
      </c>
      <c r="D266">
        <f t="shared" si="17"/>
        <v>31</v>
      </c>
      <c r="E266">
        <f t="shared" si="18"/>
        <v>31000000</v>
      </c>
      <c r="F266">
        <f t="shared" si="19"/>
        <v>14880000</v>
      </c>
    </row>
    <row r="267" ht="13.85" spans="1:6">
      <c r="A267">
        <f t="shared" si="16"/>
        <v>266</v>
      </c>
      <c r="B267" s="10"/>
      <c r="C267" s="11">
        <v>36</v>
      </c>
      <c r="D267">
        <f t="shared" si="17"/>
        <v>36</v>
      </c>
      <c r="E267">
        <f t="shared" si="18"/>
        <v>36000000</v>
      </c>
      <c r="F267">
        <f t="shared" si="19"/>
        <v>17280000</v>
      </c>
    </row>
    <row r="268" ht="13.85" spans="1:6">
      <c r="A268">
        <f t="shared" si="16"/>
        <v>267</v>
      </c>
      <c r="B268" s="10"/>
      <c r="C268" s="11">
        <v>40</v>
      </c>
      <c r="D268">
        <f t="shared" si="17"/>
        <v>40</v>
      </c>
      <c r="E268">
        <f t="shared" si="18"/>
        <v>40000000</v>
      </c>
      <c r="F268">
        <f t="shared" si="19"/>
        <v>19200000</v>
      </c>
    </row>
    <row r="269" ht="13.85" spans="1:6">
      <c r="A269">
        <f t="shared" si="16"/>
        <v>268</v>
      </c>
      <c r="B269" s="10"/>
      <c r="C269" s="11">
        <v>45</v>
      </c>
      <c r="D269">
        <f t="shared" si="17"/>
        <v>45</v>
      </c>
      <c r="E269">
        <f t="shared" si="18"/>
        <v>45000000</v>
      </c>
      <c r="F269">
        <f t="shared" si="19"/>
        <v>21600000</v>
      </c>
    </row>
    <row r="270" ht="13.85" spans="1:6">
      <c r="A270">
        <f t="shared" si="16"/>
        <v>269</v>
      </c>
      <c r="B270" s="10"/>
      <c r="C270" s="11">
        <v>51</v>
      </c>
      <c r="D270">
        <f t="shared" si="17"/>
        <v>51</v>
      </c>
      <c r="E270">
        <f t="shared" si="18"/>
        <v>51000000</v>
      </c>
      <c r="F270">
        <f t="shared" si="19"/>
        <v>24480000</v>
      </c>
    </row>
    <row r="271" ht="13.85" spans="1:6">
      <c r="A271">
        <f t="shared" si="16"/>
        <v>270</v>
      </c>
      <c r="B271" s="10"/>
      <c r="C271" s="11">
        <v>57</v>
      </c>
      <c r="D271">
        <f t="shared" si="17"/>
        <v>57</v>
      </c>
      <c r="E271">
        <f t="shared" si="18"/>
        <v>57000000</v>
      </c>
      <c r="F271">
        <f t="shared" si="19"/>
        <v>27360000</v>
      </c>
    </row>
    <row r="272" ht="13.85" spans="1:6">
      <c r="A272">
        <f t="shared" si="16"/>
        <v>271</v>
      </c>
      <c r="B272" s="10"/>
      <c r="C272" s="11">
        <v>65</v>
      </c>
      <c r="D272">
        <f t="shared" si="17"/>
        <v>65</v>
      </c>
      <c r="E272">
        <f t="shared" si="18"/>
        <v>65000000</v>
      </c>
      <c r="F272">
        <f t="shared" si="19"/>
        <v>31200000</v>
      </c>
    </row>
    <row r="273" ht="13.85" spans="1:6">
      <c r="A273">
        <f t="shared" si="16"/>
        <v>272</v>
      </c>
      <c r="B273" s="10"/>
      <c r="C273" s="11">
        <v>10</v>
      </c>
      <c r="D273">
        <f t="shared" si="17"/>
        <v>10</v>
      </c>
      <c r="E273">
        <f t="shared" si="18"/>
        <v>10000000</v>
      </c>
      <c r="F273">
        <f t="shared" si="19"/>
        <v>4800000</v>
      </c>
    </row>
    <row r="274" ht="13.85" spans="1:6">
      <c r="A274">
        <f t="shared" si="16"/>
        <v>273</v>
      </c>
      <c r="B274" s="10"/>
      <c r="C274" s="11">
        <v>10</v>
      </c>
      <c r="D274">
        <f t="shared" si="17"/>
        <v>10</v>
      </c>
      <c r="E274">
        <f t="shared" si="18"/>
        <v>10000000</v>
      </c>
      <c r="F274">
        <f t="shared" si="19"/>
        <v>4800000</v>
      </c>
    </row>
    <row r="275" ht="13.85" spans="1:6">
      <c r="A275">
        <f t="shared" si="16"/>
        <v>274</v>
      </c>
      <c r="B275" s="10"/>
      <c r="C275" s="11">
        <v>12</v>
      </c>
      <c r="D275">
        <f t="shared" si="17"/>
        <v>12</v>
      </c>
      <c r="E275">
        <f t="shared" si="18"/>
        <v>12000000</v>
      </c>
      <c r="F275">
        <f t="shared" si="19"/>
        <v>5760000</v>
      </c>
    </row>
    <row r="276" ht="13.85" spans="1:6">
      <c r="A276">
        <f t="shared" si="16"/>
        <v>275</v>
      </c>
      <c r="B276" s="10"/>
      <c r="C276" s="11">
        <v>14</v>
      </c>
      <c r="D276">
        <f t="shared" si="17"/>
        <v>14</v>
      </c>
      <c r="E276">
        <f t="shared" si="18"/>
        <v>14000000</v>
      </c>
      <c r="F276">
        <f t="shared" si="19"/>
        <v>6720000</v>
      </c>
    </row>
    <row r="277" ht="13.85" spans="1:6">
      <c r="A277">
        <f t="shared" si="16"/>
        <v>276</v>
      </c>
      <c r="B277" s="10"/>
      <c r="C277" s="11">
        <v>16</v>
      </c>
      <c r="D277">
        <f t="shared" si="17"/>
        <v>16</v>
      </c>
      <c r="E277">
        <f t="shared" si="18"/>
        <v>16000000</v>
      </c>
      <c r="F277">
        <f t="shared" si="19"/>
        <v>7680000</v>
      </c>
    </row>
    <row r="278" ht="13.85" spans="1:6">
      <c r="A278">
        <f t="shared" si="16"/>
        <v>277</v>
      </c>
      <c r="B278" s="10"/>
      <c r="C278" s="11">
        <v>19</v>
      </c>
      <c r="D278">
        <f t="shared" si="17"/>
        <v>19</v>
      </c>
      <c r="E278">
        <f t="shared" si="18"/>
        <v>19000000</v>
      </c>
      <c r="F278">
        <f t="shared" si="19"/>
        <v>9120000</v>
      </c>
    </row>
    <row r="279" ht="13.85" spans="1:6">
      <c r="A279">
        <f t="shared" si="16"/>
        <v>278</v>
      </c>
      <c r="B279" s="10"/>
      <c r="C279" s="11">
        <v>23</v>
      </c>
      <c r="D279">
        <f t="shared" si="17"/>
        <v>23</v>
      </c>
      <c r="E279">
        <f t="shared" si="18"/>
        <v>23000000</v>
      </c>
      <c r="F279">
        <f t="shared" si="19"/>
        <v>11040000</v>
      </c>
    </row>
    <row r="280" ht="13.85" spans="1:6">
      <c r="A280">
        <f t="shared" si="16"/>
        <v>279</v>
      </c>
      <c r="B280" s="10"/>
      <c r="C280" s="11">
        <v>10</v>
      </c>
      <c r="D280">
        <f t="shared" si="17"/>
        <v>10</v>
      </c>
      <c r="E280">
        <f t="shared" si="18"/>
        <v>10000000</v>
      </c>
      <c r="F280">
        <f t="shared" si="19"/>
        <v>4800000</v>
      </c>
    </row>
    <row r="281" ht="13.85" spans="1:6">
      <c r="A281">
        <f t="shared" si="16"/>
        <v>280</v>
      </c>
      <c r="B281" s="10"/>
      <c r="C281" s="11">
        <v>12</v>
      </c>
      <c r="D281">
        <f t="shared" si="17"/>
        <v>12</v>
      </c>
      <c r="E281">
        <f t="shared" si="18"/>
        <v>12000000</v>
      </c>
      <c r="F281">
        <f t="shared" si="19"/>
        <v>5760000</v>
      </c>
    </row>
    <row r="282" ht="13.85" spans="1:6">
      <c r="A282">
        <f t="shared" si="16"/>
        <v>281</v>
      </c>
      <c r="B282" s="10"/>
      <c r="C282" s="11">
        <v>14</v>
      </c>
      <c r="D282">
        <f t="shared" si="17"/>
        <v>14</v>
      </c>
      <c r="E282">
        <f t="shared" si="18"/>
        <v>14000000</v>
      </c>
      <c r="F282">
        <f t="shared" si="19"/>
        <v>6720000</v>
      </c>
    </row>
    <row r="283" ht="13.85" spans="1:6">
      <c r="A283">
        <f t="shared" si="16"/>
        <v>282</v>
      </c>
      <c r="B283" s="10"/>
      <c r="C283" s="11">
        <v>10</v>
      </c>
      <c r="D283">
        <f t="shared" si="17"/>
        <v>10</v>
      </c>
      <c r="E283">
        <f t="shared" si="18"/>
        <v>10000000</v>
      </c>
      <c r="F283">
        <f t="shared" si="19"/>
        <v>4800000</v>
      </c>
    </row>
    <row r="284" ht="13.85" spans="1:6">
      <c r="A284">
        <f t="shared" si="16"/>
        <v>283</v>
      </c>
      <c r="B284" s="10"/>
      <c r="C284" s="11">
        <v>12</v>
      </c>
      <c r="D284">
        <f t="shared" si="17"/>
        <v>12</v>
      </c>
      <c r="E284">
        <f t="shared" si="18"/>
        <v>12000000</v>
      </c>
      <c r="F284">
        <f t="shared" si="19"/>
        <v>5760000</v>
      </c>
    </row>
    <row r="285" ht="13.85" spans="1:6">
      <c r="A285">
        <f t="shared" si="16"/>
        <v>284</v>
      </c>
      <c r="B285" s="10"/>
      <c r="C285" s="11">
        <v>14</v>
      </c>
      <c r="D285">
        <f t="shared" si="17"/>
        <v>14</v>
      </c>
      <c r="E285">
        <f t="shared" si="18"/>
        <v>14000000</v>
      </c>
      <c r="F285">
        <f t="shared" si="19"/>
        <v>6720000</v>
      </c>
    </row>
    <row r="286" ht="13.85" spans="1:6">
      <c r="A286">
        <f t="shared" si="16"/>
        <v>285</v>
      </c>
      <c r="B286" s="10"/>
      <c r="C286" s="11">
        <v>16</v>
      </c>
      <c r="D286">
        <f t="shared" si="17"/>
        <v>16</v>
      </c>
      <c r="E286">
        <f t="shared" si="18"/>
        <v>16000000</v>
      </c>
      <c r="F286">
        <f t="shared" si="19"/>
        <v>7680000</v>
      </c>
    </row>
    <row r="287" ht="13.85" spans="1:6">
      <c r="A287">
        <f t="shared" si="16"/>
        <v>286</v>
      </c>
      <c r="B287" s="10"/>
      <c r="C287" s="11">
        <v>18</v>
      </c>
      <c r="D287">
        <f t="shared" si="17"/>
        <v>18</v>
      </c>
      <c r="E287">
        <f t="shared" si="18"/>
        <v>18000000</v>
      </c>
      <c r="F287">
        <f t="shared" si="19"/>
        <v>8640000</v>
      </c>
    </row>
    <row r="288" ht="13.85" spans="1:6">
      <c r="A288">
        <f t="shared" si="16"/>
        <v>287</v>
      </c>
      <c r="B288" s="10"/>
      <c r="C288" s="11">
        <v>21</v>
      </c>
      <c r="D288">
        <f t="shared" si="17"/>
        <v>21</v>
      </c>
      <c r="E288">
        <f t="shared" si="18"/>
        <v>21000000</v>
      </c>
      <c r="F288">
        <f t="shared" si="19"/>
        <v>10080000</v>
      </c>
    </row>
    <row r="289" ht="13.85" spans="1:6">
      <c r="A289">
        <f t="shared" si="16"/>
        <v>288</v>
      </c>
      <c r="B289" s="10"/>
      <c r="C289" s="11">
        <v>25</v>
      </c>
      <c r="D289">
        <f t="shared" si="17"/>
        <v>25</v>
      </c>
      <c r="E289">
        <f t="shared" si="18"/>
        <v>25000000</v>
      </c>
      <c r="F289">
        <f t="shared" si="19"/>
        <v>12000000</v>
      </c>
    </row>
    <row r="290" ht="13.85" spans="1:6">
      <c r="A290">
        <f t="shared" si="16"/>
        <v>289</v>
      </c>
      <c r="B290" s="10"/>
      <c r="C290" s="11">
        <v>29</v>
      </c>
      <c r="D290">
        <f t="shared" si="17"/>
        <v>29</v>
      </c>
      <c r="E290">
        <f t="shared" si="18"/>
        <v>29000000</v>
      </c>
      <c r="F290">
        <f t="shared" si="19"/>
        <v>13920000</v>
      </c>
    </row>
    <row r="291" ht="13.85" spans="1:6">
      <c r="A291">
        <f t="shared" si="16"/>
        <v>290</v>
      </c>
      <c r="B291" s="10"/>
      <c r="C291" s="11">
        <v>10</v>
      </c>
      <c r="D291">
        <f t="shared" si="17"/>
        <v>10</v>
      </c>
      <c r="E291">
        <f t="shared" si="18"/>
        <v>10000000</v>
      </c>
      <c r="F291">
        <f t="shared" si="19"/>
        <v>4800000</v>
      </c>
    </row>
    <row r="292" ht="13.85" spans="1:6">
      <c r="A292">
        <f t="shared" si="16"/>
        <v>291</v>
      </c>
      <c r="B292" s="10"/>
      <c r="C292" s="11">
        <v>12</v>
      </c>
      <c r="D292">
        <f t="shared" si="17"/>
        <v>12</v>
      </c>
      <c r="E292">
        <f t="shared" si="18"/>
        <v>12000000</v>
      </c>
      <c r="F292">
        <f t="shared" si="19"/>
        <v>5760000</v>
      </c>
    </row>
    <row r="293" ht="13.85" spans="1:6">
      <c r="A293">
        <f t="shared" si="16"/>
        <v>292</v>
      </c>
      <c r="B293" s="10"/>
      <c r="C293" s="11">
        <v>14</v>
      </c>
      <c r="D293">
        <f t="shared" si="17"/>
        <v>14</v>
      </c>
      <c r="E293">
        <f t="shared" si="18"/>
        <v>14000000</v>
      </c>
      <c r="F293">
        <f t="shared" si="19"/>
        <v>6720000</v>
      </c>
    </row>
    <row r="294" ht="13.85" spans="1:6">
      <c r="A294">
        <f t="shared" si="16"/>
        <v>293</v>
      </c>
      <c r="B294" s="10"/>
      <c r="C294" s="11">
        <v>16</v>
      </c>
      <c r="D294">
        <f t="shared" si="17"/>
        <v>16</v>
      </c>
      <c r="E294">
        <f t="shared" si="18"/>
        <v>16000000</v>
      </c>
      <c r="F294">
        <f t="shared" si="19"/>
        <v>7680000</v>
      </c>
    </row>
    <row r="295" ht="13.85" spans="1:6">
      <c r="A295">
        <f t="shared" si="16"/>
        <v>294</v>
      </c>
      <c r="B295" s="10"/>
      <c r="C295" s="11">
        <v>18</v>
      </c>
      <c r="D295">
        <f t="shared" si="17"/>
        <v>18</v>
      </c>
      <c r="E295">
        <f t="shared" si="18"/>
        <v>18000000</v>
      </c>
      <c r="F295">
        <f t="shared" si="19"/>
        <v>8640000</v>
      </c>
    </row>
    <row r="296" ht="13.85" spans="1:6">
      <c r="A296">
        <f t="shared" si="16"/>
        <v>295</v>
      </c>
      <c r="B296" s="10"/>
      <c r="C296" s="11">
        <v>21</v>
      </c>
      <c r="D296">
        <f t="shared" si="17"/>
        <v>21</v>
      </c>
      <c r="E296">
        <f t="shared" si="18"/>
        <v>21000000</v>
      </c>
      <c r="F296">
        <f t="shared" si="19"/>
        <v>10080000</v>
      </c>
    </row>
    <row r="297" ht="13.85" spans="1:6">
      <c r="A297">
        <f t="shared" si="16"/>
        <v>296</v>
      </c>
      <c r="B297" s="10"/>
      <c r="C297" s="11">
        <v>24</v>
      </c>
      <c r="D297">
        <f t="shared" si="17"/>
        <v>24</v>
      </c>
      <c r="E297">
        <f t="shared" si="18"/>
        <v>24000000</v>
      </c>
      <c r="F297">
        <f t="shared" si="19"/>
        <v>11520000</v>
      </c>
    </row>
    <row r="298" ht="13.85" spans="1:6">
      <c r="A298">
        <f t="shared" si="16"/>
        <v>297</v>
      </c>
      <c r="B298" s="10"/>
      <c r="C298" s="11">
        <v>28</v>
      </c>
      <c r="D298">
        <f t="shared" si="17"/>
        <v>28</v>
      </c>
      <c r="E298">
        <f t="shared" si="18"/>
        <v>28000000</v>
      </c>
      <c r="F298">
        <f t="shared" si="19"/>
        <v>13440000</v>
      </c>
    </row>
    <row r="299" ht="13.85" spans="1:6">
      <c r="A299">
        <f t="shared" si="16"/>
        <v>298</v>
      </c>
      <c r="B299" s="10"/>
      <c r="C299" s="11">
        <v>32</v>
      </c>
      <c r="D299">
        <f t="shared" si="17"/>
        <v>32</v>
      </c>
      <c r="E299">
        <f t="shared" si="18"/>
        <v>32000000</v>
      </c>
      <c r="F299">
        <f t="shared" si="19"/>
        <v>15360000</v>
      </c>
    </row>
    <row r="300" ht="13.85" spans="1:6">
      <c r="A300">
        <f t="shared" si="16"/>
        <v>299</v>
      </c>
      <c r="B300" s="10"/>
      <c r="C300" s="11">
        <v>37</v>
      </c>
      <c r="D300">
        <f t="shared" si="17"/>
        <v>37</v>
      </c>
      <c r="E300">
        <f t="shared" si="18"/>
        <v>37000000</v>
      </c>
      <c r="F300">
        <f t="shared" si="19"/>
        <v>17760000</v>
      </c>
    </row>
    <row r="301" ht="13.85" spans="1:6">
      <c r="A301">
        <f t="shared" si="16"/>
        <v>300</v>
      </c>
      <c r="B301" s="10"/>
      <c r="C301" s="11">
        <v>42</v>
      </c>
      <c r="D301">
        <f t="shared" si="17"/>
        <v>42</v>
      </c>
      <c r="E301">
        <f t="shared" si="18"/>
        <v>42000000</v>
      </c>
      <c r="F301">
        <f t="shared" si="19"/>
        <v>20160000</v>
      </c>
    </row>
    <row r="302" ht="13.85" spans="1:6">
      <c r="A302">
        <f t="shared" si="16"/>
        <v>301</v>
      </c>
      <c r="B302" s="10"/>
      <c r="C302" s="11">
        <v>47</v>
      </c>
      <c r="D302">
        <f t="shared" si="17"/>
        <v>47</v>
      </c>
      <c r="E302">
        <f t="shared" si="18"/>
        <v>47000000</v>
      </c>
      <c r="F302">
        <f t="shared" si="19"/>
        <v>22560000</v>
      </c>
    </row>
    <row r="303" ht="13.85" spans="1:6">
      <c r="A303">
        <f t="shared" si="16"/>
        <v>302</v>
      </c>
      <c r="B303" s="10"/>
      <c r="C303" s="11">
        <v>54</v>
      </c>
      <c r="D303">
        <f t="shared" si="17"/>
        <v>54</v>
      </c>
      <c r="E303">
        <f t="shared" si="18"/>
        <v>54000000</v>
      </c>
      <c r="F303">
        <f t="shared" si="19"/>
        <v>25920000</v>
      </c>
    </row>
    <row r="304" ht="13.85" spans="1:6">
      <c r="A304">
        <f t="shared" si="16"/>
        <v>303</v>
      </c>
      <c r="B304" s="10"/>
      <c r="C304" s="11">
        <v>62</v>
      </c>
      <c r="D304">
        <f t="shared" si="17"/>
        <v>62</v>
      </c>
      <c r="E304">
        <f t="shared" si="18"/>
        <v>62000000</v>
      </c>
      <c r="F304">
        <f t="shared" si="19"/>
        <v>29760000</v>
      </c>
    </row>
    <row r="305" ht="13.85" spans="1:6">
      <c r="A305">
        <f t="shared" si="16"/>
        <v>304</v>
      </c>
      <c r="B305" s="10"/>
      <c r="C305" s="11">
        <v>70</v>
      </c>
      <c r="D305">
        <f t="shared" si="17"/>
        <v>70</v>
      </c>
      <c r="E305">
        <f t="shared" si="18"/>
        <v>70000000</v>
      </c>
      <c r="F305">
        <f t="shared" si="19"/>
        <v>33600000</v>
      </c>
    </row>
    <row r="306" ht="13.85" spans="1:6">
      <c r="A306">
        <f t="shared" si="16"/>
        <v>305</v>
      </c>
      <c r="B306" s="10"/>
      <c r="C306" s="11">
        <v>78</v>
      </c>
      <c r="D306">
        <f t="shared" si="17"/>
        <v>78</v>
      </c>
      <c r="E306">
        <f t="shared" si="18"/>
        <v>78000000</v>
      </c>
      <c r="F306">
        <f t="shared" si="19"/>
        <v>37440000</v>
      </c>
    </row>
    <row r="307" ht="13.85" spans="1:6">
      <c r="A307">
        <f t="shared" si="16"/>
        <v>306</v>
      </c>
      <c r="B307" s="10"/>
      <c r="C307" s="11">
        <v>92</v>
      </c>
      <c r="D307">
        <f t="shared" si="17"/>
        <v>92</v>
      </c>
      <c r="E307">
        <f t="shared" si="18"/>
        <v>92000000</v>
      </c>
      <c r="F307">
        <f t="shared" si="19"/>
        <v>44160000</v>
      </c>
    </row>
    <row r="308" ht="13.85" spans="1:6">
      <c r="A308">
        <f t="shared" si="16"/>
        <v>307</v>
      </c>
      <c r="B308" s="10"/>
      <c r="C308" s="11">
        <v>105</v>
      </c>
      <c r="D308">
        <f t="shared" si="17"/>
        <v>105</v>
      </c>
      <c r="E308">
        <f t="shared" si="18"/>
        <v>105000000</v>
      </c>
      <c r="F308">
        <f t="shared" si="19"/>
        <v>50400000</v>
      </c>
    </row>
    <row r="309" ht="13.85" spans="1:6">
      <c r="A309">
        <f t="shared" si="16"/>
        <v>308</v>
      </c>
      <c r="B309" s="10"/>
      <c r="C309" s="11">
        <v>130</v>
      </c>
      <c r="D309">
        <f t="shared" si="17"/>
        <v>130</v>
      </c>
      <c r="E309">
        <f t="shared" si="18"/>
        <v>130000000</v>
      </c>
      <c r="F309">
        <f t="shared" si="19"/>
        <v>62400000</v>
      </c>
    </row>
    <row r="310" ht="13.85" spans="1:6">
      <c r="A310">
        <f t="shared" si="16"/>
        <v>309</v>
      </c>
      <c r="B310" s="10"/>
      <c r="C310" s="11">
        <v>10</v>
      </c>
      <c r="D310">
        <f t="shared" si="17"/>
        <v>10</v>
      </c>
      <c r="E310">
        <f t="shared" si="18"/>
        <v>10000000</v>
      </c>
      <c r="F310">
        <f t="shared" si="19"/>
        <v>4800000</v>
      </c>
    </row>
    <row r="311" ht="13.85" spans="1:6">
      <c r="A311">
        <f t="shared" si="16"/>
        <v>310</v>
      </c>
      <c r="B311" s="10"/>
      <c r="C311" s="11">
        <v>12</v>
      </c>
      <c r="D311">
        <f t="shared" si="17"/>
        <v>12</v>
      </c>
      <c r="E311">
        <f t="shared" si="18"/>
        <v>12000000</v>
      </c>
      <c r="F311">
        <f t="shared" si="19"/>
        <v>5760000</v>
      </c>
    </row>
    <row r="312" ht="13.85" spans="1:6">
      <c r="A312">
        <f t="shared" si="16"/>
        <v>311</v>
      </c>
      <c r="B312" s="10"/>
      <c r="C312" s="11">
        <v>14</v>
      </c>
      <c r="D312">
        <f t="shared" si="17"/>
        <v>14</v>
      </c>
      <c r="E312">
        <f t="shared" si="18"/>
        <v>14000000</v>
      </c>
      <c r="F312">
        <f t="shared" si="19"/>
        <v>6720000</v>
      </c>
    </row>
    <row r="313" ht="13.85" spans="1:6">
      <c r="A313">
        <f t="shared" si="16"/>
        <v>312</v>
      </c>
      <c r="B313" s="10"/>
      <c r="C313" s="11">
        <v>16</v>
      </c>
      <c r="D313">
        <f t="shared" si="17"/>
        <v>16</v>
      </c>
      <c r="E313">
        <f t="shared" si="18"/>
        <v>16000000</v>
      </c>
      <c r="F313">
        <f t="shared" si="19"/>
        <v>7680000</v>
      </c>
    </row>
    <row r="314" ht="13.85" spans="1:6">
      <c r="A314">
        <f t="shared" si="16"/>
        <v>313</v>
      </c>
      <c r="B314" s="10"/>
      <c r="C314" s="11">
        <v>20</v>
      </c>
      <c r="D314">
        <f t="shared" si="17"/>
        <v>20</v>
      </c>
      <c r="E314">
        <f t="shared" si="18"/>
        <v>20000000</v>
      </c>
      <c r="F314">
        <f t="shared" si="19"/>
        <v>9600000</v>
      </c>
    </row>
    <row r="315" ht="13.85" spans="1:6">
      <c r="A315">
        <f t="shared" si="16"/>
        <v>314</v>
      </c>
      <c r="B315" s="10"/>
      <c r="C315" s="11">
        <v>24</v>
      </c>
      <c r="D315">
        <f t="shared" si="17"/>
        <v>24</v>
      </c>
      <c r="E315">
        <f t="shared" si="18"/>
        <v>24000000</v>
      </c>
      <c r="F315">
        <f t="shared" si="19"/>
        <v>11520000</v>
      </c>
    </row>
    <row r="316" ht="13.85" spans="1:6">
      <c r="A316">
        <f t="shared" si="16"/>
        <v>315</v>
      </c>
      <c r="B316" s="10"/>
      <c r="C316" s="11">
        <v>28</v>
      </c>
      <c r="D316">
        <f t="shared" si="17"/>
        <v>28</v>
      </c>
      <c r="E316">
        <f t="shared" si="18"/>
        <v>28000000</v>
      </c>
      <c r="F316">
        <f t="shared" si="19"/>
        <v>13440000</v>
      </c>
    </row>
    <row r="317" ht="13.85" spans="1:6">
      <c r="A317">
        <f t="shared" si="16"/>
        <v>316</v>
      </c>
      <c r="B317" s="10"/>
      <c r="C317" s="11">
        <v>33</v>
      </c>
      <c r="D317">
        <f t="shared" si="17"/>
        <v>33</v>
      </c>
      <c r="E317">
        <f t="shared" si="18"/>
        <v>33000000</v>
      </c>
      <c r="F317">
        <f t="shared" si="19"/>
        <v>15840000</v>
      </c>
    </row>
    <row r="318" ht="13.85" spans="1:6">
      <c r="A318">
        <f t="shared" si="16"/>
        <v>317</v>
      </c>
      <c r="B318" s="10"/>
      <c r="C318" s="11">
        <v>10</v>
      </c>
      <c r="D318">
        <f t="shared" si="17"/>
        <v>10</v>
      </c>
      <c r="E318">
        <f t="shared" si="18"/>
        <v>10000000</v>
      </c>
      <c r="F318">
        <f t="shared" si="19"/>
        <v>4800000</v>
      </c>
    </row>
    <row r="319" ht="13.85" spans="1:6">
      <c r="A319">
        <f t="shared" si="16"/>
        <v>318</v>
      </c>
      <c r="B319" s="10"/>
      <c r="C319" s="11">
        <v>12</v>
      </c>
      <c r="D319">
        <f t="shared" si="17"/>
        <v>12</v>
      </c>
      <c r="E319">
        <f t="shared" si="18"/>
        <v>12000000</v>
      </c>
      <c r="F319">
        <f t="shared" si="19"/>
        <v>5760000</v>
      </c>
    </row>
    <row r="320" ht="13.85" spans="1:6">
      <c r="A320">
        <f t="shared" si="16"/>
        <v>319</v>
      </c>
      <c r="B320" s="10"/>
      <c r="C320" s="11">
        <v>14</v>
      </c>
      <c r="D320">
        <f t="shared" si="17"/>
        <v>14</v>
      </c>
      <c r="E320">
        <f t="shared" si="18"/>
        <v>14000000</v>
      </c>
      <c r="F320">
        <f t="shared" si="19"/>
        <v>6720000</v>
      </c>
    </row>
    <row r="321" ht="13.85" spans="1:6">
      <c r="A321">
        <f t="shared" si="16"/>
        <v>320</v>
      </c>
      <c r="B321" s="10"/>
      <c r="C321" s="11">
        <v>16</v>
      </c>
      <c r="D321">
        <f t="shared" si="17"/>
        <v>16</v>
      </c>
      <c r="E321">
        <f t="shared" si="18"/>
        <v>16000000</v>
      </c>
      <c r="F321">
        <f t="shared" si="19"/>
        <v>7680000</v>
      </c>
    </row>
    <row r="322" ht="13.85" spans="1:6">
      <c r="A322">
        <f t="shared" ref="A322:A385" si="20">ROW()-1</f>
        <v>321</v>
      </c>
      <c r="B322" s="10"/>
      <c r="C322" s="11">
        <v>19</v>
      </c>
      <c r="D322">
        <f t="shared" ref="D322:D385" si="21">IF(RIGHT(C322,1)="B",VALUE(LEFT(C322,LEN(C322)-1))*1000,C322)</f>
        <v>19</v>
      </c>
      <c r="E322">
        <f t="shared" ref="E322:E385" si="22">D322*1000000</f>
        <v>19000000</v>
      </c>
      <c r="F322">
        <f t="shared" ref="F322:F385" si="23">E322*0.48</f>
        <v>9120000</v>
      </c>
    </row>
    <row r="323" ht="13.85" spans="1:6">
      <c r="A323">
        <f t="shared" si="20"/>
        <v>322</v>
      </c>
      <c r="B323" s="10"/>
      <c r="C323" s="11">
        <v>22</v>
      </c>
      <c r="D323">
        <f t="shared" si="21"/>
        <v>22</v>
      </c>
      <c r="E323">
        <f t="shared" si="22"/>
        <v>22000000</v>
      </c>
      <c r="F323">
        <f t="shared" si="23"/>
        <v>10560000</v>
      </c>
    </row>
    <row r="324" ht="13.85" spans="1:6">
      <c r="A324">
        <f t="shared" si="20"/>
        <v>323</v>
      </c>
      <c r="B324" s="10"/>
      <c r="C324" s="11">
        <v>26</v>
      </c>
      <c r="D324">
        <f t="shared" si="21"/>
        <v>26</v>
      </c>
      <c r="E324">
        <f t="shared" si="22"/>
        <v>26000000</v>
      </c>
      <c r="F324">
        <f t="shared" si="23"/>
        <v>12480000</v>
      </c>
    </row>
    <row r="325" ht="13.85" spans="1:6">
      <c r="A325">
        <f t="shared" si="20"/>
        <v>324</v>
      </c>
      <c r="B325" s="10"/>
      <c r="C325" s="11">
        <v>31</v>
      </c>
      <c r="D325">
        <f t="shared" si="21"/>
        <v>31</v>
      </c>
      <c r="E325">
        <f t="shared" si="22"/>
        <v>31000000</v>
      </c>
      <c r="F325">
        <f t="shared" si="23"/>
        <v>14880000</v>
      </c>
    </row>
    <row r="326" ht="13.85" spans="1:6">
      <c r="A326">
        <f t="shared" si="20"/>
        <v>325</v>
      </c>
      <c r="B326" s="10"/>
      <c r="C326" s="11">
        <v>37</v>
      </c>
      <c r="D326">
        <f t="shared" si="21"/>
        <v>37</v>
      </c>
      <c r="E326">
        <f t="shared" si="22"/>
        <v>37000000</v>
      </c>
      <c r="F326">
        <f t="shared" si="23"/>
        <v>17760000</v>
      </c>
    </row>
    <row r="327" ht="13.85" spans="1:6">
      <c r="A327">
        <f t="shared" si="20"/>
        <v>326</v>
      </c>
      <c r="B327" s="10"/>
      <c r="C327" s="11">
        <v>42</v>
      </c>
      <c r="D327">
        <f t="shared" si="21"/>
        <v>42</v>
      </c>
      <c r="E327">
        <f t="shared" si="22"/>
        <v>42000000</v>
      </c>
      <c r="F327">
        <f t="shared" si="23"/>
        <v>20160000</v>
      </c>
    </row>
    <row r="328" ht="13.85" spans="1:6">
      <c r="A328">
        <f t="shared" si="20"/>
        <v>327</v>
      </c>
      <c r="B328" s="10"/>
      <c r="C328" s="11">
        <v>47</v>
      </c>
      <c r="D328">
        <f t="shared" si="21"/>
        <v>47</v>
      </c>
      <c r="E328">
        <f t="shared" si="22"/>
        <v>47000000</v>
      </c>
      <c r="F328">
        <f t="shared" si="23"/>
        <v>22560000</v>
      </c>
    </row>
    <row r="329" ht="13.85" spans="1:6">
      <c r="A329">
        <f t="shared" si="20"/>
        <v>328</v>
      </c>
      <c r="B329" s="10"/>
      <c r="C329" s="11">
        <v>53</v>
      </c>
      <c r="D329">
        <f t="shared" si="21"/>
        <v>53</v>
      </c>
      <c r="E329">
        <f t="shared" si="22"/>
        <v>53000000</v>
      </c>
      <c r="F329">
        <f t="shared" si="23"/>
        <v>25440000</v>
      </c>
    </row>
    <row r="330" ht="13.85" spans="1:6">
      <c r="A330">
        <f t="shared" si="20"/>
        <v>329</v>
      </c>
      <c r="B330" s="10"/>
      <c r="C330" s="11">
        <v>61</v>
      </c>
      <c r="D330">
        <f t="shared" si="21"/>
        <v>61</v>
      </c>
      <c r="E330">
        <f t="shared" si="22"/>
        <v>61000000</v>
      </c>
      <c r="F330">
        <f t="shared" si="23"/>
        <v>29280000</v>
      </c>
    </row>
    <row r="331" ht="13.85" spans="1:6">
      <c r="A331">
        <f t="shared" si="20"/>
        <v>330</v>
      </c>
      <c r="B331" s="10"/>
      <c r="C331" s="11">
        <v>69</v>
      </c>
      <c r="D331">
        <f t="shared" si="21"/>
        <v>69</v>
      </c>
      <c r="E331">
        <f t="shared" si="22"/>
        <v>69000000</v>
      </c>
      <c r="F331">
        <f t="shared" si="23"/>
        <v>33120000</v>
      </c>
    </row>
    <row r="332" ht="13.85" spans="1:6">
      <c r="A332">
        <f t="shared" si="20"/>
        <v>331</v>
      </c>
      <c r="B332" s="10"/>
      <c r="C332" s="11">
        <v>80</v>
      </c>
      <c r="D332">
        <f t="shared" si="21"/>
        <v>80</v>
      </c>
      <c r="E332">
        <f t="shared" si="22"/>
        <v>80000000</v>
      </c>
      <c r="F332">
        <f t="shared" si="23"/>
        <v>38400000</v>
      </c>
    </row>
    <row r="333" ht="13.85" spans="1:6">
      <c r="A333">
        <f t="shared" si="20"/>
        <v>332</v>
      </c>
      <c r="B333" s="10"/>
      <c r="C333" s="11">
        <v>93</v>
      </c>
      <c r="D333">
        <f t="shared" si="21"/>
        <v>93</v>
      </c>
      <c r="E333">
        <f t="shared" si="22"/>
        <v>93000000</v>
      </c>
      <c r="F333">
        <f t="shared" si="23"/>
        <v>44640000</v>
      </c>
    </row>
    <row r="334" ht="13.85" spans="1:6">
      <c r="A334">
        <f t="shared" si="20"/>
        <v>333</v>
      </c>
      <c r="B334" s="10"/>
      <c r="C334" s="11">
        <v>10</v>
      </c>
      <c r="D334">
        <f t="shared" si="21"/>
        <v>10</v>
      </c>
      <c r="E334">
        <f t="shared" si="22"/>
        <v>10000000</v>
      </c>
      <c r="F334">
        <f t="shared" si="23"/>
        <v>4800000</v>
      </c>
    </row>
    <row r="335" ht="13.85" spans="1:6">
      <c r="A335">
        <f t="shared" si="20"/>
        <v>334</v>
      </c>
      <c r="B335" s="10"/>
      <c r="C335" s="11">
        <v>12</v>
      </c>
      <c r="D335">
        <f t="shared" si="21"/>
        <v>12</v>
      </c>
      <c r="E335">
        <f t="shared" si="22"/>
        <v>12000000</v>
      </c>
      <c r="F335">
        <f t="shared" si="23"/>
        <v>5760000</v>
      </c>
    </row>
    <row r="336" ht="13.85" spans="1:6">
      <c r="A336">
        <f t="shared" si="20"/>
        <v>335</v>
      </c>
      <c r="B336" s="10"/>
      <c r="C336" s="11">
        <v>14</v>
      </c>
      <c r="D336">
        <f t="shared" si="21"/>
        <v>14</v>
      </c>
      <c r="E336">
        <f t="shared" si="22"/>
        <v>14000000</v>
      </c>
      <c r="F336">
        <f t="shared" si="23"/>
        <v>6720000</v>
      </c>
    </row>
    <row r="337" ht="13.85" spans="1:6">
      <c r="A337">
        <f t="shared" si="20"/>
        <v>336</v>
      </c>
      <c r="B337" s="10"/>
      <c r="C337" s="11">
        <v>16</v>
      </c>
      <c r="D337">
        <f t="shared" si="21"/>
        <v>16</v>
      </c>
      <c r="E337">
        <f t="shared" si="22"/>
        <v>16000000</v>
      </c>
      <c r="F337">
        <f t="shared" si="23"/>
        <v>7680000</v>
      </c>
    </row>
    <row r="338" ht="13.85" spans="1:6">
      <c r="A338">
        <f t="shared" si="20"/>
        <v>337</v>
      </c>
      <c r="B338" s="10"/>
      <c r="C338" s="11">
        <v>21</v>
      </c>
      <c r="D338">
        <f t="shared" si="21"/>
        <v>21</v>
      </c>
      <c r="E338">
        <f t="shared" si="22"/>
        <v>21000000</v>
      </c>
      <c r="F338">
        <f t="shared" si="23"/>
        <v>10080000</v>
      </c>
    </row>
    <row r="339" ht="13.85" spans="1:6">
      <c r="A339">
        <f t="shared" si="20"/>
        <v>338</v>
      </c>
      <c r="B339" s="10"/>
      <c r="C339" s="11">
        <v>25</v>
      </c>
      <c r="D339">
        <f t="shared" si="21"/>
        <v>25</v>
      </c>
      <c r="E339">
        <f t="shared" si="22"/>
        <v>25000000</v>
      </c>
      <c r="F339">
        <f t="shared" si="23"/>
        <v>12000000</v>
      </c>
    </row>
    <row r="340" ht="13.85" spans="1:6">
      <c r="A340">
        <f t="shared" si="20"/>
        <v>339</v>
      </c>
      <c r="B340" s="10"/>
      <c r="C340" s="11">
        <v>30</v>
      </c>
      <c r="D340">
        <f t="shared" si="21"/>
        <v>30</v>
      </c>
      <c r="E340">
        <f t="shared" si="22"/>
        <v>30000000</v>
      </c>
      <c r="F340">
        <f t="shared" si="23"/>
        <v>14400000</v>
      </c>
    </row>
    <row r="341" ht="13.85" spans="1:6">
      <c r="A341">
        <f t="shared" si="20"/>
        <v>340</v>
      </c>
      <c r="B341" s="10"/>
      <c r="C341" s="11">
        <v>35</v>
      </c>
      <c r="D341">
        <f t="shared" si="21"/>
        <v>35</v>
      </c>
      <c r="E341">
        <f t="shared" si="22"/>
        <v>35000000</v>
      </c>
      <c r="F341">
        <f t="shared" si="23"/>
        <v>16800000</v>
      </c>
    </row>
    <row r="342" ht="13.85" spans="1:6">
      <c r="A342">
        <f t="shared" si="20"/>
        <v>341</v>
      </c>
      <c r="B342" s="10"/>
      <c r="C342" s="11">
        <v>40</v>
      </c>
      <c r="D342">
        <f t="shared" si="21"/>
        <v>40</v>
      </c>
      <c r="E342">
        <f t="shared" si="22"/>
        <v>40000000</v>
      </c>
      <c r="F342">
        <f t="shared" si="23"/>
        <v>19200000</v>
      </c>
    </row>
    <row r="343" ht="13.85" spans="1:6">
      <c r="A343">
        <f t="shared" si="20"/>
        <v>342</v>
      </c>
      <c r="B343" s="10"/>
      <c r="C343" s="11">
        <v>45</v>
      </c>
      <c r="D343">
        <f t="shared" si="21"/>
        <v>45</v>
      </c>
      <c r="E343">
        <f t="shared" si="22"/>
        <v>45000000</v>
      </c>
      <c r="F343">
        <f t="shared" si="23"/>
        <v>21600000</v>
      </c>
    </row>
    <row r="344" ht="13.85" spans="1:6">
      <c r="A344">
        <f t="shared" si="20"/>
        <v>343</v>
      </c>
      <c r="B344" s="10"/>
      <c r="C344" s="11">
        <v>52</v>
      </c>
      <c r="D344">
        <f t="shared" si="21"/>
        <v>52</v>
      </c>
      <c r="E344">
        <f t="shared" si="22"/>
        <v>52000000</v>
      </c>
      <c r="F344">
        <f t="shared" si="23"/>
        <v>24960000</v>
      </c>
    </row>
    <row r="345" ht="13.85" spans="1:6">
      <c r="A345">
        <f t="shared" si="20"/>
        <v>344</v>
      </c>
      <c r="B345" s="10"/>
      <c r="C345" s="11">
        <v>59</v>
      </c>
      <c r="D345">
        <f t="shared" si="21"/>
        <v>59</v>
      </c>
      <c r="E345">
        <f t="shared" si="22"/>
        <v>59000000</v>
      </c>
      <c r="F345">
        <f t="shared" si="23"/>
        <v>28320000</v>
      </c>
    </row>
    <row r="346" ht="13.85" spans="1:6">
      <c r="A346">
        <f t="shared" si="20"/>
        <v>345</v>
      </c>
      <c r="B346" s="10"/>
      <c r="C346" s="11">
        <v>66</v>
      </c>
      <c r="D346">
        <f t="shared" si="21"/>
        <v>66</v>
      </c>
      <c r="E346">
        <f t="shared" si="22"/>
        <v>66000000</v>
      </c>
      <c r="F346">
        <f t="shared" si="23"/>
        <v>31680000</v>
      </c>
    </row>
    <row r="347" ht="13.85" spans="1:6">
      <c r="A347">
        <f t="shared" si="20"/>
        <v>346</v>
      </c>
      <c r="B347" s="10"/>
      <c r="C347" s="11">
        <v>74</v>
      </c>
      <c r="D347">
        <f t="shared" si="21"/>
        <v>74</v>
      </c>
      <c r="E347">
        <f t="shared" si="22"/>
        <v>74000000</v>
      </c>
      <c r="F347">
        <f t="shared" si="23"/>
        <v>35520000</v>
      </c>
    </row>
    <row r="348" ht="13.85" spans="1:6">
      <c r="A348">
        <f t="shared" si="20"/>
        <v>347</v>
      </c>
      <c r="B348" s="10"/>
      <c r="C348" s="11">
        <v>84</v>
      </c>
      <c r="D348">
        <f t="shared" si="21"/>
        <v>84</v>
      </c>
      <c r="E348">
        <f t="shared" si="22"/>
        <v>84000000</v>
      </c>
      <c r="F348">
        <f t="shared" si="23"/>
        <v>40320000</v>
      </c>
    </row>
    <row r="349" ht="13.85" spans="1:6">
      <c r="A349">
        <f t="shared" si="20"/>
        <v>348</v>
      </c>
      <c r="B349" s="10"/>
      <c r="C349" s="11">
        <v>10</v>
      </c>
      <c r="D349">
        <f t="shared" si="21"/>
        <v>10</v>
      </c>
      <c r="E349">
        <f t="shared" si="22"/>
        <v>10000000</v>
      </c>
      <c r="F349">
        <f t="shared" si="23"/>
        <v>4800000</v>
      </c>
    </row>
    <row r="350" ht="13.85" spans="1:6">
      <c r="A350">
        <f t="shared" si="20"/>
        <v>349</v>
      </c>
      <c r="B350" s="10"/>
      <c r="C350" s="11">
        <v>12</v>
      </c>
      <c r="D350">
        <f t="shared" si="21"/>
        <v>12</v>
      </c>
      <c r="E350">
        <f t="shared" si="22"/>
        <v>12000000</v>
      </c>
      <c r="F350">
        <f t="shared" si="23"/>
        <v>5760000</v>
      </c>
    </row>
    <row r="351" ht="13.85" spans="1:6">
      <c r="A351">
        <f t="shared" si="20"/>
        <v>350</v>
      </c>
      <c r="B351" s="10"/>
      <c r="C351" s="11">
        <v>14</v>
      </c>
      <c r="D351">
        <f t="shared" si="21"/>
        <v>14</v>
      </c>
      <c r="E351">
        <f t="shared" si="22"/>
        <v>14000000</v>
      </c>
      <c r="F351">
        <f t="shared" si="23"/>
        <v>6720000</v>
      </c>
    </row>
    <row r="352" ht="13.85" spans="1:6">
      <c r="A352">
        <f t="shared" si="20"/>
        <v>351</v>
      </c>
      <c r="B352" s="10"/>
      <c r="C352" s="11">
        <v>16</v>
      </c>
      <c r="D352">
        <f t="shared" si="21"/>
        <v>16</v>
      </c>
      <c r="E352">
        <f t="shared" si="22"/>
        <v>16000000</v>
      </c>
      <c r="F352">
        <f t="shared" si="23"/>
        <v>7680000</v>
      </c>
    </row>
    <row r="353" ht="13.85" spans="1:6">
      <c r="A353">
        <f t="shared" si="20"/>
        <v>352</v>
      </c>
      <c r="B353" s="10"/>
      <c r="C353" s="11">
        <v>20</v>
      </c>
      <c r="D353">
        <f t="shared" si="21"/>
        <v>20</v>
      </c>
      <c r="E353">
        <f t="shared" si="22"/>
        <v>20000000</v>
      </c>
      <c r="F353">
        <f t="shared" si="23"/>
        <v>9600000</v>
      </c>
    </row>
    <row r="354" ht="13.85" spans="1:6">
      <c r="A354">
        <f t="shared" si="20"/>
        <v>353</v>
      </c>
      <c r="B354" s="10"/>
      <c r="C354" s="11">
        <v>24</v>
      </c>
      <c r="D354">
        <f t="shared" si="21"/>
        <v>24</v>
      </c>
      <c r="E354">
        <f t="shared" si="22"/>
        <v>24000000</v>
      </c>
      <c r="F354">
        <f t="shared" si="23"/>
        <v>11520000</v>
      </c>
    </row>
    <row r="355" ht="13.85" spans="1:6">
      <c r="A355">
        <f t="shared" si="20"/>
        <v>354</v>
      </c>
      <c r="B355" s="10"/>
      <c r="C355" s="11">
        <v>29</v>
      </c>
      <c r="D355">
        <f t="shared" si="21"/>
        <v>29</v>
      </c>
      <c r="E355">
        <f t="shared" si="22"/>
        <v>29000000</v>
      </c>
      <c r="F355">
        <f t="shared" si="23"/>
        <v>13920000</v>
      </c>
    </row>
    <row r="356" ht="13.85" spans="1:6">
      <c r="A356">
        <f t="shared" si="20"/>
        <v>355</v>
      </c>
      <c r="B356" s="10"/>
      <c r="C356" s="11">
        <v>34</v>
      </c>
      <c r="D356">
        <f t="shared" si="21"/>
        <v>34</v>
      </c>
      <c r="E356">
        <f t="shared" si="22"/>
        <v>34000000</v>
      </c>
      <c r="F356">
        <f t="shared" si="23"/>
        <v>16320000</v>
      </c>
    </row>
    <row r="357" ht="13.85" spans="1:6">
      <c r="A357">
        <f t="shared" si="20"/>
        <v>356</v>
      </c>
      <c r="B357" s="10"/>
      <c r="C357" s="11">
        <v>38</v>
      </c>
      <c r="D357">
        <f t="shared" si="21"/>
        <v>38</v>
      </c>
      <c r="E357">
        <f t="shared" si="22"/>
        <v>38000000</v>
      </c>
      <c r="F357">
        <f t="shared" si="23"/>
        <v>18240000</v>
      </c>
    </row>
    <row r="358" ht="13.85" spans="1:6">
      <c r="A358">
        <f t="shared" si="20"/>
        <v>357</v>
      </c>
      <c r="B358" s="10"/>
      <c r="C358" s="11">
        <v>44</v>
      </c>
      <c r="D358">
        <f t="shared" si="21"/>
        <v>44</v>
      </c>
      <c r="E358">
        <f t="shared" si="22"/>
        <v>44000000</v>
      </c>
      <c r="F358">
        <f t="shared" si="23"/>
        <v>21120000</v>
      </c>
    </row>
    <row r="359" ht="13.85" spans="1:6">
      <c r="A359">
        <f t="shared" si="20"/>
        <v>358</v>
      </c>
      <c r="B359" s="10"/>
      <c r="C359" s="11">
        <v>49</v>
      </c>
      <c r="D359">
        <f t="shared" si="21"/>
        <v>49</v>
      </c>
      <c r="E359">
        <f t="shared" si="22"/>
        <v>49000000</v>
      </c>
      <c r="F359">
        <f t="shared" si="23"/>
        <v>23520000</v>
      </c>
    </row>
    <row r="360" ht="13.85" spans="1:6">
      <c r="A360">
        <f t="shared" si="20"/>
        <v>359</v>
      </c>
      <c r="B360" s="10"/>
      <c r="C360" s="11">
        <v>56</v>
      </c>
      <c r="D360">
        <f t="shared" si="21"/>
        <v>56</v>
      </c>
      <c r="E360">
        <f t="shared" si="22"/>
        <v>56000000</v>
      </c>
      <c r="F360">
        <f t="shared" si="23"/>
        <v>26880000</v>
      </c>
    </row>
    <row r="361" ht="13.85" spans="1:6">
      <c r="A361">
        <f t="shared" si="20"/>
        <v>360</v>
      </c>
      <c r="B361" s="10"/>
      <c r="C361" s="11">
        <v>62</v>
      </c>
      <c r="D361">
        <f t="shared" si="21"/>
        <v>62</v>
      </c>
      <c r="E361">
        <f t="shared" si="22"/>
        <v>62000000</v>
      </c>
      <c r="F361">
        <f t="shared" si="23"/>
        <v>29760000</v>
      </c>
    </row>
    <row r="362" ht="13.85" spans="1:6">
      <c r="A362">
        <f t="shared" si="20"/>
        <v>361</v>
      </c>
      <c r="B362" s="10"/>
      <c r="C362" s="11">
        <v>10</v>
      </c>
      <c r="D362">
        <f t="shared" si="21"/>
        <v>10</v>
      </c>
      <c r="E362">
        <f t="shared" si="22"/>
        <v>10000000</v>
      </c>
      <c r="F362">
        <f t="shared" si="23"/>
        <v>4800000</v>
      </c>
    </row>
    <row r="363" ht="13.85" spans="1:6">
      <c r="A363">
        <f t="shared" si="20"/>
        <v>362</v>
      </c>
      <c r="B363" s="10"/>
      <c r="C363" s="11">
        <v>12</v>
      </c>
      <c r="D363">
        <f t="shared" si="21"/>
        <v>12</v>
      </c>
      <c r="E363">
        <f t="shared" si="22"/>
        <v>12000000</v>
      </c>
      <c r="F363">
        <f t="shared" si="23"/>
        <v>5760000</v>
      </c>
    </row>
    <row r="364" ht="13.85" spans="1:6">
      <c r="A364">
        <f t="shared" si="20"/>
        <v>363</v>
      </c>
      <c r="B364" s="10"/>
      <c r="C364" s="11">
        <v>14</v>
      </c>
      <c r="D364">
        <f t="shared" si="21"/>
        <v>14</v>
      </c>
      <c r="E364">
        <f t="shared" si="22"/>
        <v>14000000</v>
      </c>
      <c r="F364">
        <f t="shared" si="23"/>
        <v>6720000</v>
      </c>
    </row>
    <row r="365" ht="13.85" spans="1:6">
      <c r="A365">
        <f t="shared" si="20"/>
        <v>364</v>
      </c>
      <c r="B365" s="10"/>
      <c r="C365" s="11">
        <v>16</v>
      </c>
      <c r="D365">
        <f t="shared" si="21"/>
        <v>16</v>
      </c>
      <c r="E365">
        <f t="shared" si="22"/>
        <v>16000000</v>
      </c>
      <c r="F365">
        <f t="shared" si="23"/>
        <v>7680000</v>
      </c>
    </row>
    <row r="366" ht="13.85" spans="1:6">
      <c r="A366">
        <f t="shared" si="20"/>
        <v>365</v>
      </c>
      <c r="B366" s="10"/>
      <c r="C366" s="11">
        <v>20</v>
      </c>
      <c r="D366">
        <f t="shared" si="21"/>
        <v>20</v>
      </c>
      <c r="E366">
        <f t="shared" si="22"/>
        <v>20000000</v>
      </c>
      <c r="F366">
        <f t="shared" si="23"/>
        <v>9600000</v>
      </c>
    </row>
    <row r="367" ht="13.85" spans="1:6">
      <c r="A367">
        <f t="shared" si="20"/>
        <v>366</v>
      </c>
      <c r="B367" s="10"/>
      <c r="C367" s="11">
        <v>10</v>
      </c>
      <c r="D367">
        <f t="shared" si="21"/>
        <v>10</v>
      </c>
      <c r="E367">
        <f t="shared" si="22"/>
        <v>10000000</v>
      </c>
      <c r="F367">
        <f t="shared" si="23"/>
        <v>4800000</v>
      </c>
    </row>
    <row r="368" ht="13.85" spans="1:6">
      <c r="A368">
        <f t="shared" si="20"/>
        <v>367</v>
      </c>
      <c r="B368" s="10"/>
      <c r="C368" s="11">
        <v>12</v>
      </c>
      <c r="D368">
        <f t="shared" si="21"/>
        <v>12</v>
      </c>
      <c r="E368">
        <f t="shared" si="22"/>
        <v>12000000</v>
      </c>
      <c r="F368">
        <f t="shared" si="23"/>
        <v>5760000</v>
      </c>
    </row>
    <row r="369" ht="13.85" spans="1:6">
      <c r="A369">
        <f t="shared" si="20"/>
        <v>368</v>
      </c>
      <c r="B369" s="10"/>
      <c r="C369" s="11">
        <v>14</v>
      </c>
      <c r="D369">
        <f t="shared" si="21"/>
        <v>14</v>
      </c>
      <c r="E369">
        <f t="shared" si="22"/>
        <v>14000000</v>
      </c>
      <c r="F369">
        <f t="shared" si="23"/>
        <v>6720000</v>
      </c>
    </row>
    <row r="370" ht="13.85" spans="1:6">
      <c r="A370">
        <f t="shared" si="20"/>
        <v>369</v>
      </c>
      <c r="B370" s="10"/>
      <c r="C370" s="11">
        <v>16</v>
      </c>
      <c r="D370">
        <f t="shared" si="21"/>
        <v>16</v>
      </c>
      <c r="E370">
        <f t="shared" si="22"/>
        <v>16000000</v>
      </c>
      <c r="F370">
        <f t="shared" si="23"/>
        <v>7680000</v>
      </c>
    </row>
    <row r="371" ht="13.85" spans="1:6">
      <c r="A371">
        <f t="shared" si="20"/>
        <v>370</v>
      </c>
      <c r="B371" s="10"/>
      <c r="C371" s="11">
        <v>18</v>
      </c>
      <c r="D371">
        <f t="shared" si="21"/>
        <v>18</v>
      </c>
      <c r="E371">
        <f t="shared" si="22"/>
        <v>18000000</v>
      </c>
      <c r="F371">
        <f t="shared" si="23"/>
        <v>8640000</v>
      </c>
    </row>
    <row r="372" ht="13.85" spans="1:6">
      <c r="A372">
        <f t="shared" si="20"/>
        <v>371</v>
      </c>
      <c r="B372" s="10"/>
      <c r="C372" s="11">
        <v>23</v>
      </c>
      <c r="D372">
        <f t="shared" si="21"/>
        <v>23</v>
      </c>
      <c r="E372">
        <f t="shared" si="22"/>
        <v>23000000</v>
      </c>
      <c r="F372">
        <f t="shared" si="23"/>
        <v>11040000</v>
      </c>
    </row>
    <row r="373" ht="13.85" spans="1:6">
      <c r="A373">
        <f t="shared" si="20"/>
        <v>372</v>
      </c>
      <c r="B373" s="10"/>
      <c r="C373" s="11">
        <v>27</v>
      </c>
      <c r="D373">
        <f t="shared" si="21"/>
        <v>27</v>
      </c>
      <c r="E373">
        <f t="shared" si="22"/>
        <v>27000000</v>
      </c>
      <c r="F373">
        <f t="shared" si="23"/>
        <v>12960000</v>
      </c>
    </row>
    <row r="374" ht="13.85" spans="1:6">
      <c r="A374">
        <f t="shared" si="20"/>
        <v>373</v>
      </c>
      <c r="B374" s="10"/>
      <c r="C374" s="11">
        <v>31</v>
      </c>
      <c r="D374">
        <f t="shared" si="21"/>
        <v>31</v>
      </c>
      <c r="E374">
        <f t="shared" si="22"/>
        <v>31000000</v>
      </c>
      <c r="F374">
        <f t="shared" si="23"/>
        <v>14880000</v>
      </c>
    </row>
    <row r="375" ht="13.85" spans="1:6">
      <c r="A375">
        <f t="shared" si="20"/>
        <v>374</v>
      </c>
      <c r="B375" s="10"/>
      <c r="C375" s="11">
        <v>36</v>
      </c>
      <c r="D375">
        <f t="shared" si="21"/>
        <v>36</v>
      </c>
      <c r="E375">
        <f t="shared" si="22"/>
        <v>36000000</v>
      </c>
      <c r="F375">
        <f t="shared" si="23"/>
        <v>17280000</v>
      </c>
    </row>
    <row r="376" ht="13.85" spans="1:6">
      <c r="A376">
        <f t="shared" si="20"/>
        <v>375</v>
      </c>
      <c r="B376" s="10"/>
      <c r="C376" s="11">
        <v>41</v>
      </c>
      <c r="D376">
        <f t="shared" si="21"/>
        <v>41</v>
      </c>
      <c r="E376">
        <f t="shared" si="22"/>
        <v>41000000</v>
      </c>
      <c r="F376">
        <f t="shared" si="23"/>
        <v>19680000</v>
      </c>
    </row>
    <row r="377" ht="13.85" spans="1:6">
      <c r="A377">
        <f t="shared" si="20"/>
        <v>376</v>
      </c>
      <c r="B377" s="10"/>
      <c r="C377" s="11">
        <v>46</v>
      </c>
      <c r="D377">
        <f t="shared" si="21"/>
        <v>46</v>
      </c>
      <c r="E377">
        <f t="shared" si="22"/>
        <v>46000000</v>
      </c>
      <c r="F377">
        <f t="shared" si="23"/>
        <v>22080000</v>
      </c>
    </row>
    <row r="378" ht="13.85" spans="1:6">
      <c r="A378">
        <f t="shared" si="20"/>
        <v>377</v>
      </c>
      <c r="B378" s="10"/>
      <c r="C378" s="11">
        <v>52</v>
      </c>
      <c r="D378">
        <f t="shared" si="21"/>
        <v>52</v>
      </c>
      <c r="E378">
        <f t="shared" si="22"/>
        <v>52000000</v>
      </c>
      <c r="F378">
        <f t="shared" si="23"/>
        <v>24960000</v>
      </c>
    </row>
    <row r="379" ht="13.85" spans="1:6">
      <c r="A379">
        <f t="shared" si="20"/>
        <v>378</v>
      </c>
      <c r="B379" s="12"/>
      <c r="C379" s="13">
        <v>59</v>
      </c>
      <c r="D379">
        <f t="shared" si="21"/>
        <v>59</v>
      </c>
      <c r="E379">
        <f t="shared" si="22"/>
        <v>59000000</v>
      </c>
      <c r="F379">
        <f t="shared" si="23"/>
        <v>28320000</v>
      </c>
    </row>
    <row r="380" ht="13.85" spans="1:6">
      <c r="A380">
        <f t="shared" si="20"/>
        <v>379</v>
      </c>
      <c r="B380" s="10"/>
      <c r="C380" s="11">
        <v>67</v>
      </c>
      <c r="D380">
        <f t="shared" si="21"/>
        <v>67</v>
      </c>
      <c r="E380">
        <f t="shared" si="22"/>
        <v>67000000</v>
      </c>
      <c r="F380">
        <f t="shared" si="23"/>
        <v>32160000</v>
      </c>
    </row>
    <row r="381" ht="13.85" spans="1:6">
      <c r="A381">
        <f t="shared" si="20"/>
        <v>380</v>
      </c>
      <c r="B381" s="10"/>
      <c r="C381" s="11">
        <v>75</v>
      </c>
      <c r="D381">
        <f t="shared" si="21"/>
        <v>75</v>
      </c>
      <c r="E381">
        <f t="shared" si="22"/>
        <v>75000000</v>
      </c>
      <c r="F381">
        <f t="shared" si="23"/>
        <v>36000000</v>
      </c>
    </row>
    <row r="382" ht="13.85" spans="1:6">
      <c r="A382">
        <f t="shared" si="20"/>
        <v>381</v>
      </c>
      <c r="B382" s="10"/>
      <c r="C382" s="11">
        <v>86</v>
      </c>
      <c r="D382">
        <f t="shared" si="21"/>
        <v>86</v>
      </c>
      <c r="E382">
        <f t="shared" si="22"/>
        <v>86000000</v>
      </c>
      <c r="F382">
        <f t="shared" si="23"/>
        <v>41280000</v>
      </c>
    </row>
    <row r="383" ht="13.85" spans="1:6">
      <c r="A383">
        <f t="shared" si="20"/>
        <v>382</v>
      </c>
      <c r="B383" s="10"/>
      <c r="C383" s="11">
        <v>100</v>
      </c>
      <c r="D383">
        <f t="shared" si="21"/>
        <v>100</v>
      </c>
      <c r="E383">
        <f t="shared" si="22"/>
        <v>100000000</v>
      </c>
      <c r="F383">
        <f t="shared" si="23"/>
        <v>48000000</v>
      </c>
    </row>
    <row r="384" ht="13.85" spans="1:6">
      <c r="A384">
        <f t="shared" si="20"/>
        <v>383</v>
      </c>
      <c r="B384" s="10"/>
      <c r="C384" s="11">
        <v>128</v>
      </c>
      <c r="D384">
        <f t="shared" si="21"/>
        <v>128</v>
      </c>
      <c r="E384">
        <f t="shared" si="22"/>
        <v>128000000</v>
      </c>
      <c r="F384">
        <f t="shared" si="23"/>
        <v>61440000</v>
      </c>
    </row>
    <row r="385" ht="13.85" spans="1:6">
      <c r="A385">
        <f t="shared" si="20"/>
        <v>384</v>
      </c>
      <c r="B385" s="10"/>
      <c r="C385" s="11">
        <v>200</v>
      </c>
      <c r="D385">
        <f t="shared" si="21"/>
        <v>200</v>
      </c>
      <c r="E385">
        <f t="shared" si="22"/>
        <v>200000000</v>
      </c>
      <c r="F385">
        <f t="shared" si="23"/>
        <v>96000000</v>
      </c>
    </row>
    <row r="386" ht="13.85" spans="1:6">
      <c r="A386">
        <f t="shared" ref="A386:A449" si="24">ROW()-1</f>
        <v>385</v>
      </c>
      <c r="B386" s="10"/>
      <c r="C386" s="11">
        <v>280</v>
      </c>
      <c r="D386">
        <f t="shared" ref="D386:D449" si="25">IF(RIGHT(C386,1)="B",VALUE(LEFT(C386,LEN(C386)-1))*1000,C386)</f>
        <v>280</v>
      </c>
      <c r="E386">
        <f t="shared" ref="E386:E449" si="26">D386*1000000</f>
        <v>280000000</v>
      </c>
      <c r="F386">
        <f t="shared" ref="F386:F449" si="27">E386*0.48</f>
        <v>134400000</v>
      </c>
    </row>
    <row r="387" ht="13.85" spans="1:6">
      <c r="A387">
        <f t="shared" si="24"/>
        <v>386</v>
      </c>
      <c r="B387" s="10"/>
      <c r="C387" s="11">
        <v>10</v>
      </c>
      <c r="D387">
        <f t="shared" si="25"/>
        <v>10</v>
      </c>
      <c r="E387">
        <f t="shared" si="26"/>
        <v>10000000</v>
      </c>
      <c r="F387">
        <f t="shared" si="27"/>
        <v>4800000</v>
      </c>
    </row>
    <row r="388" ht="13.85" spans="1:6">
      <c r="A388">
        <f t="shared" si="24"/>
        <v>387</v>
      </c>
      <c r="B388" s="10"/>
      <c r="C388" s="11">
        <v>12</v>
      </c>
      <c r="D388">
        <f t="shared" si="25"/>
        <v>12</v>
      </c>
      <c r="E388">
        <f t="shared" si="26"/>
        <v>12000000</v>
      </c>
      <c r="F388">
        <f t="shared" si="27"/>
        <v>5760000</v>
      </c>
    </row>
    <row r="389" ht="13.85" spans="1:6">
      <c r="A389">
        <f t="shared" si="24"/>
        <v>388</v>
      </c>
      <c r="B389" s="10"/>
      <c r="C389" s="11">
        <v>16</v>
      </c>
      <c r="D389">
        <f t="shared" si="25"/>
        <v>16</v>
      </c>
      <c r="E389">
        <f t="shared" si="26"/>
        <v>16000000</v>
      </c>
      <c r="F389">
        <f t="shared" si="27"/>
        <v>7680000</v>
      </c>
    </row>
    <row r="390" ht="13.85" spans="1:6">
      <c r="A390">
        <f t="shared" si="24"/>
        <v>389</v>
      </c>
      <c r="B390" s="10"/>
      <c r="C390" s="11">
        <v>22</v>
      </c>
      <c r="D390">
        <f t="shared" si="25"/>
        <v>22</v>
      </c>
      <c r="E390">
        <f t="shared" si="26"/>
        <v>22000000</v>
      </c>
      <c r="F390">
        <f t="shared" si="27"/>
        <v>10560000</v>
      </c>
    </row>
    <row r="391" ht="13.85" spans="1:6">
      <c r="A391">
        <f t="shared" si="24"/>
        <v>390</v>
      </c>
      <c r="B391" s="10"/>
      <c r="C391" s="11">
        <v>27</v>
      </c>
      <c r="D391">
        <f t="shared" si="25"/>
        <v>27</v>
      </c>
      <c r="E391">
        <f t="shared" si="26"/>
        <v>27000000</v>
      </c>
      <c r="F391">
        <f t="shared" si="27"/>
        <v>12960000</v>
      </c>
    </row>
    <row r="392" ht="13.85" spans="1:6">
      <c r="A392">
        <f t="shared" si="24"/>
        <v>391</v>
      </c>
      <c r="B392" s="10"/>
      <c r="C392" s="11">
        <v>31</v>
      </c>
      <c r="D392">
        <f t="shared" si="25"/>
        <v>31</v>
      </c>
      <c r="E392">
        <f t="shared" si="26"/>
        <v>31000000</v>
      </c>
      <c r="F392">
        <f t="shared" si="27"/>
        <v>14880000</v>
      </c>
    </row>
    <row r="393" ht="13.85" spans="1:6">
      <c r="A393">
        <f t="shared" si="24"/>
        <v>392</v>
      </c>
      <c r="B393" s="10"/>
      <c r="C393" s="11">
        <v>36</v>
      </c>
      <c r="D393">
        <f t="shared" si="25"/>
        <v>36</v>
      </c>
      <c r="E393">
        <f t="shared" si="26"/>
        <v>36000000</v>
      </c>
      <c r="F393">
        <f t="shared" si="27"/>
        <v>17280000</v>
      </c>
    </row>
    <row r="394" ht="13.85" spans="1:6">
      <c r="A394">
        <f t="shared" si="24"/>
        <v>393</v>
      </c>
      <c r="B394" s="10"/>
      <c r="C394" s="11">
        <v>43</v>
      </c>
      <c r="D394">
        <f t="shared" si="25"/>
        <v>43</v>
      </c>
      <c r="E394">
        <f t="shared" si="26"/>
        <v>43000000</v>
      </c>
      <c r="F394">
        <f t="shared" si="27"/>
        <v>20640000</v>
      </c>
    </row>
    <row r="395" ht="13.85" spans="1:6">
      <c r="A395">
        <f t="shared" si="24"/>
        <v>394</v>
      </c>
      <c r="B395" s="10"/>
      <c r="C395" s="11">
        <v>48</v>
      </c>
      <c r="D395">
        <f t="shared" si="25"/>
        <v>48</v>
      </c>
      <c r="E395">
        <f t="shared" si="26"/>
        <v>48000000</v>
      </c>
      <c r="F395">
        <f t="shared" si="27"/>
        <v>23040000</v>
      </c>
    </row>
    <row r="396" ht="13.85" spans="1:6">
      <c r="A396">
        <f t="shared" si="24"/>
        <v>395</v>
      </c>
      <c r="B396" s="10"/>
      <c r="C396" s="11">
        <v>10</v>
      </c>
      <c r="D396">
        <f t="shared" si="25"/>
        <v>10</v>
      </c>
      <c r="E396">
        <f t="shared" si="26"/>
        <v>10000000</v>
      </c>
      <c r="F396">
        <f t="shared" si="27"/>
        <v>4800000</v>
      </c>
    </row>
    <row r="397" ht="13.85" spans="1:6">
      <c r="A397">
        <f t="shared" si="24"/>
        <v>396</v>
      </c>
      <c r="B397" s="10"/>
      <c r="C397" s="11">
        <v>12</v>
      </c>
      <c r="D397">
        <f t="shared" si="25"/>
        <v>12</v>
      </c>
      <c r="E397">
        <f t="shared" si="26"/>
        <v>12000000</v>
      </c>
      <c r="F397">
        <f t="shared" si="27"/>
        <v>5760000</v>
      </c>
    </row>
    <row r="398" ht="13.85" spans="1:6">
      <c r="A398">
        <f t="shared" si="24"/>
        <v>397</v>
      </c>
      <c r="B398" s="10"/>
      <c r="C398" s="11">
        <v>14</v>
      </c>
      <c r="D398">
        <f t="shared" si="25"/>
        <v>14</v>
      </c>
      <c r="E398">
        <f t="shared" si="26"/>
        <v>14000000</v>
      </c>
      <c r="F398">
        <f t="shared" si="27"/>
        <v>6720000</v>
      </c>
    </row>
    <row r="399" ht="13.85" spans="1:6">
      <c r="A399">
        <f t="shared" si="24"/>
        <v>398</v>
      </c>
      <c r="B399" s="10"/>
      <c r="C399" s="11">
        <v>16</v>
      </c>
      <c r="D399">
        <f t="shared" si="25"/>
        <v>16</v>
      </c>
      <c r="E399">
        <f t="shared" si="26"/>
        <v>16000000</v>
      </c>
      <c r="F399">
        <f t="shared" si="27"/>
        <v>7680000</v>
      </c>
    </row>
    <row r="400" ht="13.85" spans="1:6">
      <c r="A400">
        <f t="shared" si="24"/>
        <v>399</v>
      </c>
      <c r="B400" s="10"/>
      <c r="C400" s="11">
        <v>21</v>
      </c>
      <c r="D400">
        <f t="shared" si="25"/>
        <v>21</v>
      </c>
      <c r="E400">
        <f t="shared" si="26"/>
        <v>21000000</v>
      </c>
      <c r="F400">
        <f t="shared" si="27"/>
        <v>10080000</v>
      </c>
    </row>
    <row r="401" ht="13.85" spans="1:6">
      <c r="A401">
        <f t="shared" si="24"/>
        <v>400</v>
      </c>
      <c r="B401" s="10"/>
      <c r="C401" s="11">
        <v>25</v>
      </c>
      <c r="D401">
        <f t="shared" si="25"/>
        <v>25</v>
      </c>
      <c r="E401">
        <f t="shared" si="26"/>
        <v>25000000</v>
      </c>
      <c r="F401">
        <f t="shared" si="27"/>
        <v>12000000</v>
      </c>
    </row>
    <row r="402" ht="13.85" spans="1:6">
      <c r="A402">
        <f t="shared" si="24"/>
        <v>401</v>
      </c>
      <c r="B402" s="10"/>
      <c r="C402" s="11">
        <v>30</v>
      </c>
      <c r="D402">
        <f t="shared" si="25"/>
        <v>30</v>
      </c>
      <c r="E402">
        <f t="shared" si="26"/>
        <v>30000000</v>
      </c>
      <c r="F402">
        <f t="shared" si="27"/>
        <v>14400000</v>
      </c>
    </row>
    <row r="403" ht="13.85" spans="1:6">
      <c r="A403">
        <f t="shared" si="24"/>
        <v>402</v>
      </c>
      <c r="B403" s="10"/>
      <c r="C403" s="11">
        <v>35</v>
      </c>
      <c r="D403">
        <f t="shared" si="25"/>
        <v>35</v>
      </c>
      <c r="E403">
        <f t="shared" si="26"/>
        <v>35000000</v>
      </c>
      <c r="F403">
        <f t="shared" si="27"/>
        <v>16800000</v>
      </c>
    </row>
    <row r="404" ht="13.85" spans="1:6">
      <c r="A404">
        <f t="shared" si="24"/>
        <v>403</v>
      </c>
      <c r="B404" s="10"/>
      <c r="C404" s="11">
        <v>40</v>
      </c>
      <c r="D404">
        <f t="shared" si="25"/>
        <v>40</v>
      </c>
      <c r="E404">
        <f t="shared" si="26"/>
        <v>40000000</v>
      </c>
      <c r="F404">
        <f t="shared" si="27"/>
        <v>19200000</v>
      </c>
    </row>
    <row r="405" ht="13.85" spans="1:6">
      <c r="A405">
        <f t="shared" si="24"/>
        <v>404</v>
      </c>
      <c r="B405" s="10"/>
      <c r="C405" s="11">
        <v>45</v>
      </c>
      <c r="D405">
        <f t="shared" si="25"/>
        <v>45</v>
      </c>
      <c r="E405">
        <f t="shared" si="26"/>
        <v>45000000</v>
      </c>
      <c r="F405">
        <f t="shared" si="27"/>
        <v>21600000</v>
      </c>
    </row>
    <row r="406" ht="13.85" spans="1:6">
      <c r="A406">
        <f t="shared" si="24"/>
        <v>405</v>
      </c>
      <c r="B406" s="10"/>
      <c r="C406" s="11">
        <v>50</v>
      </c>
      <c r="D406">
        <f t="shared" si="25"/>
        <v>50</v>
      </c>
      <c r="E406">
        <f t="shared" si="26"/>
        <v>50000000</v>
      </c>
      <c r="F406">
        <f t="shared" si="27"/>
        <v>24000000</v>
      </c>
    </row>
    <row r="407" ht="13.85" spans="1:6">
      <c r="A407">
        <f t="shared" si="24"/>
        <v>406</v>
      </c>
      <c r="B407" s="10"/>
      <c r="C407" s="11">
        <v>55</v>
      </c>
      <c r="D407">
        <f t="shared" si="25"/>
        <v>55</v>
      </c>
      <c r="E407">
        <f t="shared" si="26"/>
        <v>55000000</v>
      </c>
      <c r="F407">
        <f t="shared" si="27"/>
        <v>26400000</v>
      </c>
    </row>
    <row r="408" ht="13.85" spans="1:6">
      <c r="A408">
        <f t="shared" si="24"/>
        <v>407</v>
      </c>
      <c r="B408" s="10"/>
      <c r="C408" s="11">
        <v>10</v>
      </c>
      <c r="D408">
        <f t="shared" si="25"/>
        <v>10</v>
      </c>
      <c r="E408">
        <f t="shared" si="26"/>
        <v>10000000</v>
      </c>
      <c r="F408">
        <f t="shared" si="27"/>
        <v>4800000</v>
      </c>
    </row>
    <row r="409" ht="13.85" spans="1:6">
      <c r="A409">
        <f t="shared" si="24"/>
        <v>408</v>
      </c>
      <c r="B409" s="10"/>
      <c r="C409" s="11">
        <v>12</v>
      </c>
      <c r="D409">
        <f t="shared" si="25"/>
        <v>12</v>
      </c>
      <c r="E409">
        <f t="shared" si="26"/>
        <v>12000000</v>
      </c>
      <c r="F409">
        <f t="shared" si="27"/>
        <v>5760000</v>
      </c>
    </row>
    <row r="410" ht="13.85" spans="1:6">
      <c r="A410">
        <f t="shared" si="24"/>
        <v>409</v>
      </c>
      <c r="B410" s="10"/>
      <c r="C410" s="11">
        <v>14</v>
      </c>
      <c r="D410">
        <f t="shared" si="25"/>
        <v>14</v>
      </c>
      <c r="E410">
        <f t="shared" si="26"/>
        <v>14000000</v>
      </c>
      <c r="F410">
        <f t="shared" si="27"/>
        <v>6720000</v>
      </c>
    </row>
    <row r="411" ht="13.85" spans="1:6">
      <c r="A411">
        <f t="shared" si="24"/>
        <v>410</v>
      </c>
      <c r="B411" s="10"/>
      <c r="C411" s="11">
        <v>16</v>
      </c>
      <c r="D411">
        <f t="shared" si="25"/>
        <v>16</v>
      </c>
      <c r="E411">
        <f t="shared" si="26"/>
        <v>16000000</v>
      </c>
      <c r="F411">
        <f t="shared" si="27"/>
        <v>7680000</v>
      </c>
    </row>
    <row r="412" ht="13.85" spans="1:6">
      <c r="A412">
        <f t="shared" si="24"/>
        <v>411</v>
      </c>
      <c r="B412" s="10"/>
      <c r="C412" s="11">
        <v>20</v>
      </c>
      <c r="D412">
        <f t="shared" si="25"/>
        <v>20</v>
      </c>
      <c r="E412">
        <f t="shared" si="26"/>
        <v>20000000</v>
      </c>
      <c r="F412">
        <f t="shared" si="27"/>
        <v>9600000</v>
      </c>
    </row>
    <row r="413" ht="13.85" spans="1:6">
      <c r="A413">
        <f t="shared" si="24"/>
        <v>412</v>
      </c>
      <c r="B413" s="10"/>
      <c r="C413" s="11">
        <v>24</v>
      </c>
      <c r="D413">
        <f t="shared" si="25"/>
        <v>24</v>
      </c>
      <c r="E413">
        <f t="shared" si="26"/>
        <v>24000000</v>
      </c>
      <c r="F413">
        <f t="shared" si="27"/>
        <v>11520000</v>
      </c>
    </row>
    <row r="414" ht="13.85" spans="1:6">
      <c r="A414">
        <f t="shared" si="24"/>
        <v>413</v>
      </c>
      <c r="B414" s="10"/>
      <c r="C414" s="11">
        <v>29</v>
      </c>
      <c r="D414">
        <f t="shared" si="25"/>
        <v>29</v>
      </c>
      <c r="E414">
        <f t="shared" si="26"/>
        <v>29000000</v>
      </c>
      <c r="F414">
        <f t="shared" si="27"/>
        <v>13920000</v>
      </c>
    </row>
    <row r="415" ht="13.85" spans="1:6">
      <c r="A415">
        <f t="shared" si="24"/>
        <v>414</v>
      </c>
      <c r="B415" s="10"/>
      <c r="C415" s="11">
        <v>10</v>
      </c>
      <c r="D415">
        <f t="shared" si="25"/>
        <v>10</v>
      </c>
      <c r="E415">
        <f t="shared" si="26"/>
        <v>10000000</v>
      </c>
      <c r="F415">
        <f t="shared" si="27"/>
        <v>4800000</v>
      </c>
    </row>
    <row r="416" ht="13.85" spans="1:6">
      <c r="A416">
        <f t="shared" si="24"/>
        <v>415</v>
      </c>
      <c r="B416" s="10"/>
      <c r="C416" s="11">
        <v>12</v>
      </c>
      <c r="D416">
        <f t="shared" si="25"/>
        <v>12</v>
      </c>
      <c r="E416">
        <f t="shared" si="26"/>
        <v>12000000</v>
      </c>
      <c r="F416">
        <f t="shared" si="27"/>
        <v>5760000</v>
      </c>
    </row>
    <row r="417" ht="13.85" spans="1:6">
      <c r="A417">
        <f t="shared" si="24"/>
        <v>416</v>
      </c>
      <c r="B417" s="10"/>
      <c r="C417" s="11">
        <v>14</v>
      </c>
      <c r="D417">
        <f t="shared" si="25"/>
        <v>14</v>
      </c>
      <c r="E417">
        <f t="shared" si="26"/>
        <v>14000000</v>
      </c>
      <c r="F417">
        <f t="shared" si="27"/>
        <v>6720000</v>
      </c>
    </row>
    <row r="418" ht="13.85" spans="1:6">
      <c r="A418">
        <f t="shared" si="24"/>
        <v>417</v>
      </c>
      <c r="B418" s="10"/>
      <c r="C418" s="11">
        <v>16</v>
      </c>
      <c r="D418">
        <f t="shared" si="25"/>
        <v>16</v>
      </c>
      <c r="E418">
        <f t="shared" si="26"/>
        <v>16000000</v>
      </c>
      <c r="F418">
        <f t="shared" si="27"/>
        <v>7680000</v>
      </c>
    </row>
    <row r="419" ht="13.85" spans="1:6">
      <c r="A419">
        <f t="shared" si="24"/>
        <v>418</v>
      </c>
      <c r="B419" s="10"/>
      <c r="C419" s="11">
        <v>20</v>
      </c>
      <c r="D419">
        <f t="shared" si="25"/>
        <v>20</v>
      </c>
      <c r="E419">
        <f t="shared" si="26"/>
        <v>20000000</v>
      </c>
      <c r="F419">
        <f t="shared" si="27"/>
        <v>9600000</v>
      </c>
    </row>
    <row r="420" ht="13.85" spans="1:6">
      <c r="A420">
        <f t="shared" si="24"/>
        <v>419</v>
      </c>
      <c r="B420" s="10"/>
      <c r="C420" s="11">
        <v>24</v>
      </c>
      <c r="D420">
        <f t="shared" si="25"/>
        <v>24</v>
      </c>
      <c r="E420">
        <f t="shared" si="26"/>
        <v>24000000</v>
      </c>
      <c r="F420">
        <f t="shared" si="27"/>
        <v>11520000</v>
      </c>
    </row>
    <row r="421" ht="13.85" spans="1:6">
      <c r="A421">
        <f t="shared" si="24"/>
        <v>420</v>
      </c>
      <c r="B421" s="10"/>
      <c r="C421" s="11">
        <v>28</v>
      </c>
      <c r="D421">
        <f t="shared" si="25"/>
        <v>28</v>
      </c>
      <c r="E421">
        <f t="shared" si="26"/>
        <v>28000000</v>
      </c>
      <c r="F421">
        <f t="shared" si="27"/>
        <v>13440000</v>
      </c>
    </row>
    <row r="422" ht="13.85" spans="1:6">
      <c r="A422">
        <f t="shared" si="24"/>
        <v>421</v>
      </c>
      <c r="B422" s="10"/>
      <c r="C422" s="11">
        <v>33</v>
      </c>
      <c r="D422">
        <f t="shared" si="25"/>
        <v>33</v>
      </c>
      <c r="E422">
        <f t="shared" si="26"/>
        <v>33000000</v>
      </c>
      <c r="F422">
        <f t="shared" si="27"/>
        <v>15840000</v>
      </c>
    </row>
    <row r="423" ht="13.85" spans="1:6">
      <c r="A423">
        <f t="shared" si="24"/>
        <v>422</v>
      </c>
      <c r="B423" s="10"/>
      <c r="C423" s="11">
        <v>38</v>
      </c>
      <c r="D423">
        <f t="shared" si="25"/>
        <v>38</v>
      </c>
      <c r="E423">
        <f t="shared" si="26"/>
        <v>38000000</v>
      </c>
      <c r="F423">
        <f t="shared" si="27"/>
        <v>18240000</v>
      </c>
    </row>
    <row r="424" ht="13.85" spans="1:6">
      <c r="A424">
        <f t="shared" si="24"/>
        <v>423</v>
      </c>
      <c r="B424" s="10"/>
      <c r="C424" s="11">
        <v>44</v>
      </c>
      <c r="D424">
        <f t="shared" si="25"/>
        <v>44</v>
      </c>
      <c r="E424">
        <f t="shared" si="26"/>
        <v>44000000</v>
      </c>
      <c r="F424">
        <f t="shared" si="27"/>
        <v>21120000</v>
      </c>
    </row>
    <row r="425" ht="13.85" spans="1:6">
      <c r="A425">
        <f t="shared" si="24"/>
        <v>424</v>
      </c>
      <c r="B425" s="10"/>
      <c r="C425" s="11">
        <v>49</v>
      </c>
      <c r="D425">
        <f t="shared" si="25"/>
        <v>49</v>
      </c>
      <c r="E425">
        <f t="shared" si="26"/>
        <v>49000000</v>
      </c>
      <c r="F425">
        <f t="shared" si="27"/>
        <v>23520000</v>
      </c>
    </row>
    <row r="426" ht="13.85" spans="1:6">
      <c r="A426">
        <f t="shared" si="24"/>
        <v>425</v>
      </c>
      <c r="B426" s="10"/>
      <c r="C426" s="11">
        <v>55</v>
      </c>
      <c r="D426">
        <f t="shared" si="25"/>
        <v>55</v>
      </c>
      <c r="E426">
        <f t="shared" si="26"/>
        <v>55000000</v>
      </c>
      <c r="F426">
        <f t="shared" si="27"/>
        <v>26400000</v>
      </c>
    </row>
    <row r="427" ht="13.85" spans="1:6">
      <c r="A427">
        <f t="shared" si="24"/>
        <v>426</v>
      </c>
      <c r="B427" s="10"/>
      <c r="C427" s="11">
        <v>61</v>
      </c>
      <c r="D427">
        <f t="shared" si="25"/>
        <v>61</v>
      </c>
      <c r="E427">
        <f t="shared" si="26"/>
        <v>61000000</v>
      </c>
      <c r="F427">
        <f t="shared" si="27"/>
        <v>29280000</v>
      </c>
    </row>
    <row r="428" ht="13.85" spans="1:6">
      <c r="A428">
        <f t="shared" si="24"/>
        <v>427</v>
      </c>
      <c r="B428" s="10"/>
      <c r="C428" s="11">
        <v>71</v>
      </c>
      <c r="D428">
        <f t="shared" si="25"/>
        <v>71</v>
      </c>
      <c r="E428">
        <f t="shared" si="26"/>
        <v>71000000</v>
      </c>
      <c r="F428">
        <f t="shared" si="27"/>
        <v>34080000</v>
      </c>
    </row>
    <row r="429" ht="13.85" spans="1:6">
      <c r="A429">
        <f t="shared" si="24"/>
        <v>428</v>
      </c>
      <c r="B429" s="10"/>
      <c r="C429" s="11">
        <v>81</v>
      </c>
      <c r="D429">
        <f t="shared" si="25"/>
        <v>81</v>
      </c>
      <c r="E429">
        <f t="shared" si="26"/>
        <v>81000000</v>
      </c>
      <c r="F429">
        <f t="shared" si="27"/>
        <v>38880000</v>
      </c>
    </row>
    <row r="430" ht="13.85" spans="1:6">
      <c r="A430">
        <f t="shared" si="24"/>
        <v>429</v>
      </c>
      <c r="B430" s="10"/>
      <c r="C430" s="11">
        <v>95</v>
      </c>
      <c r="D430">
        <f t="shared" si="25"/>
        <v>95</v>
      </c>
      <c r="E430">
        <f t="shared" si="26"/>
        <v>95000000</v>
      </c>
      <c r="F430">
        <f t="shared" si="27"/>
        <v>45600000</v>
      </c>
    </row>
    <row r="431" ht="13.85" spans="1:6">
      <c r="A431">
        <f t="shared" si="24"/>
        <v>430</v>
      </c>
      <c r="B431" s="10"/>
      <c r="C431" s="11">
        <v>10</v>
      </c>
      <c r="D431">
        <f t="shared" si="25"/>
        <v>10</v>
      </c>
      <c r="E431">
        <f t="shared" si="26"/>
        <v>10000000</v>
      </c>
      <c r="F431">
        <f t="shared" si="27"/>
        <v>4800000</v>
      </c>
    </row>
    <row r="432" ht="13.85" spans="1:6">
      <c r="A432">
        <f t="shared" si="24"/>
        <v>431</v>
      </c>
      <c r="B432" s="10"/>
      <c r="C432" s="11">
        <v>12</v>
      </c>
      <c r="D432">
        <f t="shared" si="25"/>
        <v>12</v>
      </c>
      <c r="E432">
        <f t="shared" si="26"/>
        <v>12000000</v>
      </c>
      <c r="F432">
        <f t="shared" si="27"/>
        <v>5760000</v>
      </c>
    </row>
    <row r="433" ht="13.85" spans="1:6">
      <c r="A433">
        <f t="shared" si="24"/>
        <v>432</v>
      </c>
      <c r="B433" s="10"/>
      <c r="C433" s="11">
        <v>14</v>
      </c>
      <c r="D433">
        <f t="shared" si="25"/>
        <v>14</v>
      </c>
      <c r="E433">
        <f t="shared" si="26"/>
        <v>14000000</v>
      </c>
      <c r="F433">
        <f t="shared" si="27"/>
        <v>6720000</v>
      </c>
    </row>
    <row r="434" ht="13.85" spans="1:6">
      <c r="A434">
        <f t="shared" si="24"/>
        <v>433</v>
      </c>
      <c r="B434" s="10"/>
      <c r="C434" s="11">
        <v>18</v>
      </c>
      <c r="D434">
        <f t="shared" si="25"/>
        <v>18</v>
      </c>
      <c r="E434">
        <f t="shared" si="26"/>
        <v>18000000</v>
      </c>
      <c r="F434">
        <f t="shared" si="27"/>
        <v>8640000</v>
      </c>
    </row>
    <row r="435" ht="13.85" spans="1:6">
      <c r="A435">
        <f t="shared" si="24"/>
        <v>434</v>
      </c>
      <c r="B435" s="10"/>
      <c r="C435" s="11">
        <v>22</v>
      </c>
      <c r="D435">
        <f t="shared" si="25"/>
        <v>22</v>
      </c>
      <c r="E435">
        <f t="shared" si="26"/>
        <v>22000000</v>
      </c>
      <c r="F435">
        <f t="shared" si="27"/>
        <v>10560000</v>
      </c>
    </row>
    <row r="436" ht="13.85" spans="1:6">
      <c r="A436">
        <f t="shared" si="24"/>
        <v>435</v>
      </c>
      <c r="B436" s="10"/>
      <c r="C436" s="11">
        <v>27</v>
      </c>
      <c r="D436">
        <f t="shared" si="25"/>
        <v>27</v>
      </c>
      <c r="E436">
        <f t="shared" si="26"/>
        <v>27000000</v>
      </c>
      <c r="F436">
        <f t="shared" si="27"/>
        <v>12960000</v>
      </c>
    </row>
    <row r="437" ht="13.85" spans="1:6">
      <c r="A437">
        <f t="shared" si="24"/>
        <v>436</v>
      </c>
      <c r="B437" s="10"/>
      <c r="C437" s="11">
        <v>32</v>
      </c>
      <c r="D437">
        <f t="shared" si="25"/>
        <v>32</v>
      </c>
      <c r="E437">
        <f t="shared" si="26"/>
        <v>32000000</v>
      </c>
      <c r="F437">
        <f t="shared" si="27"/>
        <v>15360000</v>
      </c>
    </row>
    <row r="438" ht="13.85" spans="1:6">
      <c r="A438">
        <f t="shared" si="24"/>
        <v>437</v>
      </c>
      <c r="B438" s="10"/>
      <c r="C438" s="11">
        <v>10</v>
      </c>
      <c r="D438">
        <f t="shared" si="25"/>
        <v>10</v>
      </c>
      <c r="E438">
        <f t="shared" si="26"/>
        <v>10000000</v>
      </c>
      <c r="F438">
        <f t="shared" si="27"/>
        <v>4800000</v>
      </c>
    </row>
    <row r="439" ht="13.85" spans="1:6">
      <c r="A439">
        <f t="shared" si="24"/>
        <v>438</v>
      </c>
      <c r="B439" s="10"/>
      <c r="C439" s="11">
        <v>12</v>
      </c>
      <c r="D439">
        <f t="shared" si="25"/>
        <v>12</v>
      </c>
      <c r="E439">
        <f t="shared" si="26"/>
        <v>12000000</v>
      </c>
      <c r="F439">
        <f t="shared" si="27"/>
        <v>5760000</v>
      </c>
    </row>
    <row r="440" ht="13.85" spans="1:6">
      <c r="A440">
        <f t="shared" si="24"/>
        <v>439</v>
      </c>
      <c r="B440" s="10"/>
      <c r="C440" s="11">
        <v>14</v>
      </c>
      <c r="D440">
        <f t="shared" si="25"/>
        <v>14</v>
      </c>
      <c r="E440">
        <f t="shared" si="26"/>
        <v>14000000</v>
      </c>
      <c r="F440">
        <f t="shared" si="27"/>
        <v>6720000</v>
      </c>
    </row>
    <row r="441" ht="13.85" spans="1:6">
      <c r="A441">
        <f t="shared" si="24"/>
        <v>440</v>
      </c>
      <c r="B441" s="10"/>
      <c r="C441" s="11">
        <v>17</v>
      </c>
      <c r="D441">
        <f t="shared" si="25"/>
        <v>17</v>
      </c>
      <c r="E441">
        <f t="shared" si="26"/>
        <v>17000000</v>
      </c>
      <c r="F441">
        <f t="shared" si="27"/>
        <v>8160000</v>
      </c>
    </row>
    <row r="442" ht="13.85" spans="1:6">
      <c r="A442">
        <f t="shared" si="24"/>
        <v>441</v>
      </c>
      <c r="B442" s="10"/>
      <c r="C442" s="11">
        <v>22</v>
      </c>
      <c r="D442">
        <f t="shared" si="25"/>
        <v>22</v>
      </c>
      <c r="E442">
        <f t="shared" si="26"/>
        <v>22000000</v>
      </c>
      <c r="F442">
        <f t="shared" si="27"/>
        <v>10560000</v>
      </c>
    </row>
    <row r="443" ht="13.85" spans="1:6">
      <c r="A443">
        <f t="shared" si="24"/>
        <v>442</v>
      </c>
      <c r="B443" s="10"/>
      <c r="C443" s="11">
        <v>26</v>
      </c>
      <c r="D443">
        <f t="shared" si="25"/>
        <v>26</v>
      </c>
      <c r="E443">
        <f t="shared" si="26"/>
        <v>26000000</v>
      </c>
      <c r="F443">
        <f t="shared" si="27"/>
        <v>12480000</v>
      </c>
    </row>
    <row r="444" ht="13.85" spans="1:6">
      <c r="A444">
        <f t="shared" si="24"/>
        <v>443</v>
      </c>
      <c r="B444" s="10"/>
      <c r="C444" s="11">
        <v>31</v>
      </c>
      <c r="D444">
        <f t="shared" si="25"/>
        <v>31</v>
      </c>
      <c r="E444">
        <f t="shared" si="26"/>
        <v>31000000</v>
      </c>
      <c r="F444">
        <f t="shared" si="27"/>
        <v>14880000</v>
      </c>
    </row>
    <row r="445" ht="13.85" spans="1:6">
      <c r="A445">
        <f t="shared" si="24"/>
        <v>444</v>
      </c>
      <c r="B445" s="10"/>
      <c r="C445" s="11">
        <v>37</v>
      </c>
      <c r="D445">
        <f t="shared" si="25"/>
        <v>37</v>
      </c>
      <c r="E445">
        <f t="shared" si="26"/>
        <v>37000000</v>
      </c>
      <c r="F445">
        <f t="shared" si="27"/>
        <v>17760000</v>
      </c>
    </row>
    <row r="446" ht="13.85" spans="1:6">
      <c r="A446">
        <f t="shared" si="24"/>
        <v>445</v>
      </c>
      <c r="B446" s="10"/>
      <c r="C446" s="11">
        <v>43</v>
      </c>
      <c r="D446">
        <f t="shared" si="25"/>
        <v>43</v>
      </c>
      <c r="E446">
        <f t="shared" si="26"/>
        <v>43000000</v>
      </c>
      <c r="F446">
        <f t="shared" si="27"/>
        <v>20640000</v>
      </c>
    </row>
    <row r="447" ht="13.85" spans="1:6">
      <c r="A447">
        <f t="shared" si="24"/>
        <v>446</v>
      </c>
      <c r="B447" s="10"/>
      <c r="C447" s="11">
        <v>48</v>
      </c>
      <c r="D447">
        <f t="shared" si="25"/>
        <v>48</v>
      </c>
      <c r="E447">
        <f t="shared" si="26"/>
        <v>48000000</v>
      </c>
      <c r="F447">
        <f t="shared" si="27"/>
        <v>23040000</v>
      </c>
    </row>
    <row r="448" ht="13.85" spans="1:6">
      <c r="A448">
        <f t="shared" si="24"/>
        <v>447</v>
      </c>
      <c r="B448" s="10"/>
      <c r="C448" s="11">
        <v>10</v>
      </c>
      <c r="D448">
        <f t="shared" si="25"/>
        <v>10</v>
      </c>
      <c r="E448">
        <f t="shared" si="26"/>
        <v>10000000</v>
      </c>
      <c r="F448">
        <f t="shared" si="27"/>
        <v>4800000</v>
      </c>
    </row>
    <row r="449" ht="13.85" spans="1:6">
      <c r="A449">
        <f t="shared" si="24"/>
        <v>448</v>
      </c>
      <c r="B449" s="10"/>
      <c r="C449" s="11">
        <v>12</v>
      </c>
      <c r="D449">
        <f t="shared" si="25"/>
        <v>12</v>
      </c>
      <c r="E449">
        <f t="shared" si="26"/>
        <v>12000000</v>
      </c>
      <c r="F449">
        <f t="shared" si="27"/>
        <v>5760000</v>
      </c>
    </row>
    <row r="450" ht="13.85" spans="1:6">
      <c r="A450">
        <f t="shared" ref="A450:A513" si="28">ROW()-1</f>
        <v>449</v>
      </c>
      <c r="B450" s="10"/>
      <c r="C450" s="11">
        <v>14</v>
      </c>
      <c r="D450">
        <f t="shared" ref="D450:D513" si="29">IF(RIGHT(C450,1)="B",VALUE(LEFT(C450,LEN(C450)-1))*1000,C450)</f>
        <v>14</v>
      </c>
      <c r="E450">
        <f t="shared" ref="E450:E513" si="30">D450*1000000</f>
        <v>14000000</v>
      </c>
      <c r="F450">
        <f t="shared" ref="F450:F513" si="31">E450*0.48</f>
        <v>6720000</v>
      </c>
    </row>
    <row r="451" ht="13.85" spans="1:6">
      <c r="A451">
        <f t="shared" si="28"/>
        <v>450</v>
      </c>
      <c r="B451" s="10"/>
      <c r="C451" s="11">
        <v>17</v>
      </c>
      <c r="D451">
        <f t="shared" si="29"/>
        <v>17</v>
      </c>
      <c r="E451">
        <f t="shared" si="30"/>
        <v>17000000</v>
      </c>
      <c r="F451">
        <f t="shared" si="31"/>
        <v>8160000</v>
      </c>
    </row>
    <row r="452" ht="13.85" spans="1:6">
      <c r="A452">
        <f t="shared" si="28"/>
        <v>451</v>
      </c>
      <c r="B452" s="10"/>
      <c r="C452" s="11">
        <v>21</v>
      </c>
      <c r="D452">
        <f t="shared" si="29"/>
        <v>21</v>
      </c>
      <c r="E452">
        <f t="shared" si="30"/>
        <v>21000000</v>
      </c>
      <c r="F452">
        <f t="shared" si="31"/>
        <v>10080000</v>
      </c>
    </row>
    <row r="453" ht="13.85" spans="1:6">
      <c r="A453">
        <f t="shared" si="28"/>
        <v>452</v>
      </c>
      <c r="B453" s="10"/>
      <c r="C453" s="11">
        <v>25</v>
      </c>
      <c r="D453">
        <f t="shared" si="29"/>
        <v>25</v>
      </c>
      <c r="E453">
        <f t="shared" si="30"/>
        <v>25000000</v>
      </c>
      <c r="F453">
        <f t="shared" si="31"/>
        <v>12000000</v>
      </c>
    </row>
    <row r="454" ht="13.85" spans="1:6">
      <c r="A454">
        <f t="shared" si="28"/>
        <v>453</v>
      </c>
      <c r="B454" s="10"/>
      <c r="C454" s="11">
        <v>32</v>
      </c>
      <c r="D454">
        <f t="shared" si="29"/>
        <v>32</v>
      </c>
      <c r="E454">
        <f t="shared" si="30"/>
        <v>32000000</v>
      </c>
      <c r="F454">
        <f t="shared" si="31"/>
        <v>15360000</v>
      </c>
    </row>
    <row r="455" ht="13.85" spans="1:6">
      <c r="A455">
        <f t="shared" si="28"/>
        <v>454</v>
      </c>
      <c r="B455" s="10"/>
      <c r="C455" s="11">
        <v>38</v>
      </c>
      <c r="D455">
        <f t="shared" si="29"/>
        <v>38</v>
      </c>
      <c r="E455">
        <f t="shared" si="30"/>
        <v>38000000</v>
      </c>
      <c r="F455">
        <f t="shared" si="31"/>
        <v>18240000</v>
      </c>
    </row>
    <row r="456" ht="13.85" spans="1:6">
      <c r="A456">
        <f t="shared" si="28"/>
        <v>455</v>
      </c>
      <c r="B456" s="10"/>
      <c r="C456" s="11">
        <v>43</v>
      </c>
      <c r="D456">
        <f t="shared" si="29"/>
        <v>43</v>
      </c>
      <c r="E456">
        <f t="shared" si="30"/>
        <v>43000000</v>
      </c>
      <c r="F456">
        <f t="shared" si="31"/>
        <v>20640000</v>
      </c>
    </row>
    <row r="457" ht="13.85" spans="1:6">
      <c r="A457">
        <f t="shared" si="28"/>
        <v>456</v>
      </c>
      <c r="B457" s="10"/>
      <c r="C457" s="11">
        <v>48</v>
      </c>
      <c r="D457">
        <f t="shared" si="29"/>
        <v>48</v>
      </c>
      <c r="E457">
        <f t="shared" si="30"/>
        <v>48000000</v>
      </c>
      <c r="F457">
        <f t="shared" si="31"/>
        <v>23040000</v>
      </c>
    </row>
    <row r="458" ht="13.85" spans="1:6">
      <c r="A458">
        <f t="shared" si="28"/>
        <v>457</v>
      </c>
      <c r="B458" s="10"/>
      <c r="C458" s="11">
        <v>54</v>
      </c>
      <c r="D458">
        <f t="shared" si="29"/>
        <v>54</v>
      </c>
      <c r="E458">
        <f t="shared" si="30"/>
        <v>54000000</v>
      </c>
      <c r="F458">
        <f t="shared" si="31"/>
        <v>25920000</v>
      </c>
    </row>
    <row r="459" ht="13.85" spans="1:6">
      <c r="A459">
        <f t="shared" si="28"/>
        <v>458</v>
      </c>
      <c r="B459" s="10"/>
      <c r="C459" s="11">
        <v>61</v>
      </c>
      <c r="D459">
        <f t="shared" si="29"/>
        <v>61</v>
      </c>
      <c r="E459">
        <f t="shared" si="30"/>
        <v>61000000</v>
      </c>
      <c r="F459">
        <f t="shared" si="31"/>
        <v>29280000</v>
      </c>
    </row>
    <row r="460" ht="13.85" spans="1:6">
      <c r="A460">
        <f t="shared" si="28"/>
        <v>459</v>
      </c>
      <c r="B460" s="10"/>
      <c r="C460" s="11">
        <v>70</v>
      </c>
      <c r="D460">
        <f t="shared" si="29"/>
        <v>70</v>
      </c>
      <c r="E460">
        <f t="shared" si="30"/>
        <v>70000000</v>
      </c>
      <c r="F460">
        <f t="shared" si="31"/>
        <v>33600000</v>
      </c>
    </row>
    <row r="461" ht="13.85" spans="1:6">
      <c r="A461">
        <f t="shared" si="28"/>
        <v>460</v>
      </c>
      <c r="B461" s="10"/>
      <c r="C461" s="11">
        <v>80</v>
      </c>
      <c r="D461">
        <f t="shared" si="29"/>
        <v>80</v>
      </c>
      <c r="E461">
        <f t="shared" si="30"/>
        <v>80000000</v>
      </c>
      <c r="F461">
        <f t="shared" si="31"/>
        <v>38400000</v>
      </c>
    </row>
    <row r="462" ht="13.85" spans="1:6">
      <c r="A462">
        <f t="shared" si="28"/>
        <v>461</v>
      </c>
      <c r="B462" s="10"/>
      <c r="C462" s="11">
        <v>10</v>
      </c>
      <c r="D462">
        <f t="shared" si="29"/>
        <v>10</v>
      </c>
      <c r="E462">
        <f t="shared" si="30"/>
        <v>10000000</v>
      </c>
      <c r="F462">
        <f t="shared" si="31"/>
        <v>4800000</v>
      </c>
    </row>
    <row r="463" ht="13.85" spans="1:6">
      <c r="A463">
        <f t="shared" si="28"/>
        <v>462</v>
      </c>
      <c r="B463" s="10"/>
      <c r="C463" s="11">
        <v>12</v>
      </c>
      <c r="D463">
        <f t="shared" si="29"/>
        <v>12</v>
      </c>
      <c r="E463">
        <f t="shared" si="30"/>
        <v>12000000</v>
      </c>
      <c r="F463">
        <f t="shared" si="31"/>
        <v>5760000</v>
      </c>
    </row>
    <row r="464" ht="13.85" spans="1:6">
      <c r="A464">
        <f t="shared" si="28"/>
        <v>463</v>
      </c>
      <c r="B464" s="10"/>
      <c r="C464" s="11">
        <v>14</v>
      </c>
      <c r="D464">
        <f t="shared" si="29"/>
        <v>14</v>
      </c>
      <c r="E464">
        <f t="shared" si="30"/>
        <v>14000000</v>
      </c>
      <c r="F464">
        <f t="shared" si="31"/>
        <v>6720000</v>
      </c>
    </row>
    <row r="465" ht="13.85" spans="1:6">
      <c r="A465">
        <f t="shared" si="28"/>
        <v>464</v>
      </c>
      <c r="B465" s="10"/>
      <c r="C465" s="11">
        <v>17</v>
      </c>
      <c r="D465">
        <f t="shared" si="29"/>
        <v>17</v>
      </c>
      <c r="E465">
        <f t="shared" si="30"/>
        <v>17000000</v>
      </c>
      <c r="F465">
        <f t="shared" si="31"/>
        <v>8160000</v>
      </c>
    </row>
    <row r="466" ht="13.85" spans="1:6">
      <c r="A466">
        <f t="shared" si="28"/>
        <v>465</v>
      </c>
      <c r="B466" s="10"/>
      <c r="C466" s="11">
        <v>21</v>
      </c>
      <c r="D466">
        <f t="shared" si="29"/>
        <v>21</v>
      </c>
      <c r="E466">
        <f t="shared" si="30"/>
        <v>21000000</v>
      </c>
      <c r="F466">
        <f t="shared" si="31"/>
        <v>10080000</v>
      </c>
    </row>
    <row r="467" ht="13.85" spans="1:6">
      <c r="A467">
        <f t="shared" si="28"/>
        <v>466</v>
      </c>
      <c r="B467" s="10"/>
      <c r="C467" s="11">
        <v>26</v>
      </c>
      <c r="D467">
        <f t="shared" si="29"/>
        <v>26</v>
      </c>
      <c r="E467">
        <f t="shared" si="30"/>
        <v>26000000</v>
      </c>
      <c r="F467">
        <f t="shared" si="31"/>
        <v>12480000</v>
      </c>
    </row>
    <row r="468" ht="13.85" spans="1:6">
      <c r="A468">
        <f t="shared" si="28"/>
        <v>467</v>
      </c>
      <c r="B468" s="10"/>
      <c r="C468" s="11">
        <v>31</v>
      </c>
      <c r="D468">
        <f t="shared" si="29"/>
        <v>31</v>
      </c>
      <c r="E468">
        <f t="shared" si="30"/>
        <v>31000000</v>
      </c>
      <c r="F468">
        <f t="shared" si="31"/>
        <v>14880000</v>
      </c>
    </row>
    <row r="469" ht="13.85" spans="1:6">
      <c r="A469">
        <f t="shared" si="28"/>
        <v>468</v>
      </c>
      <c r="B469" s="10"/>
      <c r="C469" s="11">
        <v>10</v>
      </c>
      <c r="D469">
        <f t="shared" si="29"/>
        <v>10</v>
      </c>
      <c r="E469">
        <f t="shared" si="30"/>
        <v>10000000</v>
      </c>
      <c r="F469">
        <f t="shared" si="31"/>
        <v>4800000</v>
      </c>
    </row>
    <row r="470" ht="13.85" spans="1:6">
      <c r="A470">
        <f t="shared" si="28"/>
        <v>469</v>
      </c>
      <c r="B470" s="10"/>
      <c r="C470" s="11">
        <v>12</v>
      </c>
      <c r="D470">
        <f t="shared" si="29"/>
        <v>12</v>
      </c>
      <c r="E470">
        <f t="shared" si="30"/>
        <v>12000000</v>
      </c>
      <c r="F470">
        <f t="shared" si="31"/>
        <v>5760000</v>
      </c>
    </row>
    <row r="471" ht="13.85" spans="1:6">
      <c r="A471">
        <f t="shared" si="28"/>
        <v>470</v>
      </c>
      <c r="B471" s="10"/>
      <c r="C471" s="11">
        <v>14</v>
      </c>
      <c r="D471">
        <f t="shared" si="29"/>
        <v>14</v>
      </c>
      <c r="E471">
        <f t="shared" si="30"/>
        <v>14000000</v>
      </c>
      <c r="F471">
        <f t="shared" si="31"/>
        <v>6720000</v>
      </c>
    </row>
    <row r="472" ht="13.85" spans="1:6">
      <c r="A472">
        <f t="shared" si="28"/>
        <v>471</v>
      </c>
      <c r="B472" s="10"/>
      <c r="C472" s="11">
        <v>10</v>
      </c>
      <c r="D472">
        <f t="shared" si="29"/>
        <v>10</v>
      </c>
      <c r="E472">
        <f t="shared" si="30"/>
        <v>10000000</v>
      </c>
      <c r="F472">
        <f t="shared" si="31"/>
        <v>4800000</v>
      </c>
    </row>
    <row r="473" ht="13.85" spans="1:6">
      <c r="A473">
        <f t="shared" si="28"/>
        <v>472</v>
      </c>
      <c r="B473" s="10"/>
      <c r="C473" s="11">
        <v>12</v>
      </c>
      <c r="D473">
        <f t="shared" si="29"/>
        <v>12</v>
      </c>
      <c r="E473">
        <f t="shared" si="30"/>
        <v>12000000</v>
      </c>
      <c r="F473">
        <f t="shared" si="31"/>
        <v>5760000</v>
      </c>
    </row>
    <row r="474" ht="13.85" spans="1:6">
      <c r="A474">
        <f t="shared" si="28"/>
        <v>473</v>
      </c>
      <c r="B474" s="10"/>
      <c r="C474" s="11">
        <v>14</v>
      </c>
      <c r="D474">
        <f t="shared" si="29"/>
        <v>14</v>
      </c>
      <c r="E474">
        <f t="shared" si="30"/>
        <v>14000000</v>
      </c>
      <c r="F474">
        <f t="shared" si="31"/>
        <v>6720000</v>
      </c>
    </row>
    <row r="475" ht="13.85" spans="1:6">
      <c r="A475">
        <f t="shared" si="28"/>
        <v>474</v>
      </c>
      <c r="B475" s="10"/>
      <c r="C475" s="11">
        <v>16</v>
      </c>
      <c r="D475">
        <f t="shared" si="29"/>
        <v>16</v>
      </c>
      <c r="E475">
        <f t="shared" si="30"/>
        <v>16000000</v>
      </c>
      <c r="F475">
        <f t="shared" si="31"/>
        <v>7680000</v>
      </c>
    </row>
    <row r="476" ht="13.85" spans="1:6">
      <c r="A476">
        <f t="shared" si="28"/>
        <v>475</v>
      </c>
      <c r="B476" s="10"/>
      <c r="C476" s="11">
        <v>22</v>
      </c>
      <c r="D476">
        <f t="shared" si="29"/>
        <v>22</v>
      </c>
      <c r="E476">
        <f t="shared" si="30"/>
        <v>22000000</v>
      </c>
      <c r="F476">
        <f t="shared" si="31"/>
        <v>10560000</v>
      </c>
    </row>
    <row r="477" ht="13.85" spans="1:6">
      <c r="A477">
        <f t="shared" si="28"/>
        <v>476</v>
      </c>
      <c r="B477" s="10"/>
      <c r="C477" s="11">
        <v>27</v>
      </c>
      <c r="D477">
        <f t="shared" si="29"/>
        <v>27</v>
      </c>
      <c r="E477">
        <f t="shared" si="30"/>
        <v>27000000</v>
      </c>
      <c r="F477">
        <f t="shared" si="31"/>
        <v>12960000</v>
      </c>
    </row>
    <row r="478" ht="13.85" spans="1:6">
      <c r="A478">
        <f t="shared" si="28"/>
        <v>477</v>
      </c>
      <c r="B478" s="10"/>
      <c r="C478" s="11">
        <v>31</v>
      </c>
      <c r="D478">
        <f t="shared" si="29"/>
        <v>31</v>
      </c>
      <c r="E478">
        <f t="shared" si="30"/>
        <v>31000000</v>
      </c>
      <c r="F478">
        <f t="shared" si="31"/>
        <v>14880000</v>
      </c>
    </row>
    <row r="479" ht="13.85" spans="1:6">
      <c r="A479">
        <f t="shared" si="28"/>
        <v>478</v>
      </c>
      <c r="B479" s="10"/>
      <c r="C479" s="11">
        <v>35</v>
      </c>
      <c r="D479">
        <f t="shared" si="29"/>
        <v>35</v>
      </c>
      <c r="E479">
        <f t="shared" si="30"/>
        <v>35000000</v>
      </c>
      <c r="F479">
        <f t="shared" si="31"/>
        <v>16800000</v>
      </c>
    </row>
    <row r="480" ht="13.85" spans="1:6">
      <c r="A480">
        <f t="shared" si="28"/>
        <v>479</v>
      </c>
      <c r="B480" s="10"/>
      <c r="C480" s="11">
        <v>41</v>
      </c>
      <c r="D480">
        <f t="shared" si="29"/>
        <v>41</v>
      </c>
      <c r="E480">
        <f t="shared" si="30"/>
        <v>41000000</v>
      </c>
      <c r="F480">
        <f t="shared" si="31"/>
        <v>19680000</v>
      </c>
    </row>
    <row r="481" ht="13.85" spans="1:6">
      <c r="A481">
        <f t="shared" si="28"/>
        <v>480</v>
      </c>
      <c r="B481" s="10"/>
      <c r="C481" s="11">
        <v>10</v>
      </c>
      <c r="D481">
        <f t="shared" si="29"/>
        <v>10</v>
      </c>
      <c r="E481">
        <f t="shared" si="30"/>
        <v>10000000</v>
      </c>
      <c r="F481">
        <f t="shared" si="31"/>
        <v>4800000</v>
      </c>
    </row>
    <row r="482" ht="13.85" spans="1:6">
      <c r="A482">
        <f t="shared" si="28"/>
        <v>481</v>
      </c>
      <c r="B482" s="10"/>
      <c r="C482" s="11">
        <v>12</v>
      </c>
      <c r="D482">
        <f t="shared" si="29"/>
        <v>12</v>
      </c>
      <c r="E482">
        <f t="shared" si="30"/>
        <v>12000000</v>
      </c>
      <c r="F482">
        <f t="shared" si="31"/>
        <v>5760000</v>
      </c>
    </row>
    <row r="483" ht="13.85" spans="1:6">
      <c r="A483">
        <f t="shared" si="28"/>
        <v>482</v>
      </c>
      <c r="B483" s="10"/>
      <c r="C483" s="11">
        <v>14</v>
      </c>
      <c r="D483">
        <f t="shared" si="29"/>
        <v>14</v>
      </c>
      <c r="E483">
        <f t="shared" si="30"/>
        <v>14000000</v>
      </c>
      <c r="F483">
        <f t="shared" si="31"/>
        <v>6720000</v>
      </c>
    </row>
    <row r="484" ht="13.85" spans="1:6">
      <c r="A484">
        <f t="shared" si="28"/>
        <v>483</v>
      </c>
      <c r="B484" s="10"/>
      <c r="C484" s="11">
        <v>17</v>
      </c>
      <c r="D484">
        <f t="shared" si="29"/>
        <v>17</v>
      </c>
      <c r="E484">
        <f t="shared" si="30"/>
        <v>17000000</v>
      </c>
      <c r="F484">
        <f t="shared" si="31"/>
        <v>8160000</v>
      </c>
    </row>
    <row r="485" ht="13.85" spans="1:6">
      <c r="A485">
        <f t="shared" si="28"/>
        <v>484</v>
      </c>
      <c r="B485" s="10"/>
      <c r="C485" s="11">
        <v>22</v>
      </c>
      <c r="D485">
        <f t="shared" si="29"/>
        <v>22</v>
      </c>
      <c r="E485">
        <f t="shared" si="30"/>
        <v>22000000</v>
      </c>
      <c r="F485">
        <f t="shared" si="31"/>
        <v>10560000</v>
      </c>
    </row>
    <row r="486" ht="13.85" spans="1:6">
      <c r="A486">
        <f t="shared" si="28"/>
        <v>485</v>
      </c>
      <c r="B486" s="10"/>
      <c r="C486" s="11">
        <v>28</v>
      </c>
      <c r="D486">
        <f t="shared" si="29"/>
        <v>28</v>
      </c>
      <c r="E486">
        <f t="shared" si="30"/>
        <v>28000000</v>
      </c>
      <c r="F486">
        <f t="shared" si="31"/>
        <v>13440000</v>
      </c>
    </row>
    <row r="487" ht="13.85" spans="1:6">
      <c r="A487">
        <f t="shared" si="28"/>
        <v>486</v>
      </c>
      <c r="B487" s="10"/>
      <c r="C487" s="11">
        <v>33</v>
      </c>
      <c r="D487">
        <f t="shared" si="29"/>
        <v>33</v>
      </c>
      <c r="E487">
        <f t="shared" si="30"/>
        <v>33000000</v>
      </c>
      <c r="F487">
        <f t="shared" si="31"/>
        <v>15840000</v>
      </c>
    </row>
    <row r="488" ht="13.85" spans="1:6">
      <c r="A488">
        <f t="shared" si="28"/>
        <v>487</v>
      </c>
      <c r="B488" s="10"/>
      <c r="C488" s="11">
        <v>38</v>
      </c>
      <c r="D488">
        <f t="shared" si="29"/>
        <v>38</v>
      </c>
      <c r="E488">
        <f t="shared" si="30"/>
        <v>38000000</v>
      </c>
      <c r="F488">
        <f t="shared" si="31"/>
        <v>18240000</v>
      </c>
    </row>
    <row r="489" ht="13.85" spans="1:6">
      <c r="A489">
        <f t="shared" si="28"/>
        <v>488</v>
      </c>
      <c r="B489" s="10"/>
      <c r="C489" s="11">
        <v>43</v>
      </c>
      <c r="D489">
        <f t="shared" si="29"/>
        <v>43</v>
      </c>
      <c r="E489">
        <f t="shared" si="30"/>
        <v>43000000</v>
      </c>
      <c r="F489">
        <f t="shared" si="31"/>
        <v>20640000</v>
      </c>
    </row>
    <row r="490" ht="13.85" spans="1:6">
      <c r="A490">
        <f t="shared" si="28"/>
        <v>489</v>
      </c>
      <c r="B490" s="10"/>
      <c r="C490" s="11">
        <v>49</v>
      </c>
      <c r="D490">
        <f t="shared" si="29"/>
        <v>49</v>
      </c>
      <c r="E490">
        <f t="shared" si="30"/>
        <v>49000000</v>
      </c>
      <c r="F490">
        <f t="shared" si="31"/>
        <v>23520000</v>
      </c>
    </row>
    <row r="491" ht="13.85" spans="1:6">
      <c r="A491">
        <f t="shared" si="28"/>
        <v>490</v>
      </c>
      <c r="B491" s="10"/>
      <c r="C491" s="11">
        <v>55</v>
      </c>
      <c r="D491">
        <f t="shared" si="29"/>
        <v>55</v>
      </c>
      <c r="E491">
        <f t="shared" si="30"/>
        <v>55000000</v>
      </c>
      <c r="F491">
        <f t="shared" si="31"/>
        <v>26400000</v>
      </c>
    </row>
    <row r="492" ht="13.85" spans="1:6">
      <c r="A492">
        <f t="shared" si="28"/>
        <v>491</v>
      </c>
      <c r="B492" s="10"/>
      <c r="C492" s="11">
        <v>63</v>
      </c>
      <c r="D492">
        <f t="shared" si="29"/>
        <v>63</v>
      </c>
      <c r="E492">
        <f t="shared" si="30"/>
        <v>63000000</v>
      </c>
      <c r="F492">
        <f t="shared" si="31"/>
        <v>30240000</v>
      </c>
    </row>
    <row r="493" ht="13.85" spans="1:6">
      <c r="A493">
        <f t="shared" si="28"/>
        <v>492</v>
      </c>
      <c r="B493" s="10"/>
      <c r="C493" s="11">
        <v>70</v>
      </c>
      <c r="D493">
        <f t="shared" si="29"/>
        <v>70</v>
      </c>
      <c r="E493">
        <f t="shared" si="30"/>
        <v>70000000</v>
      </c>
      <c r="F493">
        <f t="shared" si="31"/>
        <v>33600000</v>
      </c>
    </row>
    <row r="494" ht="13.85" spans="1:6">
      <c r="A494">
        <f t="shared" si="28"/>
        <v>493</v>
      </c>
      <c r="B494" s="10"/>
      <c r="C494" s="11">
        <v>80</v>
      </c>
      <c r="D494">
        <f t="shared" si="29"/>
        <v>80</v>
      </c>
      <c r="E494">
        <f t="shared" si="30"/>
        <v>80000000</v>
      </c>
      <c r="F494">
        <f t="shared" si="31"/>
        <v>38400000</v>
      </c>
    </row>
    <row r="495" ht="13.85" spans="1:6">
      <c r="A495">
        <f t="shared" si="28"/>
        <v>494</v>
      </c>
      <c r="B495" s="10"/>
      <c r="C495" s="11">
        <v>88</v>
      </c>
      <c r="D495">
        <f t="shared" si="29"/>
        <v>88</v>
      </c>
      <c r="E495">
        <f t="shared" si="30"/>
        <v>88000000</v>
      </c>
      <c r="F495">
        <f t="shared" si="31"/>
        <v>42240000</v>
      </c>
    </row>
    <row r="496" ht="13.85" spans="1:6">
      <c r="A496">
        <f t="shared" si="28"/>
        <v>495</v>
      </c>
      <c r="B496" s="10"/>
      <c r="C496" s="11">
        <v>100</v>
      </c>
      <c r="D496">
        <f t="shared" si="29"/>
        <v>100</v>
      </c>
      <c r="E496">
        <f t="shared" si="30"/>
        <v>100000000</v>
      </c>
      <c r="F496">
        <f t="shared" si="31"/>
        <v>48000000</v>
      </c>
    </row>
    <row r="497" ht="13.85" spans="1:6">
      <c r="A497">
        <f t="shared" si="28"/>
        <v>496</v>
      </c>
      <c r="B497" s="10"/>
      <c r="C497" s="11">
        <v>10</v>
      </c>
      <c r="D497">
        <f t="shared" si="29"/>
        <v>10</v>
      </c>
      <c r="E497">
        <f t="shared" si="30"/>
        <v>10000000</v>
      </c>
      <c r="F497">
        <f t="shared" si="31"/>
        <v>4800000</v>
      </c>
    </row>
    <row r="498" ht="13.85" spans="1:6">
      <c r="A498">
        <f t="shared" si="28"/>
        <v>497</v>
      </c>
      <c r="B498" s="10"/>
      <c r="C498" s="11">
        <v>12</v>
      </c>
      <c r="D498">
        <f t="shared" si="29"/>
        <v>12</v>
      </c>
      <c r="E498">
        <f t="shared" si="30"/>
        <v>12000000</v>
      </c>
      <c r="F498">
        <f t="shared" si="31"/>
        <v>5760000</v>
      </c>
    </row>
    <row r="499" ht="13.85" spans="1:6">
      <c r="A499">
        <f t="shared" si="28"/>
        <v>498</v>
      </c>
      <c r="B499" s="10"/>
      <c r="C499" s="11">
        <v>14</v>
      </c>
      <c r="D499">
        <f t="shared" si="29"/>
        <v>14</v>
      </c>
      <c r="E499">
        <f t="shared" si="30"/>
        <v>14000000</v>
      </c>
      <c r="F499">
        <f t="shared" si="31"/>
        <v>6720000</v>
      </c>
    </row>
    <row r="500" ht="13.85" spans="1:6">
      <c r="A500">
        <f t="shared" si="28"/>
        <v>499</v>
      </c>
      <c r="B500" s="10"/>
      <c r="C500" s="11">
        <v>18</v>
      </c>
      <c r="D500">
        <f t="shared" si="29"/>
        <v>18</v>
      </c>
      <c r="E500">
        <f t="shared" si="30"/>
        <v>18000000</v>
      </c>
      <c r="F500">
        <f t="shared" si="31"/>
        <v>8640000</v>
      </c>
    </row>
    <row r="501" ht="13.85" spans="1:6">
      <c r="A501">
        <f t="shared" si="28"/>
        <v>500</v>
      </c>
      <c r="B501" s="10"/>
      <c r="C501" s="11">
        <v>22</v>
      </c>
      <c r="D501">
        <f t="shared" si="29"/>
        <v>22</v>
      </c>
      <c r="E501">
        <f t="shared" si="30"/>
        <v>22000000</v>
      </c>
      <c r="F501">
        <f t="shared" si="31"/>
        <v>10560000</v>
      </c>
    </row>
    <row r="502" ht="13.85" spans="1:6">
      <c r="A502">
        <f t="shared" si="28"/>
        <v>501</v>
      </c>
      <c r="B502" s="14"/>
      <c r="C502" s="15">
        <v>27</v>
      </c>
      <c r="D502">
        <f t="shared" si="29"/>
        <v>27</v>
      </c>
      <c r="E502">
        <f t="shared" si="30"/>
        <v>27000000</v>
      </c>
      <c r="F502">
        <f t="shared" si="31"/>
        <v>12960000</v>
      </c>
    </row>
    <row r="503" ht="13.85" spans="1:6">
      <c r="A503">
        <f t="shared" si="28"/>
        <v>502</v>
      </c>
      <c r="B503" s="12"/>
      <c r="C503" s="13">
        <v>36</v>
      </c>
      <c r="D503">
        <f t="shared" si="29"/>
        <v>36</v>
      </c>
      <c r="E503">
        <f t="shared" si="30"/>
        <v>36000000</v>
      </c>
      <c r="F503">
        <f t="shared" si="31"/>
        <v>17280000</v>
      </c>
    </row>
    <row r="504" ht="13.85" spans="1:6">
      <c r="A504">
        <f t="shared" si="28"/>
        <v>503</v>
      </c>
      <c r="B504" s="10"/>
      <c r="C504" s="11">
        <v>44</v>
      </c>
      <c r="D504">
        <f t="shared" si="29"/>
        <v>44</v>
      </c>
      <c r="E504">
        <f t="shared" si="30"/>
        <v>44000000</v>
      </c>
      <c r="F504">
        <f t="shared" si="31"/>
        <v>21120000</v>
      </c>
    </row>
    <row r="505" ht="13.85" spans="1:6">
      <c r="A505">
        <f t="shared" si="28"/>
        <v>504</v>
      </c>
      <c r="B505" s="10"/>
      <c r="C505" s="11">
        <v>51</v>
      </c>
      <c r="D505">
        <f t="shared" si="29"/>
        <v>51</v>
      </c>
      <c r="E505">
        <f t="shared" si="30"/>
        <v>51000000</v>
      </c>
      <c r="F505">
        <f t="shared" si="31"/>
        <v>24480000</v>
      </c>
    </row>
    <row r="506" ht="13.85" spans="1:6">
      <c r="A506">
        <f t="shared" si="28"/>
        <v>505</v>
      </c>
      <c r="B506" s="10"/>
      <c r="C506" s="11">
        <v>60</v>
      </c>
      <c r="D506">
        <f t="shared" si="29"/>
        <v>60</v>
      </c>
      <c r="E506">
        <f t="shared" si="30"/>
        <v>60000000</v>
      </c>
      <c r="F506">
        <f t="shared" si="31"/>
        <v>28800000</v>
      </c>
    </row>
    <row r="507" ht="13.85" spans="1:6">
      <c r="A507">
        <f t="shared" si="28"/>
        <v>506</v>
      </c>
      <c r="B507" s="10"/>
      <c r="C507" s="11">
        <v>72</v>
      </c>
      <c r="D507">
        <f t="shared" si="29"/>
        <v>72</v>
      </c>
      <c r="E507">
        <f t="shared" si="30"/>
        <v>72000000</v>
      </c>
      <c r="F507">
        <f t="shared" si="31"/>
        <v>34560000</v>
      </c>
    </row>
    <row r="508" ht="13.85" spans="1:6">
      <c r="A508">
        <f t="shared" si="28"/>
        <v>507</v>
      </c>
      <c r="B508" s="10"/>
      <c r="C508" s="11">
        <v>84</v>
      </c>
      <c r="D508">
        <f t="shared" si="29"/>
        <v>84</v>
      </c>
      <c r="E508">
        <f t="shared" si="30"/>
        <v>84000000</v>
      </c>
      <c r="F508">
        <f t="shared" si="31"/>
        <v>40320000</v>
      </c>
    </row>
    <row r="509" ht="13.85" spans="1:6">
      <c r="A509">
        <f t="shared" si="28"/>
        <v>508</v>
      </c>
      <c r="B509" s="10"/>
      <c r="C509" s="11">
        <v>10</v>
      </c>
      <c r="D509">
        <f t="shared" si="29"/>
        <v>10</v>
      </c>
      <c r="E509">
        <f t="shared" si="30"/>
        <v>10000000</v>
      </c>
      <c r="F509">
        <f t="shared" si="31"/>
        <v>4800000</v>
      </c>
    </row>
    <row r="510" ht="13.85" spans="1:6">
      <c r="A510">
        <f t="shared" si="28"/>
        <v>509</v>
      </c>
      <c r="B510" s="10"/>
      <c r="C510" s="11">
        <v>12</v>
      </c>
      <c r="D510">
        <f t="shared" si="29"/>
        <v>12</v>
      </c>
      <c r="E510">
        <f t="shared" si="30"/>
        <v>12000000</v>
      </c>
      <c r="F510">
        <f t="shared" si="31"/>
        <v>5760000</v>
      </c>
    </row>
    <row r="511" ht="13.85" spans="1:6">
      <c r="A511">
        <f t="shared" si="28"/>
        <v>510</v>
      </c>
      <c r="B511" s="10"/>
      <c r="C511" s="11">
        <v>17</v>
      </c>
      <c r="D511">
        <f t="shared" si="29"/>
        <v>17</v>
      </c>
      <c r="E511">
        <f t="shared" si="30"/>
        <v>17000000</v>
      </c>
      <c r="F511">
        <f t="shared" si="31"/>
        <v>8160000</v>
      </c>
    </row>
    <row r="512" ht="13.85" spans="1:6">
      <c r="A512">
        <f t="shared" si="28"/>
        <v>511</v>
      </c>
      <c r="B512" s="10"/>
      <c r="C512" s="11">
        <v>23</v>
      </c>
      <c r="D512">
        <f t="shared" si="29"/>
        <v>23</v>
      </c>
      <c r="E512">
        <f t="shared" si="30"/>
        <v>23000000</v>
      </c>
      <c r="F512">
        <f t="shared" si="31"/>
        <v>11040000</v>
      </c>
    </row>
    <row r="513" ht="13.85" spans="1:6">
      <c r="A513">
        <f t="shared" si="28"/>
        <v>512</v>
      </c>
      <c r="B513" s="10"/>
      <c r="C513" s="11">
        <v>29</v>
      </c>
      <c r="D513">
        <f t="shared" si="29"/>
        <v>29</v>
      </c>
      <c r="E513">
        <f t="shared" si="30"/>
        <v>29000000</v>
      </c>
      <c r="F513">
        <f t="shared" si="31"/>
        <v>13920000</v>
      </c>
    </row>
    <row r="514" ht="13.85" spans="1:6">
      <c r="A514">
        <f t="shared" ref="A514:A577" si="32">ROW()-1</f>
        <v>513</v>
      </c>
      <c r="B514" s="10"/>
      <c r="C514" s="11">
        <v>37</v>
      </c>
      <c r="D514">
        <f t="shared" ref="D514:D577" si="33">IF(RIGHT(C514,1)="B",VALUE(LEFT(C514,LEN(C514)-1))*1000,C514)</f>
        <v>37</v>
      </c>
      <c r="E514">
        <f t="shared" ref="E514:E577" si="34">D514*1000000</f>
        <v>37000000</v>
      </c>
      <c r="F514">
        <f t="shared" ref="F514:F577" si="35">E514*0.48</f>
        <v>17760000</v>
      </c>
    </row>
    <row r="515" ht="13.85" spans="1:6">
      <c r="A515">
        <f t="shared" si="32"/>
        <v>514</v>
      </c>
      <c r="B515" s="10"/>
      <c r="C515" s="11">
        <v>44</v>
      </c>
      <c r="D515">
        <f t="shared" si="33"/>
        <v>44</v>
      </c>
      <c r="E515">
        <f t="shared" si="34"/>
        <v>44000000</v>
      </c>
      <c r="F515">
        <f t="shared" si="35"/>
        <v>21120000</v>
      </c>
    </row>
    <row r="516" ht="13.85" spans="1:6">
      <c r="A516">
        <f t="shared" si="32"/>
        <v>515</v>
      </c>
      <c r="B516" s="10"/>
      <c r="C516" s="11">
        <v>52</v>
      </c>
      <c r="D516">
        <f t="shared" si="33"/>
        <v>52</v>
      </c>
      <c r="E516">
        <f t="shared" si="34"/>
        <v>52000000</v>
      </c>
      <c r="F516">
        <f t="shared" si="35"/>
        <v>24960000</v>
      </c>
    </row>
    <row r="517" ht="13.85" spans="1:6">
      <c r="A517">
        <f t="shared" si="32"/>
        <v>516</v>
      </c>
      <c r="B517" s="10"/>
      <c r="C517" s="11">
        <v>60</v>
      </c>
      <c r="D517">
        <f t="shared" si="33"/>
        <v>60</v>
      </c>
      <c r="E517">
        <f t="shared" si="34"/>
        <v>60000000</v>
      </c>
      <c r="F517">
        <f t="shared" si="35"/>
        <v>28800000</v>
      </c>
    </row>
    <row r="518" ht="13.85" spans="1:6">
      <c r="A518">
        <f t="shared" si="32"/>
        <v>517</v>
      </c>
      <c r="B518" s="10"/>
      <c r="C518" s="11">
        <v>69</v>
      </c>
      <c r="D518">
        <f t="shared" si="33"/>
        <v>69</v>
      </c>
      <c r="E518">
        <f t="shared" si="34"/>
        <v>69000000</v>
      </c>
      <c r="F518">
        <f t="shared" si="35"/>
        <v>33120000</v>
      </c>
    </row>
    <row r="519" ht="13.85" spans="1:6">
      <c r="A519">
        <f t="shared" si="32"/>
        <v>518</v>
      </c>
      <c r="B519" s="10"/>
      <c r="C519" s="11">
        <v>80</v>
      </c>
      <c r="D519">
        <f t="shared" si="33"/>
        <v>80</v>
      </c>
      <c r="E519">
        <f t="shared" si="34"/>
        <v>80000000</v>
      </c>
      <c r="F519">
        <f t="shared" si="35"/>
        <v>38400000</v>
      </c>
    </row>
    <row r="520" ht="13.85" spans="1:6">
      <c r="A520">
        <f t="shared" si="32"/>
        <v>519</v>
      </c>
      <c r="B520" s="10"/>
      <c r="C520" s="11">
        <v>90</v>
      </c>
      <c r="D520">
        <f t="shared" si="33"/>
        <v>90</v>
      </c>
      <c r="E520">
        <f t="shared" si="34"/>
        <v>90000000</v>
      </c>
      <c r="F520">
        <f t="shared" si="35"/>
        <v>43200000</v>
      </c>
    </row>
    <row r="521" ht="13.85" spans="1:6">
      <c r="A521">
        <f t="shared" si="32"/>
        <v>520</v>
      </c>
      <c r="B521" s="10"/>
      <c r="C521" s="11">
        <v>101</v>
      </c>
      <c r="D521">
        <f t="shared" si="33"/>
        <v>101</v>
      </c>
      <c r="E521">
        <f t="shared" si="34"/>
        <v>101000000</v>
      </c>
      <c r="F521">
        <f t="shared" si="35"/>
        <v>48480000</v>
      </c>
    </row>
    <row r="522" ht="13.85" spans="1:6">
      <c r="A522">
        <f t="shared" si="32"/>
        <v>521</v>
      </c>
      <c r="B522" s="10"/>
      <c r="C522" s="11">
        <v>125</v>
      </c>
      <c r="D522">
        <f t="shared" si="33"/>
        <v>125</v>
      </c>
      <c r="E522">
        <f t="shared" si="34"/>
        <v>125000000</v>
      </c>
      <c r="F522">
        <f t="shared" si="35"/>
        <v>60000000</v>
      </c>
    </row>
    <row r="523" ht="13.85" spans="1:6">
      <c r="A523">
        <f t="shared" si="32"/>
        <v>522</v>
      </c>
      <c r="B523" s="10"/>
      <c r="C523" s="11">
        <v>160</v>
      </c>
      <c r="D523">
        <f t="shared" si="33"/>
        <v>160</v>
      </c>
      <c r="E523">
        <f t="shared" si="34"/>
        <v>160000000</v>
      </c>
      <c r="F523">
        <f t="shared" si="35"/>
        <v>76800000</v>
      </c>
    </row>
    <row r="524" ht="13.85" spans="1:6">
      <c r="A524">
        <f t="shared" si="32"/>
        <v>523</v>
      </c>
      <c r="B524" s="10"/>
      <c r="C524" s="11">
        <v>215</v>
      </c>
      <c r="D524">
        <f t="shared" si="33"/>
        <v>215</v>
      </c>
      <c r="E524">
        <f t="shared" si="34"/>
        <v>215000000</v>
      </c>
      <c r="F524">
        <f t="shared" si="35"/>
        <v>103200000</v>
      </c>
    </row>
    <row r="525" ht="13.85" spans="1:6">
      <c r="A525">
        <f t="shared" si="32"/>
        <v>524</v>
      </c>
      <c r="B525" s="10"/>
      <c r="C525" s="11">
        <v>280</v>
      </c>
      <c r="D525">
        <f t="shared" si="33"/>
        <v>280</v>
      </c>
      <c r="E525">
        <f t="shared" si="34"/>
        <v>280000000</v>
      </c>
      <c r="F525">
        <f t="shared" si="35"/>
        <v>134400000</v>
      </c>
    </row>
    <row r="526" ht="13.85" spans="1:6">
      <c r="A526">
        <f t="shared" si="32"/>
        <v>525</v>
      </c>
      <c r="B526" s="10"/>
      <c r="C526" s="11">
        <v>10</v>
      </c>
      <c r="D526">
        <f t="shared" si="33"/>
        <v>10</v>
      </c>
      <c r="E526">
        <f t="shared" si="34"/>
        <v>10000000</v>
      </c>
      <c r="F526">
        <f t="shared" si="35"/>
        <v>4800000</v>
      </c>
    </row>
    <row r="527" ht="13.85" spans="1:6">
      <c r="A527">
        <f t="shared" si="32"/>
        <v>526</v>
      </c>
      <c r="B527" s="10"/>
      <c r="C527" s="11">
        <v>12</v>
      </c>
      <c r="D527">
        <f t="shared" si="33"/>
        <v>12</v>
      </c>
      <c r="E527">
        <f t="shared" si="34"/>
        <v>12000000</v>
      </c>
      <c r="F527">
        <f t="shared" si="35"/>
        <v>5760000</v>
      </c>
    </row>
    <row r="528" ht="13.85" spans="1:6">
      <c r="A528">
        <f t="shared" si="32"/>
        <v>527</v>
      </c>
      <c r="B528" s="10"/>
      <c r="C528" s="11">
        <v>20</v>
      </c>
      <c r="D528">
        <f t="shared" si="33"/>
        <v>20</v>
      </c>
      <c r="E528">
        <f t="shared" si="34"/>
        <v>20000000</v>
      </c>
      <c r="F528">
        <f t="shared" si="35"/>
        <v>9600000</v>
      </c>
    </row>
    <row r="529" ht="13.85" spans="1:6">
      <c r="A529">
        <f t="shared" si="32"/>
        <v>528</v>
      </c>
      <c r="B529" s="10"/>
      <c r="C529" s="11">
        <v>29</v>
      </c>
      <c r="D529">
        <f t="shared" si="33"/>
        <v>29</v>
      </c>
      <c r="E529">
        <f t="shared" si="34"/>
        <v>29000000</v>
      </c>
      <c r="F529">
        <f t="shared" si="35"/>
        <v>13920000</v>
      </c>
    </row>
    <row r="530" ht="13.85" spans="1:6">
      <c r="A530">
        <f t="shared" si="32"/>
        <v>529</v>
      </c>
      <c r="B530" s="10"/>
      <c r="C530" s="11">
        <v>38</v>
      </c>
      <c r="D530">
        <f t="shared" si="33"/>
        <v>38</v>
      </c>
      <c r="E530">
        <f t="shared" si="34"/>
        <v>38000000</v>
      </c>
      <c r="F530">
        <f t="shared" si="35"/>
        <v>18240000</v>
      </c>
    </row>
    <row r="531" ht="13.85" spans="1:6">
      <c r="A531">
        <f t="shared" si="32"/>
        <v>530</v>
      </c>
      <c r="B531" s="10"/>
      <c r="C531" s="11">
        <v>47</v>
      </c>
      <c r="D531">
        <f t="shared" si="33"/>
        <v>47</v>
      </c>
      <c r="E531">
        <f t="shared" si="34"/>
        <v>47000000</v>
      </c>
      <c r="F531">
        <f t="shared" si="35"/>
        <v>22560000</v>
      </c>
    </row>
    <row r="532" ht="13.85" spans="1:6">
      <c r="A532">
        <f t="shared" si="32"/>
        <v>531</v>
      </c>
      <c r="B532" s="10"/>
      <c r="C532" s="11">
        <v>57</v>
      </c>
      <c r="D532">
        <f t="shared" si="33"/>
        <v>57</v>
      </c>
      <c r="E532">
        <f t="shared" si="34"/>
        <v>57000000</v>
      </c>
      <c r="F532">
        <f t="shared" si="35"/>
        <v>27360000</v>
      </c>
    </row>
    <row r="533" ht="13.85" spans="1:6">
      <c r="A533">
        <f t="shared" si="32"/>
        <v>532</v>
      </c>
      <c r="B533" s="10"/>
      <c r="C533" s="11">
        <v>67</v>
      </c>
      <c r="D533">
        <f t="shared" si="33"/>
        <v>67</v>
      </c>
      <c r="E533">
        <f t="shared" si="34"/>
        <v>67000000</v>
      </c>
      <c r="F533">
        <f t="shared" si="35"/>
        <v>32160000</v>
      </c>
    </row>
    <row r="534" ht="13.85" spans="1:6">
      <c r="A534">
        <f t="shared" si="32"/>
        <v>533</v>
      </c>
      <c r="B534" s="10"/>
      <c r="C534" s="11">
        <v>77</v>
      </c>
      <c r="D534">
        <f t="shared" si="33"/>
        <v>77</v>
      </c>
      <c r="E534">
        <f t="shared" si="34"/>
        <v>77000000</v>
      </c>
      <c r="F534">
        <f t="shared" si="35"/>
        <v>36960000</v>
      </c>
    </row>
    <row r="535" ht="13.85" spans="1:6">
      <c r="A535">
        <f t="shared" si="32"/>
        <v>534</v>
      </c>
      <c r="B535" s="10"/>
      <c r="C535" s="11">
        <v>86</v>
      </c>
      <c r="D535">
        <f t="shared" si="33"/>
        <v>86</v>
      </c>
      <c r="E535">
        <f t="shared" si="34"/>
        <v>86000000</v>
      </c>
      <c r="F535">
        <f t="shared" si="35"/>
        <v>41280000</v>
      </c>
    </row>
    <row r="536" ht="13.85" spans="1:6">
      <c r="A536">
        <f t="shared" si="32"/>
        <v>535</v>
      </c>
      <c r="B536" s="10"/>
      <c r="C536" s="11">
        <v>100</v>
      </c>
      <c r="D536">
        <f t="shared" si="33"/>
        <v>100</v>
      </c>
      <c r="E536">
        <f t="shared" si="34"/>
        <v>100000000</v>
      </c>
      <c r="F536">
        <f t="shared" si="35"/>
        <v>48000000</v>
      </c>
    </row>
    <row r="537" ht="13.85" spans="1:6">
      <c r="A537">
        <f t="shared" si="32"/>
        <v>536</v>
      </c>
      <c r="B537" s="10"/>
      <c r="C537" s="11">
        <v>10</v>
      </c>
      <c r="D537">
        <f t="shared" si="33"/>
        <v>10</v>
      </c>
      <c r="E537">
        <f t="shared" si="34"/>
        <v>10000000</v>
      </c>
      <c r="F537">
        <f t="shared" si="35"/>
        <v>4800000</v>
      </c>
    </row>
    <row r="538" ht="13.85" spans="1:6">
      <c r="A538">
        <f t="shared" si="32"/>
        <v>537</v>
      </c>
      <c r="B538" s="10"/>
      <c r="C538" s="11">
        <v>12</v>
      </c>
      <c r="D538">
        <f t="shared" si="33"/>
        <v>12</v>
      </c>
      <c r="E538">
        <f t="shared" si="34"/>
        <v>12000000</v>
      </c>
      <c r="F538">
        <f t="shared" si="35"/>
        <v>5760000</v>
      </c>
    </row>
    <row r="539" ht="13.85" spans="1:6">
      <c r="A539">
        <f t="shared" si="32"/>
        <v>538</v>
      </c>
      <c r="B539" s="10"/>
      <c r="C539" s="11">
        <v>20</v>
      </c>
      <c r="D539">
        <f t="shared" si="33"/>
        <v>20</v>
      </c>
      <c r="E539">
        <f t="shared" si="34"/>
        <v>20000000</v>
      </c>
      <c r="F539">
        <f t="shared" si="35"/>
        <v>9600000</v>
      </c>
    </row>
    <row r="540" ht="13.85" spans="1:6">
      <c r="A540">
        <f t="shared" si="32"/>
        <v>539</v>
      </c>
      <c r="B540" s="10"/>
      <c r="C540" s="11">
        <v>27</v>
      </c>
      <c r="D540">
        <f t="shared" si="33"/>
        <v>27</v>
      </c>
      <c r="E540">
        <f t="shared" si="34"/>
        <v>27000000</v>
      </c>
      <c r="F540">
        <f t="shared" si="35"/>
        <v>12960000</v>
      </c>
    </row>
    <row r="541" ht="13.85" spans="1:6">
      <c r="A541">
        <f t="shared" si="32"/>
        <v>540</v>
      </c>
      <c r="B541" s="10"/>
      <c r="C541" s="11">
        <v>34</v>
      </c>
      <c r="D541">
        <f t="shared" si="33"/>
        <v>34</v>
      </c>
      <c r="E541">
        <f t="shared" si="34"/>
        <v>34000000</v>
      </c>
      <c r="F541">
        <f t="shared" si="35"/>
        <v>16320000</v>
      </c>
    </row>
    <row r="542" ht="13.85" spans="1:6">
      <c r="A542">
        <f t="shared" si="32"/>
        <v>541</v>
      </c>
      <c r="B542" s="10"/>
      <c r="C542" s="11">
        <v>42</v>
      </c>
      <c r="D542">
        <f t="shared" si="33"/>
        <v>42</v>
      </c>
      <c r="E542">
        <f t="shared" si="34"/>
        <v>42000000</v>
      </c>
      <c r="F542">
        <f t="shared" si="35"/>
        <v>20160000</v>
      </c>
    </row>
    <row r="543" ht="13.85" spans="1:6">
      <c r="A543">
        <f t="shared" si="32"/>
        <v>542</v>
      </c>
      <c r="B543" s="10"/>
      <c r="C543" s="11">
        <v>10</v>
      </c>
      <c r="D543">
        <f t="shared" si="33"/>
        <v>10</v>
      </c>
      <c r="E543">
        <f t="shared" si="34"/>
        <v>10000000</v>
      </c>
      <c r="F543">
        <f t="shared" si="35"/>
        <v>4800000</v>
      </c>
    </row>
    <row r="544" ht="13.85" spans="1:6">
      <c r="A544">
        <f t="shared" si="32"/>
        <v>543</v>
      </c>
      <c r="B544" s="10"/>
      <c r="C544" s="11">
        <v>12</v>
      </c>
      <c r="D544">
        <f t="shared" si="33"/>
        <v>12</v>
      </c>
      <c r="E544">
        <f t="shared" si="34"/>
        <v>12000000</v>
      </c>
      <c r="F544">
        <f t="shared" si="35"/>
        <v>5760000</v>
      </c>
    </row>
    <row r="545" ht="13.85" spans="1:6">
      <c r="A545">
        <f t="shared" si="32"/>
        <v>544</v>
      </c>
      <c r="B545" s="10"/>
      <c r="C545" s="11">
        <v>17</v>
      </c>
      <c r="D545">
        <f t="shared" si="33"/>
        <v>17</v>
      </c>
      <c r="E545">
        <f t="shared" si="34"/>
        <v>17000000</v>
      </c>
      <c r="F545">
        <f t="shared" si="35"/>
        <v>8160000</v>
      </c>
    </row>
    <row r="546" ht="13.85" spans="1:6">
      <c r="A546">
        <f t="shared" si="32"/>
        <v>545</v>
      </c>
      <c r="B546" s="10"/>
      <c r="C546" s="11">
        <v>24</v>
      </c>
      <c r="D546">
        <f t="shared" si="33"/>
        <v>24</v>
      </c>
      <c r="E546">
        <f t="shared" si="34"/>
        <v>24000000</v>
      </c>
      <c r="F546">
        <f t="shared" si="35"/>
        <v>11520000</v>
      </c>
    </row>
    <row r="547" ht="13.85" spans="1:6">
      <c r="A547">
        <f t="shared" si="32"/>
        <v>546</v>
      </c>
      <c r="B547" s="10"/>
      <c r="C547" s="11">
        <v>30</v>
      </c>
      <c r="D547">
        <f t="shared" si="33"/>
        <v>30</v>
      </c>
      <c r="E547">
        <f t="shared" si="34"/>
        <v>30000000</v>
      </c>
      <c r="F547">
        <f t="shared" si="35"/>
        <v>14400000</v>
      </c>
    </row>
    <row r="548" ht="13.85" spans="1:6">
      <c r="A548">
        <f t="shared" si="32"/>
        <v>547</v>
      </c>
      <c r="B548" s="10"/>
      <c r="C548" s="11">
        <v>38</v>
      </c>
      <c r="D548">
        <f t="shared" si="33"/>
        <v>38</v>
      </c>
      <c r="E548">
        <f t="shared" si="34"/>
        <v>38000000</v>
      </c>
      <c r="F548">
        <f t="shared" si="35"/>
        <v>18240000</v>
      </c>
    </row>
    <row r="549" ht="13.85" spans="1:6">
      <c r="A549">
        <f t="shared" si="32"/>
        <v>548</v>
      </c>
      <c r="B549" s="10"/>
      <c r="C549" s="11">
        <v>45</v>
      </c>
      <c r="D549">
        <f t="shared" si="33"/>
        <v>45</v>
      </c>
      <c r="E549">
        <f t="shared" si="34"/>
        <v>45000000</v>
      </c>
      <c r="F549">
        <f t="shared" si="35"/>
        <v>21600000</v>
      </c>
    </row>
    <row r="550" ht="13.85" spans="1:6">
      <c r="A550">
        <f t="shared" si="32"/>
        <v>549</v>
      </c>
      <c r="B550" s="10"/>
      <c r="C550" s="11">
        <v>53</v>
      </c>
      <c r="D550">
        <f t="shared" si="33"/>
        <v>53</v>
      </c>
      <c r="E550">
        <f t="shared" si="34"/>
        <v>53000000</v>
      </c>
      <c r="F550">
        <f t="shared" si="35"/>
        <v>25440000</v>
      </c>
    </row>
    <row r="551" ht="13.85" spans="1:6">
      <c r="A551">
        <f t="shared" si="32"/>
        <v>550</v>
      </c>
      <c r="B551" s="10"/>
      <c r="C551" s="11">
        <v>62</v>
      </c>
      <c r="D551">
        <f t="shared" si="33"/>
        <v>62</v>
      </c>
      <c r="E551">
        <f t="shared" si="34"/>
        <v>62000000</v>
      </c>
      <c r="F551">
        <f t="shared" si="35"/>
        <v>29760000</v>
      </c>
    </row>
    <row r="552" ht="13.85" spans="1:6">
      <c r="A552">
        <f t="shared" si="32"/>
        <v>551</v>
      </c>
      <c r="B552" s="10"/>
      <c r="C552" s="11">
        <v>10</v>
      </c>
      <c r="D552">
        <f t="shared" si="33"/>
        <v>10</v>
      </c>
      <c r="E552">
        <f t="shared" si="34"/>
        <v>10000000</v>
      </c>
      <c r="F552">
        <f t="shared" si="35"/>
        <v>4800000</v>
      </c>
    </row>
    <row r="553" ht="13.85" spans="1:6">
      <c r="A553">
        <f t="shared" si="32"/>
        <v>552</v>
      </c>
      <c r="B553" s="10"/>
      <c r="C553" s="11">
        <v>12</v>
      </c>
      <c r="D553">
        <f t="shared" si="33"/>
        <v>12</v>
      </c>
      <c r="E553">
        <f t="shared" si="34"/>
        <v>12000000</v>
      </c>
      <c r="F553">
        <f t="shared" si="35"/>
        <v>5760000</v>
      </c>
    </row>
    <row r="554" ht="13.85" spans="1:6">
      <c r="A554">
        <f t="shared" si="32"/>
        <v>553</v>
      </c>
      <c r="B554" s="10"/>
      <c r="C554" s="11">
        <v>18</v>
      </c>
      <c r="D554">
        <f t="shared" si="33"/>
        <v>18</v>
      </c>
      <c r="E554">
        <f t="shared" si="34"/>
        <v>18000000</v>
      </c>
      <c r="F554">
        <f t="shared" si="35"/>
        <v>8640000</v>
      </c>
    </row>
    <row r="555" ht="13.85" spans="1:6">
      <c r="A555">
        <f t="shared" si="32"/>
        <v>554</v>
      </c>
      <c r="B555" s="10"/>
      <c r="C555" s="11">
        <v>24</v>
      </c>
      <c r="D555">
        <f t="shared" si="33"/>
        <v>24</v>
      </c>
      <c r="E555">
        <f t="shared" si="34"/>
        <v>24000000</v>
      </c>
      <c r="F555">
        <f t="shared" si="35"/>
        <v>11520000</v>
      </c>
    </row>
    <row r="556" ht="13.85" spans="1:6">
      <c r="A556">
        <f t="shared" si="32"/>
        <v>555</v>
      </c>
      <c r="B556" s="10"/>
      <c r="C556" s="11">
        <v>30</v>
      </c>
      <c r="D556">
        <f t="shared" si="33"/>
        <v>30</v>
      </c>
      <c r="E556">
        <f t="shared" si="34"/>
        <v>30000000</v>
      </c>
      <c r="F556">
        <f t="shared" si="35"/>
        <v>14400000</v>
      </c>
    </row>
    <row r="557" ht="13.85" spans="1:6">
      <c r="A557">
        <f t="shared" si="32"/>
        <v>556</v>
      </c>
      <c r="B557" s="10"/>
      <c r="C557" s="11">
        <v>37</v>
      </c>
      <c r="D557">
        <f t="shared" si="33"/>
        <v>37</v>
      </c>
      <c r="E557">
        <f t="shared" si="34"/>
        <v>37000000</v>
      </c>
      <c r="F557">
        <f t="shared" si="35"/>
        <v>17760000</v>
      </c>
    </row>
    <row r="558" ht="13.85" spans="1:6">
      <c r="A558">
        <f t="shared" si="32"/>
        <v>557</v>
      </c>
      <c r="B558" s="10"/>
      <c r="C558" s="11">
        <v>44</v>
      </c>
      <c r="D558">
        <f t="shared" si="33"/>
        <v>44</v>
      </c>
      <c r="E558">
        <f t="shared" si="34"/>
        <v>44000000</v>
      </c>
      <c r="F558">
        <f t="shared" si="35"/>
        <v>21120000</v>
      </c>
    </row>
    <row r="559" ht="13.85" spans="1:6">
      <c r="A559">
        <f t="shared" si="32"/>
        <v>558</v>
      </c>
      <c r="B559" s="10"/>
      <c r="C559" s="11">
        <v>51</v>
      </c>
      <c r="D559">
        <f t="shared" si="33"/>
        <v>51</v>
      </c>
      <c r="E559">
        <f t="shared" si="34"/>
        <v>51000000</v>
      </c>
      <c r="F559">
        <f t="shared" si="35"/>
        <v>24480000</v>
      </c>
    </row>
    <row r="560" ht="13.85" spans="1:6">
      <c r="A560">
        <f t="shared" si="32"/>
        <v>559</v>
      </c>
      <c r="B560" s="10"/>
      <c r="C560" s="11">
        <v>59</v>
      </c>
      <c r="D560">
        <f t="shared" si="33"/>
        <v>59</v>
      </c>
      <c r="E560">
        <f t="shared" si="34"/>
        <v>59000000</v>
      </c>
      <c r="F560">
        <f t="shared" si="35"/>
        <v>28320000</v>
      </c>
    </row>
    <row r="561" ht="13.85" spans="1:6">
      <c r="A561">
        <f t="shared" si="32"/>
        <v>560</v>
      </c>
      <c r="B561" s="10"/>
      <c r="C561" s="11">
        <v>67</v>
      </c>
      <c r="D561">
        <f t="shared" si="33"/>
        <v>67</v>
      </c>
      <c r="E561">
        <f t="shared" si="34"/>
        <v>67000000</v>
      </c>
      <c r="F561">
        <f t="shared" si="35"/>
        <v>32160000</v>
      </c>
    </row>
    <row r="562" ht="13.85" spans="1:6">
      <c r="A562">
        <f t="shared" si="32"/>
        <v>561</v>
      </c>
      <c r="B562" s="10"/>
      <c r="C562" s="11">
        <v>77</v>
      </c>
      <c r="D562">
        <f t="shared" si="33"/>
        <v>77</v>
      </c>
      <c r="E562">
        <f t="shared" si="34"/>
        <v>77000000</v>
      </c>
      <c r="F562">
        <f t="shared" si="35"/>
        <v>36960000</v>
      </c>
    </row>
    <row r="563" ht="13.85" spans="1:6">
      <c r="A563">
        <f t="shared" si="32"/>
        <v>562</v>
      </c>
      <c r="B563" s="10"/>
      <c r="C563" s="11">
        <v>87</v>
      </c>
      <c r="D563">
        <f t="shared" si="33"/>
        <v>87</v>
      </c>
      <c r="E563">
        <f t="shared" si="34"/>
        <v>87000000</v>
      </c>
      <c r="F563">
        <f t="shared" si="35"/>
        <v>41760000</v>
      </c>
    </row>
    <row r="564" ht="13.85" spans="1:6">
      <c r="A564">
        <f t="shared" si="32"/>
        <v>563</v>
      </c>
      <c r="B564" s="10"/>
      <c r="C564" s="11">
        <v>10</v>
      </c>
      <c r="D564">
        <f t="shared" si="33"/>
        <v>10</v>
      </c>
      <c r="E564">
        <f t="shared" si="34"/>
        <v>10000000</v>
      </c>
      <c r="F564">
        <f t="shared" si="35"/>
        <v>4800000</v>
      </c>
    </row>
    <row r="565" ht="13.85" spans="1:6">
      <c r="A565">
        <f t="shared" si="32"/>
        <v>564</v>
      </c>
      <c r="B565" s="10"/>
      <c r="C565" s="11">
        <v>12</v>
      </c>
      <c r="D565">
        <f t="shared" si="33"/>
        <v>12</v>
      </c>
      <c r="E565">
        <f t="shared" si="34"/>
        <v>12000000</v>
      </c>
      <c r="F565">
        <f t="shared" si="35"/>
        <v>5760000</v>
      </c>
    </row>
    <row r="566" ht="13.85" spans="1:6">
      <c r="A566">
        <f t="shared" si="32"/>
        <v>565</v>
      </c>
      <c r="B566" s="10"/>
      <c r="C566" s="11">
        <v>18</v>
      </c>
      <c r="D566">
        <f t="shared" si="33"/>
        <v>18</v>
      </c>
      <c r="E566">
        <f t="shared" si="34"/>
        <v>18000000</v>
      </c>
      <c r="F566">
        <f t="shared" si="35"/>
        <v>8640000</v>
      </c>
    </row>
    <row r="567" ht="13.85" spans="1:6">
      <c r="A567">
        <f t="shared" si="32"/>
        <v>566</v>
      </c>
      <c r="B567" s="10"/>
      <c r="C567" s="11">
        <v>23</v>
      </c>
      <c r="D567">
        <f t="shared" si="33"/>
        <v>23</v>
      </c>
      <c r="E567">
        <f t="shared" si="34"/>
        <v>23000000</v>
      </c>
      <c r="F567">
        <f t="shared" si="35"/>
        <v>11040000</v>
      </c>
    </row>
    <row r="568" ht="13.85" spans="1:6">
      <c r="A568">
        <f t="shared" si="32"/>
        <v>567</v>
      </c>
      <c r="B568" s="10"/>
      <c r="C568" s="11">
        <v>29</v>
      </c>
      <c r="D568">
        <f t="shared" si="33"/>
        <v>29</v>
      </c>
      <c r="E568">
        <f t="shared" si="34"/>
        <v>29000000</v>
      </c>
      <c r="F568">
        <f t="shared" si="35"/>
        <v>13920000</v>
      </c>
    </row>
    <row r="569" ht="13.85" spans="1:6">
      <c r="A569">
        <f t="shared" si="32"/>
        <v>568</v>
      </c>
      <c r="B569" s="10"/>
      <c r="C569" s="11">
        <v>35</v>
      </c>
      <c r="D569">
        <f t="shared" si="33"/>
        <v>35</v>
      </c>
      <c r="E569">
        <f t="shared" si="34"/>
        <v>35000000</v>
      </c>
      <c r="F569">
        <f t="shared" si="35"/>
        <v>16800000</v>
      </c>
    </row>
    <row r="570" ht="13.85" spans="1:6">
      <c r="A570">
        <f t="shared" si="32"/>
        <v>569</v>
      </c>
      <c r="B570" s="10"/>
      <c r="C570" s="11">
        <v>42</v>
      </c>
      <c r="D570">
        <f t="shared" si="33"/>
        <v>42</v>
      </c>
      <c r="E570">
        <f t="shared" si="34"/>
        <v>42000000</v>
      </c>
      <c r="F570">
        <f t="shared" si="35"/>
        <v>20160000</v>
      </c>
    </row>
    <row r="571" ht="13.85" spans="1:6">
      <c r="A571">
        <f t="shared" si="32"/>
        <v>570</v>
      </c>
      <c r="B571" s="10"/>
      <c r="C571" s="11">
        <v>48</v>
      </c>
      <c r="D571">
        <f t="shared" si="33"/>
        <v>48</v>
      </c>
      <c r="E571">
        <f t="shared" si="34"/>
        <v>48000000</v>
      </c>
      <c r="F571">
        <f t="shared" si="35"/>
        <v>23040000</v>
      </c>
    </row>
    <row r="572" ht="13.85" spans="1:6">
      <c r="A572">
        <f t="shared" si="32"/>
        <v>571</v>
      </c>
      <c r="B572" s="10"/>
      <c r="C572" s="11">
        <v>57</v>
      </c>
      <c r="D572">
        <f t="shared" si="33"/>
        <v>57</v>
      </c>
      <c r="E572">
        <f t="shared" si="34"/>
        <v>57000000</v>
      </c>
      <c r="F572">
        <f t="shared" si="35"/>
        <v>27360000</v>
      </c>
    </row>
    <row r="573" ht="13.85" spans="1:6">
      <c r="A573">
        <f t="shared" si="32"/>
        <v>572</v>
      </c>
      <c r="B573" s="10"/>
      <c r="C573" s="11">
        <v>65</v>
      </c>
      <c r="D573">
        <f t="shared" si="33"/>
        <v>65</v>
      </c>
      <c r="E573">
        <f t="shared" si="34"/>
        <v>65000000</v>
      </c>
      <c r="F573">
        <f t="shared" si="35"/>
        <v>31200000</v>
      </c>
    </row>
    <row r="574" ht="13.85" spans="1:6">
      <c r="A574">
        <f t="shared" si="32"/>
        <v>573</v>
      </c>
      <c r="B574" s="10"/>
      <c r="C574" s="11">
        <v>75</v>
      </c>
      <c r="D574">
        <f t="shared" si="33"/>
        <v>75</v>
      </c>
      <c r="E574">
        <f t="shared" si="34"/>
        <v>75000000</v>
      </c>
      <c r="F574">
        <f t="shared" si="35"/>
        <v>36000000</v>
      </c>
    </row>
    <row r="575" ht="13.85" spans="1:6">
      <c r="A575">
        <f t="shared" si="32"/>
        <v>574</v>
      </c>
      <c r="B575" s="10"/>
      <c r="C575" s="11">
        <v>82</v>
      </c>
      <c r="D575">
        <f t="shared" si="33"/>
        <v>82</v>
      </c>
      <c r="E575">
        <f t="shared" si="34"/>
        <v>82000000</v>
      </c>
      <c r="F575">
        <f t="shared" si="35"/>
        <v>39360000</v>
      </c>
    </row>
    <row r="576" ht="13.85" spans="1:6">
      <c r="A576">
        <f t="shared" si="32"/>
        <v>575</v>
      </c>
      <c r="B576" s="10"/>
      <c r="C576" s="11">
        <v>95</v>
      </c>
      <c r="D576">
        <f t="shared" si="33"/>
        <v>95</v>
      </c>
      <c r="E576">
        <f t="shared" si="34"/>
        <v>95000000</v>
      </c>
      <c r="F576">
        <f t="shared" si="35"/>
        <v>45600000</v>
      </c>
    </row>
    <row r="577" ht="13.85" spans="1:6">
      <c r="A577">
        <f t="shared" si="32"/>
        <v>576</v>
      </c>
      <c r="B577" s="10"/>
      <c r="C577" s="11">
        <v>110</v>
      </c>
      <c r="D577">
        <f t="shared" si="33"/>
        <v>110</v>
      </c>
      <c r="E577">
        <f t="shared" si="34"/>
        <v>110000000</v>
      </c>
      <c r="F577">
        <f t="shared" si="35"/>
        <v>52800000</v>
      </c>
    </row>
    <row r="578" ht="13.85" spans="1:6">
      <c r="A578">
        <f t="shared" ref="A578:A641" si="36">ROW()-1</f>
        <v>577</v>
      </c>
      <c r="B578" s="10"/>
      <c r="C578" s="11">
        <v>135</v>
      </c>
      <c r="D578">
        <f t="shared" ref="D578:D641" si="37">IF(RIGHT(C578,1)="B",VALUE(LEFT(C578,LEN(C578)-1))*1000,C578)</f>
        <v>135</v>
      </c>
      <c r="E578">
        <f t="shared" ref="E578:E641" si="38">D578*1000000</f>
        <v>135000000</v>
      </c>
      <c r="F578">
        <f t="shared" ref="F578:F641" si="39">E578*0.48</f>
        <v>64800000</v>
      </c>
    </row>
    <row r="579" ht="13.85" spans="1:6">
      <c r="A579">
        <f t="shared" si="36"/>
        <v>578</v>
      </c>
      <c r="B579" s="10"/>
      <c r="C579" s="11">
        <v>165</v>
      </c>
      <c r="D579">
        <f t="shared" si="37"/>
        <v>165</v>
      </c>
      <c r="E579">
        <f t="shared" si="38"/>
        <v>165000000</v>
      </c>
      <c r="F579">
        <f t="shared" si="39"/>
        <v>79200000</v>
      </c>
    </row>
    <row r="580" ht="13.85" spans="1:6">
      <c r="A580">
        <f t="shared" si="36"/>
        <v>579</v>
      </c>
      <c r="B580" s="10"/>
      <c r="C580" s="11">
        <v>200</v>
      </c>
      <c r="D580">
        <f t="shared" si="37"/>
        <v>200</v>
      </c>
      <c r="E580">
        <f t="shared" si="38"/>
        <v>200000000</v>
      </c>
      <c r="F580">
        <f t="shared" si="39"/>
        <v>96000000</v>
      </c>
    </row>
    <row r="581" ht="13.85" spans="1:6">
      <c r="A581">
        <f t="shared" si="36"/>
        <v>580</v>
      </c>
      <c r="B581" s="10"/>
      <c r="C581" s="11">
        <v>240</v>
      </c>
      <c r="D581">
        <f t="shared" si="37"/>
        <v>240</v>
      </c>
      <c r="E581">
        <f t="shared" si="38"/>
        <v>240000000</v>
      </c>
      <c r="F581">
        <f t="shared" si="39"/>
        <v>115200000</v>
      </c>
    </row>
    <row r="582" ht="13.85" spans="1:6">
      <c r="A582">
        <f t="shared" si="36"/>
        <v>581</v>
      </c>
      <c r="B582" s="10"/>
      <c r="C582" s="11">
        <v>10</v>
      </c>
      <c r="D582">
        <f t="shared" si="37"/>
        <v>10</v>
      </c>
      <c r="E582">
        <f t="shared" si="38"/>
        <v>10000000</v>
      </c>
      <c r="F582">
        <f t="shared" si="39"/>
        <v>4800000</v>
      </c>
    </row>
    <row r="583" ht="13.85" spans="1:6">
      <c r="A583">
        <f t="shared" si="36"/>
        <v>582</v>
      </c>
      <c r="B583" s="10"/>
      <c r="C583" s="11">
        <v>14</v>
      </c>
      <c r="D583">
        <f t="shared" si="37"/>
        <v>14</v>
      </c>
      <c r="E583">
        <f t="shared" si="38"/>
        <v>14000000</v>
      </c>
      <c r="F583">
        <f t="shared" si="39"/>
        <v>6720000</v>
      </c>
    </row>
    <row r="584" ht="13.85" spans="1:6">
      <c r="A584">
        <f t="shared" si="36"/>
        <v>583</v>
      </c>
      <c r="B584" s="10"/>
      <c r="C584" s="11">
        <v>10</v>
      </c>
      <c r="D584">
        <f t="shared" si="37"/>
        <v>10</v>
      </c>
      <c r="E584">
        <f t="shared" si="38"/>
        <v>10000000</v>
      </c>
      <c r="F584">
        <f t="shared" si="39"/>
        <v>4800000</v>
      </c>
    </row>
    <row r="585" ht="13.85" spans="1:6">
      <c r="A585">
        <f t="shared" si="36"/>
        <v>584</v>
      </c>
      <c r="B585" s="10"/>
      <c r="C585" s="11">
        <v>12</v>
      </c>
      <c r="D585">
        <f t="shared" si="37"/>
        <v>12</v>
      </c>
      <c r="E585">
        <f t="shared" si="38"/>
        <v>12000000</v>
      </c>
      <c r="F585">
        <f t="shared" si="39"/>
        <v>5760000</v>
      </c>
    </row>
    <row r="586" ht="13.85" spans="1:6">
      <c r="A586">
        <f t="shared" si="36"/>
        <v>585</v>
      </c>
      <c r="B586" s="10"/>
      <c r="C586" s="11">
        <v>18</v>
      </c>
      <c r="D586">
        <f t="shared" si="37"/>
        <v>18</v>
      </c>
      <c r="E586">
        <f t="shared" si="38"/>
        <v>18000000</v>
      </c>
      <c r="F586">
        <f t="shared" si="39"/>
        <v>8640000</v>
      </c>
    </row>
    <row r="587" ht="13.85" spans="1:6">
      <c r="A587">
        <f t="shared" si="36"/>
        <v>586</v>
      </c>
      <c r="B587" s="10"/>
      <c r="C587" s="11">
        <v>25</v>
      </c>
      <c r="D587">
        <f t="shared" si="37"/>
        <v>25</v>
      </c>
      <c r="E587">
        <f t="shared" si="38"/>
        <v>25000000</v>
      </c>
      <c r="F587">
        <f t="shared" si="39"/>
        <v>12000000</v>
      </c>
    </row>
    <row r="588" ht="13.85" spans="1:6">
      <c r="A588">
        <f t="shared" si="36"/>
        <v>587</v>
      </c>
      <c r="B588" s="10"/>
      <c r="C588" s="11">
        <v>33</v>
      </c>
      <c r="D588">
        <f t="shared" si="37"/>
        <v>33</v>
      </c>
      <c r="E588">
        <f t="shared" si="38"/>
        <v>33000000</v>
      </c>
      <c r="F588">
        <f t="shared" si="39"/>
        <v>15840000</v>
      </c>
    </row>
    <row r="589" ht="13.85" spans="1:6">
      <c r="A589">
        <f t="shared" si="36"/>
        <v>588</v>
      </c>
      <c r="B589" s="10"/>
      <c r="C589" s="11">
        <v>42</v>
      </c>
      <c r="D589">
        <f t="shared" si="37"/>
        <v>42</v>
      </c>
      <c r="E589">
        <f t="shared" si="38"/>
        <v>42000000</v>
      </c>
      <c r="F589">
        <f t="shared" si="39"/>
        <v>20160000</v>
      </c>
    </row>
    <row r="590" ht="13.85" spans="1:6">
      <c r="A590">
        <f t="shared" si="36"/>
        <v>589</v>
      </c>
      <c r="B590" s="10"/>
      <c r="C590" s="11">
        <v>53</v>
      </c>
      <c r="D590">
        <f t="shared" si="37"/>
        <v>53</v>
      </c>
      <c r="E590">
        <f t="shared" si="38"/>
        <v>53000000</v>
      </c>
      <c r="F590">
        <f t="shared" si="39"/>
        <v>25440000</v>
      </c>
    </row>
    <row r="591" ht="13.85" spans="1:6">
      <c r="A591">
        <f t="shared" si="36"/>
        <v>590</v>
      </c>
      <c r="B591" s="10"/>
      <c r="C591" s="11">
        <v>61</v>
      </c>
      <c r="D591">
        <f t="shared" si="37"/>
        <v>61</v>
      </c>
      <c r="E591">
        <f t="shared" si="38"/>
        <v>61000000</v>
      </c>
      <c r="F591">
        <f t="shared" si="39"/>
        <v>29280000</v>
      </c>
    </row>
    <row r="592" ht="13.85" spans="1:6">
      <c r="A592">
        <f t="shared" si="36"/>
        <v>591</v>
      </c>
      <c r="B592" s="10"/>
      <c r="C592" s="11">
        <v>72</v>
      </c>
      <c r="D592">
        <f t="shared" si="37"/>
        <v>72</v>
      </c>
      <c r="E592">
        <f t="shared" si="38"/>
        <v>72000000</v>
      </c>
      <c r="F592">
        <f t="shared" si="39"/>
        <v>34560000</v>
      </c>
    </row>
    <row r="593" ht="13.85" spans="1:6">
      <c r="A593">
        <f t="shared" si="36"/>
        <v>592</v>
      </c>
      <c r="B593" s="10"/>
      <c r="C593" s="11">
        <v>85</v>
      </c>
      <c r="D593">
        <f t="shared" si="37"/>
        <v>85</v>
      </c>
      <c r="E593">
        <f t="shared" si="38"/>
        <v>85000000</v>
      </c>
      <c r="F593">
        <f t="shared" si="39"/>
        <v>40800000</v>
      </c>
    </row>
    <row r="594" ht="13.85" spans="1:6">
      <c r="A594">
        <f t="shared" si="36"/>
        <v>593</v>
      </c>
      <c r="B594" s="10"/>
      <c r="C594" s="11">
        <v>100</v>
      </c>
      <c r="D594">
        <f t="shared" si="37"/>
        <v>100</v>
      </c>
      <c r="E594">
        <f t="shared" si="38"/>
        <v>100000000</v>
      </c>
      <c r="F594">
        <f t="shared" si="39"/>
        <v>48000000</v>
      </c>
    </row>
    <row r="595" ht="13.85" spans="1:6">
      <c r="A595">
        <f t="shared" si="36"/>
        <v>594</v>
      </c>
      <c r="B595" s="10"/>
      <c r="C595" s="11">
        <v>115</v>
      </c>
      <c r="D595">
        <f t="shared" si="37"/>
        <v>115</v>
      </c>
      <c r="E595">
        <f t="shared" si="38"/>
        <v>115000000</v>
      </c>
      <c r="F595">
        <f t="shared" si="39"/>
        <v>55200000</v>
      </c>
    </row>
    <row r="596" ht="13.85" spans="1:6">
      <c r="A596">
        <f t="shared" si="36"/>
        <v>595</v>
      </c>
      <c r="B596" s="10"/>
      <c r="C596" s="11">
        <v>140</v>
      </c>
      <c r="D596">
        <f t="shared" si="37"/>
        <v>140</v>
      </c>
      <c r="E596">
        <f t="shared" si="38"/>
        <v>140000000</v>
      </c>
      <c r="F596">
        <f t="shared" si="39"/>
        <v>67200000</v>
      </c>
    </row>
    <row r="597" ht="13.85" spans="1:6">
      <c r="A597">
        <f t="shared" si="36"/>
        <v>596</v>
      </c>
      <c r="B597" s="10"/>
      <c r="C597" s="11">
        <v>10</v>
      </c>
      <c r="D597">
        <f t="shared" si="37"/>
        <v>10</v>
      </c>
      <c r="E597">
        <f t="shared" si="38"/>
        <v>10000000</v>
      </c>
      <c r="F597">
        <f t="shared" si="39"/>
        <v>4800000</v>
      </c>
    </row>
    <row r="598" ht="13.85" spans="1:6">
      <c r="A598">
        <f t="shared" si="36"/>
        <v>597</v>
      </c>
      <c r="B598" s="10"/>
      <c r="C598" s="11">
        <v>12</v>
      </c>
      <c r="D598">
        <f t="shared" si="37"/>
        <v>12</v>
      </c>
      <c r="E598">
        <f t="shared" si="38"/>
        <v>12000000</v>
      </c>
      <c r="F598">
        <f t="shared" si="39"/>
        <v>5760000</v>
      </c>
    </row>
    <row r="599" ht="13.85" spans="1:6">
      <c r="A599">
        <f t="shared" si="36"/>
        <v>598</v>
      </c>
      <c r="B599" s="10"/>
      <c r="C599" s="11">
        <v>20</v>
      </c>
      <c r="D599">
        <f t="shared" si="37"/>
        <v>20</v>
      </c>
      <c r="E599">
        <f t="shared" si="38"/>
        <v>20000000</v>
      </c>
      <c r="F599">
        <f t="shared" si="39"/>
        <v>9600000</v>
      </c>
    </row>
    <row r="600" ht="13.85" spans="1:6">
      <c r="A600">
        <f t="shared" si="36"/>
        <v>599</v>
      </c>
      <c r="B600" s="10"/>
      <c r="C600" s="11">
        <v>28</v>
      </c>
      <c r="D600">
        <f t="shared" si="37"/>
        <v>28</v>
      </c>
      <c r="E600">
        <f t="shared" si="38"/>
        <v>28000000</v>
      </c>
      <c r="F600">
        <f t="shared" si="39"/>
        <v>13440000</v>
      </c>
    </row>
    <row r="601" ht="13.85" spans="1:6">
      <c r="A601">
        <f t="shared" si="36"/>
        <v>600</v>
      </c>
      <c r="B601" s="10"/>
      <c r="C601" s="11">
        <v>35</v>
      </c>
      <c r="D601">
        <f t="shared" si="37"/>
        <v>35</v>
      </c>
      <c r="E601">
        <f t="shared" si="38"/>
        <v>35000000</v>
      </c>
      <c r="F601">
        <f t="shared" si="39"/>
        <v>16800000</v>
      </c>
    </row>
    <row r="602" ht="13.85" spans="1:6">
      <c r="A602">
        <f t="shared" si="36"/>
        <v>601</v>
      </c>
      <c r="B602" s="10"/>
      <c r="C602" s="11">
        <v>43</v>
      </c>
      <c r="D602">
        <f t="shared" si="37"/>
        <v>43</v>
      </c>
      <c r="E602">
        <f t="shared" si="38"/>
        <v>43000000</v>
      </c>
      <c r="F602">
        <f t="shared" si="39"/>
        <v>20640000</v>
      </c>
    </row>
    <row r="603" ht="13.85" spans="1:6">
      <c r="A603">
        <f t="shared" si="36"/>
        <v>602</v>
      </c>
      <c r="B603" s="10"/>
      <c r="C603" s="11">
        <v>50</v>
      </c>
      <c r="D603">
        <f t="shared" si="37"/>
        <v>50</v>
      </c>
      <c r="E603">
        <f t="shared" si="38"/>
        <v>50000000</v>
      </c>
      <c r="F603">
        <f t="shared" si="39"/>
        <v>24000000</v>
      </c>
    </row>
    <row r="604" ht="13.85" spans="1:6">
      <c r="A604">
        <f t="shared" si="36"/>
        <v>603</v>
      </c>
      <c r="B604" s="10"/>
      <c r="C604" s="11">
        <v>60</v>
      </c>
      <c r="D604">
        <f t="shared" si="37"/>
        <v>60</v>
      </c>
      <c r="E604">
        <f t="shared" si="38"/>
        <v>60000000</v>
      </c>
      <c r="F604">
        <f t="shared" si="39"/>
        <v>28800000</v>
      </c>
    </row>
    <row r="605" ht="13.85" spans="1:6">
      <c r="A605">
        <f t="shared" si="36"/>
        <v>604</v>
      </c>
      <c r="B605" s="10"/>
      <c r="C605" s="11">
        <v>69</v>
      </c>
      <c r="D605">
        <f t="shared" si="37"/>
        <v>69</v>
      </c>
      <c r="E605">
        <f t="shared" si="38"/>
        <v>69000000</v>
      </c>
      <c r="F605">
        <f t="shared" si="39"/>
        <v>33120000</v>
      </c>
    </row>
    <row r="606" ht="13.85" spans="1:6">
      <c r="A606">
        <f t="shared" si="36"/>
        <v>605</v>
      </c>
      <c r="B606" s="10"/>
      <c r="C606" s="11">
        <v>79</v>
      </c>
      <c r="D606">
        <f t="shared" si="37"/>
        <v>79</v>
      </c>
      <c r="E606">
        <f t="shared" si="38"/>
        <v>79000000</v>
      </c>
      <c r="F606">
        <f t="shared" si="39"/>
        <v>37920000</v>
      </c>
    </row>
    <row r="607" ht="13.85" spans="1:6">
      <c r="A607">
        <f t="shared" si="36"/>
        <v>606</v>
      </c>
      <c r="B607" s="14"/>
      <c r="C607" s="15">
        <v>88</v>
      </c>
      <c r="D607">
        <f t="shared" si="37"/>
        <v>88</v>
      </c>
      <c r="E607">
        <f t="shared" si="38"/>
        <v>88000000</v>
      </c>
      <c r="F607">
        <f t="shared" si="39"/>
        <v>42240000</v>
      </c>
    </row>
    <row r="608" ht="13.85" spans="1:6">
      <c r="A608">
        <f t="shared" si="36"/>
        <v>607</v>
      </c>
      <c r="B608" s="12"/>
      <c r="C608" s="13">
        <v>102</v>
      </c>
      <c r="D608">
        <f t="shared" si="37"/>
        <v>102</v>
      </c>
      <c r="E608">
        <f t="shared" si="38"/>
        <v>102000000</v>
      </c>
      <c r="F608">
        <f t="shared" si="39"/>
        <v>48960000</v>
      </c>
    </row>
    <row r="609" ht="13.85" spans="1:6">
      <c r="A609">
        <f t="shared" si="36"/>
        <v>608</v>
      </c>
      <c r="B609" s="10"/>
      <c r="C609" s="11">
        <v>117</v>
      </c>
      <c r="D609">
        <f t="shared" si="37"/>
        <v>117</v>
      </c>
      <c r="E609">
        <f t="shared" si="38"/>
        <v>117000000</v>
      </c>
      <c r="F609">
        <f t="shared" si="39"/>
        <v>56160000</v>
      </c>
    </row>
    <row r="610" ht="13.85" spans="1:6">
      <c r="A610">
        <f t="shared" si="36"/>
        <v>609</v>
      </c>
      <c r="B610" s="10"/>
      <c r="C610" s="11">
        <v>140</v>
      </c>
      <c r="D610">
        <f t="shared" si="37"/>
        <v>140</v>
      </c>
      <c r="E610">
        <f t="shared" si="38"/>
        <v>140000000</v>
      </c>
      <c r="F610">
        <f t="shared" si="39"/>
        <v>67200000</v>
      </c>
    </row>
    <row r="611" ht="13.85" spans="1:6">
      <c r="A611">
        <f t="shared" si="36"/>
        <v>610</v>
      </c>
      <c r="B611" s="10"/>
      <c r="C611" s="11">
        <v>162</v>
      </c>
      <c r="D611">
        <f t="shared" si="37"/>
        <v>162</v>
      </c>
      <c r="E611">
        <f t="shared" si="38"/>
        <v>162000000</v>
      </c>
      <c r="F611">
        <f t="shared" si="39"/>
        <v>77760000</v>
      </c>
    </row>
    <row r="612" ht="13.85" spans="1:6">
      <c r="A612">
        <f t="shared" si="36"/>
        <v>611</v>
      </c>
      <c r="B612" s="10"/>
      <c r="C612" s="11">
        <v>190</v>
      </c>
      <c r="D612">
        <f t="shared" si="37"/>
        <v>190</v>
      </c>
      <c r="E612">
        <f t="shared" si="38"/>
        <v>190000000</v>
      </c>
      <c r="F612">
        <f t="shared" si="39"/>
        <v>91200000</v>
      </c>
    </row>
    <row r="613" ht="13.85" spans="1:6">
      <c r="A613">
        <f t="shared" si="36"/>
        <v>612</v>
      </c>
      <c r="B613" s="10"/>
      <c r="C613" s="11">
        <v>10</v>
      </c>
      <c r="D613">
        <f t="shared" si="37"/>
        <v>10</v>
      </c>
      <c r="E613">
        <f t="shared" si="38"/>
        <v>10000000</v>
      </c>
      <c r="F613">
        <f t="shared" si="39"/>
        <v>4800000</v>
      </c>
    </row>
    <row r="614" ht="13.85" spans="1:6">
      <c r="A614">
        <f t="shared" si="36"/>
        <v>613</v>
      </c>
      <c r="B614" s="10"/>
      <c r="C614" s="11">
        <v>10</v>
      </c>
      <c r="D614">
        <f t="shared" si="37"/>
        <v>10</v>
      </c>
      <c r="E614">
        <f t="shared" si="38"/>
        <v>10000000</v>
      </c>
      <c r="F614">
        <f t="shared" si="39"/>
        <v>4800000</v>
      </c>
    </row>
    <row r="615" ht="13.85" spans="1:6">
      <c r="A615">
        <f t="shared" si="36"/>
        <v>614</v>
      </c>
      <c r="B615" s="10"/>
      <c r="C615" s="11">
        <v>12</v>
      </c>
      <c r="D615">
        <f t="shared" si="37"/>
        <v>12</v>
      </c>
      <c r="E615">
        <f t="shared" si="38"/>
        <v>12000000</v>
      </c>
      <c r="F615">
        <f t="shared" si="39"/>
        <v>5760000</v>
      </c>
    </row>
    <row r="616" ht="13.85" spans="1:6">
      <c r="A616">
        <f t="shared" si="36"/>
        <v>615</v>
      </c>
      <c r="B616" s="10"/>
      <c r="C616" s="11">
        <v>10</v>
      </c>
      <c r="D616">
        <f t="shared" si="37"/>
        <v>10</v>
      </c>
      <c r="E616">
        <f t="shared" si="38"/>
        <v>10000000</v>
      </c>
      <c r="F616">
        <f t="shared" si="39"/>
        <v>4800000</v>
      </c>
    </row>
    <row r="617" ht="13.85" spans="1:6">
      <c r="A617">
        <f t="shared" si="36"/>
        <v>616</v>
      </c>
      <c r="B617" s="10"/>
      <c r="C617" s="11">
        <v>12</v>
      </c>
      <c r="D617">
        <f t="shared" si="37"/>
        <v>12</v>
      </c>
      <c r="E617">
        <f t="shared" si="38"/>
        <v>12000000</v>
      </c>
      <c r="F617">
        <f t="shared" si="39"/>
        <v>5760000</v>
      </c>
    </row>
    <row r="618" ht="13.85" spans="1:6">
      <c r="A618">
        <f t="shared" si="36"/>
        <v>617</v>
      </c>
      <c r="B618" s="10"/>
      <c r="C618" s="11">
        <v>19</v>
      </c>
      <c r="D618">
        <f t="shared" si="37"/>
        <v>19</v>
      </c>
      <c r="E618">
        <f t="shared" si="38"/>
        <v>19000000</v>
      </c>
      <c r="F618">
        <f t="shared" si="39"/>
        <v>9120000</v>
      </c>
    </row>
    <row r="619" ht="13.85" spans="1:6">
      <c r="A619">
        <f t="shared" si="36"/>
        <v>618</v>
      </c>
      <c r="B619" s="10"/>
      <c r="C619" s="11">
        <v>25</v>
      </c>
      <c r="D619">
        <f t="shared" si="37"/>
        <v>25</v>
      </c>
      <c r="E619">
        <f t="shared" si="38"/>
        <v>25000000</v>
      </c>
      <c r="F619">
        <f t="shared" si="39"/>
        <v>12000000</v>
      </c>
    </row>
    <row r="620" ht="13.85" spans="1:6">
      <c r="A620">
        <f t="shared" si="36"/>
        <v>619</v>
      </c>
      <c r="B620" s="10"/>
      <c r="C620" s="11">
        <v>33</v>
      </c>
      <c r="D620">
        <f t="shared" si="37"/>
        <v>33</v>
      </c>
      <c r="E620">
        <f t="shared" si="38"/>
        <v>33000000</v>
      </c>
      <c r="F620">
        <f t="shared" si="39"/>
        <v>15840000</v>
      </c>
    </row>
    <row r="621" ht="13.85" spans="1:6">
      <c r="A621">
        <f t="shared" si="36"/>
        <v>620</v>
      </c>
      <c r="B621" s="10"/>
      <c r="C621" s="11">
        <v>40</v>
      </c>
      <c r="D621">
        <f t="shared" si="37"/>
        <v>40</v>
      </c>
      <c r="E621">
        <f t="shared" si="38"/>
        <v>40000000</v>
      </c>
      <c r="F621">
        <f t="shared" si="39"/>
        <v>19200000</v>
      </c>
    </row>
    <row r="622" ht="13.85" spans="1:6">
      <c r="A622">
        <f t="shared" si="36"/>
        <v>621</v>
      </c>
      <c r="B622" s="10"/>
      <c r="C622" s="11">
        <v>48</v>
      </c>
      <c r="D622">
        <f t="shared" si="37"/>
        <v>48</v>
      </c>
      <c r="E622">
        <f t="shared" si="38"/>
        <v>48000000</v>
      </c>
      <c r="F622">
        <f t="shared" si="39"/>
        <v>23040000</v>
      </c>
    </row>
    <row r="623" ht="13.85" spans="1:6">
      <c r="A623">
        <f t="shared" si="36"/>
        <v>622</v>
      </c>
      <c r="B623" s="10"/>
      <c r="C623" s="11">
        <v>57</v>
      </c>
      <c r="D623">
        <f t="shared" si="37"/>
        <v>57</v>
      </c>
      <c r="E623">
        <f t="shared" si="38"/>
        <v>57000000</v>
      </c>
      <c r="F623">
        <f t="shared" si="39"/>
        <v>27360000</v>
      </c>
    </row>
    <row r="624" ht="13.85" spans="1:6">
      <c r="A624">
        <f t="shared" si="36"/>
        <v>623</v>
      </c>
      <c r="B624" s="10"/>
      <c r="C624" s="11">
        <v>66</v>
      </c>
      <c r="D624">
        <f t="shared" si="37"/>
        <v>66</v>
      </c>
      <c r="E624">
        <f t="shared" si="38"/>
        <v>66000000</v>
      </c>
      <c r="F624">
        <f t="shared" si="39"/>
        <v>31680000</v>
      </c>
    </row>
    <row r="625" ht="13.85" spans="1:6">
      <c r="A625">
        <f t="shared" si="36"/>
        <v>624</v>
      </c>
      <c r="B625" s="10"/>
      <c r="C625" s="11">
        <v>76</v>
      </c>
      <c r="D625">
        <f t="shared" si="37"/>
        <v>76</v>
      </c>
      <c r="E625">
        <f t="shared" si="38"/>
        <v>76000000</v>
      </c>
      <c r="F625">
        <f t="shared" si="39"/>
        <v>36480000</v>
      </c>
    </row>
    <row r="626" ht="13.85" spans="1:6">
      <c r="A626">
        <f t="shared" si="36"/>
        <v>625</v>
      </c>
      <c r="B626" s="10"/>
      <c r="C626" s="11">
        <v>88</v>
      </c>
      <c r="D626">
        <f t="shared" si="37"/>
        <v>88</v>
      </c>
      <c r="E626">
        <f t="shared" si="38"/>
        <v>88000000</v>
      </c>
      <c r="F626">
        <f t="shared" si="39"/>
        <v>42240000</v>
      </c>
    </row>
    <row r="627" ht="13.85" spans="1:6">
      <c r="A627">
        <f t="shared" si="36"/>
        <v>626</v>
      </c>
      <c r="B627" s="10"/>
      <c r="C627" s="11">
        <v>100</v>
      </c>
      <c r="D627">
        <f t="shared" si="37"/>
        <v>100</v>
      </c>
      <c r="E627">
        <f t="shared" si="38"/>
        <v>100000000</v>
      </c>
      <c r="F627">
        <f t="shared" si="39"/>
        <v>48000000</v>
      </c>
    </row>
    <row r="628" ht="13.85" spans="1:6">
      <c r="A628">
        <f t="shared" si="36"/>
        <v>627</v>
      </c>
      <c r="B628" s="10"/>
      <c r="C628" s="11">
        <v>116</v>
      </c>
      <c r="D628">
        <f t="shared" si="37"/>
        <v>116</v>
      </c>
      <c r="E628">
        <f t="shared" si="38"/>
        <v>116000000</v>
      </c>
      <c r="F628">
        <f t="shared" si="39"/>
        <v>55680000</v>
      </c>
    </row>
    <row r="629" ht="13.85" spans="1:6">
      <c r="A629">
        <f t="shared" si="36"/>
        <v>628</v>
      </c>
      <c r="B629" s="10"/>
      <c r="C629" s="11">
        <v>137</v>
      </c>
      <c r="D629">
        <f t="shared" si="37"/>
        <v>137</v>
      </c>
      <c r="E629">
        <f t="shared" si="38"/>
        <v>137000000</v>
      </c>
      <c r="F629">
        <f t="shared" si="39"/>
        <v>65760000</v>
      </c>
    </row>
    <row r="630" ht="13.85" spans="1:6">
      <c r="A630">
        <f t="shared" si="36"/>
        <v>629</v>
      </c>
      <c r="B630" s="10"/>
      <c r="C630" s="11">
        <v>170</v>
      </c>
      <c r="D630">
        <f t="shared" si="37"/>
        <v>170</v>
      </c>
      <c r="E630">
        <f t="shared" si="38"/>
        <v>170000000</v>
      </c>
      <c r="F630">
        <f t="shared" si="39"/>
        <v>81600000</v>
      </c>
    </row>
    <row r="631" ht="13.85" spans="1:6">
      <c r="A631">
        <f t="shared" si="36"/>
        <v>630</v>
      </c>
      <c r="B631" s="10"/>
      <c r="C631" s="11">
        <v>210</v>
      </c>
      <c r="D631">
        <f t="shared" si="37"/>
        <v>210</v>
      </c>
      <c r="E631">
        <f t="shared" si="38"/>
        <v>210000000</v>
      </c>
      <c r="F631">
        <f t="shared" si="39"/>
        <v>100800000</v>
      </c>
    </row>
    <row r="632" ht="13.85" spans="1:6">
      <c r="A632">
        <f t="shared" si="36"/>
        <v>631</v>
      </c>
      <c r="B632" s="10"/>
      <c r="C632" s="11">
        <v>10</v>
      </c>
      <c r="D632">
        <f t="shared" si="37"/>
        <v>10</v>
      </c>
      <c r="E632">
        <f t="shared" si="38"/>
        <v>10000000</v>
      </c>
      <c r="F632">
        <f t="shared" si="39"/>
        <v>4800000</v>
      </c>
    </row>
    <row r="633" ht="13.85" spans="1:6">
      <c r="A633">
        <f t="shared" si="36"/>
        <v>632</v>
      </c>
      <c r="B633" s="10"/>
      <c r="C633" s="11">
        <v>13</v>
      </c>
      <c r="D633">
        <f t="shared" si="37"/>
        <v>13</v>
      </c>
      <c r="E633">
        <f t="shared" si="38"/>
        <v>13000000</v>
      </c>
      <c r="F633">
        <f t="shared" si="39"/>
        <v>6240000</v>
      </c>
    </row>
    <row r="634" ht="13.85" spans="1:6">
      <c r="A634">
        <f t="shared" si="36"/>
        <v>633</v>
      </c>
      <c r="B634" s="10"/>
      <c r="C634" s="11">
        <v>21</v>
      </c>
      <c r="D634">
        <f t="shared" si="37"/>
        <v>21</v>
      </c>
      <c r="E634">
        <f t="shared" si="38"/>
        <v>21000000</v>
      </c>
      <c r="F634">
        <f t="shared" si="39"/>
        <v>10080000</v>
      </c>
    </row>
    <row r="635" ht="13.85" spans="1:6">
      <c r="A635">
        <f t="shared" si="36"/>
        <v>634</v>
      </c>
      <c r="B635" s="10"/>
      <c r="C635" s="11">
        <v>29</v>
      </c>
      <c r="D635">
        <f t="shared" si="37"/>
        <v>29</v>
      </c>
      <c r="E635">
        <f t="shared" si="38"/>
        <v>29000000</v>
      </c>
      <c r="F635">
        <f t="shared" si="39"/>
        <v>13920000</v>
      </c>
    </row>
    <row r="636" ht="13.85" spans="1:6">
      <c r="A636">
        <f t="shared" si="36"/>
        <v>635</v>
      </c>
      <c r="B636" s="10"/>
      <c r="C636" s="11">
        <v>37</v>
      </c>
      <c r="D636">
        <f t="shared" si="37"/>
        <v>37</v>
      </c>
      <c r="E636">
        <f t="shared" si="38"/>
        <v>37000000</v>
      </c>
      <c r="F636">
        <f t="shared" si="39"/>
        <v>17760000</v>
      </c>
    </row>
    <row r="637" ht="13.85" spans="1:6">
      <c r="A637">
        <f t="shared" si="36"/>
        <v>636</v>
      </c>
      <c r="B637" s="10"/>
      <c r="C637" s="11">
        <v>46</v>
      </c>
      <c r="D637">
        <f t="shared" si="37"/>
        <v>46</v>
      </c>
      <c r="E637">
        <f t="shared" si="38"/>
        <v>46000000</v>
      </c>
      <c r="F637">
        <f t="shared" si="39"/>
        <v>22080000</v>
      </c>
    </row>
    <row r="638" ht="13.85" spans="1:6">
      <c r="A638">
        <f t="shared" si="36"/>
        <v>637</v>
      </c>
      <c r="B638" s="10"/>
      <c r="C638" s="11">
        <v>55</v>
      </c>
      <c r="D638">
        <f t="shared" si="37"/>
        <v>55</v>
      </c>
      <c r="E638">
        <f t="shared" si="38"/>
        <v>55000000</v>
      </c>
      <c r="F638">
        <f t="shared" si="39"/>
        <v>26400000</v>
      </c>
    </row>
    <row r="639" ht="13.85" spans="1:6">
      <c r="A639">
        <f t="shared" si="36"/>
        <v>638</v>
      </c>
      <c r="B639" s="10"/>
      <c r="C639" s="11">
        <v>64</v>
      </c>
      <c r="D639">
        <f t="shared" si="37"/>
        <v>64</v>
      </c>
      <c r="E639">
        <f t="shared" si="38"/>
        <v>64000000</v>
      </c>
      <c r="F639">
        <f t="shared" si="39"/>
        <v>30720000</v>
      </c>
    </row>
    <row r="640" ht="13.85" spans="1:6">
      <c r="A640">
        <f t="shared" si="36"/>
        <v>639</v>
      </c>
      <c r="B640" s="10"/>
      <c r="C640" s="11">
        <v>74</v>
      </c>
      <c r="D640">
        <f t="shared" si="37"/>
        <v>74</v>
      </c>
      <c r="E640">
        <f t="shared" si="38"/>
        <v>74000000</v>
      </c>
      <c r="F640">
        <f t="shared" si="39"/>
        <v>35520000</v>
      </c>
    </row>
    <row r="641" ht="13.85" spans="1:6">
      <c r="A641">
        <f t="shared" si="36"/>
        <v>640</v>
      </c>
      <c r="B641" s="10"/>
      <c r="C641" s="11">
        <v>85</v>
      </c>
      <c r="D641">
        <f t="shared" si="37"/>
        <v>85</v>
      </c>
      <c r="E641">
        <f t="shared" si="38"/>
        <v>85000000</v>
      </c>
      <c r="F641">
        <f t="shared" si="39"/>
        <v>40800000</v>
      </c>
    </row>
    <row r="642" ht="13.85" spans="1:6">
      <c r="A642">
        <f t="shared" ref="A642:A705" si="40">ROW()-1</f>
        <v>641</v>
      </c>
      <c r="B642" s="10"/>
      <c r="C642" s="11">
        <v>10</v>
      </c>
      <c r="D642">
        <f t="shared" ref="D642:D705" si="41">IF(RIGHT(C642,1)="B",VALUE(LEFT(C642,LEN(C642)-1))*1000,C642)</f>
        <v>10</v>
      </c>
      <c r="E642">
        <f t="shared" ref="E642:E705" si="42">D642*1000000</f>
        <v>10000000</v>
      </c>
      <c r="F642">
        <f t="shared" ref="F642:F705" si="43">E642*0.48</f>
        <v>4800000</v>
      </c>
    </row>
    <row r="643" ht="13.85" spans="1:6">
      <c r="A643">
        <f t="shared" si="40"/>
        <v>642</v>
      </c>
      <c r="B643" s="10"/>
      <c r="C643" s="11">
        <v>13</v>
      </c>
      <c r="D643">
        <f t="shared" si="41"/>
        <v>13</v>
      </c>
      <c r="E643">
        <f t="shared" si="42"/>
        <v>13000000</v>
      </c>
      <c r="F643">
        <f t="shared" si="43"/>
        <v>6240000</v>
      </c>
    </row>
    <row r="644" ht="13.85" spans="1:6">
      <c r="A644">
        <f t="shared" si="40"/>
        <v>643</v>
      </c>
      <c r="B644" s="10"/>
      <c r="C644" s="11">
        <v>20</v>
      </c>
      <c r="D644">
        <f t="shared" si="41"/>
        <v>20</v>
      </c>
      <c r="E644">
        <f t="shared" si="42"/>
        <v>20000000</v>
      </c>
      <c r="F644">
        <f t="shared" si="43"/>
        <v>9600000</v>
      </c>
    </row>
    <row r="645" ht="13.85" spans="1:6">
      <c r="A645">
        <f t="shared" si="40"/>
        <v>644</v>
      </c>
      <c r="B645" s="10"/>
      <c r="C645" s="11">
        <v>26</v>
      </c>
      <c r="D645">
        <f t="shared" si="41"/>
        <v>26</v>
      </c>
      <c r="E645">
        <f t="shared" si="42"/>
        <v>26000000</v>
      </c>
      <c r="F645">
        <f t="shared" si="43"/>
        <v>12480000</v>
      </c>
    </row>
    <row r="646" ht="13.85" spans="1:6">
      <c r="A646">
        <f t="shared" si="40"/>
        <v>645</v>
      </c>
      <c r="B646" s="10"/>
      <c r="C646" s="11">
        <v>35</v>
      </c>
      <c r="D646">
        <f t="shared" si="41"/>
        <v>35</v>
      </c>
      <c r="E646">
        <f t="shared" si="42"/>
        <v>35000000</v>
      </c>
      <c r="F646">
        <f t="shared" si="43"/>
        <v>16800000</v>
      </c>
    </row>
    <row r="647" ht="13.85" spans="1:6">
      <c r="A647">
        <f t="shared" si="40"/>
        <v>646</v>
      </c>
      <c r="B647" s="10"/>
      <c r="C647" s="11">
        <v>43</v>
      </c>
      <c r="D647">
        <f t="shared" si="41"/>
        <v>43</v>
      </c>
      <c r="E647">
        <f t="shared" si="42"/>
        <v>43000000</v>
      </c>
      <c r="F647">
        <f t="shared" si="43"/>
        <v>20640000</v>
      </c>
    </row>
    <row r="648" ht="13.85" spans="1:6">
      <c r="A648">
        <f t="shared" si="40"/>
        <v>647</v>
      </c>
      <c r="B648" s="10"/>
      <c r="C648" s="11">
        <v>52</v>
      </c>
      <c r="D648">
        <f t="shared" si="41"/>
        <v>52</v>
      </c>
      <c r="E648">
        <f t="shared" si="42"/>
        <v>52000000</v>
      </c>
      <c r="F648">
        <f t="shared" si="43"/>
        <v>24960000</v>
      </c>
    </row>
    <row r="649" ht="13.85" spans="1:6">
      <c r="A649">
        <f t="shared" si="40"/>
        <v>648</v>
      </c>
      <c r="B649" s="10"/>
      <c r="C649" s="11">
        <v>61</v>
      </c>
      <c r="D649">
        <f t="shared" si="41"/>
        <v>61</v>
      </c>
      <c r="E649">
        <f t="shared" si="42"/>
        <v>61000000</v>
      </c>
      <c r="F649">
        <f t="shared" si="43"/>
        <v>29280000</v>
      </c>
    </row>
    <row r="650" ht="13.85" spans="1:6">
      <c r="A650">
        <f t="shared" si="40"/>
        <v>649</v>
      </c>
      <c r="B650" s="10"/>
      <c r="C650" s="11">
        <v>70</v>
      </c>
      <c r="D650">
        <f t="shared" si="41"/>
        <v>70</v>
      </c>
      <c r="E650">
        <f t="shared" si="42"/>
        <v>70000000</v>
      </c>
      <c r="F650">
        <f t="shared" si="43"/>
        <v>33600000</v>
      </c>
    </row>
    <row r="651" ht="13.85" spans="1:6">
      <c r="A651">
        <f t="shared" si="40"/>
        <v>650</v>
      </c>
      <c r="B651" s="10"/>
      <c r="C651" s="11">
        <v>79</v>
      </c>
      <c r="D651">
        <f t="shared" si="41"/>
        <v>79</v>
      </c>
      <c r="E651">
        <f t="shared" si="42"/>
        <v>79000000</v>
      </c>
      <c r="F651">
        <f t="shared" si="43"/>
        <v>37920000</v>
      </c>
    </row>
    <row r="652" ht="13.85" spans="1:6">
      <c r="A652">
        <f t="shared" si="40"/>
        <v>651</v>
      </c>
      <c r="B652" s="10"/>
      <c r="C652" s="11">
        <v>90</v>
      </c>
      <c r="D652">
        <f t="shared" si="41"/>
        <v>90</v>
      </c>
      <c r="E652">
        <f t="shared" si="42"/>
        <v>90000000</v>
      </c>
      <c r="F652">
        <f t="shared" si="43"/>
        <v>43200000</v>
      </c>
    </row>
    <row r="653" ht="13.85" spans="1:6">
      <c r="A653">
        <f t="shared" si="40"/>
        <v>652</v>
      </c>
      <c r="B653" s="10"/>
      <c r="C653" s="11">
        <v>10</v>
      </c>
      <c r="D653">
        <f t="shared" si="41"/>
        <v>10</v>
      </c>
      <c r="E653">
        <f t="shared" si="42"/>
        <v>10000000</v>
      </c>
      <c r="F653">
        <f t="shared" si="43"/>
        <v>4800000</v>
      </c>
    </row>
    <row r="654" ht="13.85" spans="1:6">
      <c r="A654">
        <f t="shared" si="40"/>
        <v>653</v>
      </c>
      <c r="B654" s="10"/>
      <c r="C654" s="11">
        <v>12</v>
      </c>
      <c r="D654">
        <f t="shared" si="41"/>
        <v>12</v>
      </c>
      <c r="E654">
        <f t="shared" si="42"/>
        <v>12000000</v>
      </c>
      <c r="F654">
        <f t="shared" si="43"/>
        <v>5760000</v>
      </c>
    </row>
    <row r="655" ht="13.85" spans="1:6">
      <c r="A655">
        <f t="shared" si="40"/>
        <v>654</v>
      </c>
      <c r="B655" s="10"/>
      <c r="C655" s="11">
        <v>18</v>
      </c>
      <c r="D655">
        <f t="shared" si="41"/>
        <v>18</v>
      </c>
      <c r="E655">
        <f t="shared" si="42"/>
        <v>18000000</v>
      </c>
      <c r="F655">
        <f t="shared" si="43"/>
        <v>8640000</v>
      </c>
    </row>
    <row r="656" ht="13.85" spans="1:6">
      <c r="A656">
        <f t="shared" si="40"/>
        <v>655</v>
      </c>
      <c r="B656" s="10"/>
      <c r="C656" s="11">
        <v>25</v>
      </c>
      <c r="D656">
        <f t="shared" si="41"/>
        <v>25</v>
      </c>
      <c r="E656">
        <f t="shared" si="42"/>
        <v>25000000</v>
      </c>
      <c r="F656">
        <f t="shared" si="43"/>
        <v>12000000</v>
      </c>
    </row>
    <row r="657" ht="13.85" spans="1:6">
      <c r="A657">
        <f t="shared" si="40"/>
        <v>656</v>
      </c>
      <c r="B657" s="10"/>
      <c r="C657" s="11">
        <v>31</v>
      </c>
      <c r="D657">
        <f t="shared" si="41"/>
        <v>31</v>
      </c>
      <c r="E657">
        <f t="shared" si="42"/>
        <v>31000000</v>
      </c>
      <c r="F657">
        <f t="shared" si="43"/>
        <v>14880000</v>
      </c>
    </row>
    <row r="658" ht="13.85" spans="1:6">
      <c r="A658">
        <f t="shared" si="40"/>
        <v>657</v>
      </c>
      <c r="B658" s="10"/>
      <c r="C658" s="11">
        <v>39</v>
      </c>
      <c r="D658">
        <f t="shared" si="41"/>
        <v>39</v>
      </c>
      <c r="E658">
        <f t="shared" si="42"/>
        <v>39000000</v>
      </c>
      <c r="F658">
        <f t="shared" si="43"/>
        <v>18720000</v>
      </c>
    </row>
    <row r="659" ht="13.85" spans="1:6">
      <c r="A659">
        <f t="shared" si="40"/>
        <v>658</v>
      </c>
      <c r="B659" s="10"/>
      <c r="C659" s="11">
        <v>47</v>
      </c>
      <c r="D659">
        <f t="shared" si="41"/>
        <v>47</v>
      </c>
      <c r="E659">
        <f t="shared" si="42"/>
        <v>47000000</v>
      </c>
      <c r="F659">
        <f t="shared" si="43"/>
        <v>22560000</v>
      </c>
    </row>
    <row r="660" ht="13.85" spans="1:6">
      <c r="A660">
        <f t="shared" si="40"/>
        <v>659</v>
      </c>
      <c r="B660" s="10"/>
      <c r="C660" s="11">
        <v>57</v>
      </c>
      <c r="D660">
        <f t="shared" si="41"/>
        <v>57</v>
      </c>
      <c r="E660">
        <f t="shared" si="42"/>
        <v>57000000</v>
      </c>
      <c r="F660">
        <f t="shared" si="43"/>
        <v>27360000</v>
      </c>
    </row>
    <row r="661" ht="13.85" spans="1:6">
      <c r="A661">
        <f t="shared" si="40"/>
        <v>660</v>
      </c>
      <c r="B661" s="10"/>
      <c r="C661" s="11">
        <v>65</v>
      </c>
      <c r="D661">
        <f t="shared" si="41"/>
        <v>65</v>
      </c>
      <c r="E661">
        <f t="shared" si="42"/>
        <v>65000000</v>
      </c>
      <c r="F661">
        <f t="shared" si="43"/>
        <v>31200000</v>
      </c>
    </row>
    <row r="662" ht="13.85" spans="1:6">
      <c r="A662">
        <f t="shared" si="40"/>
        <v>661</v>
      </c>
      <c r="B662" s="10"/>
      <c r="C662" s="11">
        <v>75</v>
      </c>
      <c r="D662">
        <f t="shared" si="41"/>
        <v>75</v>
      </c>
      <c r="E662">
        <f t="shared" si="42"/>
        <v>75000000</v>
      </c>
      <c r="F662">
        <f t="shared" si="43"/>
        <v>36000000</v>
      </c>
    </row>
    <row r="663" ht="13.85" spans="1:6">
      <c r="A663">
        <f t="shared" si="40"/>
        <v>662</v>
      </c>
      <c r="B663" s="10"/>
      <c r="C663" s="11">
        <v>90</v>
      </c>
      <c r="D663">
        <f t="shared" si="41"/>
        <v>90</v>
      </c>
      <c r="E663">
        <f t="shared" si="42"/>
        <v>90000000</v>
      </c>
      <c r="F663">
        <f t="shared" si="43"/>
        <v>43200000</v>
      </c>
    </row>
    <row r="664" ht="13.85" spans="1:6">
      <c r="A664">
        <f t="shared" si="40"/>
        <v>663</v>
      </c>
      <c r="B664" s="10"/>
      <c r="C664" s="11">
        <v>103</v>
      </c>
      <c r="D664">
        <f t="shared" si="41"/>
        <v>103</v>
      </c>
      <c r="E664">
        <f t="shared" si="42"/>
        <v>103000000</v>
      </c>
      <c r="F664">
        <f t="shared" si="43"/>
        <v>49440000</v>
      </c>
    </row>
    <row r="665" ht="13.85" spans="1:6">
      <c r="A665">
        <f t="shared" si="40"/>
        <v>664</v>
      </c>
      <c r="B665" s="10"/>
      <c r="C665" s="11">
        <v>120</v>
      </c>
      <c r="D665">
        <f t="shared" si="41"/>
        <v>120</v>
      </c>
      <c r="E665">
        <f t="shared" si="42"/>
        <v>120000000</v>
      </c>
      <c r="F665">
        <f t="shared" si="43"/>
        <v>57600000</v>
      </c>
    </row>
    <row r="666" ht="13.85" spans="1:6">
      <c r="A666">
        <f t="shared" si="40"/>
        <v>665</v>
      </c>
      <c r="B666" s="10"/>
      <c r="C666" s="11">
        <v>145</v>
      </c>
      <c r="D666">
        <f t="shared" si="41"/>
        <v>145</v>
      </c>
      <c r="E666">
        <f t="shared" si="42"/>
        <v>145000000</v>
      </c>
      <c r="F666">
        <f t="shared" si="43"/>
        <v>69600000</v>
      </c>
    </row>
    <row r="667" ht="13.85" spans="1:6">
      <c r="A667">
        <f t="shared" si="40"/>
        <v>666</v>
      </c>
      <c r="B667" s="10"/>
      <c r="C667" s="11">
        <v>170</v>
      </c>
      <c r="D667">
        <f t="shared" si="41"/>
        <v>170</v>
      </c>
      <c r="E667">
        <f t="shared" si="42"/>
        <v>170000000</v>
      </c>
      <c r="F667">
        <f t="shared" si="43"/>
        <v>81600000</v>
      </c>
    </row>
    <row r="668" ht="13.85" spans="1:6">
      <c r="A668">
        <f t="shared" si="40"/>
        <v>667</v>
      </c>
      <c r="B668" s="10"/>
      <c r="C668" s="11">
        <v>212</v>
      </c>
      <c r="D668">
        <f t="shared" si="41"/>
        <v>212</v>
      </c>
      <c r="E668">
        <f t="shared" si="42"/>
        <v>212000000</v>
      </c>
      <c r="F668">
        <f t="shared" si="43"/>
        <v>101760000</v>
      </c>
    </row>
    <row r="669" ht="13.85" spans="1:6">
      <c r="A669">
        <f t="shared" si="40"/>
        <v>668</v>
      </c>
      <c r="B669" s="10"/>
      <c r="C669" s="11">
        <v>10</v>
      </c>
      <c r="D669">
        <f t="shared" si="41"/>
        <v>10</v>
      </c>
      <c r="E669">
        <f t="shared" si="42"/>
        <v>10000000</v>
      </c>
      <c r="F669">
        <f t="shared" si="43"/>
        <v>4800000</v>
      </c>
    </row>
    <row r="670" ht="13.85" spans="1:6">
      <c r="A670">
        <f t="shared" si="40"/>
        <v>669</v>
      </c>
      <c r="B670" s="10"/>
      <c r="C670" s="11">
        <v>15</v>
      </c>
      <c r="D670">
        <f t="shared" si="41"/>
        <v>15</v>
      </c>
      <c r="E670">
        <f t="shared" si="42"/>
        <v>15000000</v>
      </c>
      <c r="F670">
        <f t="shared" si="43"/>
        <v>7200000</v>
      </c>
    </row>
    <row r="671" ht="13.85" spans="1:6">
      <c r="A671">
        <f t="shared" si="40"/>
        <v>670</v>
      </c>
      <c r="B671" s="10"/>
      <c r="C671" s="11">
        <v>24</v>
      </c>
      <c r="D671">
        <f t="shared" si="41"/>
        <v>24</v>
      </c>
      <c r="E671">
        <f t="shared" si="42"/>
        <v>24000000</v>
      </c>
      <c r="F671">
        <f t="shared" si="43"/>
        <v>11520000</v>
      </c>
    </row>
    <row r="672" ht="13.85" spans="1:6">
      <c r="A672">
        <f t="shared" si="40"/>
        <v>671</v>
      </c>
      <c r="B672" s="10"/>
      <c r="C672" s="11">
        <v>33</v>
      </c>
      <c r="D672">
        <f t="shared" si="41"/>
        <v>33</v>
      </c>
      <c r="E672">
        <f t="shared" si="42"/>
        <v>33000000</v>
      </c>
      <c r="F672">
        <f t="shared" si="43"/>
        <v>15840000</v>
      </c>
    </row>
    <row r="673" ht="13.85" spans="1:6">
      <c r="A673">
        <f t="shared" si="40"/>
        <v>672</v>
      </c>
      <c r="B673" s="10"/>
      <c r="C673" s="11">
        <v>41</v>
      </c>
      <c r="D673">
        <f t="shared" si="41"/>
        <v>41</v>
      </c>
      <c r="E673">
        <f t="shared" si="42"/>
        <v>41000000</v>
      </c>
      <c r="F673">
        <f t="shared" si="43"/>
        <v>19680000</v>
      </c>
    </row>
    <row r="674" ht="13.85" spans="1:6">
      <c r="A674">
        <f t="shared" si="40"/>
        <v>673</v>
      </c>
      <c r="B674" s="10"/>
      <c r="C674" s="11">
        <v>51</v>
      </c>
      <c r="D674">
        <f t="shared" si="41"/>
        <v>51</v>
      </c>
      <c r="E674">
        <f t="shared" si="42"/>
        <v>51000000</v>
      </c>
      <c r="F674">
        <f t="shared" si="43"/>
        <v>24480000</v>
      </c>
    </row>
    <row r="675" ht="13.85" spans="1:6">
      <c r="A675">
        <f t="shared" si="40"/>
        <v>674</v>
      </c>
      <c r="B675" s="10"/>
      <c r="C675" s="11">
        <v>10</v>
      </c>
      <c r="D675">
        <f t="shared" si="41"/>
        <v>10</v>
      </c>
      <c r="E675">
        <f t="shared" si="42"/>
        <v>10000000</v>
      </c>
      <c r="F675">
        <f t="shared" si="43"/>
        <v>4800000</v>
      </c>
    </row>
    <row r="676" ht="13.85" spans="1:6">
      <c r="A676">
        <f t="shared" si="40"/>
        <v>675</v>
      </c>
      <c r="B676" s="10"/>
      <c r="C676" s="11">
        <v>14</v>
      </c>
      <c r="D676">
        <f t="shared" si="41"/>
        <v>14</v>
      </c>
      <c r="E676">
        <f t="shared" si="42"/>
        <v>14000000</v>
      </c>
      <c r="F676">
        <f t="shared" si="43"/>
        <v>6720000</v>
      </c>
    </row>
    <row r="677" ht="13.85" spans="1:6">
      <c r="A677">
        <f t="shared" si="40"/>
        <v>676</v>
      </c>
      <c r="B677" s="10"/>
      <c r="C677" s="11">
        <v>21</v>
      </c>
      <c r="D677">
        <f t="shared" si="41"/>
        <v>21</v>
      </c>
      <c r="E677">
        <f t="shared" si="42"/>
        <v>21000000</v>
      </c>
      <c r="F677">
        <f t="shared" si="43"/>
        <v>10080000</v>
      </c>
    </row>
    <row r="678" ht="13.85" spans="1:6">
      <c r="A678">
        <f t="shared" si="40"/>
        <v>677</v>
      </c>
      <c r="B678" s="10"/>
      <c r="C678" s="11">
        <v>30</v>
      </c>
      <c r="D678">
        <f t="shared" si="41"/>
        <v>30</v>
      </c>
      <c r="E678">
        <f t="shared" si="42"/>
        <v>30000000</v>
      </c>
      <c r="F678">
        <f t="shared" si="43"/>
        <v>14400000</v>
      </c>
    </row>
    <row r="679" ht="13.85" spans="1:6">
      <c r="A679">
        <f t="shared" si="40"/>
        <v>678</v>
      </c>
      <c r="B679" s="10"/>
      <c r="C679" s="11">
        <v>38</v>
      </c>
      <c r="D679">
        <f t="shared" si="41"/>
        <v>38</v>
      </c>
      <c r="E679">
        <f t="shared" si="42"/>
        <v>38000000</v>
      </c>
      <c r="F679">
        <f t="shared" si="43"/>
        <v>18240000</v>
      </c>
    </row>
    <row r="680" ht="13.85" spans="1:6">
      <c r="A680">
        <f t="shared" si="40"/>
        <v>679</v>
      </c>
      <c r="B680" s="10"/>
      <c r="C680" s="11">
        <v>47</v>
      </c>
      <c r="D680">
        <f t="shared" si="41"/>
        <v>47</v>
      </c>
      <c r="E680">
        <f t="shared" si="42"/>
        <v>47000000</v>
      </c>
      <c r="F680">
        <f t="shared" si="43"/>
        <v>22560000</v>
      </c>
    </row>
    <row r="681" ht="13.85" spans="1:6">
      <c r="A681">
        <f t="shared" si="40"/>
        <v>680</v>
      </c>
      <c r="B681" s="10"/>
      <c r="C681" s="11">
        <v>55</v>
      </c>
      <c r="D681">
        <f t="shared" si="41"/>
        <v>55</v>
      </c>
      <c r="E681">
        <f t="shared" si="42"/>
        <v>55000000</v>
      </c>
      <c r="F681">
        <f t="shared" si="43"/>
        <v>26400000</v>
      </c>
    </row>
    <row r="682" ht="13.85" spans="1:6">
      <c r="A682">
        <f t="shared" si="40"/>
        <v>681</v>
      </c>
      <c r="B682" s="10"/>
      <c r="C682" s="11">
        <v>67</v>
      </c>
      <c r="D682">
        <f t="shared" si="41"/>
        <v>67</v>
      </c>
      <c r="E682">
        <f t="shared" si="42"/>
        <v>67000000</v>
      </c>
      <c r="F682">
        <f t="shared" si="43"/>
        <v>32160000</v>
      </c>
    </row>
    <row r="683" ht="13.85" spans="1:6">
      <c r="A683">
        <f t="shared" si="40"/>
        <v>682</v>
      </c>
      <c r="B683" s="10"/>
      <c r="C683" s="11">
        <v>10</v>
      </c>
      <c r="D683">
        <f t="shared" si="41"/>
        <v>10</v>
      </c>
      <c r="E683">
        <f t="shared" si="42"/>
        <v>10000000</v>
      </c>
      <c r="F683">
        <f t="shared" si="43"/>
        <v>4800000</v>
      </c>
    </row>
    <row r="684" ht="13.85" spans="1:6">
      <c r="A684">
        <f t="shared" si="40"/>
        <v>683</v>
      </c>
      <c r="B684" s="10"/>
      <c r="C684" s="11">
        <v>13</v>
      </c>
      <c r="D684">
        <f t="shared" si="41"/>
        <v>13</v>
      </c>
      <c r="E684">
        <f t="shared" si="42"/>
        <v>13000000</v>
      </c>
      <c r="F684">
        <f t="shared" si="43"/>
        <v>6240000</v>
      </c>
    </row>
    <row r="685" ht="13.85" spans="1:6">
      <c r="A685">
        <f t="shared" si="40"/>
        <v>684</v>
      </c>
      <c r="B685" s="10"/>
      <c r="C685" s="11">
        <v>21</v>
      </c>
      <c r="D685">
        <f t="shared" si="41"/>
        <v>21</v>
      </c>
      <c r="E685">
        <f t="shared" si="42"/>
        <v>21000000</v>
      </c>
      <c r="F685">
        <f t="shared" si="43"/>
        <v>10080000</v>
      </c>
    </row>
    <row r="686" ht="13.85" spans="1:6">
      <c r="A686">
        <f t="shared" si="40"/>
        <v>685</v>
      </c>
      <c r="B686" s="10"/>
      <c r="C686" s="11">
        <v>10</v>
      </c>
      <c r="D686">
        <f t="shared" si="41"/>
        <v>10</v>
      </c>
      <c r="E686">
        <f t="shared" si="42"/>
        <v>10000000</v>
      </c>
      <c r="F686">
        <f t="shared" si="43"/>
        <v>4800000</v>
      </c>
    </row>
    <row r="687" ht="13.85" spans="1:6">
      <c r="A687">
        <f t="shared" si="40"/>
        <v>686</v>
      </c>
      <c r="B687" s="10"/>
      <c r="C687" s="11">
        <v>13</v>
      </c>
      <c r="D687">
        <f t="shared" si="41"/>
        <v>13</v>
      </c>
      <c r="E687">
        <f t="shared" si="42"/>
        <v>13000000</v>
      </c>
      <c r="F687">
        <f t="shared" si="43"/>
        <v>6240000</v>
      </c>
    </row>
    <row r="688" ht="13.85" spans="1:6">
      <c r="A688">
        <f t="shared" si="40"/>
        <v>687</v>
      </c>
      <c r="B688" s="10"/>
      <c r="C688" s="11">
        <v>21</v>
      </c>
      <c r="D688">
        <f t="shared" si="41"/>
        <v>21</v>
      </c>
      <c r="E688">
        <f t="shared" si="42"/>
        <v>21000000</v>
      </c>
      <c r="F688">
        <f t="shared" si="43"/>
        <v>10080000</v>
      </c>
    </row>
    <row r="689" ht="13.85" spans="1:6">
      <c r="A689">
        <f t="shared" si="40"/>
        <v>688</v>
      </c>
      <c r="B689" s="10"/>
      <c r="C689" s="11">
        <v>27</v>
      </c>
      <c r="D689">
        <f t="shared" si="41"/>
        <v>27</v>
      </c>
      <c r="E689">
        <f t="shared" si="42"/>
        <v>27000000</v>
      </c>
      <c r="F689">
        <f t="shared" si="43"/>
        <v>12960000</v>
      </c>
    </row>
    <row r="690" ht="13.85" spans="1:6">
      <c r="A690">
        <f t="shared" si="40"/>
        <v>689</v>
      </c>
      <c r="B690" s="10"/>
      <c r="C690" s="11">
        <v>36</v>
      </c>
      <c r="D690">
        <f t="shared" si="41"/>
        <v>36</v>
      </c>
      <c r="E690">
        <f t="shared" si="42"/>
        <v>36000000</v>
      </c>
      <c r="F690">
        <f t="shared" si="43"/>
        <v>17280000</v>
      </c>
    </row>
    <row r="691" ht="13.85" spans="1:6">
      <c r="A691">
        <f t="shared" si="40"/>
        <v>690</v>
      </c>
      <c r="B691" s="10"/>
      <c r="C691" s="11">
        <v>44</v>
      </c>
      <c r="D691">
        <f t="shared" si="41"/>
        <v>44</v>
      </c>
      <c r="E691">
        <f t="shared" si="42"/>
        <v>44000000</v>
      </c>
      <c r="F691">
        <f t="shared" si="43"/>
        <v>21120000</v>
      </c>
    </row>
    <row r="692" ht="13.85" spans="1:6">
      <c r="A692">
        <f t="shared" si="40"/>
        <v>691</v>
      </c>
      <c r="B692" s="10"/>
      <c r="C692" s="11">
        <v>54</v>
      </c>
      <c r="D692">
        <f t="shared" si="41"/>
        <v>54</v>
      </c>
      <c r="E692">
        <f t="shared" si="42"/>
        <v>54000000</v>
      </c>
      <c r="F692">
        <f t="shared" si="43"/>
        <v>25920000</v>
      </c>
    </row>
    <row r="693" ht="13.85" spans="1:6">
      <c r="A693">
        <f t="shared" si="40"/>
        <v>692</v>
      </c>
      <c r="B693" s="10"/>
      <c r="C693" s="11">
        <v>63</v>
      </c>
      <c r="D693">
        <f t="shared" si="41"/>
        <v>63</v>
      </c>
      <c r="E693">
        <f t="shared" si="42"/>
        <v>63000000</v>
      </c>
      <c r="F693">
        <f t="shared" si="43"/>
        <v>30240000</v>
      </c>
    </row>
    <row r="694" ht="13.85" spans="1:6">
      <c r="A694">
        <f t="shared" si="40"/>
        <v>693</v>
      </c>
      <c r="B694" s="10"/>
      <c r="C694" s="11">
        <v>76</v>
      </c>
      <c r="D694">
        <f t="shared" si="41"/>
        <v>76</v>
      </c>
      <c r="E694">
        <f t="shared" si="42"/>
        <v>76000000</v>
      </c>
      <c r="F694">
        <f t="shared" si="43"/>
        <v>36480000</v>
      </c>
    </row>
    <row r="695" ht="13.85" spans="1:6">
      <c r="A695">
        <f t="shared" si="40"/>
        <v>694</v>
      </c>
      <c r="B695" s="10"/>
      <c r="C695" s="11">
        <v>84</v>
      </c>
      <c r="D695">
        <f t="shared" si="41"/>
        <v>84</v>
      </c>
      <c r="E695">
        <f t="shared" si="42"/>
        <v>84000000</v>
      </c>
      <c r="F695">
        <f t="shared" si="43"/>
        <v>40320000</v>
      </c>
    </row>
    <row r="696" ht="13.85" spans="1:6">
      <c r="A696">
        <f t="shared" si="40"/>
        <v>695</v>
      </c>
      <c r="B696" s="10"/>
      <c r="C696" s="11">
        <v>97</v>
      </c>
      <c r="D696">
        <f t="shared" si="41"/>
        <v>97</v>
      </c>
      <c r="E696">
        <f t="shared" si="42"/>
        <v>97000000</v>
      </c>
      <c r="F696">
        <f t="shared" si="43"/>
        <v>46560000</v>
      </c>
    </row>
    <row r="697" ht="13.85" spans="1:6">
      <c r="A697">
        <f t="shared" si="40"/>
        <v>696</v>
      </c>
      <c r="B697" s="10"/>
      <c r="C697" s="11">
        <v>10</v>
      </c>
      <c r="D697">
        <f t="shared" si="41"/>
        <v>10</v>
      </c>
      <c r="E697">
        <f t="shared" si="42"/>
        <v>10000000</v>
      </c>
      <c r="F697">
        <f t="shared" si="43"/>
        <v>4800000</v>
      </c>
    </row>
    <row r="698" ht="13.85" spans="1:6">
      <c r="A698">
        <f t="shared" si="40"/>
        <v>697</v>
      </c>
      <c r="B698" s="10"/>
      <c r="C698" s="11">
        <v>14</v>
      </c>
      <c r="D698">
        <f t="shared" si="41"/>
        <v>14</v>
      </c>
      <c r="E698">
        <f t="shared" si="42"/>
        <v>14000000</v>
      </c>
      <c r="F698">
        <f t="shared" si="43"/>
        <v>6720000</v>
      </c>
    </row>
    <row r="699" ht="13.85" spans="1:6">
      <c r="A699">
        <f t="shared" si="40"/>
        <v>698</v>
      </c>
      <c r="B699" s="10"/>
      <c r="C699" s="11">
        <v>21</v>
      </c>
      <c r="D699">
        <f t="shared" si="41"/>
        <v>21</v>
      </c>
      <c r="E699">
        <f t="shared" si="42"/>
        <v>21000000</v>
      </c>
      <c r="F699">
        <f t="shared" si="43"/>
        <v>10080000</v>
      </c>
    </row>
    <row r="700" ht="13.85" spans="1:6">
      <c r="A700">
        <f t="shared" si="40"/>
        <v>699</v>
      </c>
      <c r="B700" s="10"/>
      <c r="C700" s="11">
        <v>28</v>
      </c>
      <c r="D700">
        <f t="shared" si="41"/>
        <v>28</v>
      </c>
      <c r="E700">
        <f t="shared" si="42"/>
        <v>28000000</v>
      </c>
      <c r="F700">
        <f t="shared" si="43"/>
        <v>13440000</v>
      </c>
    </row>
    <row r="701" ht="13.85" spans="1:6">
      <c r="A701">
        <f t="shared" si="40"/>
        <v>700</v>
      </c>
      <c r="B701" s="10"/>
      <c r="C701" s="11">
        <v>36</v>
      </c>
      <c r="D701">
        <f t="shared" si="41"/>
        <v>36</v>
      </c>
      <c r="E701">
        <f t="shared" si="42"/>
        <v>36000000</v>
      </c>
      <c r="F701">
        <f t="shared" si="43"/>
        <v>17280000</v>
      </c>
    </row>
    <row r="702" ht="13.85" spans="1:6">
      <c r="A702">
        <f t="shared" si="40"/>
        <v>701</v>
      </c>
      <c r="B702" s="10"/>
      <c r="C702" s="11">
        <v>45</v>
      </c>
      <c r="D702">
        <f t="shared" si="41"/>
        <v>45</v>
      </c>
      <c r="E702">
        <f t="shared" si="42"/>
        <v>45000000</v>
      </c>
      <c r="F702">
        <f t="shared" si="43"/>
        <v>21600000</v>
      </c>
    </row>
    <row r="703" ht="13.85" spans="1:6">
      <c r="A703">
        <f t="shared" si="40"/>
        <v>702</v>
      </c>
      <c r="B703" s="10"/>
      <c r="C703" s="11">
        <v>54</v>
      </c>
      <c r="D703">
        <f t="shared" si="41"/>
        <v>54</v>
      </c>
      <c r="E703">
        <f t="shared" si="42"/>
        <v>54000000</v>
      </c>
      <c r="F703">
        <f t="shared" si="43"/>
        <v>25920000</v>
      </c>
    </row>
    <row r="704" ht="13.85" spans="1:6">
      <c r="A704">
        <f t="shared" si="40"/>
        <v>703</v>
      </c>
      <c r="B704" s="10"/>
      <c r="C704" s="11">
        <v>64</v>
      </c>
      <c r="D704">
        <f t="shared" si="41"/>
        <v>64</v>
      </c>
      <c r="E704">
        <f t="shared" si="42"/>
        <v>64000000</v>
      </c>
      <c r="F704">
        <f t="shared" si="43"/>
        <v>30720000</v>
      </c>
    </row>
    <row r="705" ht="13.85" spans="1:6">
      <c r="A705">
        <f t="shared" si="40"/>
        <v>704</v>
      </c>
      <c r="B705" s="10"/>
      <c r="C705" s="11">
        <v>72</v>
      </c>
      <c r="D705">
        <f t="shared" si="41"/>
        <v>72</v>
      </c>
      <c r="E705">
        <f t="shared" si="42"/>
        <v>72000000</v>
      </c>
      <c r="F705">
        <f t="shared" si="43"/>
        <v>34560000</v>
      </c>
    </row>
    <row r="706" ht="13.85" spans="1:6">
      <c r="A706">
        <f t="shared" ref="A706:A769" si="44">ROW()-1</f>
        <v>705</v>
      </c>
      <c r="B706" s="10"/>
      <c r="C706" s="11">
        <v>84</v>
      </c>
      <c r="D706">
        <f t="shared" ref="D706:D769" si="45">IF(RIGHT(C706,1)="B",VALUE(LEFT(C706,LEN(C706)-1))*1000,C706)</f>
        <v>84</v>
      </c>
      <c r="E706">
        <f t="shared" ref="E706:E769" si="46">D706*1000000</f>
        <v>84000000</v>
      </c>
      <c r="F706">
        <f t="shared" ref="F706:F769" si="47">E706*0.48</f>
        <v>40320000</v>
      </c>
    </row>
    <row r="707" ht="13.85" spans="1:6">
      <c r="A707">
        <f t="shared" si="44"/>
        <v>706</v>
      </c>
      <c r="B707" s="10"/>
      <c r="C707" s="11">
        <v>95</v>
      </c>
      <c r="D707">
        <f t="shared" si="45"/>
        <v>95</v>
      </c>
      <c r="E707">
        <f t="shared" si="46"/>
        <v>95000000</v>
      </c>
      <c r="F707">
        <f t="shared" si="47"/>
        <v>45600000</v>
      </c>
    </row>
    <row r="708" ht="13.85" spans="1:6">
      <c r="A708">
        <f t="shared" si="44"/>
        <v>707</v>
      </c>
      <c r="B708" s="10"/>
      <c r="C708" s="11">
        <v>110</v>
      </c>
      <c r="D708">
        <f t="shared" si="45"/>
        <v>110</v>
      </c>
      <c r="E708">
        <f t="shared" si="46"/>
        <v>110000000</v>
      </c>
      <c r="F708">
        <f t="shared" si="47"/>
        <v>52800000</v>
      </c>
    </row>
    <row r="709" ht="13.85" spans="1:6">
      <c r="A709">
        <f t="shared" si="44"/>
        <v>708</v>
      </c>
      <c r="B709" s="10"/>
      <c r="C709" s="11">
        <v>128</v>
      </c>
      <c r="D709">
        <f t="shared" si="45"/>
        <v>128</v>
      </c>
      <c r="E709">
        <f t="shared" si="46"/>
        <v>128000000</v>
      </c>
      <c r="F709">
        <f t="shared" si="47"/>
        <v>61440000</v>
      </c>
    </row>
    <row r="710" ht="13.85" spans="1:6">
      <c r="A710">
        <f t="shared" si="44"/>
        <v>709</v>
      </c>
      <c r="B710" s="10"/>
      <c r="C710" s="11">
        <v>151</v>
      </c>
      <c r="D710">
        <f t="shared" si="45"/>
        <v>151</v>
      </c>
      <c r="E710">
        <f t="shared" si="46"/>
        <v>151000000</v>
      </c>
      <c r="F710">
        <f t="shared" si="47"/>
        <v>72480000</v>
      </c>
    </row>
    <row r="711" ht="13.85" spans="1:6">
      <c r="A711">
        <f t="shared" si="44"/>
        <v>710</v>
      </c>
      <c r="B711" s="14"/>
      <c r="C711" s="15">
        <v>177</v>
      </c>
      <c r="D711">
        <f t="shared" si="45"/>
        <v>177</v>
      </c>
      <c r="E711">
        <f t="shared" si="46"/>
        <v>177000000</v>
      </c>
      <c r="F711">
        <f t="shared" si="47"/>
        <v>84960000</v>
      </c>
    </row>
    <row r="712" ht="13.85" spans="1:6">
      <c r="A712">
        <f t="shared" si="44"/>
        <v>711</v>
      </c>
      <c r="B712" s="12"/>
      <c r="C712" s="13">
        <v>215</v>
      </c>
      <c r="D712">
        <f t="shared" si="45"/>
        <v>215</v>
      </c>
      <c r="E712">
        <f t="shared" si="46"/>
        <v>215000000</v>
      </c>
      <c r="F712">
        <f t="shared" si="47"/>
        <v>103200000</v>
      </c>
    </row>
    <row r="713" ht="13.85" spans="1:6">
      <c r="A713">
        <f t="shared" si="44"/>
        <v>712</v>
      </c>
      <c r="B713" s="10"/>
      <c r="C713" s="11">
        <v>10</v>
      </c>
      <c r="D713">
        <f t="shared" si="45"/>
        <v>10</v>
      </c>
      <c r="E713">
        <f t="shared" si="46"/>
        <v>10000000</v>
      </c>
      <c r="F713">
        <f t="shared" si="47"/>
        <v>4800000</v>
      </c>
    </row>
    <row r="714" ht="13.85" spans="1:6">
      <c r="A714">
        <f t="shared" si="44"/>
        <v>713</v>
      </c>
      <c r="B714" s="10"/>
      <c r="C714" s="11">
        <v>15</v>
      </c>
      <c r="D714">
        <f t="shared" si="45"/>
        <v>15</v>
      </c>
      <c r="E714">
        <f t="shared" si="46"/>
        <v>15000000</v>
      </c>
      <c r="F714">
        <f t="shared" si="47"/>
        <v>7200000</v>
      </c>
    </row>
    <row r="715" ht="13.85" spans="1:6">
      <c r="A715">
        <f t="shared" si="44"/>
        <v>714</v>
      </c>
      <c r="B715" s="10"/>
      <c r="C715" s="11">
        <v>10</v>
      </c>
      <c r="D715">
        <f t="shared" si="45"/>
        <v>10</v>
      </c>
      <c r="E715">
        <f t="shared" si="46"/>
        <v>10000000</v>
      </c>
      <c r="F715">
        <f t="shared" si="47"/>
        <v>4800000</v>
      </c>
    </row>
    <row r="716" ht="13.85" spans="1:6">
      <c r="A716">
        <f t="shared" si="44"/>
        <v>715</v>
      </c>
      <c r="B716" s="10"/>
      <c r="C716" s="11">
        <v>13</v>
      </c>
      <c r="D716">
        <f t="shared" si="45"/>
        <v>13</v>
      </c>
      <c r="E716">
        <f t="shared" si="46"/>
        <v>13000000</v>
      </c>
      <c r="F716">
        <f t="shared" si="47"/>
        <v>6240000</v>
      </c>
    </row>
    <row r="717" ht="13.85" spans="1:6">
      <c r="A717">
        <f t="shared" si="44"/>
        <v>716</v>
      </c>
      <c r="B717" s="10"/>
      <c r="C717" s="11">
        <v>20</v>
      </c>
      <c r="D717">
        <f t="shared" si="45"/>
        <v>20</v>
      </c>
      <c r="E717">
        <f t="shared" si="46"/>
        <v>20000000</v>
      </c>
      <c r="F717">
        <f t="shared" si="47"/>
        <v>9600000</v>
      </c>
    </row>
    <row r="718" ht="13.85" spans="1:6">
      <c r="A718">
        <f t="shared" si="44"/>
        <v>717</v>
      </c>
      <c r="B718" s="10"/>
      <c r="C718" s="11">
        <v>28</v>
      </c>
      <c r="D718">
        <f t="shared" si="45"/>
        <v>28</v>
      </c>
      <c r="E718">
        <f t="shared" si="46"/>
        <v>28000000</v>
      </c>
      <c r="F718">
        <f t="shared" si="47"/>
        <v>13440000</v>
      </c>
    </row>
    <row r="719" ht="13.85" spans="1:6">
      <c r="A719">
        <f t="shared" si="44"/>
        <v>718</v>
      </c>
      <c r="B719" s="10"/>
      <c r="C719" s="11">
        <v>35</v>
      </c>
      <c r="D719">
        <f t="shared" si="45"/>
        <v>35</v>
      </c>
      <c r="E719">
        <f t="shared" si="46"/>
        <v>35000000</v>
      </c>
      <c r="F719">
        <f t="shared" si="47"/>
        <v>16800000</v>
      </c>
    </row>
    <row r="720" ht="13.85" spans="1:6">
      <c r="A720">
        <f t="shared" si="44"/>
        <v>719</v>
      </c>
      <c r="B720" s="10"/>
      <c r="C720" s="11">
        <v>44</v>
      </c>
      <c r="D720">
        <f t="shared" si="45"/>
        <v>44</v>
      </c>
      <c r="E720">
        <f t="shared" si="46"/>
        <v>44000000</v>
      </c>
      <c r="F720">
        <f t="shared" si="47"/>
        <v>21120000</v>
      </c>
    </row>
    <row r="721" ht="13.85" spans="1:6">
      <c r="A721">
        <f t="shared" si="44"/>
        <v>720</v>
      </c>
      <c r="B721" s="10"/>
      <c r="C721" s="11">
        <v>52</v>
      </c>
      <c r="D721">
        <f t="shared" si="45"/>
        <v>52</v>
      </c>
      <c r="E721">
        <f t="shared" si="46"/>
        <v>52000000</v>
      </c>
      <c r="F721">
        <f t="shared" si="47"/>
        <v>24960000</v>
      </c>
    </row>
    <row r="722" ht="13.85" spans="1:6">
      <c r="A722">
        <f t="shared" si="44"/>
        <v>721</v>
      </c>
      <c r="B722" s="10"/>
      <c r="C722" s="11">
        <v>63</v>
      </c>
      <c r="D722">
        <f t="shared" si="45"/>
        <v>63</v>
      </c>
      <c r="E722">
        <f t="shared" si="46"/>
        <v>63000000</v>
      </c>
      <c r="F722">
        <f t="shared" si="47"/>
        <v>30240000</v>
      </c>
    </row>
    <row r="723" ht="13.85" spans="1:6">
      <c r="A723">
        <f t="shared" si="44"/>
        <v>722</v>
      </c>
      <c r="B723" s="10"/>
      <c r="C723" s="11">
        <v>72</v>
      </c>
      <c r="D723">
        <f t="shared" si="45"/>
        <v>72</v>
      </c>
      <c r="E723">
        <f t="shared" si="46"/>
        <v>72000000</v>
      </c>
      <c r="F723">
        <f t="shared" si="47"/>
        <v>34560000</v>
      </c>
    </row>
    <row r="724" ht="13.85" spans="1:6">
      <c r="A724">
        <f t="shared" si="44"/>
        <v>723</v>
      </c>
      <c r="B724" s="10"/>
      <c r="C724" s="11">
        <v>83</v>
      </c>
      <c r="D724">
        <f t="shared" si="45"/>
        <v>83</v>
      </c>
      <c r="E724">
        <f t="shared" si="46"/>
        <v>83000000</v>
      </c>
      <c r="F724">
        <f t="shared" si="47"/>
        <v>39840000</v>
      </c>
    </row>
    <row r="725" ht="13.85" spans="1:6">
      <c r="A725">
        <f t="shared" si="44"/>
        <v>724</v>
      </c>
      <c r="B725" s="10"/>
      <c r="C725" s="11">
        <v>95</v>
      </c>
      <c r="D725">
        <f t="shared" si="45"/>
        <v>95</v>
      </c>
      <c r="E725">
        <f t="shared" si="46"/>
        <v>95000000</v>
      </c>
      <c r="F725">
        <f t="shared" si="47"/>
        <v>45600000</v>
      </c>
    </row>
    <row r="726" ht="13.85" spans="1:6">
      <c r="A726">
        <f t="shared" si="44"/>
        <v>725</v>
      </c>
      <c r="B726" s="10"/>
      <c r="C726" s="11">
        <v>110</v>
      </c>
      <c r="D726">
        <f t="shared" si="45"/>
        <v>110</v>
      </c>
      <c r="E726">
        <f t="shared" si="46"/>
        <v>110000000</v>
      </c>
      <c r="F726">
        <f t="shared" si="47"/>
        <v>52800000</v>
      </c>
    </row>
    <row r="727" ht="13.85" spans="1:6">
      <c r="A727">
        <f t="shared" si="44"/>
        <v>726</v>
      </c>
      <c r="B727" s="10"/>
      <c r="C727" s="11">
        <v>127</v>
      </c>
      <c r="D727">
        <f t="shared" si="45"/>
        <v>127</v>
      </c>
      <c r="E727">
        <f t="shared" si="46"/>
        <v>127000000</v>
      </c>
      <c r="F727">
        <f t="shared" si="47"/>
        <v>60960000</v>
      </c>
    </row>
    <row r="728" ht="13.85" spans="1:6">
      <c r="A728">
        <f t="shared" si="44"/>
        <v>727</v>
      </c>
      <c r="B728" s="10"/>
      <c r="C728" s="11">
        <v>145</v>
      </c>
      <c r="D728">
        <f t="shared" si="45"/>
        <v>145</v>
      </c>
      <c r="E728">
        <f t="shared" si="46"/>
        <v>145000000</v>
      </c>
      <c r="F728">
        <f t="shared" si="47"/>
        <v>69600000</v>
      </c>
    </row>
    <row r="729" ht="13.85" spans="1:6">
      <c r="A729">
        <f t="shared" si="44"/>
        <v>728</v>
      </c>
      <c r="B729" s="10"/>
      <c r="C729" s="11">
        <v>171</v>
      </c>
      <c r="D729">
        <f t="shared" si="45"/>
        <v>171</v>
      </c>
      <c r="E729">
        <f t="shared" si="46"/>
        <v>171000000</v>
      </c>
      <c r="F729">
        <f t="shared" si="47"/>
        <v>82080000</v>
      </c>
    </row>
    <row r="730" ht="13.85" spans="1:6">
      <c r="A730">
        <f t="shared" si="44"/>
        <v>729</v>
      </c>
      <c r="B730" s="10"/>
      <c r="C730" s="11">
        <v>10</v>
      </c>
      <c r="D730">
        <f t="shared" si="45"/>
        <v>10</v>
      </c>
      <c r="E730">
        <f t="shared" si="46"/>
        <v>10000000</v>
      </c>
      <c r="F730">
        <f t="shared" si="47"/>
        <v>4800000</v>
      </c>
    </row>
    <row r="731" ht="13.85" spans="1:6">
      <c r="A731">
        <f t="shared" si="44"/>
        <v>730</v>
      </c>
      <c r="B731" s="10"/>
      <c r="C731" s="11">
        <v>14</v>
      </c>
      <c r="D731">
        <f t="shared" si="45"/>
        <v>14</v>
      </c>
      <c r="E731">
        <f t="shared" si="46"/>
        <v>14000000</v>
      </c>
      <c r="F731">
        <f t="shared" si="47"/>
        <v>6720000</v>
      </c>
    </row>
    <row r="732" ht="13.85" spans="1:6">
      <c r="A732">
        <f t="shared" si="44"/>
        <v>731</v>
      </c>
      <c r="B732" s="10"/>
      <c r="C732" s="11">
        <v>23</v>
      </c>
      <c r="D732">
        <f t="shared" si="45"/>
        <v>23</v>
      </c>
      <c r="E732">
        <f t="shared" si="46"/>
        <v>23000000</v>
      </c>
      <c r="F732">
        <f t="shared" si="47"/>
        <v>11040000</v>
      </c>
    </row>
    <row r="733" ht="13.85" spans="1:6">
      <c r="A733">
        <f t="shared" si="44"/>
        <v>732</v>
      </c>
      <c r="B733" s="10"/>
      <c r="C733" s="11">
        <v>30</v>
      </c>
      <c r="D733">
        <f t="shared" si="45"/>
        <v>30</v>
      </c>
      <c r="E733">
        <f t="shared" si="46"/>
        <v>30000000</v>
      </c>
      <c r="F733">
        <f t="shared" si="47"/>
        <v>14400000</v>
      </c>
    </row>
    <row r="734" ht="13.85" spans="1:6">
      <c r="A734">
        <f t="shared" si="44"/>
        <v>733</v>
      </c>
      <c r="B734" s="10"/>
      <c r="C734" s="11">
        <v>10</v>
      </c>
      <c r="D734">
        <f t="shared" si="45"/>
        <v>10</v>
      </c>
      <c r="E734">
        <f t="shared" si="46"/>
        <v>10000000</v>
      </c>
      <c r="F734">
        <f t="shared" si="47"/>
        <v>4800000</v>
      </c>
    </row>
    <row r="735" ht="13.85" spans="1:6">
      <c r="A735">
        <f t="shared" si="44"/>
        <v>734</v>
      </c>
      <c r="B735" s="10"/>
      <c r="C735" s="11">
        <v>13</v>
      </c>
      <c r="D735">
        <f t="shared" si="45"/>
        <v>13</v>
      </c>
      <c r="E735">
        <f t="shared" si="46"/>
        <v>13000000</v>
      </c>
      <c r="F735">
        <f t="shared" si="47"/>
        <v>6240000</v>
      </c>
    </row>
    <row r="736" ht="13.85" spans="1:6">
      <c r="A736">
        <f t="shared" si="44"/>
        <v>735</v>
      </c>
      <c r="B736" s="10"/>
      <c r="C736" s="11">
        <v>21</v>
      </c>
      <c r="D736">
        <f t="shared" si="45"/>
        <v>21</v>
      </c>
      <c r="E736">
        <f t="shared" si="46"/>
        <v>21000000</v>
      </c>
      <c r="F736">
        <f t="shared" si="47"/>
        <v>10080000</v>
      </c>
    </row>
    <row r="737" ht="13.85" spans="1:6">
      <c r="A737">
        <f t="shared" si="44"/>
        <v>736</v>
      </c>
      <c r="B737" s="10"/>
      <c r="C737" s="11">
        <v>28</v>
      </c>
      <c r="D737">
        <f t="shared" si="45"/>
        <v>28</v>
      </c>
      <c r="E737">
        <f t="shared" si="46"/>
        <v>28000000</v>
      </c>
      <c r="F737">
        <f t="shared" si="47"/>
        <v>13440000</v>
      </c>
    </row>
    <row r="738" ht="13.85" spans="1:6">
      <c r="A738">
        <f t="shared" si="44"/>
        <v>737</v>
      </c>
      <c r="B738" s="10"/>
      <c r="C738" s="11">
        <v>37</v>
      </c>
      <c r="D738">
        <f t="shared" si="45"/>
        <v>37</v>
      </c>
      <c r="E738">
        <f t="shared" si="46"/>
        <v>37000000</v>
      </c>
      <c r="F738">
        <f t="shared" si="47"/>
        <v>17760000</v>
      </c>
    </row>
    <row r="739" ht="13.85" spans="1:6">
      <c r="A739">
        <f t="shared" si="44"/>
        <v>738</v>
      </c>
      <c r="B739" s="10"/>
      <c r="C739" s="11">
        <v>10</v>
      </c>
      <c r="D739">
        <f t="shared" si="45"/>
        <v>10</v>
      </c>
      <c r="E739">
        <f t="shared" si="46"/>
        <v>10000000</v>
      </c>
      <c r="F739">
        <f t="shared" si="47"/>
        <v>4800000</v>
      </c>
    </row>
    <row r="740" ht="13.85" spans="1:6">
      <c r="A740">
        <f t="shared" si="44"/>
        <v>739</v>
      </c>
      <c r="B740" s="10"/>
      <c r="C740" s="11">
        <v>14</v>
      </c>
      <c r="D740">
        <f t="shared" si="45"/>
        <v>14</v>
      </c>
      <c r="E740">
        <f t="shared" si="46"/>
        <v>14000000</v>
      </c>
      <c r="F740">
        <f t="shared" si="47"/>
        <v>6720000</v>
      </c>
    </row>
    <row r="741" ht="13.85" spans="1:6">
      <c r="A741">
        <f t="shared" si="44"/>
        <v>740</v>
      </c>
      <c r="B741" s="10"/>
      <c r="C741" s="11">
        <v>19</v>
      </c>
      <c r="D741">
        <f t="shared" si="45"/>
        <v>19</v>
      </c>
      <c r="E741">
        <f t="shared" si="46"/>
        <v>19000000</v>
      </c>
      <c r="F741">
        <f t="shared" si="47"/>
        <v>9120000</v>
      </c>
    </row>
    <row r="742" ht="13.85" spans="1:6">
      <c r="A742">
        <f t="shared" si="44"/>
        <v>741</v>
      </c>
      <c r="B742" s="10"/>
      <c r="C742" s="11">
        <v>26</v>
      </c>
      <c r="D742">
        <f t="shared" si="45"/>
        <v>26</v>
      </c>
      <c r="E742">
        <f t="shared" si="46"/>
        <v>26000000</v>
      </c>
      <c r="F742">
        <f t="shared" si="47"/>
        <v>12480000</v>
      </c>
    </row>
    <row r="743" ht="13.85" spans="1:6">
      <c r="A743">
        <f t="shared" si="44"/>
        <v>742</v>
      </c>
      <c r="B743" s="10"/>
      <c r="C743" s="11">
        <v>10</v>
      </c>
      <c r="D743">
        <f t="shared" si="45"/>
        <v>10</v>
      </c>
      <c r="E743">
        <f t="shared" si="46"/>
        <v>10000000</v>
      </c>
      <c r="F743">
        <f t="shared" si="47"/>
        <v>4800000</v>
      </c>
    </row>
    <row r="744" ht="13.85" spans="1:6">
      <c r="A744">
        <f t="shared" si="44"/>
        <v>743</v>
      </c>
      <c r="B744" s="10"/>
      <c r="C744" s="11">
        <v>12</v>
      </c>
      <c r="D744">
        <f t="shared" si="45"/>
        <v>12</v>
      </c>
      <c r="E744">
        <f t="shared" si="46"/>
        <v>12000000</v>
      </c>
      <c r="F744">
        <f t="shared" si="47"/>
        <v>5760000</v>
      </c>
    </row>
    <row r="745" ht="13.85" spans="1:6">
      <c r="A745">
        <f t="shared" si="44"/>
        <v>744</v>
      </c>
      <c r="B745" s="10"/>
      <c r="C745" s="11">
        <v>18</v>
      </c>
      <c r="D745">
        <f t="shared" si="45"/>
        <v>18</v>
      </c>
      <c r="E745">
        <f t="shared" si="46"/>
        <v>18000000</v>
      </c>
      <c r="F745">
        <f t="shared" si="47"/>
        <v>8640000</v>
      </c>
    </row>
    <row r="746" ht="13.85" spans="1:6">
      <c r="A746">
        <f t="shared" si="44"/>
        <v>745</v>
      </c>
      <c r="B746" s="10"/>
      <c r="C746" s="11">
        <v>25</v>
      </c>
      <c r="D746">
        <f t="shared" si="45"/>
        <v>25</v>
      </c>
      <c r="E746">
        <f t="shared" si="46"/>
        <v>25000000</v>
      </c>
      <c r="F746">
        <f t="shared" si="47"/>
        <v>12000000</v>
      </c>
    </row>
    <row r="747" ht="13.85" spans="1:6">
      <c r="A747">
        <f t="shared" si="44"/>
        <v>746</v>
      </c>
      <c r="B747" s="10"/>
      <c r="C747" s="11">
        <v>32</v>
      </c>
      <c r="D747">
        <f t="shared" si="45"/>
        <v>32</v>
      </c>
      <c r="E747">
        <f t="shared" si="46"/>
        <v>32000000</v>
      </c>
      <c r="F747">
        <f t="shared" si="47"/>
        <v>15360000</v>
      </c>
    </row>
    <row r="748" ht="13.85" spans="1:6">
      <c r="A748">
        <f t="shared" si="44"/>
        <v>747</v>
      </c>
      <c r="B748" s="10"/>
      <c r="C748" s="11">
        <v>41</v>
      </c>
      <c r="D748">
        <f t="shared" si="45"/>
        <v>41</v>
      </c>
      <c r="E748">
        <f t="shared" si="46"/>
        <v>41000000</v>
      </c>
      <c r="F748">
        <f t="shared" si="47"/>
        <v>19680000</v>
      </c>
    </row>
    <row r="749" ht="13.85" spans="1:6">
      <c r="A749">
        <f t="shared" si="44"/>
        <v>748</v>
      </c>
      <c r="B749" s="10"/>
      <c r="C749" s="11">
        <v>10</v>
      </c>
      <c r="D749">
        <f t="shared" si="45"/>
        <v>10</v>
      </c>
      <c r="E749">
        <f t="shared" si="46"/>
        <v>10000000</v>
      </c>
      <c r="F749">
        <f t="shared" si="47"/>
        <v>4800000</v>
      </c>
    </row>
    <row r="750" ht="13.85" spans="1:6">
      <c r="A750">
        <f t="shared" si="44"/>
        <v>749</v>
      </c>
      <c r="B750" s="10"/>
      <c r="C750" s="11">
        <v>12</v>
      </c>
      <c r="D750">
        <f t="shared" si="45"/>
        <v>12</v>
      </c>
      <c r="E750">
        <f t="shared" si="46"/>
        <v>12000000</v>
      </c>
      <c r="F750">
        <f t="shared" si="47"/>
        <v>5760000</v>
      </c>
    </row>
    <row r="751" ht="13.85" spans="1:6">
      <c r="A751">
        <f t="shared" si="44"/>
        <v>750</v>
      </c>
      <c r="B751" s="10"/>
      <c r="C751" s="11">
        <v>18</v>
      </c>
      <c r="D751">
        <f t="shared" si="45"/>
        <v>18</v>
      </c>
      <c r="E751">
        <f t="shared" si="46"/>
        <v>18000000</v>
      </c>
      <c r="F751">
        <f t="shared" si="47"/>
        <v>8640000</v>
      </c>
    </row>
    <row r="752" ht="13.85" spans="1:6">
      <c r="A752">
        <f t="shared" si="44"/>
        <v>751</v>
      </c>
      <c r="B752" s="10"/>
      <c r="C752" s="11">
        <v>10</v>
      </c>
      <c r="D752">
        <f t="shared" si="45"/>
        <v>10</v>
      </c>
      <c r="E752">
        <f t="shared" si="46"/>
        <v>10000000</v>
      </c>
      <c r="F752">
        <f t="shared" si="47"/>
        <v>4800000</v>
      </c>
    </row>
    <row r="753" ht="13.85" spans="1:6">
      <c r="A753">
        <f t="shared" si="44"/>
        <v>752</v>
      </c>
      <c r="B753" s="10"/>
      <c r="C753" s="11">
        <v>12</v>
      </c>
      <c r="D753">
        <f t="shared" si="45"/>
        <v>12</v>
      </c>
      <c r="E753">
        <f t="shared" si="46"/>
        <v>12000000</v>
      </c>
      <c r="F753">
        <f t="shared" si="47"/>
        <v>5760000</v>
      </c>
    </row>
    <row r="754" ht="13.85" spans="1:6">
      <c r="A754">
        <f t="shared" si="44"/>
        <v>753</v>
      </c>
      <c r="B754" s="10"/>
      <c r="C754" s="11">
        <v>19</v>
      </c>
      <c r="D754">
        <f t="shared" si="45"/>
        <v>19</v>
      </c>
      <c r="E754">
        <f t="shared" si="46"/>
        <v>19000000</v>
      </c>
      <c r="F754">
        <f t="shared" si="47"/>
        <v>9120000</v>
      </c>
    </row>
    <row r="755" ht="13.85" spans="1:6">
      <c r="A755">
        <f t="shared" si="44"/>
        <v>754</v>
      </c>
      <c r="B755" s="10"/>
      <c r="C755" s="11">
        <v>10</v>
      </c>
      <c r="D755">
        <f t="shared" si="45"/>
        <v>10</v>
      </c>
      <c r="E755">
        <f t="shared" si="46"/>
        <v>10000000</v>
      </c>
      <c r="F755">
        <f t="shared" si="47"/>
        <v>4800000</v>
      </c>
    </row>
    <row r="756" ht="13.85" spans="1:6">
      <c r="A756">
        <f t="shared" si="44"/>
        <v>755</v>
      </c>
      <c r="B756" s="10"/>
      <c r="C756" s="11">
        <v>12</v>
      </c>
      <c r="D756">
        <f t="shared" si="45"/>
        <v>12</v>
      </c>
      <c r="E756">
        <f t="shared" si="46"/>
        <v>12000000</v>
      </c>
      <c r="F756">
        <f t="shared" si="47"/>
        <v>5760000</v>
      </c>
    </row>
    <row r="757" ht="13.85" spans="1:6">
      <c r="A757">
        <f t="shared" si="44"/>
        <v>756</v>
      </c>
      <c r="B757" s="10"/>
      <c r="C757" s="11">
        <v>18</v>
      </c>
      <c r="D757">
        <f t="shared" si="45"/>
        <v>18</v>
      </c>
      <c r="E757">
        <f t="shared" si="46"/>
        <v>18000000</v>
      </c>
      <c r="F757">
        <f t="shared" si="47"/>
        <v>8640000</v>
      </c>
    </row>
    <row r="758" ht="13.85" spans="1:6">
      <c r="A758">
        <f t="shared" si="44"/>
        <v>757</v>
      </c>
      <c r="B758" s="10"/>
      <c r="C758" s="11">
        <v>10</v>
      </c>
      <c r="D758">
        <f t="shared" si="45"/>
        <v>10</v>
      </c>
      <c r="E758">
        <f t="shared" si="46"/>
        <v>10000000</v>
      </c>
      <c r="F758">
        <f t="shared" si="47"/>
        <v>4800000</v>
      </c>
    </row>
    <row r="759" ht="13.85" spans="1:6">
      <c r="A759">
        <f t="shared" si="44"/>
        <v>758</v>
      </c>
      <c r="B759" s="10"/>
      <c r="C759" s="11">
        <v>12</v>
      </c>
      <c r="D759">
        <f t="shared" si="45"/>
        <v>12</v>
      </c>
      <c r="E759">
        <f t="shared" si="46"/>
        <v>12000000</v>
      </c>
      <c r="F759">
        <f t="shared" si="47"/>
        <v>5760000</v>
      </c>
    </row>
    <row r="760" ht="13.85" spans="1:6">
      <c r="A760">
        <f t="shared" si="44"/>
        <v>759</v>
      </c>
      <c r="B760" s="10"/>
      <c r="C760" s="11">
        <v>19</v>
      </c>
      <c r="D760">
        <f t="shared" si="45"/>
        <v>19</v>
      </c>
      <c r="E760">
        <f t="shared" si="46"/>
        <v>19000000</v>
      </c>
      <c r="F760">
        <f t="shared" si="47"/>
        <v>9120000</v>
      </c>
    </row>
    <row r="761" ht="13.85" spans="1:6">
      <c r="A761">
        <f t="shared" si="44"/>
        <v>760</v>
      </c>
      <c r="B761" s="10"/>
      <c r="C761" s="11">
        <v>25</v>
      </c>
      <c r="D761">
        <f t="shared" si="45"/>
        <v>25</v>
      </c>
      <c r="E761">
        <f t="shared" si="46"/>
        <v>25000000</v>
      </c>
      <c r="F761">
        <f t="shared" si="47"/>
        <v>12000000</v>
      </c>
    </row>
    <row r="762" ht="13.85" spans="1:6">
      <c r="A762">
        <f t="shared" si="44"/>
        <v>761</v>
      </c>
      <c r="B762" s="10"/>
      <c r="C762" s="11">
        <v>10</v>
      </c>
      <c r="D762">
        <f t="shared" si="45"/>
        <v>10</v>
      </c>
      <c r="E762">
        <f t="shared" si="46"/>
        <v>10000000</v>
      </c>
      <c r="F762">
        <f t="shared" si="47"/>
        <v>4800000</v>
      </c>
    </row>
    <row r="763" ht="13.85" spans="1:6">
      <c r="A763">
        <f t="shared" si="44"/>
        <v>762</v>
      </c>
      <c r="B763" s="10"/>
      <c r="C763" s="11">
        <v>12</v>
      </c>
      <c r="D763">
        <f t="shared" si="45"/>
        <v>12</v>
      </c>
      <c r="E763">
        <f t="shared" si="46"/>
        <v>12000000</v>
      </c>
      <c r="F763">
        <f t="shared" si="47"/>
        <v>5760000</v>
      </c>
    </row>
    <row r="764" ht="13.85" spans="1:6">
      <c r="A764">
        <f t="shared" si="44"/>
        <v>763</v>
      </c>
      <c r="B764" s="10"/>
      <c r="C764" s="11">
        <v>19</v>
      </c>
      <c r="D764">
        <f t="shared" si="45"/>
        <v>19</v>
      </c>
      <c r="E764">
        <f t="shared" si="46"/>
        <v>19000000</v>
      </c>
      <c r="F764">
        <f t="shared" si="47"/>
        <v>9120000</v>
      </c>
    </row>
    <row r="765" ht="13.85" spans="1:6">
      <c r="A765">
        <f t="shared" si="44"/>
        <v>764</v>
      </c>
      <c r="B765" s="10"/>
      <c r="C765" s="11">
        <v>25</v>
      </c>
      <c r="D765">
        <f t="shared" si="45"/>
        <v>25</v>
      </c>
      <c r="E765">
        <f t="shared" si="46"/>
        <v>25000000</v>
      </c>
      <c r="F765">
        <f t="shared" si="47"/>
        <v>12000000</v>
      </c>
    </row>
    <row r="766" ht="13.85" spans="1:6">
      <c r="A766">
        <f t="shared" si="44"/>
        <v>765</v>
      </c>
      <c r="B766" s="10"/>
      <c r="C766" s="11">
        <v>32</v>
      </c>
      <c r="D766">
        <f t="shared" si="45"/>
        <v>32</v>
      </c>
      <c r="E766">
        <f t="shared" si="46"/>
        <v>32000000</v>
      </c>
      <c r="F766">
        <f t="shared" si="47"/>
        <v>15360000</v>
      </c>
    </row>
    <row r="767" ht="13.85" spans="1:6">
      <c r="A767">
        <f t="shared" si="44"/>
        <v>766</v>
      </c>
      <c r="B767" s="10"/>
      <c r="C767" s="11">
        <v>39</v>
      </c>
      <c r="D767">
        <f t="shared" si="45"/>
        <v>39</v>
      </c>
      <c r="E767">
        <f t="shared" si="46"/>
        <v>39000000</v>
      </c>
      <c r="F767">
        <f t="shared" si="47"/>
        <v>18720000</v>
      </c>
    </row>
    <row r="768" ht="13.85" spans="1:6">
      <c r="A768">
        <f t="shared" si="44"/>
        <v>767</v>
      </c>
      <c r="B768" s="10"/>
      <c r="C768" s="11">
        <v>47</v>
      </c>
      <c r="D768">
        <f t="shared" si="45"/>
        <v>47</v>
      </c>
      <c r="E768">
        <f t="shared" si="46"/>
        <v>47000000</v>
      </c>
      <c r="F768">
        <f t="shared" si="47"/>
        <v>22560000</v>
      </c>
    </row>
    <row r="769" ht="13.85" spans="1:6">
      <c r="A769">
        <f t="shared" si="44"/>
        <v>768</v>
      </c>
      <c r="B769" s="10"/>
      <c r="C769" s="11">
        <v>54</v>
      </c>
      <c r="D769">
        <f t="shared" si="45"/>
        <v>54</v>
      </c>
      <c r="E769">
        <f t="shared" si="46"/>
        <v>54000000</v>
      </c>
      <c r="F769">
        <f t="shared" si="47"/>
        <v>25920000</v>
      </c>
    </row>
    <row r="770" ht="13.85" spans="1:6">
      <c r="A770">
        <f t="shared" ref="A770:A833" si="48">ROW()-1</f>
        <v>769</v>
      </c>
      <c r="B770" s="10"/>
      <c r="C770" s="11">
        <v>63</v>
      </c>
      <c r="D770">
        <f t="shared" ref="D770:D833" si="49">IF(RIGHT(C770,1)="B",VALUE(LEFT(C770,LEN(C770)-1))*1000,C770)</f>
        <v>63</v>
      </c>
      <c r="E770">
        <f t="shared" ref="E770:E833" si="50">D770*1000000</f>
        <v>63000000</v>
      </c>
      <c r="F770">
        <f t="shared" ref="F770:F833" si="51">E770*0.48</f>
        <v>30240000</v>
      </c>
    </row>
    <row r="771" ht="13.85" spans="1:6">
      <c r="A771">
        <f t="shared" si="48"/>
        <v>770</v>
      </c>
      <c r="B771" s="10"/>
      <c r="C771" s="11">
        <v>72</v>
      </c>
      <c r="D771">
        <f t="shared" si="49"/>
        <v>72</v>
      </c>
      <c r="E771">
        <f t="shared" si="50"/>
        <v>72000000</v>
      </c>
      <c r="F771">
        <f t="shared" si="51"/>
        <v>34560000</v>
      </c>
    </row>
    <row r="772" ht="13.85" spans="1:6">
      <c r="A772">
        <f t="shared" si="48"/>
        <v>771</v>
      </c>
      <c r="B772" s="10"/>
      <c r="C772" s="11">
        <v>83</v>
      </c>
      <c r="D772">
        <f t="shared" si="49"/>
        <v>83</v>
      </c>
      <c r="E772">
        <f t="shared" si="50"/>
        <v>83000000</v>
      </c>
      <c r="F772">
        <f t="shared" si="51"/>
        <v>39840000</v>
      </c>
    </row>
    <row r="773" ht="13.85" spans="1:6">
      <c r="A773">
        <f t="shared" si="48"/>
        <v>772</v>
      </c>
      <c r="B773" s="10"/>
      <c r="C773" s="11">
        <v>96</v>
      </c>
      <c r="D773">
        <f t="shared" si="49"/>
        <v>96</v>
      </c>
      <c r="E773">
        <f t="shared" si="50"/>
        <v>96000000</v>
      </c>
      <c r="F773">
        <f t="shared" si="51"/>
        <v>46080000</v>
      </c>
    </row>
    <row r="774" ht="13.85" spans="1:6">
      <c r="A774">
        <f t="shared" si="48"/>
        <v>773</v>
      </c>
      <c r="B774" s="10"/>
      <c r="C774" s="11">
        <v>111</v>
      </c>
      <c r="D774">
        <f t="shared" si="49"/>
        <v>111</v>
      </c>
      <c r="E774">
        <f t="shared" si="50"/>
        <v>111000000</v>
      </c>
      <c r="F774">
        <f t="shared" si="51"/>
        <v>53280000</v>
      </c>
    </row>
    <row r="775" ht="13.85" spans="1:6">
      <c r="A775">
        <f t="shared" si="48"/>
        <v>774</v>
      </c>
      <c r="B775" s="10"/>
      <c r="C775" s="11">
        <v>129</v>
      </c>
      <c r="D775">
        <f t="shared" si="49"/>
        <v>129</v>
      </c>
      <c r="E775">
        <f t="shared" si="50"/>
        <v>129000000</v>
      </c>
      <c r="F775">
        <f t="shared" si="51"/>
        <v>61920000</v>
      </c>
    </row>
    <row r="776" ht="13.85" spans="1:6">
      <c r="A776">
        <f t="shared" si="48"/>
        <v>775</v>
      </c>
      <c r="B776" s="10"/>
      <c r="C776" s="11">
        <v>155</v>
      </c>
      <c r="D776">
        <f t="shared" si="49"/>
        <v>155</v>
      </c>
      <c r="E776">
        <f t="shared" si="50"/>
        <v>155000000</v>
      </c>
      <c r="F776">
        <f t="shared" si="51"/>
        <v>74400000</v>
      </c>
    </row>
    <row r="777" ht="13.85" spans="1:6">
      <c r="A777">
        <f t="shared" si="48"/>
        <v>776</v>
      </c>
      <c r="B777" s="10"/>
      <c r="C777" s="11">
        <v>180</v>
      </c>
      <c r="D777">
        <f t="shared" si="49"/>
        <v>180</v>
      </c>
      <c r="E777">
        <f t="shared" si="50"/>
        <v>180000000</v>
      </c>
      <c r="F777">
        <f t="shared" si="51"/>
        <v>86400000</v>
      </c>
    </row>
    <row r="778" ht="13.85" spans="1:6">
      <c r="A778">
        <f t="shared" si="48"/>
        <v>777</v>
      </c>
      <c r="B778" s="10"/>
      <c r="C778" s="11">
        <v>220</v>
      </c>
      <c r="D778">
        <f t="shared" si="49"/>
        <v>220</v>
      </c>
      <c r="E778">
        <f t="shared" si="50"/>
        <v>220000000</v>
      </c>
      <c r="F778">
        <f t="shared" si="51"/>
        <v>105600000</v>
      </c>
    </row>
    <row r="779" ht="13.85" spans="1:6">
      <c r="A779">
        <f t="shared" si="48"/>
        <v>778</v>
      </c>
      <c r="B779" s="10"/>
      <c r="C779" s="11">
        <v>10</v>
      </c>
      <c r="D779">
        <f t="shared" si="49"/>
        <v>10</v>
      </c>
      <c r="E779">
        <f t="shared" si="50"/>
        <v>10000000</v>
      </c>
      <c r="F779">
        <f t="shared" si="51"/>
        <v>4800000</v>
      </c>
    </row>
    <row r="780" ht="13.85" spans="1:6">
      <c r="A780">
        <f t="shared" si="48"/>
        <v>779</v>
      </c>
      <c r="B780" s="10"/>
      <c r="C780" s="11">
        <v>13</v>
      </c>
      <c r="D780">
        <f t="shared" si="49"/>
        <v>13</v>
      </c>
      <c r="E780">
        <f t="shared" si="50"/>
        <v>13000000</v>
      </c>
      <c r="F780">
        <f t="shared" si="51"/>
        <v>6240000</v>
      </c>
    </row>
    <row r="781" ht="13.85" spans="1:6">
      <c r="A781">
        <f t="shared" si="48"/>
        <v>780</v>
      </c>
      <c r="B781" s="10"/>
      <c r="C781" s="11">
        <v>20</v>
      </c>
      <c r="D781">
        <f t="shared" si="49"/>
        <v>20</v>
      </c>
      <c r="E781">
        <f t="shared" si="50"/>
        <v>20000000</v>
      </c>
      <c r="F781">
        <f t="shared" si="51"/>
        <v>9600000</v>
      </c>
    </row>
    <row r="782" ht="13.85" spans="1:6">
      <c r="A782">
        <f t="shared" si="48"/>
        <v>781</v>
      </c>
      <c r="B782" s="10"/>
      <c r="C782" s="11">
        <v>28</v>
      </c>
      <c r="D782">
        <f t="shared" si="49"/>
        <v>28</v>
      </c>
      <c r="E782">
        <f t="shared" si="50"/>
        <v>28000000</v>
      </c>
      <c r="F782">
        <f t="shared" si="51"/>
        <v>13440000</v>
      </c>
    </row>
    <row r="783" ht="13.85" spans="1:6">
      <c r="A783">
        <f t="shared" si="48"/>
        <v>782</v>
      </c>
      <c r="B783" s="10"/>
      <c r="C783" s="11">
        <v>34</v>
      </c>
      <c r="D783">
        <f t="shared" si="49"/>
        <v>34</v>
      </c>
      <c r="E783">
        <f t="shared" si="50"/>
        <v>34000000</v>
      </c>
      <c r="F783">
        <f t="shared" si="51"/>
        <v>16320000</v>
      </c>
    </row>
    <row r="784" ht="13.85" spans="1:6">
      <c r="A784">
        <f t="shared" si="48"/>
        <v>783</v>
      </c>
      <c r="B784" s="10"/>
      <c r="C784" s="11">
        <v>43</v>
      </c>
      <c r="D784">
        <f t="shared" si="49"/>
        <v>43</v>
      </c>
      <c r="E784">
        <f t="shared" si="50"/>
        <v>43000000</v>
      </c>
      <c r="F784">
        <f t="shared" si="51"/>
        <v>20640000</v>
      </c>
    </row>
    <row r="785" ht="13.85" spans="1:6">
      <c r="A785">
        <f t="shared" si="48"/>
        <v>784</v>
      </c>
      <c r="B785" s="10"/>
      <c r="C785" s="11">
        <v>52</v>
      </c>
      <c r="D785">
        <f t="shared" si="49"/>
        <v>52</v>
      </c>
      <c r="E785">
        <f t="shared" si="50"/>
        <v>52000000</v>
      </c>
      <c r="F785">
        <f t="shared" si="51"/>
        <v>24960000</v>
      </c>
    </row>
    <row r="786" ht="13.85" spans="1:6">
      <c r="A786">
        <f t="shared" si="48"/>
        <v>785</v>
      </c>
      <c r="B786" s="10"/>
      <c r="C786" s="11">
        <v>62</v>
      </c>
      <c r="D786">
        <f t="shared" si="49"/>
        <v>62</v>
      </c>
      <c r="E786">
        <f t="shared" si="50"/>
        <v>62000000</v>
      </c>
      <c r="F786">
        <f t="shared" si="51"/>
        <v>29760000</v>
      </c>
    </row>
    <row r="787" ht="13.85" spans="1:6">
      <c r="A787">
        <f t="shared" si="48"/>
        <v>786</v>
      </c>
      <c r="B787" s="10"/>
      <c r="C787" s="11">
        <v>10</v>
      </c>
      <c r="D787">
        <f t="shared" si="49"/>
        <v>10</v>
      </c>
      <c r="E787">
        <f t="shared" si="50"/>
        <v>10000000</v>
      </c>
      <c r="F787">
        <f t="shared" si="51"/>
        <v>4800000</v>
      </c>
    </row>
    <row r="788" ht="13.85" spans="1:6">
      <c r="A788">
        <f t="shared" si="48"/>
        <v>787</v>
      </c>
      <c r="B788" s="10"/>
      <c r="C788" s="11">
        <v>10</v>
      </c>
      <c r="D788">
        <f t="shared" si="49"/>
        <v>10</v>
      </c>
      <c r="E788">
        <f t="shared" si="50"/>
        <v>10000000</v>
      </c>
      <c r="F788">
        <f t="shared" si="51"/>
        <v>4800000</v>
      </c>
    </row>
    <row r="789" ht="13.85" spans="1:6">
      <c r="A789">
        <f t="shared" si="48"/>
        <v>788</v>
      </c>
      <c r="B789" s="10"/>
      <c r="C789" s="11">
        <v>13</v>
      </c>
      <c r="D789">
        <f t="shared" si="49"/>
        <v>13</v>
      </c>
      <c r="E789">
        <f t="shared" si="50"/>
        <v>13000000</v>
      </c>
      <c r="F789">
        <f t="shared" si="51"/>
        <v>6240000</v>
      </c>
    </row>
    <row r="790" ht="13.85" spans="1:6">
      <c r="A790">
        <f t="shared" si="48"/>
        <v>789</v>
      </c>
      <c r="B790" s="10"/>
      <c r="C790" s="11">
        <v>18</v>
      </c>
      <c r="D790">
        <f t="shared" si="49"/>
        <v>18</v>
      </c>
      <c r="E790">
        <f t="shared" si="50"/>
        <v>18000000</v>
      </c>
      <c r="F790">
        <f t="shared" si="51"/>
        <v>8640000</v>
      </c>
    </row>
    <row r="791" ht="13.85" spans="1:6">
      <c r="A791">
        <f t="shared" si="48"/>
        <v>790</v>
      </c>
      <c r="B791" s="10"/>
      <c r="C791" s="11">
        <v>23</v>
      </c>
      <c r="D791">
        <f t="shared" si="49"/>
        <v>23</v>
      </c>
      <c r="E791">
        <f t="shared" si="50"/>
        <v>23000000</v>
      </c>
      <c r="F791">
        <f t="shared" si="51"/>
        <v>11040000</v>
      </c>
    </row>
    <row r="792" ht="13.85" spans="1:6">
      <c r="A792">
        <f t="shared" si="48"/>
        <v>791</v>
      </c>
      <c r="B792" s="10"/>
      <c r="C792" s="11">
        <v>31</v>
      </c>
      <c r="D792">
        <f t="shared" si="49"/>
        <v>31</v>
      </c>
      <c r="E792">
        <f t="shared" si="50"/>
        <v>31000000</v>
      </c>
      <c r="F792">
        <f t="shared" si="51"/>
        <v>14880000</v>
      </c>
    </row>
    <row r="793" ht="13.85" spans="1:6">
      <c r="A793">
        <f t="shared" si="48"/>
        <v>792</v>
      </c>
      <c r="B793" s="10"/>
      <c r="C793" s="11">
        <v>38</v>
      </c>
      <c r="D793">
        <f t="shared" si="49"/>
        <v>38</v>
      </c>
      <c r="E793">
        <f t="shared" si="50"/>
        <v>38000000</v>
      </c>
      <c r="F793">
        <f t="shared" si="51"/>
        <v>18240000</v>
      </c>
    </row>
    <row r="794" ht="13.85" spans="1:6">
      <c r="A794">
        <f t="shared" si="48"/>
        <v>793</v>
      </c>
      <c r="B794" s="10"/>
      <c r="C794" s="11">
        <v>46</v>
      </c>
      <c r="D794">
        <f t="shared" si="49"/>
        <v>46</v>
      </c>
      <c r="E794">
        <f t="shared" si="50"/>
        <v>46000000</v>
      </c>
      <c r="F794">
        <f t="shared" si="51"/>
        <v>22080000</v>
      </c>
    </row>
    <row r="795" ht="13.85" spans="1:6">
      <c r="A795">
        <f t="shared" si="48"/>
        <v>794</v>
      </c>
      <c r="B795" s="10"/>
      <c r="C795" s="11">
        <v>53</v>
      </c>
      <c r="D795">
        <f t="shared" si="49"/>
        <v>53</v>
      </c>
      <c r="E795">
        <f t="shared" si="50"/>
        <v>53000000</v>
      </c>
      <c r="F795">
        <f t="shared" si="51"/>
        <v>25440000</v>
      </c>
    </row>
    <row r="796" ht="13.85" spans="1:6">
      <c r="A796">
        <f t="shared" si="48"/>
        <v>795</v>
      </c>
      <c r="B796" s="10"/>
      <c r="C796" s="11">
        <v>62</v>
      </c>
      <c r="D796">
        <f t="shared" si="49"/>
        <v>62</v>
      </c>
      <c r="E796">
        <f t="shared" si="50"/>
        <v>62000000</v>
      </c>
      <c r="F796">
        <f t="shared" si="51"/>
        <v>29760000</v>
      </c>
    </row>
    <row r="797" ht="13.85" spans="1:6">
      <c r="A797">
        <f t="shared" si="48"/>
        <v>796</v>
      </c>
      <c r="B797" s="10"/>
      <c r="C797" s="11">
        <v>70</v>
      </c>
      <c r="D797">
        <f t="shared" si="49"/>
        <v>70</v>
      </c>
      <c r="E797">
        <f t="shared" si="50"/>
        <v>70000000</v>
      </c>
      <c r="F797">
        <f t="shared" si="51"/>
        <v>33600000</v>
      </c>
    </row>
    <row r="798" ht="13.85" spans="1:6">
      <c r="A798">
        <f t="shared" si="48"/>
        <v>797</v>
      </c>
      <c r="B798" s="10"/>
      <c r="C798" s="11">
        <v>82</v>
      </c>
      <c r="D798">
        <f t="shared" si="49"/>
        <v>82</v>
      </c>
      <c r="E798">
        <f t="shared" si="50"/>
        <v>82000000</v>
      </c>
      <c r="F798">
        <f t="shared" si="51"/>
        <v>39360000</v>
      </c>
    </row>
    <row r="799" ht="13.85" spans="1:6">
      <c r="A799">
        <f t="shared" si="48"/>
        <v>798</v>
      </c>
      <c r="B799" s="10"/>
      <c r="C799" s="11">
        <v>92</v>
      </c>
      <c r="D799">
        <f t="shared" si="49"/>
        <v>92</v>
      </c>
      <c r="E799">
        <f t="shared" si="50"/>
        <v>92000000</v>
      </c>
      <c r="F799">
        <f t="shared" si="51"/>
        <v>44160000</v>
      </c>
    </row>
    <row r="800" ht="13.85" spans="1:6">
      <c r="A800">
        <f t="shared" si="48"/>
        <v>799</v>
      </c>
      <c r="B800" s="16"/>
      <c r="C800" s="17">
        <v>10</v>
      </c>
      <c r="D800" s="18">
        <f t="shared" si="49"/>
        <v>10</v>
      </c>
      <c r="E800" s="18">
        <f t="shared" si="50"/>
        <v>10000000</v>
      </c>
      <c r="F800">
        <f t="shared" si="51"/>
        <v>4800000</v>
      </c>
    </row>
    <row r="801" ht="13.85" spans="1:6">
      <c r="A801">
        <f t="shared" si="48"/>
        <v>800</v>
      </c>
      <c r="B801" s="10"/>
      <c r="C801" s="11">
        <v>13</v>
      </c>
      <c r="D801">
        <f t="shared" si="49"/>
        <v>13</v>
      </c>
      <c r="E801">
        <f t="shared" si="50"/>
        <v>13000000</v>
      </c>
      <c r="F801">
        <f t="shared" si="51"/>
        <v>6240000</v>
      </c>
    </row>
    <row r="802" ht="13.85" spans="1:6">
      <c r="A802">
        <f t="shared" si="48"/>
        <v>801</v>
      </c>
      <c r="B802" s="10"/>
      <c r="C802" s="11">
        <v>19</v>
      </c>
      <c r="D802">
        <f t="shared" si="49"/>
        <v>19</v>
      </c>
      <c r="E802">
        <f t="shared" si="50"/>
        <v>19000000</v>
      </c>
      <c r="F802">
        <f t="shared" si="51"/>
        <v>9120000</v>
      </c>
    </row>
    <row r="803" ht="13.85" spans="1:6">
      <c r="A803">
        <f t="shared" si="48"/>
        <v>802</v>
      </c>
      <c r="B803" s="10"/>
      <c r="C803" s="11">
        <v>25</v>
      </c>
      <c r="D803">
        <f t="shared" si="49"/>
        <v>25</v>
      </c>
      <c r="E803">
        <f t="shared" si="50"/>
        <v>25000000</v>
      </c>
      <c r="F803">
        <f t="shared" si="51"/>
        <v>12000000</v>
      </c>
    </row>
    <row r="804" ht="13.85" spans="1:6">
      <c r="A804">
        <f t="shared" si="48"/>
        <v>803</v>
      </c>
      <c r="B804" s="10"/>
      <c r="C804" s="11">
        <v>32</v>
      </c>
      <c r="D804">
        <f t="shared" si="49"/>
        <v>32</v>
      </c>
      <c r="E804">
        <f t="shared" si="50"/>
        <v>32000000</v>
      </c>
      <c r="F804">
        <f t="shared" si="51"/>
        <v>15360000</v>
      </c>
    </row>
    <row r="805" ht="13.85" spans="1:6">
      <c r="A805">
        <f t="shared" si="48"/>
        <v>804</v>
      </c>
      <c r="B805" s="10"/>
      <c r="C805" s="11">
        <v>44</v>
      </c>
      <c r="D805">
        <f t="shared" si="49"/>
        <v>44</v>
      </c>
      <c r="E805">
        <f t="shared" si="50"/>
        <v>44000000</v>
      </c>
      <c r="F805">
        <f t="shared" si="51"/>
        <v>21120000</v>
      </c>
    </row>
    <row r="806" ht="13.85" spans="1:6">
      <c r="A806">
        <f t="shared" si="48"/>
        <v>805</v>
      </c>
      <c r="B806" s="10"/>
      <c r="C806" s="11">
        <v>53</v>
      </c>
      <c r="D806">
        <f t="shared" si="49"/>
        <v>53</v>
      </c>
      <c r="E806">
        <f t="shared" si="50"/>
        <v>53000000</v>
      </c>
      <c r="F806">
        <f t="shared" si="51"/>
        <v>25440000</v>
      </c>
    </row>
    <row r="807" ht="13.85" spans="1:6">
      <c r="A807">
        <f t="shared" si="48"/>
        <v>806</v>
      </c>
      <c r="B807" s="10"/>
      <c r="C807" s="11">
        <v>60</v>
      </c>
      <c r="D807">
        <f t="shared" si="49"/>
        <v>60</v>
      </c>
      <c r="E807">
        <f t="shared" si="50"/>
        <v>60000000</v>
      </c>
      <c r="F807">
        <f t="shared" si="51"/>
        <v>28800000</v>
      </c>
    </row>
    <row r="808" ht="13.85" spans="1:6">
      <c r="A808">
        <f t="shared" si="48"/>
        <v>807</v>
      </c>
      <c r="B808" s="10"/>
      <c r="C808" s="11">
        <v>70</v>
      </c>
      <c r="D808">
        <f t="shared" si="49"/>
        <v>70</v>
      </c>
      <c r="E808">
        <f t="shared" si="50"/>
        <v>70000000</v>
      </c>
      <c r="F808">
        <f t="shared" si="51"/>
        <v>33600000</v>
      </c>
    </row>
    <row r="809" ht="13.85" spans="1:6">
      <c r="A809">
        <f t="shared" si="48"/>
        <v>808</v>
      </c>
      <c r="B809" s="10"/>
      <c r="C809" s="11">
        <v>80</v>
      </c>
      <c r="D809">
        <f t="shared" si="49"/>
        <v>80</v>
      </c>
      <c r="E809">
        <f t="shared" si="50"/>
        <v>80000000</v>
      </c>
      <c r="F809">
        <f t="shared" si="51"/>
        <v>38400000</v>
      </c>
    </row>
    <row r="810" ht="13.85" spans="1:6">
      <c r="A810">
        <f t="shared" si="48"/>
        <v>809</v>
      </c>
      <c r="B810" s="10"/>
      <c r="C810" s="11">
        <v>92</v>
      </c>
      <c r="D810">
        <f t="shared" si="49"/>
        <v>92</v>
      </c>
      <c r="E810">
        <f t="shared" si="50"/>
        <v>92000000</v>
      </c>
      <c r="F810">
        <f t="shared" si="51"/>
        <v>44160000</v>
      </c>
    </row>
    <row r="811" ht="13.85" spans="1:6">
      <c r="A811">
        <f t="shared" si="48"/>
        <v>810</v>
      </c>
      <c r="B811" s="10"/>
      <c r="C811" s="11">
        <v>108</v>
      </c>
      <c r="D811">
        <f t="shared" si="49"/>
        <v>108</v>
      </c>
      <c r="E811">
        <f t="shared" si="50"/>
        <v>108000000</v>
      </c>
      <c r="F811">
        <f t="shared" si="51"/>
        <v>51840000</v>
      </c>
    </row>
    <row r="812" ht="13.85" spans="1:6">
      <c r="A812">
        <f t="shared" si="48"/>
        <v>811</v>
      </c>
      <c r="B812" s="10"/>
      <c r="C812" s="11">
        <v>126</v>
      </c>
      <c r="D812">
        <f t="shared" si="49"/>
        <v>126</v>
      </c>
      <c r="E812">
        <f t="shared" si="50"/>
        <v>126000000</v>
      </c>
      <c r="F812">
        <f t="shared" si="51"/>
        <v>60480000</v>
      </c>
    </row>
    <row r="813" ht="13.85" spans="1:6">
      <c r="A813">
        <f t="shared" si="48"/>
        <v>812</v>
      </c>
      <c r="B813" s="10"/>
      <c r="C813" s="11">
        <v>148</v>
      </c>
      <c r="D813">
        <f t="shared" si="49"/>
        <v>148</v>
      </c>
      <c r="E813">
        <f t="shared" si="50"/>
        <v>148000000</v>
      </c>
      <c r="F813">
        <f t="shared" si="51"/>
        <v>71040000</v>
      </c>
    </row>
    <row r="814" ht="13.85" spans="1:6">
      <c r="A814">
        <f t="shared" si="48"/>
        <v>813</v>
      </c>
      <c r="B814" s="10"/>
      <c r="C814" s="11">
        <v>167</v>
      </c>
      <c r="D814">
        <f t="shared" si="49"/>
        <v>167</v>
      </c>
      <c r="E814">
        <f t="shared" si="50"/>
        <v>167000000</v>
      </c>
      <c r="F814">
        <f t="shared" si="51"/>
        <v>80160000</v>
      </c>
    </row>
    <row r="815" ht="13.85" spans="1:6">
      <c r="A815">
        <f t="shared" si="48"/>
        <v>814</v>
      </c>
      <c r="B815" s="14"/>
      <c r="C815" s="15">
        <v>180</v>
      </c>
      <c r="D815">
        <f t="shared" si="49"/>
        <v>180</v>
      </c>
      <c r="E815">
        <f t="shared" si="50"/>
        <v>180000000</v>
      </c>
      <c r="F815">
        <f t="shared" si="51"/>
        <v>86400000</v>
      </c>
    </row>
    <row r="816" ht="13.85" spans="1:6">
      <c r="A816">
        <f t="shared" si="48"/>
        <v>815</v>
      </c>
      <c r="B816" s="12"/>
      <c r="C816" s="13">
        <v>205</v>
      </c>
      <c r="D816">
        <f t="shared" si="49"/>
        <v>205</v>
      </c>
      <c r="E816">
        <f t="shared" si="50"/>
        <v>205000000</v>
      </c>
      <c r="F816">
        <f t="shared" si="51"/>
        <v>98400000</v>
      </c>
    </row>
    <row r="817" ht="13.85" spans="1:6">
      <c r="A817">
        <f t="shared" si="48"/>
        <v>816</v>
      </c>
      <c r="B817" s="10"/>
      <c r="C817" s="11">
        <v>240</v>
      </c>
      <c r="D817">
        <f t="shared" si="49"/>
        <v>240</v>
      </c>
      <c r="E817">
        <f t="shared" si="50"/>
        <v>240000000</v>
      </c>
      <c r="F817">
        <f t="shared" si="51"/>
        <v>115200000</v>
      </c>
    </row>
    <row r="818" ht="13.85" spans="1:6">
      <c r="A818">
        <f t="shared" si="48"/>
        <v>817</v>
      </c>
      <c r="B818" s="10"/>
      <c r="C818" s="11">
        <v>300</v>
      </c>
      <c r="D818">
        <f t="shared" si="49"/>
        <v>300</v>
      </c>
      <c r="E818">
        <f t="shared" si="50"/>
        <v>300000000</v>
      </c>
      <c r="F818">
        <f t="shared" si="51"/>
        <v>144000000</v>
      </c>
    </row>
    <row r="819" ht="13.85" spans="1:6">
      <c r="A819">
        <f t="shared" si="48"/>
        <v>818</v>
      </c>
      <c r="B819" s="10"/>
      <c r="C819" s="11">
        <v>340</v>
      </c>
      <c r="D819">
        <f t="shared" si="49"/>
        <v>340</v>
      </c>
      <c r="E819">
        <f t="shared" si="50"/>
        <v>340000000</v>
      </c>
      <c r="F819">
        <f t="shared" si="51"/>
        <v>163200000</v>
      </c>
    </row>
    <row r="820" ht="13.85" spans="1:6">
      <c r="A820">
        <f t="shared" si="48"/>
        <v>819</v>
      </c>
      <c r="B820" s="19"/>
      <c r="C820" s="20">
        <v>15</v>
      </c>
      <c r="D820" s="9">
        <f t="shared" si="49"/>
        <v>15</v>
      </c>
      <c r="E820" s="9">
        <f t="shared" si="50"/>
        <v>15000000</v>
      </c>
      <c r="F820">
        <f t="shared" si="51"/>
        <v>7200000</v>
      </c>
    </row>
    <row r="821" ht="13.85" spans="1:6">
      <c r="A821">
        <f t="shared" si="48"/>
        <v>820</v>
      </c>
      <c r="B821" s="10"/>
      <c r="C821" s="11">
        <v>20</v>
      </c>
      <c r="D821">
        <f t="shared" si="49"/>
        <v>20</v>
      </c>
      <c r="E821">
        <f t="shared" si="50"/>
        <v>20000000</v>
      </c>
      <c r="F821">
        <f t="shared" si="51"/>
        <v>9600000</v>
      </c>
    </row>
    <row r="822" ht="13.85" spans="1:6">
      <c r="A822">
        <f t="shared" si="48"/>
        <v>821</v>
      </c>
      <c r="B822" s="10"/>
      <c r="C822" s="11">
        <v>27</v>
      </c>
      <c r="D822">
        <f t="shared" si="49"/>
        <v>27</v>
      </c>
      <c r="E822">
        <f t="shared" si="50"/>
        <v>27000000</v>
      </c>
      <c r="F822">
        <f t="shared" si="51"/>
        <v>12960000</v>
      </c>
    </row>
    <row r="823" ht="13.85" spans="1:6">
      <c r="A823">
        <f t="shared" si="48"/>
        <v>822</v>
      </c>
      <c r="B823" s="10"/>
      <c r="C823" s="11">
        <v>36</v>
      </c>
      <c r="D823">
        <f t="shared" si="49"/>
        <v>36</v>
      </c>
      <c r="E823">
        <f t="shared" si="50"/>
        <v>36000000</v>
      </c>
      <c r="F823">
        <f t="shared" si="51"/>
        <v>17280000</v>
      </c>
    </row>
    <row r="824" ht="13.85" spans="1:6">
      <c r="A824">
        <f t="shared" si="48"/>
        <v>823</v>
      </c>
      <c r="B824" s="10"/>
      <c r="C824" s="11">
        <v>15</v>
      </c>
      <c r="D824">
        <f t="shared" si="49"/>
        <v>15</v>
      </c>
      <c r="E824">
        <f t="shared" si="50"/>
        <v>15000000</v>
      </c>
      <c r="F824">
        <f t="shared" si="51"/>
        <v>7200000</v>
      </c>
    </row>
    <row r="825" ht="13.85" spans="1:6">
      <c r="A825">
        <f t="shared" si="48"/>
        <v>824</v>
      </c>
      <c r="B825" s="10"/>
      <c r="C825" s="11">
        <v>20</v>
      </c>
      <c r="D825">
        <f t="shared" si="49"/>
        <v>20</v>
      </c>
      <c r="E825">
        <f t="shared" si="50"/>
        <v>20000000</v>
      </c>
      <c r="F825">
        <f t="shared" si="51"/>
        <v>9600000</v>
      </c>
    </row>
    <row r="826" ht="13.85" spans="1:6">
      <c r="A826">
        <f t="shared" si="48"/>
        <v>825</v>
      </c>
      <c r="B826" s="10"/>
      <c r="C826" s="11">
        <v>25</v>
      </c>
      <c r="D826">
        <f t="shared" si="49"/>
        <v>25</v>
      </c>
      <c r="E826">
        <f t="shared" si="50"/>
        <v>25000000</v>
      </c>
      <c r="F826">
        <f t="shared" si="51"/>
        <v>12000000</v>
      </c>
    </row>
    <row r="827" ht="13.85" spans="1:6">
      <c r="A827">
        <f t="shared" si="48"/>
        <v>826</v>
      </c>
      <c r="B827" s="10"/>
      <c r="C827" s="11">
        <v>31</v>
      </c>
      <c r="D827">
        <f t="shared" si="49"/>
        <v>31</v>
      </c>
      <c r="E827">
        <f t="shared" si="50"/>
        <v>31000000</v>
      </c>
      <c r="F827">
        <f t="shared" si="51"/>
        <v>14880000</v>
      </c>
    </row>
    <row r="828" ht="13.85" spans="1:6">
      <c r="A828">
        <f t="shared" si="48"/>
        <v>827</v>
      </c>
      <c r="B828" s="10"/>
      <c r="C828" s="11">
        <v>40</v>
      </c>
      <c r="D828">
        <f t="shared" si="49"/>
        <v>40</v>
      </c>
      <c r="E828">
        <f t="shared" si="50"/>
        <v>40000000</v>
      </c>
      <c r="F828">
        <f t="shared" si="51"/>
        <v>19200000</v>
      </c>
    </row>
    <row r="829" ht="13.85" spans="1:6">
      <c r="A829">
        <f t="shared" si="48"/>
        <v>828</v>
      </c>
      <c r="B829" s="10"/>
      <c r="C829" s="11">
        <v>47</v>
      </c>
      <c r="D829">
        <f t="shared" si="49"/>
        <v>47</v>
      </c>
      <c r="E829">
        <f t="shared" si="50"/>
        <v>47000000</v>
      </c>
      <c r="F829">
        <f t="shared" si="51"/>
        <v>22560000</v>
      </c>
    </row>
    <row r="830" ht="13.85" spans="1:6">
      <c r="A830">
        <f t="shared" si="48"/>
        <v>829</v>
      </c>
      <c r="B830" s="10"/>
      <c r="C830" s="11">
        <v>57</v>
      </c>
      <c r="D830">
        <f t="shared" si="49"/>
        <v>57</v>
      </c>
      <c r="E830">
        <f t="shared" si="50"/>
        <v>57000000</v>
      </c>
      <c r="F830">
        <f t="shared" si="51"/>
        <v>27360000</v>
      </c>
    </row>
    <row r="831" ht="13.85" spans="1:6">
      <c r="A831">
        <f t="shared" si="48"/>
        <v>830</v>
      </c>
      <c r="B831" s="10"/>
      <c r="C831" s="11">
        <v>66</v>
      </c>
      <c r="D831">
        <f t="shared" si="49"/>
        <v>66</v>
      </c>
      <c r="E831">
        <f t="shared" si="50"/>
        <v>66000000</v>
      </c>
      <c r="F831">
        <f t="shared" si="51"/>
        <v>31680000</v>
      </c>
    </row>
    <row r="832" ht="13.85" spans="1:6">
      <c r="A832">
        <f t="shared" si="48"/>
        <v>831</v>
      </c>
      <c r="B832" s="10"/>
      <c r="C832" s="11">
        <v>75</v>
      </c>
      <c r="D832">
        <f t="shared" si="49"/>
        <v>75</v>
      </c>
      <c r="E832">
        <f t="shared" si="50"/>
        <v>75000000</v>
      </c>
      <c r="F832">
        <f t="shared" si="51"/>
        <v>36000000</v>
      </c>
    </row>
    <row r="833" ht="13.85" spans="1:6">
      <c r="A833">
        <f t="shared" si="48"/>
        <v>832</v>
      </c>
      <c r="B833" s="10"/>
      <c r="C833" s="11">
        <v>87</v>
      </c>
      <c r="D833">
        <f t="shared" si="49"/>
        <v>87</v>
      </c>
      <c r="E833">
        <f t="shared" si="50"/>
        <v>87000000</v>
      </c>
      <c r="F833">
        <f t="shared" si="51"/>
        <v>41760000</v>
      </c>
    </row>
    <row r="834" ht="13.85" spans="1:6">
      <c r="A834">
        <f t="shared" ref="A834:A897" si="52">ROW()-1</f>
        <v>833</v>
      </c>
      <c r="B834" s="10"/>
      <c r="C834" s="11">
        <v>100</v>
      </c>
      <c r="D834">
        <f t="shared" ref="D834:D897" si="53">IF(RIGHT(C834,1)="B",VALUE(LEFT(C834,LEN(C834)-1))*1000,C834)</f>
        <v>100</v>
      </c>
      <c r="E834">
        <f t="shared" ref="E834:E897" si="54">D834*1000000</f>
        <v>100000000</v>
      </c>
      <c r="F834">
        <f t="shared" ref="F834:F897" si="55">E834*0.48</f>
        <v>48000000</v>
      </c>
    </row>
    <row r="835" ht="13.85" spans="1:6">
      <c r="A835">
        <f t="shared" si="52"/>
        <v>834</v>
      </c>
      <c r="B835" s="10"/>
      <c r="C835" s="11">
        <v>112</v>
      </c>
      <c r="D835">
        <f t="shared" si="53"/>
        <v>112</v>
      </c>
      <c r="E835">
        <f t="shared" si="54"/>
        <v>112000000</v>
      </c>
      <c r="F835">
        <f t="shared" si="55"/>
        <v>53760000</v>
      </c>
    </row>
    <row r="836" ht="13.85" spans="1:6">
      <c r="A836">
        <f t="shared" si="52"/>
        <v>835</v>
      </c>
      <c r="B836" s="10"/>
      <c r="C836" s="11">
        <v>15</v>
      </c>
      <c r="D836">
        <f t="shared" si="53"/>
        <v>15</v>
      </c>
      <c r="E836">
        <f t="shared" si="54"/>
        <v>15000000</v>
      </c>
      <c r="F836">
        <f t="shared" si="55"/>
        <v>7200000</v>
      </c>
    </row>
    <row r="837" ht="13.85" spans="1:6">
      <c r="A837">
        <f t="shared" si="52"/>
        <v>836</v>
      </c>
      <c r="B837" s="10"/>
      <c r="C837" s="11">
        <v>20</v>
      </c>
      <c r="D837">
        <f t="shared" si="53"/>
        <v>20</v>
      </c>
      <c r="E837">
        <f t="shared" si="54"/>
        <v>20000000</v>
      </c>
      <c r="F837">
        <f t="shared" si="55"/>
        <v>9600000</v>
      </c>
    </row>
    <row r="838" ht="13.85" spans="1:6">
      <c r="A838">
        <f t="shared" si="52"/>
        <v>837</v>
      </c>
      <c r="B838" s="10"/>
      <c r="C838" s="11">
        <v>25</v>
      </c>
      <c r="D838">
        <f t="shared" si="53"/>
        <v>25</v>
      </c>
      <c r="E838">
        <f t="shared" si="54"/>
        <v>25000000</v>
      </c>
      <c r="F838">
        <f t="shared" si="55"/>
        <v>12000000</v>
      </c>
    </row>
    <row r="839" ht="13.85" spans="1:6">
      <c r="A839">
        <f t="shared" si="52"/>
        <v>838</v>
      </c>
      <c r="B839" s="10"/>
      <c r="C839" s="11">
        <v>30</v>
      </c>
      <c r="D839">
        <f t="shared" si="53"/>
        <v>30</v>
      </c>
      <c r="E839">
        <f t="shared" si="54"/>
        <v>30000000</v>
      </c>
      <c r="F839">
        <f t="shared" si="55"/>
        <v>14400000</v>
      </c>
    </row>
    <row r="840" ht="13.85" spans="1:6">
      <c r="A840">
        <f t="shared" si="52"/>
        <v>839</v>
      </c>
      <c r="B840" s="10"/>
      <c r="C840" s="11">
        <v>41</v>
      </c>
      <c r="D840">
        <f t="shared" si="53"/>
        <v>41</v>
      </c>
      <c r="E840">
        <f t="shared" si="54"/>
        <v>41000000</v>
      </c>
      <c r="F840">
        <f t="shared" si="55"/>
        <v>19680000</v>
      </c>
    </row>
    <row r="841" ht="13.85" spans="1:6">
      <c r="A841">
        <f t="shared" si="52"/>
        <v>840</v>
      </c>
      <c r="B841" s="10"/>
      <c r="C841" s="11">
        <v>47</v>
      </c>
      <c r="D841">
        <f t="shared" si="53"/>
        <v>47</v>
      </c>
      <c r="E841">
        <f t="shared" si="54"/>
        <v>47000000</v>
      </c>
      <c r="F841">
        <f t="shared" si="55"/>
        <v>22560000</v>
      </c>
    </row>
    <row r="842" ht="13.85" spans="1:6">
      <c r="A842">
        <f t="shared" si="52"/>
        <v>841</v>
      </c>
      <c r="B842" s="10"/>
      <c r="C842" s="11">
        <v>57</v>
      </c>
      <c r="D842">
        <f t="shared" si="53"/>
        <v>57</v>
      </c>
      <c r="E842">
        <f t="shared" si="54"/>
        <v>57000000</v>
      </c>
      <c r="F842">
        <f t="shared" si="55"/>
        <v>27360000</v>
      </c>
    </row>
    <row r="843" ht="13.85" spans="1:6">
      <c r="A843">
        <f t="shared" si="52"/>
        <v>842</v>
      </c>
      <c r="B843" s="10"/>
      <c r="C843" s="11">
        <v>65</v>
      </c>
      <c r="D843">
        <f t="shared" si="53"/>
        <v>65</v>
      </c>
      <c r="E843">
        <f t="shared" si="54"/>
        <v>65000000</v>
      </c>
      <c r="F843">
        <f t="shared" si="55"/>
        <v>31200000</v>
      </c>
    </row>
    <row r="844" ht="13.85" spans="1:6">
      <c r="A844">
        <f t="shared" si="52"/>
        <v>843</v>
      </c>
      <c r="B844" s="10"/>
      <c r="C844" s="11">
        <v>76</v>
      </c>
      <c r="D844">
        <f t="shared" si="53"/>
        <v>76</v>
      </c>
      <c r="E844">
        <f t="shared" si="54"/>
        <v>76000000</v>
      </c>
      <c r="F844">
        <f t="shared" si="55"/>
        <v>36480000</v>
      </c>
    </row>
    <row r="845" ht="13.85" spans="1:6">
      <c r="A845">
        <f t="shared" si="52"/>
        <v>844</v>
      </c>
      <c r="B845" s="10"/>
      <c r="C845" s="11">
        <v>87</v>
      </c>
      <c r="D845">
        <f t="shared" si="53"/>
        <v>87</v>
      </c>
      <c r="E845">
        <f t="shared" si="54"/>
        <v>87000000</v>
      </c>
      <c r="F845">
        <f t="shared" si="55"/>
        <v>41760000</v>
      </c>
    </row>
    <row r="846" ht="13.85" spans="1:6">
      <c r="A846">
        <f t="shared" si="52"/>
        <v>845</v>
      </c>
      <c r="B846" s="10"/>
      <c r="C846" s="11">
        <v>101</v>
      </c>
      <c r="D846">
        <f t="shared" si="53"/>
        <v>101</v>
      </c>
      <c r="E846">
        <f t="shared" si="54"/>
        <v>101000000</v>
      </c>
      <c r="F846">
        <f t="shared" si="55"/>
        <v>48480000</v>
      </c>
    </row>
    <row r="847" ht="13.85" spans="1:6">
      <c r="A847">
        <f t="shared" si="52"/>
        <v>846</v>
      </c>
      <c r="B847" s="10"/>
      <c r="C847" s="11">
        <v>115</v>
      </c>
      <c r="D847">
        <f t="shared" si="53"/>
        <v>115</v>
      </c>
      <c r="E847">
        <f t="shared" si="54"/>
        <v>115000000</v>
      </c>
      <c r="F847">
        <f t="shared" si="55"/>
        <v>55200000</v>
      </c>
    </row>
    <row r="848" ht="13.85" spans="1:6">
      <c r="A848">
        <f t="shared" si="52"/>
        <v>847</v>
      </c>
      <c r="B848" s="10"/>
      <c r="C848" s="11">
        <v>135</v>
      </c>
      <c r="D848">
        <f t="shared" si="53"/>
        <v>135</v>
      </c>
      <c r="E848">
        <f t="shared" si="54"/>
        <v>135000000</v>
      </c>
      <c r="F848">
        <f t="shared" si="55"/>
        <v>64800000</v>
      </c>
    </row>
    <row r="849" ht="13.85" spans="1:6">
      <c r="A849">
        <f t="shared" si="52"/>
        <v>848</v>
      </c>
      <c r="B849" s="10"/>
      <c r="C849" s="11">
        <v>156</v>
      </c>
      <c r="D849">
        <f t="shared" si="53"/>
        <v>156</v>
      </c>
      <c r="E849">
        <f t="shared" si="54"/>
        <v>156000000</v>
      </c>
      <c r="F849">
        <f t="shared" si="55"/>
        <v>74880000</v>
      </c>
    </row>
    <row r="850" ht="13.85" spans="1:6">
      <c r="A850">
        <f t="shared" si="52"/>
        <v>849</v>
      </c>
      <c r="B850" s="10"/>
      <c r="C850" s="11">
        <v>180</v>
      </c>
      <c r="D850">
        <f t="shared" si="53"/>
        <v>180</v>
      </c>
      <c r="E850">
        <f t="shared" si="54"/>
        <v>180000000</v>
      </c>
      <c r="F850">
        <f t="shared" si="55"/>
        <v>86400000</v>
      </c>
    </row>
    <row r="851" ht="13.85" spans="1:6">
      <c r="A851">
        <f t="shared" si="52"/>
        <v>850</v>
      </c>
      <c r="B851" s="10"/>
      <c r="C851" s="11">
        <v>210</v>
      </c>
      <c r="D851">
        <f t="shared" si="53"/>
        <v>210</v>
      </c>
      <c r="E851">
        <f t="shared" si="54"/>
        <v>210000000</v>
      </c>
      <c r="F851">
        <f t="shared" si="55"/>
        <v>100800000</v>
      </c>
    </row>
    <row r="852" ht="13.85" spans="1:6">
      <c r="A852">
        <f t="shared" si="52"/>
        <v>851</v>
      </c>
      <c r="B852" s="10"/>
      <c r="C852" s="11">
        <v>250</v>
      </c>
      <c r="D852">
        <f t="shared" si="53"/>
        <v>250</v>
      </c>
      <c r="E852">
        <f t="shared" si="54"/>
        <v>250000000</v>
      </c>
      <c r="F852">
        <f t="shared" si="55"/>
        <v>120000000</v>
      </c>
    </row>
    <row r="853" ht="13.85" spans="1:6">
      <c r="A853">
        <f t="shared" si="52"/>
        <v>852</v>
      </c>
      <c r="B853" s="10"/>
      <c r="C853" s="11">
        <v>300</v>
      </c>
      <c r="D853">
        <f t="shared" si="53"/>
        <v>300</v>
      </c>
      <c r="E853">
        <f t="shared" si="54"/>
        <v>300000000</v>
      </c>
      <c r="F853">
        <f t="shared" si="55"/>
        <v>144000000</v>
      </c>
    </row>
    <row r="854" ht="13.85" spans="1:6">
      <c r="A854">
        <f t="shared" si="52"/>
        <v>853</v>
      </c>
      <c r="B854" s="10"/>
      <c r="C854" s="11">
        <v>365</v>
      </c>
      <c r="D854">
        <f t="shared" si="53"/>
        <v>365</v>
      </c>
      <c r="E854">
        <f t="shared" si="54"/>
        <v>365000000</v>
      </c>
      <c r="F854">
        <f t="shared" si="55"/>
        <v>175200000</v>
      </c>
    </row>
    <row r="855" ht="13.85" spans="1:6">
      <c r="A855">
        <f t="shared" si="52"/>
        <v>854</v>
      </c>
      <c r="B855" s="10"/>
      <c r="C855" s="11">
        <v>15</v>
      </c>
      <c r="D855">
        <f t="shared" si="53"/>
        <v>15</v>
      </c>
      <c r="E855">
        <f t="shared" si="54"/>
        <v>15000000</v>
      </c>
      <c r="F855">
        <f t="shared" si="55"/>
        <v>7200000</v>
      </c>
    </row>
    <row r="856" ht="13.85" spans="1:6">
      <c r="A856">
        <f t="shared" si="52"/>
        <v>855</v>
      </c>
      <c r="B856" s="10"/>
      <c r="C856" s="11">
        <v>20</v>
      </c>
      <c r="D856">
        <f t="shared" si="53"/>
        <v>20</v>
      </c>
      <c r="E856">
        <f t="shared" si="54"/>
        <v>20000000</v>
      </c>
      <c r="F856">
        <f t="shared" si="55"/>
        <v>9600000</v>
      </c>
    </row>
    <row r="857" ht="13.85" spans="1:6">
      <c r="A857">
        <f t="shared" si="52"/>
        <v>856</v>
      </c>
      <c r="B857" s="10"/>
      <c r="C857" s="11">
        <v>27</v>
      </c>
      <c r="D857">
        <f t="shared" si="53"/>
        <v>27</v>
      </c>
      <c r="E857">
        <f t="shared" si="54"/>
        <v>27000000</v>
      </c>
      <c r="F857">
        <f t="shared" si="55"/>
        <v>12960000</v>
      </c>
    </row>
    <row r="858" ht="13.85" spans="1:6">
      <c r="A858">
        <f t="shared" si="52"/>
        <v>857</v>
      </c>
      <c r="B858" s="10"/>
      <c r="C858" s="11">
        <v>38</v>
      </c>
      <c r="D858">
        <f t="shared" si="53"/>
        <v>38</v>
      </c>
      <c r="E858">
        <f t="shared" si="54"/>
        <v>38000000</v>
      </c>
      <c r="F858">
        <f t="shared" si="55"/>
        <v>18240000</v>
      </c>
    </row>
    <row r="859" ht="13.85" spans="1:6">
      <c r="A859">
        <f t="shared" si="52"/>
        <v>858</v>
      </c>
      <c r="B859" s="10"/>
      <c r="C859" s="11">
        <v>50</v>
      </c>
      <c r="D859">
        <f t="shared" si="53"/>
        <v>50</v>
      </c>
      <c r="E859">
        <f t="shared" si="54"/>
        <v>50000000</v>
      </c>
      <c r="F859">
        <f t="shared" si="55"/>
        <v>24000000</v>
      </c>
    </row>
    <row r="860" ht="13.85" spans="1:6">
      <c r="A860">
        <f t="shared" si="52"/>
        <v>859</v>
      </c>
      <c r="B860" s="10"/>
      <c r="C860" s="11">
        <v>62</v>
      </c>
      <c r="D860">
        <f t="shared" si="53"/>
        <v>62</v>
      </c>
      <c r="E860">
        <f t="shared" si="54"/>
        <v>62000000</v>
      </c>
      <c r="F860">
        <f t="shared" si="55"/>
        <v>29760000</v>
      </c>
    </row>
    <row r="861" ht="13.85" spans="1:6">
      <c r="A861">
        <f t="shared" si="52"/>
        <v>860</v>
      </c>
      <c r="B861" s="10"/>
      <c r="C861" s="11">
        <v>75</v>
      </c>
      <c r="D861">
        <f t="shared" si="53"/>
        <v>75</v>
      </c>
      <c r="E861">
        <f t="shared" si="54"/>
        <v>75000000</v>
      </c>
      <c r="F861">
        <f t="shared" si="55"/>
        <v>36000000</v>
      </c>
    </row>
    <row r="862" ht="13.85" spans="1:6">
      <c r="A862">
        <f t="shared" si="52"/>
        <v>861</v>
      </c>
      <c r="B862" s="10"/>
      <c r="C862" s="11">
        <v>88</v>
      </c>
      <c r="D862">
        <f t="shared" si="53"/>
        <v>88</v>
      </c>
      <c r="E862">
        <f t="shared" si="54"/>
        <v>88000000</v>
      </c>
      <c r="F862">
        <f t="shared" si="55"/>
        <v>42240000</v>
      </c>
    </row>
    <row r="863" ht="13.85" spans="1:6">
      <c r="A863">
        <f t="shared" si="52"/>
        <v>862</v>
      </c>
      <c r="B863" s="10"/>
      <c r="C863" s="11">
        <v>101</v>
      </c>
      <c r="D863">
        <f t="shared" si="53"/>
        <v>101</v>
      </c>
      <c r="E863">
        <f t="shared" si="54"/>
        <v>101000000</v>
      </c>
      <c r="F863">
        <f t="shared" si="55"/>
        <v>48480000</v>
      </c>
    </row>
    <row r="864" ht="13.85" spans="1:6">
      <c r="A864">
        <f t="shared" si="52"/>
        <v>863</v>
      </c>
      <c r="B864" s="10"/>
      <c r="C864" s="11">
        <v>117</v>
      </c>
      <c r="D864">
        <f t="shared" si="53"/>
        <v>117</v>
      </c>
      <c r="E864">
        <f t="shared" si="54"/>
        <v>117000000</v>
      </c>
      <c r="F864">
        <f t="shared" si="55"/>
        <v>56160000</v>
      </c>
    </row>
    <row r="865" ht="13.85" spans="1:6">
      <c r="A865">
        <f t="shared" si="52"/>
        <v>864</v>
      </c>
      <c r="B865" s="10"/>
      <c r="C865" s="11">
        <v>135</v>
      </c>
      <c r="D865">
        <f t="shared" si="53"/>
        <v>135</v>
      </c>
      <c r="E865">
        <f t="shared" si="54"/>
        <v>135000000</v>
      </c>
      <c r="F865">
        <f t="shared" si="55"/>
        <v>64800000</v>
      </c>
    </row>
    <row r="866" ht="13.85" spans="1:6">
      <c r="A866">
        <f t="shared" si="52"/>
        <v>865</v>
      </c>
      <c r="B866" s="10"/>
      <c r="C866" s="11">
        <v>152</v>
      </c>
      <c r="D866">
        <f t="shared" si="53"/>
        <v>152</v>
      </c>
      <c r="E866">
        <f t="shared" si="54"/>
        <v>152000000</v>
      </c>
      <c r="F866">
        <f t="shared" si="55"/>
        <v>72960000</v>
      </c>
    </row>
    <row r="867" ht="13.85" spans="1:6">
      <c r="A867">
        <f t="shared" si="52"/>
        <v>866</v>
      </c>
      <c r="B867" s="10"/>
      <c r="C867" s="11">
        <v>174</v>
      </c>
      <c r="D867">
        <f t="shared" si="53"/>
        <v>174</v>
      </c>
      <c r="E867">
        <f t="shared" si="54"/>
        <v>174000000</v>
      </c>
      <c r="F867">
        <f t="shared" si="55"/>
        <v>83520000</v>
      </c>
    </row>
    <row r="868" ht="13.85" spans="1:6">
      <c r="A868">
        <f t="shared" si="52"/>
        <v>867</v>
      </c>
      <c r="B868" s="10"/>
      <c r="C868" s="11">
        <v>195</v>
      </c>
      <c r="D868">
        <f t="shared" si="53"/>
        <v>195</v>
      </c>
      <c r="E868">
        <f t="shared" si="54"/>
        <v>195000000</v>
      </c>
      <c r="F868">
        <f t="shared" si="55"/>
        <v>93600000</v>
      </c>
    </row>
    <row r="869" ht="13.85" spans="1:6">
      <c r="A869">
        <f t="shared" si="52"/>
        <v>868</v>
      </c>
      <c r="B869" s="10"/>
      <c r="C869" s="11">
        <v>220</v>
      </c>
      <c r="D869">
        <f t="shared" si="53"/>
        <v>220</v>
      </c>
      <c r="E869">
        <f t="shared" si="54"/>
        <v>220000000</v>
      </c>
      <c r="F869">
        <f t="shared" si="55"/>
        <v>105600000</v>
      </c>
    </row>
    <row r="870" ht="13.85" spans="1:6">
      <c r="A870">
        <f t="shared" si="52"/>
        <v>869</v>
      </c>
      <c r="B870" s="10"/>
      <c r="C870" s="11">
        <v>15</v>
      </c>
      <c r="D870">
        <f t="shared" si="53"/>
        <v>15</v>
      </c>
      <c r="E870">
        <f t="shared" si="54"/>
        <v>15000000</v>
      </c>
      <c r="F870">
        <f t="shared" si="55"/>
        <v>7200000</v>
      </c>
    </row>
    <row r="871" ht="13.85" spans="1:6">
      <c r="A871">
        <f t="shared" si="52"/>
        <v>870</v>
      </c>
      <c r="B871" s="10"/>
      <c r="C871" s="11">
        <v>20</v>
      </c>
      <c r="D871">
        <f t="shared" si="53"/>
        <v>20</v>
      </c>
      <c r="E871">
        <f t="shared" si="54"/>
        <v>20000000</v>
      </c>
      <c r="F871">
        <f t="shared" si="55"/>
        <v>9600000</v>
      </c>
    </row>
    <row r="872" ht="13.85" spans="1:6">
      <c r="A872">
        <f t="shared" si="52"/>
        <v>871</v>
      </c>
      <c r="B872" s="10"/>
      <c r="C872" s="11">
        <v>28</v>
      </c>
      <c r="D872">
        <f t="shared" si="53"/>
        <v>28</v>
      </c>
      <c r="E872">
        <f t="shared" si="54"/>
        <v>28000000</v>
      </c>
      <c r="F872">
        <f t="shared" si="55"/>
        <v>13440000</v>
      </c>
    </row>
    <row r="873" ht="13.85" spans="1:6">
      <c r="A873">
        <f t="shared" si="52"/>
        <v>872</v>
      </c>
      <c r="B873" s="10"/>
      <c r="C873" s="11">
        <v>37</v>
      </c>
      <c r="D873">
        <f t="shared" si="53"/>
        <v>37</v>
      </c>
      <c r="E873">
        <f t="shared" si="54"/>
        <v>37000000</v>
      </c>
      <c r="F873">
        <f t="shared" si="55"/>
        <v>17760000</v>
      </c>
    </row>
    <row r="874" ht="13.85" spans="1:6">
      <c r="A874">
        <f t="shared" si="52"/>
        <v>873</v>
      </c>
      <c r="B874" s="10"/>
      <c r="C874" s="11">
        <v>49</v>
      </c>
      <c r="D874">
        <f t="shared" si="53"/>
        <v>49</v>
      </c>
      <c r="E874">
        <f t="shared" si="54"/>
        <v>49000000</v>
      </c>
      <c r="F874">
        <f t="shared" si="55"/>
        <v>23520000</v>
      </c>
    </row>
    <row r="875" ht="13.85" spans="1:6">
      <c r="A875">
        <f t="shared" si="52"/>
        <v>874</v>
      </c>
      <c r="B875" s="10"/>
      <c r="C875" s="11">
        <v>61</v>
      </c>
      <c r="D875">
        <f t="shared" si="53"/>
        <v>61</v>
      </c>
      <c r="E875">
        <f t="shared" si="54"/>
        <v>61000000</v>
      </c>
      <c r="F875">
        <f t="shared" si="55"/>
        <v>29280000</v>
      </c>
    </row>
    <row r="876" ht="13.85" spans="1:6">
      <c r="A876">
        <f t="shared" si="52"/>
        <v>875</v>
      </c>
      <c r="B876" s="10"/>
      <c r="C876" s="11">
        <v>73</v>
      </c>
      <c r="D876">
        <f t="shared" si="53"/>
        <v>73</v>
      </c>
      <c r="E876">
        <f t="shared" si="54"/>
        <v>73000000</v>
      </c>
      <c r="F876">
        <f t="shared" si="55"/>
        <v>35040000</v>
      </c>
    </row>
    <row r="877" ht="13.85" spans="1:6">
      <c r="A877">
        <f t="shared" si="52"/>
        <v>876</v>
      </c>
      <c r="B877" s="10"/>
      <c r="C877" s="11">
        <v>85</v>
      </c>
      <c r="D877">
        <f t="shared" si="53"/>
        <v>85</v>
      </c>
      <c r="E877">
        <f t="shared" si="54"/>
        <v>85000000</v>
      </c>
      <c r="F877">
        <f t="shared" si="55"/>
        <v>40800000</v>
      </c>
    </row>
    <row r="878" ht="13.85" spans="1:6">
      <c r="A878">
        <f t="shared" si="52"/>
        <v>877</v>
      </c>
      <c r="B878" s="10"/>
      <c r="C878" s="11">
        <v>100</v>
      </c>
      <c r="D878">
        <f t="shared" si="53"/>
        <v>100</v>
      </c>
      <c r="E878">
        <f t="shared" si="54"/>
        <v>100000000</v>
      </c>
      <c r="F878">
        <f t="shared" si="55"/>
        <v>48000000</v>
      </c>
    </row>
    <row r="879" ht="13.85" spans="1:6">
      <c r="A879">
        <f t="shared" si="52"/>
        <v>878</v>
      </c>
      <c r="B879" s="10"/>
      <c r="C879" s="11">
        <v>114</v>
      </c>
      <c r="D879">
        <f t="shared" si="53"/>
        <v>114</v>
      </c>
      <c r="E879">
        <f t="shared" si="54"/>
        <v>114000000</v>
      </c>
      <c r="F879">
        <f t="shared" si="55"/>
        <v>54720000</v>
      </c>
    </row>
    <row r="880" ht="13.85" spans="1:6">
      <c r="A880">
        <f t="shared" si="52"/>
        <v>879</v>
      </c>
      <c r="B880" s="10"/>
      <c r="C880" s="11">
        <v>15</v>
      </c>
      <c r="D880">
        <f t="shared" si="53"/>
        <v>15</v>
      </c>
      <c r="E880">
        <f t="shared" si="54"/>
        <v>15000000</v>
      </c>
      <c r="F880">
        <f t="shared" si="55"/>
        <v>7200000</v>
      </c>
    </row>
    <row r="881" ht="13.85" spans="1:6">
      <c r="A881">
        <f t="shared" si="52"/>
        <v>880</v>
      </c>
      <c r="B881" s="10"/>
      <c r="C881" s="11">
        <v>20</v>
      </c>
      <c r="D881">
        <f t="shared" si="53"/>
        <v>20</v>
      </c>
      <c r="E881">
        <f t="shared" si="54"/>
        <v>20000000</v>
      </c>
      <c r="F881">
        <f t="shared" si="55"/>
        <v>9600000</v>
      </c>
    </row>
    <row r="882" ht="13.85" spans="1:6">
      <c r="A882">
        <f t="shared" si="52"/>
        <v>881</v>
      </c>
      <c r="B882" s="10"/>
      <c r="C882" s="11">
        <v>28</v>
      </c>
      <c r="D882">
        <f t="shared" si="53"/>
        <v>28</v>
      </c>
      <c r="E882">
        <f t="shared" si="54"/>
        <v>28000000</v>
      </c>
      <c r="F882">
        <f t="shared" si="55"/>
        <v>13440000</v>
      </c>
    </row>
    <row r="883" ht="13.85" spans="1:6">
      <c r="A883">
        <f t="shared" si="52"/>
        <v>882</v>
      </c>
      <c r="B883" s="10"/>
      <c r="C883" s="11">
        <v>38</v>
      </c>
      <c r="D883">
        <f t="shared" si="53"/>
        <v>38</v>
      </c>
      <c r="E883">
        <f t="shared" si="54"/>
        <v>38000000</v>
      </c>
      <c r="F883">
        <f t="shared" si="55"/>
        <v>18240000</v>
      </c>
    </row>
    <row r="884" ht="13.85" spans="1:6">
      <c r="A884">
        <f t="shared" si="52"/>
        <v>883</v>
      </c>
      <c r="B884" s="10"/>
      <c r="C884" s="11">
        <v>48</v>
      </c>
      <c r="D884">
        <f t="shared" si="53"/>
        <v>48</v>
      </c>
      <c r="E884">
        <f t="shared" si="54"/>
        <v>48000000</v>
      </c>
      <c r="F884">
        <f t="shared" si="55"/>
        <v>23040000</v>
      </c>
    </row>
    <row r="885" ht="13.85" spans="1:6">
      <c r="A885">
        <f t="shared" si="52"/>
        <v>884</v>
      </c>
      <c r="B885" s="10"/>
      <c r="C885" s="11">
        <v>60</v>
      </c>
      <c r="D885">
        <f t="shared" si="53"/>
        <v>60</v>
      </c>
      <c r="E885">
        <f t="shared" si="54"/>
        <v>60000000</v>
      </c>
      <c r="F885">
        <f t="shared" si="55"/>
        <v>28800000</v>
      </c>
    </row>
    <row r="886" ht="13.85" spans="1:6">
      <c r="A886">
        <f t="shared" si="52"/>
        <v>885</v>
      </c>
      <c r="B886" s="10"/>
      <c r="C886" s="11">
        <v>73</v>
      </c>
      <c r="D886">
        <f t="shared" si="53"/>
        <v>73</v>
      </c>
      <c r="E886">
        <f t="shared" si="54"/>
        <v>73000000</v>
      </c>
      <c r="F886">
        <f t="shared" si="55"/>
        <v>35040000</v>
      </c>
    </row>
    <row r="887" ht="13.85" spans="1:6">
      <c r="A887">
        <f t="shared" si="52"/>
        <v>886</v>
      </c>
      <c r="B887" s="10"/>
      <c r="C887" s="11">
        <v>86</v>
      </c>
      <c r="D887">
        <f t="shared" si="53"/>
        <v>86</v>
      </c>
      <c r="E887">
        <f t="shared" si="54"/>
        <v>86000000</v>
      </c>
      <c r="F887">
        <f t="shared" si="55"/>
        <v>41280000</v>
      </c>
    </row>
    <row r="888" ht="13.85" spans="1:6">
      <c r="A888">
        <f t="shared" si="52"/>
        <v>887</v>
      </c>
      <c r="B888" s="10"/>
      <c r="C888" s="11">
        <v>100</v>
      </c>
      <c r="D888">
        <f t="shared" si="53"/>
        <v>100</v>
      </c>
      <c r="E888">
        <f t="shared" si="54"/>
        <v>100000000</v>
      </c>
      <c r="F888">
        <f t="shared" si="55"/>
        <v>48000000</v>
      </c>
    </row>
    <row r="889" ht="13.85" spans="1:6">
      <c r="A889">
        <f t="shared" si="52"/>
        <v>888</v>
      </c>
      <c r="B889" s="10"/>
      <c r="C889" s="11">
        <v>15</v>
      </c>
      <c r="D889">
        <f t="shared" si="53"/>
        <v>15</v>
      </c>
      <c r="E889">
        <f t="shared" si="54"/>
        <v>15000000</v>
      </c>
      <c r="F889">
        <f t="shared" si="55"/>
        <v>7200000</v>
      </c>
    </row>
    <row r="890" ht="13.85" spans="1:6">
      <c r="A890">
        <f t="shared" si="52"/>
        <v>889</v>
      </c>
      <c r="B890" s="10"/>
      <c r="C890" s="11">
        <v>20</v>
      </c>
      <c r="D890">
        <f t="shared" si="53"/>
        <v>20</v>
      </c>
      <c r="E890">
        <f t="shared" si="54"/>
        <v>20000000</v>
      </c>
      <c r="F890">
        <f t="shared" si="55"/>
        <v>9600000</v>
      </c>
    </row>
    <row r="891" ht="13.85" spans="1:6">
      <c r="A891">
        <f t="shared" si="52"/>
        <v>890</v>
      </c>
      <c r="B891" s="10"/>
      <c r="C891" s="11">
        <v>28</v>
      </c>
      <c r="D891">
        <f t="shared" si="53"/>
        <v>28</v>
      </c>
      <c r="E891">
        <f t="shared" si="54"/>
        <v>28000000</v>
      </c>
      <c r="F891">
        <f t="shared" si="55"/>
        <v>13440000</v>
      </c>
    </row>
    <row r="892" ht="13.85" spans="1:6">
      <c r="A892">
        <f t="shared" si="52"/>
        <v>891</v>
      </c>
      <c r="B892" s="10"/>
      <c r="C892" s="11">
        <v>40</v>
      </c>
      <c r="D892">
        <f t="shared" si="53"/>
        <v>40</v>
      </c>
      <c r="E892">
        <f t="shared" si="54"/>
        <v>40000000</v>
      </c>
      <c r="F892">
        <f t="shared" si="55"/>
        <v>19200000</v>
      </c>
    </row>
    <row r="893" ht="13.85" spans="1:6">
      <c r="A893">
        <f t="shared" si="52"/>
        <v>892</v>
      </c>
      <c r="B893" s="10"/>
      <c r="C893" s="11">
        <v>50</v>
      </c>
      <c r="D893">
        <f t="shared" si="53"/>
        <v>50</v>
      </c>
      <c r="E893">
        <f t="shared" si="54"/>
        <v>50000000</v>
      </c>
      <c r="F893">
        <f t="shared" si="55"/>
        <v>24000000</v>
      </c>
    </row>
    <row r="894" ht="13.85" spans="1:6">
      <c r="A894">
        <f t="shared" si="52"/>
        <v>893</v>
      </c>
      <c r="B894" s="10"/>
      <c r="C894" s="11">
        <v>62</v>
      </c>
      <c r="D894">
        <f t="shared" si="53"/>
        <v>62</v>
      </c>
      <c r="E894">
        <f t="shared" si="54"/>
        <v>62000000</v>
      </c>
      <c r="F894">
        <f t="shared" si="55"/>
        <v>29760000</v>
      </c>
    </row>
    <row r="895" ht="13.85" spans="1:6">
      <c r="A895">
        <f t="shared" si="52"/>
        <v>894</v>
      </c>
      <c r="B895" s="10"/>
      <c r="C895" s="11">
        <v>73</v>
      </c>
      <c r="D895">
        <f t="shared" si="53"/>
        <v>73</v>
      </c>
      <c r="E895">
        <f t="shared" si="54"/>
        <v>73000000</v>
      </c>
      <c r="F895">
        <f t="shared" si="55"/>
        <v>35040000</v>
      </c>
    </row>
    <row r="896" ht="13.85" spans="1:6">
      <c r="A896">
        <f t="shared" si="52"/>
        <v>895</v>
      </c>
      <c r="B896" s="10"/>
      <c r="C896" s="11">
        <v>86</v>
      </c>
      <c r="D896">
        <f t="shared" si="53"/>
        <v>86</v>
      </c>
      <c r="E896">
        <f t="shared" si="54"/>
        <v>86000000</v>
      </c>
      <c r="F896">
        <f t="shared" si="55"/>
        <v>41280000</v>
      </c>
    </row>
    <row r="897" ht="13.85" spans="1:6">
      <c r="A897">
        <f t="shared" si="52"/>
        <v>896</v>
      </c>
      <c r="B897" s="10"/>
      <c r="C897" s="11">
        <v>100</v>
      </c>
      <c r="D897">
        <f t="shared" si="53"/>
        <v>100</v>
      </c>
      <c r="E897">
        <f t="shared" si="54"/>
        <v>100000000</v>
      </c>
      <c r="F897">
        <f t="shared" si="55"/>
        <v>48000000</v>
      </c>
    </row>
    <row r="898" ht="13.85" spans="1:6">
      <c r="A898">
        <f t="shared" ref="A898:A961" si="56">ROW()-1</f>
        <v>897</v>
      </c>
      <c r="B898" s="10"/>
      <c r="C898" s="11">
        <v>116</v>
      </c>
      <c r="D898">
        <f t="shared" ref="D898:D961" si="57">IF(RIGHT(C898,1)="B",VALUE(LEFT(C898,LEN(C898)-1))*1000,C898)</f>
        <v>116</v>
      </c>
      <c r="E898">
        <f t="shared" ref="E898:E961" si="58">D898*1000000</f>
        <v>116000000</v>
      </c>
      <c r="F898">
        <f t="shared" ref="F898:F961" si="59">E898*0.48</f>
        <v>55680000</v>
      </c>
    </row>
    <row r="899" ht="13.85" spans="1:6">
      <c r="A899">
        <f t="shared" si="56"/>
        <v>898</v>
      </c>
      <c r="B899" s="10"/>
      <c r="C899" s="11">
        <v>135</v>
      </c>
      <c r="D899">
        <f t="shared" si="57"/>
        <v>135</v>
      </c>
      <c r="E899">
        <f t="shared" si="58"/>
        <v>135000000</v>
      </c>
      <c r="F899">
        <f t="shared" si="59"/>
        <v>64800000</v>
      </c>
    </row>
    <row r="900" ht="13.85" spans="1:6">
      <c r="A900">
        <f t="shared" si="56"/>
        <v>899</v>
      </c>
      <c r="B900" s="10"/>
      <c r="C900" s="11">
        <v>155</v>
      </c>
      <c r="D900">
        <f t="shared" si="57"/>
        <v>155</v>
      </c>
      <c r="E900">
        <f t="shared" si="58"/>
        <v>155000000</v>
      </c>
      <c r="F900">
        <f t="shared" si="59"/>
        <v>74400000</v>
      </c>
    </row>
    <row r="901" ht="13.85" spans="1:6">
      <c r="A901">
        <f t="shared" si="56"/>
        <v>900</v>
      </c>
      <c r="B901" s="10"/>
      <c r="C901" s="11">
        <v>178</v>
      </c>
      <c r="D901">
        <f t="shared" si="57"/>
        <v>178</v>
      </c>
      <c r="E901">
        <f t="shared" si="58"/>
        <v>178000000</v>
      </c>
      <c r="F901">
        <f t="shared" si="59"/>
        <v>85440000</v>
      </c>
    </row>
    <row r="902" ht="13.85" spans="1:6">
      <c r="A902">
        <f t="shared" si="56"/>
        <v>901</v>
      </c>
      <c r="B902" s="10"/>
      <c r="C902" s="11">
        <v>204</v>
      </c>
      <c r="D902">
        <f t="shared" si="57"/>
        <v>204</v>
      </c>
      <c r="E902">
        <f t="shared" si="58"/>
        <v>204000000</v>
      </c>
      <c r="F902">
        <f t="shared" si="59"/>
        <v>97920000</v>
      </c>
    </row>
    <row r="903" ht="13.85" spans="1:6">
      <c r="A903">
        <f t="shared" si="56"/>
        <v>902</v>
      </c>
      <c r="B903" s="10"/>
      <c r="C903" s="11">
        <v>15</v>
      </c>
      <c r="D903">
        <f t="shared" si="57"/>
        <v>15</v>
      </c>
      <c r="E903">
        <f t="shared" si="58"/>
        <v>15000000</v>
      </c>
      <c r="F903">
        <f t="shared" si="59"/>
        <v>7200000</v>
      </c>
    </row>
    <row r="904" ht="13.85" spans="1:6">
      <c r="A904">
        <f t="shared" si="56"/>
        <v>903</v>
      </c>
      <c r="B904" s="10"/>
      <c r="C904" s="11">
        <v>20</v>
      </c>
      <c r="D904">
        <f t="shared" si="57"/>
        <v>20</v>
      </c>
      <c r="E904">
        <f t="shared" si="58"/>
        <v>20000000</v>
      </c>
      <c r="F904">
        <f t="shared" si="59"/>
        <v>9600000</v>
      </c>
    </row>
    <row r="905" ht="13.85" spans="1:6">
      <c r="A905">
        <f t="shared" si="56"/>
        <v>904</v>
      </c>
      <c r="B905" s="10"/>
      <c r="C905" s="11">
        <v>29</v>
      </c>
      <c r="D905">
        <f t="shared" si="57"/>
        <v>29</v>
      </c>
      <c r="E905">
        <f t="shared" si="58"/>
        <v>29000000</v>
      </c>
      <c r="F905">
        <f t="shared" si="59"/>
        <v>13920000</v>
      </c>
    </row>
    <row r="906" ht="13.85" spans="1:6">
      <c r="A906">
        <f t="shared" si="56"/>
        <v>905</v>
      </c>
      <c r="B906" s="10"/>
      <c r="C906" s="11">
        <v>40</v>
      </c>
      <c r="D906">
        <f t="shared" si="57"/>
        <v>40</v>
      </c>
      <c r="E906">
        <f t="shared" si="58"/>
        <v>40000000</v>
      </c>
      <c r="F906">
        <f t="shared" si="59"/>
        <v>19200000</v>
      </c>
    </row>
    <row r="907" ht="13.85" spans="1:6">
      <c r="A907">
        <f t="shared" si="56"/>
        <v>906</v>
      </c>
      <c r="B907" s="10"/>
      <c r="C907" s="11">
        <v>51</v>
      </c>
      <c r="D907">
        <f t="shared" si="57"/>
        <v>51</v>
      </c>
      <c r="E907">
        <f t="shared" si="58"/>
        <v>51000000</v>
      </c>
      <c r="F907">
        <f t="shared" si="59"/>
        <v>24480000</v>
      </c>
    </row>
    <row r="908" ht="13.85" spans="1:6">
      <c r="A908">
        <f t="shared" si="56"/>
        <v>907</v>
      </c>
      <c r="B908" s="10"/>
      <c r="C908" s="11">
        <v>64</v>
      </c>
      <c r="D908">
        <f t="shared" si="57"/>
        <v>64</v>
      </c>
      <c r="E908">
        <f t="shared" si="58"/>
        <v>64000000</v>
      </c>
      <c r="F908">
        <f t="shared" si="59"/>
        <v>30720000</v>
      </c>
    </row>
    <row r="909" ht="13.85" spans="1:6">
      <c r="A909">
        <f t="shared" si="56"/>
        <v>908</v>
      </c>
      <c r="B909" s="10"/>
      <c r="C909" s="11">
        <v>75</v>
      </c>
      <c r="D909">
        <f t="shared" si="57"/>
        <v>75</v>
      </c>
      <c r="E909">
        <f t="shared" si="58"/>
        <v>75000000</v>
      </c>
      <c r="F909">
        <f t="shared" si="59"/>
        <v>36000000</v>
      </c>
    </row>
    <row r="910" ht="13.85" spans="1:6">
      <c r="A910">
        <f t="shared" si="56"/>
        <v>909</v>
      </c>
      <c r="B910" s="10"/>
      <c r="C910" s="11">
        <v>89</v>
      </c>
      <c r="D910">
        <f t="shared" si="57"/>
        <v>89</v>
      </c>
      <c r="E910">
        <f t="shared" si="58"/>
        <v>89000000</v>
      </c>
      <c r="F910">
        <f t="shared" si="59"/>
        <v>42720000</v>
      </c>
    </row>
    <row r="911" ht="13.85" spans="1:6">
      <c r="A911">
        <f t="shared" si="56"/>
        <v>910</v>
      </c>
      <c r="B911" s="10"/>
      <c r="C911" s="11">
        <v>102</v>
      </c>
      <c r="D911">
        <f t="shared" si="57"/>
        <v>102</v>
      </c>
      <c r="E911">
        <f t="shared" si="58"/>
        <v>102000000</v>
      </c>
      <c r="F911">
        <f t="shared" si="59"/>
        <v>48960000</v>
      </c>
    </row>
    <row r="912" ht="13.85" spans="1:6">
      <c r="A912">
        <f t="shared" si="56"/>
        <v>911</v>
      </c>
      <c r="B912" s="10"/>
      <c r="C912" s="11">
        <v>119</v>
      </c>
      <c r="D912">
        <f t="shared" si="57"/>
        <v>119</v>
      </c>
      <c r="E912">
        <f t="shared" si="58"/>
        <v>119000000</v>
      </c>
      <c r="F912">
        <f t="shared" si="59"/>
        <v>57120000</v>
      </c>
    </row>
    <row r="913" ht="13.85" spans="1:6">
      <c r="A913">
        <f t="shared" si="56"/>
        <v>912</v>
      </c>
      <c r="B913" s="10"/>
      <c r="C913" s="11">
        <v>137</v>
      </c>
      <c r="D913">
        <f t="shared" si="57"/>
        <v>137</v>
      </c>
      <c r="E913">
        <f t="shared" si="58"/>
        <v>137000000</v>
      </c>
      <c r="F913">
        <f t="shared" si="59"/>
        <v>65760000</v>
      </c>
    </row>
    <row r="914" ht="13.85" spans="1:6">
      <c r="A914">
        <f t="shared" si="56"/>
        <v>913</v>
      </c>
      <c r="B914" s="10"/>
      <c r="C914" s="11">
        <v>157</v>
      </c>
      <c r="D914">
        <f t="shared" si="57"/>
        <v>157</v>
      </c>
      <c r="E914">
        <f t="shared" si="58"/>
        <v>157000000</v>
      </c>
      <c r="F914">
        <f t="shared" si="59"/>
        <v>75360000</v>
      </c>
    </row>
    <row r="915" ht="13.85" spans="1:6">
      <c r="A915">
        <f t="shared" si="56"/>
        <v>914</v>
      </c>
      <c r="B915" s="10"/>
      <c r="C915" s="11">
        <v>179</v>
      </c>
      <c r="D915">
        <f t="shared" si="57"/>
        <v>179</v>
      </c>
      <c r="E915">
        <f t="shared" si="58"/>
        <v>179000000</v>
      </c>
      <c r="F915">
        <f t="shared" si="59"/>
        <v>85920000</v>
      </c>
    </row>
    <row r="916" ht="13.85" spans="1:6">
      <c r="A916">
        <f t="shared" si="56"/>
        <v>915</v>
      </c>
      <c r="B916" s="10"/>
      <c r="C916" s="11">
        <v>203</v>
      </c>
      <c r="D916">
        <f t="shared" si="57"/>
        <v>203</v>
      </c>
      <c r="E916">
        <f t="shared" si="58"/>
        <v>203000000</v>
      </c>
      <c r="F916">
        <f t="shared" si="59"/>
        <v>97440000</v>
      </c>
    </row>
    <row r="917" ht="13.85" spans="1:6">
      <c r="A917">
        <f t="shared" si="56"/>
        <v>916</v>
      </c>
      <c r="B917" s="10"/>
      <c r="C917" s="11">
        <v>15</v>
      </c>
      <c r="D917">
        <f t="shared" si="57"/>
        <v>15</v>
      </c>
      <c r="E917">
        <f t="shared" si="58"/>
        <v>15000000</v>
      </c>
      <c r="F917">
        <f t="shared" si="59"/>
        <v>7200000</v>
      </c>
    </row>
    <row r="918" ht="13.85" spans="1:6">
      <c r="A918">
        <f t="shared" si="56"/>
        <v>917</v>
      </c>
      <c r="B918" s="10"/>
      <c r="C918" s="11">
        <v>15</v>
      </c>
      <c r="D918">
        <f t="shared" si="57"/>
        <v>15</v>
      </c>
      <c r="E918">
        <f t="shared" si="58"/>
        <v>15000000</v>
      </c>
      <c r="F918">
        <f t="shared" si="59"/>
        <v>7200000</v>
      </c>
    </row>
    <row r="919" ht="13.85" spans="1:6">
      <c r="A919">
        <f t="shared" si="56"/>
        <v>918</v>
      </c>
      <c r="B919" s="14"/>
      <c r="C919" s="15">
        <v>15</v>
      </c>
      <c r="D919">
        <f t="shared" si="57"/>
        <v>15</v>
      </c>
      <c r="E919">
        <f t="shared" si="58"/>
        <v>15000000</v>
      </c>
      <c r="F919">
        <f t="shared" si="59"/>
        <v>7200000</v>
      </c>
    </row>
    <row r="920" ht="13.85" spans="1:6">
      <c r="A920">
        <f t="shared" si="56"/>
        <v>919</v>
      </c>
      <c r="B920" s="12"/>
      <c r="C920" s="13">
        <v>20</v>
      </c>
      <c r="D920">
        <f t="shared" si="57"/>
        <v>20</v>
      </c>
      <c r="E920">
        <f t="shared" si="58"/>
        <v>20000000</v>
      </c>
      <c r="F920">
        <f t="shared" si="59"/>
        <v>9600000</v>
      </c>
    </row>
    <row r="921" ht="13.85" spans="1:6">
      <c r="A921">
        <f t="shared" si="56"/>
        <v>920</v>
      </c>
      <c r="B921" s="10"/>
      <c r="C921" s="11">
        <v>27</v>
      </c>
      <c r="D921">
        <f t="shared" si="57"/>
        <v>27</v>
      </c>
      <c r="E921">
        <f t="shared" si="58"/>
        <v>27000000</v>
      </c>
      <c r="F921">
        <f t="shared" si="59"/>
        <v>12960000</v>
      </c>
    </row>
    <row r="922" ht="13.85" spans="1:6">
      <c r="A922">
        <f t="shared" si="56"/>
        <v>921</v>
      </c>
      <c r="B922" s="10"/>
      <c r="C922" s="11">
        <v>37</v>
      </c>
      <c r="D922">
        <f t="shared" si="57"/>
        <v>37</v>
      </c>
      <c r="E922">
        <f t="shared" si="58"/>
        <v>37000000</v>
      </c>
      <c r="F922">
        <f t="shared" si="59"/>
        <v>17760000</v>
      </c>
    </row>
    <row r="923" ht="13.85" spans="1:6">
      <c r="A923">
        <f t="shared" si="56"/>
        <v>922</v>
      </c>
      <c r="B923" s="10"/>
      <c r="C923" s="11">
        <v>47</v>
      </c>
      <c r="D923">
        <f t="shared" si="57"/>
        <v>47</v>
      </c>
      <c r="E923">
        <f t="shared" si="58"/>
        <v>47000000</v>
      </c>
      <c r="F923">
        <f t="shared" si="59"/>
        <v>22560000</v>
      </c>
    </row>
    <row r="924" ht="13.85" spans="1:6">
      <c r="A924">
        <f t="shared" si="56"/>
        <v>923</v>
      </c>
      <c r="B924" s="10"/>
      <c r="C924" s="11">
        <v>59</v>
      </c>
      <c r="D924">
        <f t="shared" si="57"/>
        <v>59</v>
      </c>
      <c r="E924">
        <f t="shared" si="58"/>
        <v>59000000</v>
      </c>
      <c r="F924">
        <f t="shared" si="59"/>
        <v>28320000</v>
      </c>
    </row>
    <row r="925" ht="13.85" spans="1:6">
      <c r="A925">
        <f t="shared" si="56"/>
        <v>924</v>
      </c>
      <c r="B925" s="10"/>
      <c r="C925" s="11">
        <v>70</v>
      </c>
      <c r="D925">
        <f t="shared" si="57"/>
        <v>70</v>
      </c>
      <c r="E925">
        <f t="shared" si="58"/>
        <v>70000000</v>
      </c>
      <c r="F925">
        <f t="shared" si="59"/>
        <v>33600000</v>
      </c>
    </row>
    <row r="926" ht="13.85" spans="1:6">
      <c r="A926">
        <f t="shared" si="56"/>
        <v>925</v>
      </c>
      <c r="B926" s="10"/>
      <c r="C926" s="11">
        <v>83</v>
      </c>
      <c r="D926">
        <f t="shared" si="57"/>
        <v>83</v>
      </c>
      <c r="E926">
        <f t="shared" si="58"/>
        <v>83000000</v>
      </c>
      <c r="F926">
        <f t="shared" si="59"/>
        <v>39840000</v>
      </c>
    </row>
    <row r="927" ht="13.85" spans="1:6">
      <c r="A927">
        <f t="shared" si="56"/>
        <v>926</v>
      </c>
      <c r="B927" s="10"/>
      <c r="C927" s="11">
        <v>93</v>
      </c>
      <c r="D927">
        <f t="shared" si="57"/>
        <v>93</v>
      </c>
      <c r="E927">
        <f t="shared" si="58"/>
        <v>93000000</v>
      </c>
      <c r="F927">
        <f t="shared" si="59"/>
        <v>44640000</v>
      </c>
    </row>
    <row r="928" ht="13.85" spans="1:6">
      <c r="A928">
        <f t="shared" si="56"/>
        <v>927</v>
      </c>
      <c r="B928" s="10"/>
      <c r="C928" s="11">
        <v>15</v>
      </c>
      <c r="D928">
        <f t="shared" si="57"/>
        <v>15</v>
      </c>
      <c r="E928">
        <f t="shared" si="58"/>
        <v>15000000</v>
      </c>
      <c r="F928">
        <f t="shared" si="59"/>
        <v>7200000</v>
      </c>
    </row>
    <row r="929" ht="13.85" spans="1:6">
      <c r="A929">
        <f t="shared" si="56"/>
        <v>928</v>
      </c>
      <c r="B929" s="10"/>
      <c r="C929" s="11">
        <v>20</v>
      </c>
      <c r="D929">
        <f t="shared" si="57"/>
        <v>20</v>
      </c>
      <c r="E929">
        <f t="shared" si="58"/>
        <v>20000000</v>
      </c>
      <c r="F929">
        <f t="shared" si="59"/>
        <v>9600000</v>
      </c>
    </row>
    <row r="930" ht="13.85" spans="1:6">
      <c r="A930">
        <f t="shared" si="56"/>
        <v>929</v>
      </c>
      <c r="B930" s="10"/>
      <c r="C930" s="11">
        <v>27</v>
      </c>
      <c r="D930">
        <f t="shared" si="57"/>
        <v>27</v>
      </c>
      <c r="E930">
        <f t="shared" si="58"/>
        <v>27000000</v>
      </c>
      <c r="F930">
        <f t="shared" si="59"/>
        <v>12960000</v>
      </c>
    </row>
    <row r="931" ht="13.85" spans="1:6">
      <c r="A931">
        <f t="shared" si="56"/>
        <v>930</v>
      </c>
      <c r="B931" s="10"/>
      <c r="C931" s="11">
        <v>35</v>
      </c>
      <c r="D931">
        <f t="shared" si="57"/>
        <v>35</v>
      </c>
      <c r="E931">
        <f t="shared" si="58"/>
        <v>35000000</v>
      </c>
      <c r="F931">
        <f t="shared" si="59"/>
        <v>16800000</v>
      </c>
    </row>
    <row r="932" ht="13.85" spans="1:6">
      <c r="A932">
        <f t="shared" si="56"/>
        <v>931</v>
      </c>
      <c r="B932" s="10"/>
      <c r="C932" s="11">
        <v>45</v>
      </c>
      <c r="D932">
        <f t="shared" si="57"/>
        <v>45</v>
      </c>
      <c r="E932">
        <f t="shared" si="58"/>
        <v>45000000</v>
      </c>
      <c r="F932">
        <f t="shared" si="59"/>
        <v>21600000</v>
      </c>
    </row>
    <row r="933" ht="13.85" spans="1:6">
      <c r="A933">
        <f t="shared" si="56"/>
        <v>932</v>
      </c>
      <c r="B933" s="10"/>
      <c r="C933" s="11">
        <v>54</v>
      </c>
      <c r="D933">
        <f t="shared" si="57"/>
        <v>54</v>
      </c>
      <c r="E933">
        <f t="shared" si="58"/>
        <v>54000000</v>
      </c>
      <c r="F933">
        <f t="shared" si="59"/>
        <v>25920000</v>
      </c>
    </row>
    <row r="934" ht="13.85" spans="1:6">
      <c r="A934">
        <f t="shared" si="56"/>
        <v>933</v>
      </c>
      <c r="B934" s="10"/>
      <c r="C934" s="11">
        <v>64</v>
      </c>
      <c r="D934">
        <f t="shared" si="57"/>
        <v>64</v>
      </c>
      <c r="E934">
        <f t="shared" si="58"/>
        <v>64000000</v>
      </c>
      <c r="F934">
        <f t="shared" si="59"/>
        <v>30720000</v>
      </c>
    </row>
    <row r="935" ht="13.85" spans="1:6">
      <c r="A935">
        <f t="shared" si="56"/>
        <v>934</v>
      </c>
      <c r="B935" s="10"/>
      <c r="C935" s="11">
        <v>74</v>
      </c>
      <c r="D935">
        <f t="shared" si="57"/>
        <v>74</v>
      </c>
      <c r="E935">
        <f t="shared" si="58"/>
        <v>74000000</v>
      </c>
      <c r="F935">
        <f t="shared" si="59"/>
        <v>35520000</v>
      </c>
    </row>
    <row r="936" ht="13.85" spans="1:6">
      <c r="A936">
        <f t="shared" si="56"/>
        <v>935</v>
      </c>
      <c r="B936" s="10"/>
      <c r="C936" s="11">
        <v>15</v>
      </c>
      <c r="D936">
        <f t="shared" si="57"/>
        <v>15</v>
      </c>
      <c r="E936">
        <f t="shared" si="58"/>
        <v>15000000</v>
      </c>
      <c r="F936">
        <f t="shared" si="59"/>
        <v>7200000</v>
      </c>
    </row>
    <row r="937" ht="13.85" spans="1:6">
      <c r="A937">
        <f t="shared" si="56"/>
        <v>936</v>
      </c>
      <c r="B937" s="10"/>
      <c r="C937" s="11">
        <v>20</v>
      </c>
      <c r="D937">
        <f t="shared" si="57"/>
        <v>20</v>
      </c>
      <c r="E937">
        <f t="shared" si="58"/>
        <v>20000000</v>
      </c>
      <c r="F937">
        <f t="shared" si="59"/>
        <v>9600000</v>
      </c>
    </row>
    <row r="938" ht="13.85" spans="1:6">
      <c r="A938">
        <f t="shared" si="56"/>
        <v>937</v>
      </c>
      <c r="B938" s="10"/>
      <c r="C938" s="11">
        <v>25</v>
      </c>
      <c r="D938">
        <f t="shared" si="57"/>
        <v>25</v>
      </c>
      <c r="E938">
        <f t="shared" si="58"/>
        <v>25000000</v>
      </c>
      <c r="F938">
        <f t="shared" si="59"/>
        <v>12000000</v>
      </c>
    </row>
    <row r="939" ht="13.85" spans="1:6">
      <c r="A939">
        <f t="shared" si="56"/>
        <v>938</v>
      </c>
      <c r="B939" s="10"/>
      <c r="C939" s="11">
        <v>33</v>
      </c>
      <c r="D939">
        <f t="shared" si="57"/>
        <v>33</v>
      </c>
      <c r="E939">
        <f t="shared" si="58"/>
        <v>33000000</v>
      </c>
      <c r="F939">
        <f t="shared" si="59"/>
        <v>15840000</v>
      </c>
    </row>
    <row r="940" ht="13.85" spans="1:6">
      <c r="A940">
        <f t="shared" si="56"/>
        <v>939</v>
      </c>
      <c r="B940" s="10"/>
      <c r="C940" s="11">
        <v>43</v>
      </c>
      <c r="D940">
        <f t="shared" si="57"/>
        <v>43</v>
      </c>
      <c r="E940">
        <f t="shared" si="58"/>
        <v>43000000</v>
      </c>
      <c r="F940">
        <f t="shared" si="59"/>
        <v>20640000</v>
      </c>
    </row>
    <row r="941" ht="13.85" spans="1:6">
      <c r="A941">
        <f t="shared" si="56"/>
        <v>940</v>
      </c>
      <c r="B941" s="10"/>
      <c r="C941" s="11">
        <v>53</v>
      </c>
      <c r="D941">
        <f t="shared" si="57"/>
        <v>53</v>
      </c>
      <c r="E941">
        <f t="shared" si="58"/>
        <v>53000000</v>
      </c>
      <c r="F941">
        <f t="shared" si="59"/>
        <v>25440000</v>
      </c>
    </row>
    <row r="942" ht="13.85" spans="1:6">
      <c r="A942">
        <f t="shared" si="56"/>
        <v>941</v>
      </c>
      <c r="B942" s="10"/>
      <c r="C942" s="11">
        <v>65</v>
      </c>
      <c r="D942">
        <f t="shared" si="57"/>
        <v>65</v>
      </c>
      <c r="E942">
        <f t="shared" si="58"/>
        <v>65000000</v>
      </c>
      <c r="F942">
        <f t="shared" si="59"/>
        <v>31200000</v>
      </c>
    </row>
    <row r="943" ht="13.85" spans="1:6">
      <c r="A943">
        <f t="shared" si="56"/>
        <v>942</v>
      </c>
      <c r="B943" s="10"/>
      <c r="C943" s="11">
        <v>75</v>
      </c>
      <c r="D943">
        <f t="shared" si="57"/>
        <v>75</v>
      </c>
      <c r="E943">
        <f t="shared" si="58"/>
        <v>75000000</v>
      </c>
      <c r="F943">
        <f t="shared" si="59"/>
        <v>36000000</v>
      </c>
    </row>
    <row r="944" ht="13.85" spans="1:6">
      <c r="A944">
        <f t="shared" si="56"/>
        <v>943</v>
      </c>
      <c r="B944" s="10"/>
      <c r="C944" s="11">
        <v>88</v>
      </c>
      <c r="D944">
        <f t="shared" si="57"/>
        <v>88</v>
      </c>
      <c r="E944">
        <f t="shared" si="58"/>
        <v>88000000</v>
      </c>
      <c r="F944">
        <f t="shared" si="59"/>
        <v>42240000</v>
      </c>
    </row>
    <row r="945" ht="13.85" spans="1:6">
      <c r="A945">
        <f t="shared" si="56"/>
        <v>944</v>
      </c>
      <c r="B945" s="10"/>
      <c r="C945" s="11">
        <v>100</v>
      </c>
      <c r="D945">
        <f t="shared" si="57"/>
        <v>100</v>
      </c>
      <c r="E945">
        <f t="shared" si="58"/>
        <v>100000000</v>
      </c>
      <c r="F945">
        <f t="shared" si="59"/>
        <v>48000000</v>
      </c>
    </row>
    <row r="946" ht="13.85" spans="1:6">
      <c r="A946">
        <f t="shared" si="56"/>
        <v>945</v>
      </c>
      <c r="B946" s="10"/>
      <c r="C946" s="11">
        <v>115</v>
      </c>
      <c r="D946">
        <f t="shared" si="57"/>
        <v>115</v>
      </c>
      <c r="E946">
        <f t="shared" si="58"/>
        <v>115000000</v>
      </c>
      <c r="F946">
        <f t="shared" si="59"/>
        <v>55200000</v>
      </c>
    </row>
    <row r="947" ht="13.85" spans="1:6">
      <c r="A947">
        <f t="shared" si="56"/>
        <v>946</v>
      </c>
      <c r="B947" s="10"/>
      <c r="C947" s="11">
        <v>131</v>
      </c>
      <c r="D947">
        <f t="shared" si="57"/>
        <v>131</v>
      </c>
      <c r="E947">
        <f t="shared" si="58"/>
        <v>131000000</v>
      </c>
      <c r="F947">
        <f t="shared" si="59"/>
        <v>62880000</v>
      </c>
    </row>
    <row r="948" ht="13.85" spans="1:6">
      <c r="A948">
        <f t="shared" si="56"/>
        <v>947</v>
      </c>
      <c r="B948" s="10"/>
      <c r="C948" s="11">
        <v>155</v>
      </c>
      <c r="D948">
        <f t="shared" si="57"/>
        <v>155</v>
      </c>
      <c r="E948">
        <f t="shared" si="58"/>
        <v>155000000</v>
      </c>
      <c r="F948">
        <f t="shared" si="59"/>
        <v>74400000</v>
      </c>
    </row>
    <row r="949" ht="13.85" spans="1:6">
      <c r="A949">
        <f t="shared" si="56"/>
        <v>948</v>
      </c>
      <c r="B949" s="10"/>
      <c r="C949" s="11">
        <v>180</v>
      </c>
      <c r="D949">
        <f t="shared" si="57"/>
        <v>180</v>
      </c>
      <c r="E949">
        <f t="shared" si="58"/>
        <v>180000000</v>
      </c>
      <c r="F949">
        <f t="shared" si="59"/>
        <v>86400000</v>
      </c>
    </row>
    <row r="950" ht="13.85" spans="1:6">
      <c r="A950">
        <f t="shared" si="56"/>
        <v>949</v>
      </c>
      <c r="B950" s="10"/>
      <c r="C950" s="11">
        <v>205</v>
      </c>
      <c r="D950">
        <f t="shared" si="57"/>
        <v>205</v>
      </c>
      <c r="E950">
        <f t="shared" si="58"/>
        <v>205000000</v>
      </c>
      <c r="F950">
        <f t="shared" si="59"/>
        <v>98400000</v>
      </c>
    </row>
    <row r="951" ht="13.85" spans="1:6">
      <c r="A951">
        <f t="shared" si="56"/>
        <v>950</v>
      </c>
      <c r="B951" s="10"/>
      <c r="C951" s="11">
        <v>240</v>
      </c>
      <c r="D951">
        <f t="shared" si="57"/>
        <v>240</v>
      </c>
      <c r="E951">
        <f t="shared" si="58"/>
        <v>240000000</v>
      </c>
      <c r="F951">
        <f t="shared" si="59"/>
        <v>115200000</v>
      </c>
    </row>
    <row r="952" ht="13.85" spans="1:6">
      <c r="A952">
        <f t="shared" si="56"/>
        <v>951</v>
      </c>
      <c r="B952" s="10"/>
      <c r="C952" s="11">
        <v>15</v>
      </c>
      <c r="D952">
        <f t="shared" si="57"/>
        <v>15</v>
      </c>
      <c r="E952">
        <f t="shared" si="58"/>
        <v>15000000</v>
      </c>
      <c r="F952">
        <f t="shared" si="59"/>
        <v>7200000</v>
      </c>
    </row>
    <row r="953" ht="13.85" spans="1:6">
      <c r="A953">
        <f t="shared" si="56"/>
        <v>952</v>
      </c>
      <c r="B953" s="10"/>
      <c r="C953" s="11">
        <v>15</v>
      </c>
      <c r="D953">
        <f t="shared" si="57"/>
        <v>15</v>
      </c>
      <c r="E953">
        <f t="shared" si="58"/>
        <v>15000000</v>
      </c>
      <c r="F953">
        <f t="shared" si="59"/>
        <v>7200000</v>
      </c>
    </row>
    <row r="954" ht="13.85" spans="1:6">
      <c r="A954">
        <f t="shared" si="56"/>
        <v>953</v>
      </c>
      <c r="B954" s="10"/>
      <c r="C954" s="11">
        <v>20</v>
      </c>
      <c r="D954">
        <f t="shared" si="57"/>
        <v>20</v>
      </c>
      <c r="E954">
        <f t="shared" si="58"/>
        <v>20000000</v>
      </c>
      <c r="F954">
        <f t="shared" si="59"/>
        <v>9600000</v>
      </c>
    </row>
    <row r="955" ht="13.85" spans="1:6">
      <c r="A955">
        <f t="shared" si="56"/>
        <v>954</v>
      </c>
      <c r="B955" s="10"/>
      <c r="C955" s="11">
        <v>27</v>
      </c>
      <c r="D955">
        <f t="shared" si="57"/>
        <v>27</v>
      </c>
      <c r="E955">
        <f t="shared" si="58"/>
        <v>27000000</v>
      </c>
      <c r="F955">
        <f t="shared" si="59"/>
        <v>12960000</v>
      </c>
    </row>
    <row r="956" ht="13.85" spans="1:6">
      <c r="A956">
        <f t="shared" si="56"/>
        <v>955</v>
      </c>
      <c r="B956" s="10"/>
      <c r="C956" s="11">
        <v>37</v>
      </c>
      <c r="D956">
        <f t="shared" si="57"/>
        <v>37</v>
      </c>
      <c r="E956">
        <f t="shared" si="58"/>
        <v>37000000</v>
      </c>
      <c r="F956">
        <f t="shared" si="59"/>
        <v>17760000</v>
      </c>
    </row>
    <row r="957" ht="13.85" spans="1:6">
      <c r="A957">
        <f t="shared" si="56"/>
        <v>956</v>
      </c>
      <c r="B957" s="10"/>
      <c r="C957" s="11">
        <v>46</v>
      </c>
      <c r="D957">
        <f t="shared" si="57"/>
        <v>46</v>
      </c>
      <c r="E957">
        <f t="shared" si="58"/>
        <v>46000000</v>
      </c>
      <c r="F957">
        <f t="shared" si="59"/>
        <v>22080000</v>
      </c>
    </row>
    <row r="958" ht="13.85" spans="1:6">
      <c r="A958">
        <f t="shared" si="56"/>
        <v>957</v>
      </c>
      <c r="B958" s="10"/>
      <c r="C958" s="11">
        <v>58</v>
      </c>
      <c r="D958">
        <f t="shared" si="57"/>
        <v>58</v>
      </c>
      <c r="E958">
        <f t="shared" si="58"/>
        <v>58000000</v>
      </c>
      <c r="F958">
        <f t="shared" si="59"/>
        <v>27840000</v>
      </c>
    </row>
    <row r="959" ht="13.85" spans="1:6">
      <c r="A959">
        <f t="shared" si="56"/>
        <v>958</v>
      </c>
      <c r="B959" s="10"/>
      <c r="C959" s="11">
        <v>67</v>
      </c>
      <c r="D959">
        <f t="shared" si="57"/>
        <v>67</v>
      </c>
      <c r="E959">
        <f t="shared" si="58"/>
        <v>67000000</v>
      </c>
      <c r="F959">
        <f t="shared" si="59"/>
        <v>32160000</v>
      </c>
    </row>
    <row r="960" ht="13.85" spans="1:6">
      <c r="A960">
        <f t="shared" si="56"/>
        <v>959</v>
      </c>
      <c r="B960" s="10"/>
      <c r="C960" s="11">
        <v>78</v>
      </c>
      <c r="D960">
        <f t="shared" si="57"/>
        <v>78</v>
      </c>
      <c r="E960">
        <f t="shared" si="58"/>
        <v>78000000</v>
      </c>
      <c r="F960">
        <f t="shared" si="59"/>
        <v>37440000</v>
      </c>
    </row>
    <row r="961" ht="13.85" spans="1:6">
      <c r="A961">
        <f t="shared" si="56"/>
        <v>960</v>
      </c>
      <c r="B961" s="10"/>
      <c r="C961" s="11">
        <v>90</v>
      </c>
      <c r="D961">
        <f t="shared" si="57"/>
        <v>90</v>
      </c>
      <c r="E961">
        <f t="shared" si="58"/>
        <v>90000000</v>
      </c>
      <c r="F961">
        <f t="shared" si="59"/>
        <v>43200000</v>
      </c>
    </row>
    <row r="962" ht="13.85" spans="1:6">
      <c r="A962">
        <f t="shared" ref="A962:A1025" si="60">ROW()-1</f>
        <v>961</v>
      </c>
      <c r="B962" s="10"/>
      <c r="C962" s="11">
        <v>105</v>
      </c>
      <c r="D962">
        <f t="shared" ref="D962:D1025" si="61">IF(RIGHT(C962,1)="B",VALUE(LEFT(C962,LEN(C962)-1))*1000,C962)</f>
        <v>105</v>
      </c>
      <c r="E962">
        <f t="shared" ref="E962:E1025" si="62">D962*1000000</f>
        <v>105000000</v>
      </c>
      <c r="F962">
        <f t="shared" ref="F962:F1025" si="63">E962*0.48</f>
        <v>50400000</v>
      </c>
    </row>
    <row r="963" ht="13.85" spans="1:6">
      <c r="A963">
        <f t="shared" si="60"/>
        <v>962</v>
      </c>
      <c r="B963" s="10"/>
      <c r="C963" s="11">
        <v>120</v>
      </c>
      <c r="D963">
        <f t="shared" si="61"/>
        <v>120</v>
      </c>
      <c r="E963">
        <f t="shared" si="62"/>
        <v>120000000</v>
      </c>
      <c r="F963">
        <f t="shared" si="63"/>
        <v>57600000</v>
      </c>
    </row>
    <row r="964" ht="13.85" spans="1:6">
      <c r="A964">
        <f t="shared" si="60"/>
        <v>963</v>
      </c>
      <c r="B964" s="10"/>
      <c r="C964" s="11">
        <v>142</v>
      </c>
      <c r="D964">
        <f t="shared" si="61"/>
        <v>142</v>
      </c>
      <c r="E964">
        <f t="shared" si="62"/>
        <v>142000000</v>
      </c>
      <c r="F964">
        <f t="shared" si="63"/>
        <v>68160000</v>
      </c>
    </row>
    <row r="965" ht="13.85" spans="1:6">
      <c r="A965">
        <f t="shared" si="60"/>
        <v>964</v>
      </c>
      <c r="B965" s="10"/>
      <c r="C965" s="11">
        <v>165</v>
      </c>
      <c r="D965">
        <f t="shared" si="61"/>
        <v>165</v>
      </c>
      <c r="E965">
        <f t="shared" si="62"/>
        <v>165000000</v>
      </c>
      <c r="F965">
        <f t="shared" si="63"/>
        <v>79200000</v>
      </c>
    </row>
    <row r="966" ht="13.85" spans="1:6">
      <c r="A966">
        <f t="shared" si="60"/>
        <v>965</v>
      </c>
      <c r="B966" s="10"/>
      <c r="C966" s="11">
        <v>183</v>
      </c>
      <c r="D966">
        <f t="shared" si="61"/>
        <v>183</v>
      </c>
      <c r="E966">
        <f t="shared" si="62"/>
        <v>183000000</v>
      </c>
      <c r="F966">
        <f t="shared" si="63"/>
        <v>87840000</v>
      </c>
    </row>
    <row r="967" ht="13.85" spans="1:6">
      <c r="A967">
        <f t="shared" si="60"/>
        <v>966</v>
      </c>
      <c r="B967" s="10"/>
      <c r="C967" s="11">
        <v>15</v>
      </c>
      <c r="D967">
        <f t="shared" si="61"/>
        <v>15</v>
      </c>
      <c r="E967">
        <f t="shared" si="62"/>
        <v>15000000</v>
      </c>
      <c r="F967">
        <f t="shared" si="63"/>
        <v>7200000</v>
      </c>
    </row>
    <row r="968" ht="13.85" spans="1:6">
      <c r="A968">
        <f t="shared" si="60"/>
        <v>967</v>
      </c>
      <c r="B968" s="10"/>
      <c r="C968" s="11">
        <v>20</v>
      </c>
      <c r="D968">
        <f t="shared" si="61"/>
        <v>20</v>
      </c>
      <c r="E968">
        <f t="shared" si="62"/>
        <v>20000000</v>
      </c>
      <c r="F968">
        <f t="shared" si="63"/>
        <v>9600000</v>
      </c>
    </row>
    <row r="969" ht="13.85" spans="1:6">
      <c r="A969">
        <f t="shared" si="60"/>
        <v>968</v>
      </c>
      <c r="B969" s="10"/>
      <c r="C969" s="11">
        <v>30</v>
      </c>
      <c r="D969">
        <f t="shared" si="61"/>
        <v>30</v>
      </c>
      <c r="E969">
        <f t="shared" si="62"/>
        <v>30000000</v>
      </c>
      <c r="F969">
        <f t="shared" si="63"/>
        <v>14400000</v>
      </c>
    </row>
    <row r="970" ht="13.85" spans="1:6">
      <c r="A970">
        <f t="shared" si="60"/>
        <v>969</v>
      </c>
      <c r="B970" s="10"/>
      <c r="C970" s="11">
        <v>41</v>
      </c>
      <c r="D970">
        <f t="shared" si="61"/>
        <v>41</v>
      </c>
      <c r="E970">
        <f t="shared" si="62"/>
        <v>41000000</v>
      </c>
      <c r="F970">
        <f t="shared" si="63"/>
        <v>19680000</v>
      </c>
    </row>
    <row r="971" ht="13.85" spans="1:6">
      <c r="A971">
        <f t="shared" si="60"/>
        <v>970</v>
      </c>
      <c r="B971" s="10"/>
      <c r="C971" s="11">
        <v>15</v>
      </c>
      <c r="D971">
        <f t="shared" si="61"/>
        <v>15</v>
      </c>
      <c r="E971">
        <f t="shared" si="62"/>
        <v>15000000</v>
      </c>
      <c r="F971">
        <f t="shared" si="63"/>
        <v>7200000</v>
      </c>
    </row>
    <row r="972" ht="13.85" spans="1:6">
      <c r="A972">
        <f t="shared" si="60"/>
        <v>971</v>
      </c>
      <c r="B972" s="10"/>
      <c r="C972" s="11">
        <v>15</v>
      </c>
      <c r="D972">
        <f t="shared" si="61"/>
        <v>15</v>
      </c>
      <c r="E972">
        <f t="shared" si="62"/>
        <v>15000000</v>
      </c>
      <c r="F972">
        <f t="shared" si="63"/>
        <v>7200000</v>
      </c>
    </row>
    <row r="973" ht="13.85" spans="1:6">
      <c r="A973">
        <f t="shared" si="60"/>
        <v>972</v>
      </c>
      <c r="B973" s="10"/>
      <c r="C973" s="11">
        <v>20</v>
      </c>
      <c r="D973">
        <f t="shared" si="61"/>
        <v>20</v>
      </c>
      <c r="E973">
        <f t="shared" si="62"/>
        <v>20000000</v>
      </c>
      <c r="F973">
        <f t="shared" si="63"/>
        <v>9600000</v>
      </c>
    </row>
    <row r="974" ht="13.85" spans="1:6">
      <c r="A974">
        <f t="shared" si="60"/>
        <v>973</v>
      </c>
      <c r="B974" s="10"/>
      <c r="C974" s="11">
        <v>27</v>
      </c>
      <c r="D974">
        <f t="shared" si="61"/>
        <v>27</v>
      </c>
      <c r="E974">
        <f t="shared" si="62"/>
        <v>27000000</v>
      </c>
      <c r="F974">
        <f t="shared" si="63"/>
        <v>12960000</v>
      </c>
    </row>
    <row r="975" ht="13.85" spans="1:6">
      <c r="A975">
        <f t="shared" si="60"/>
        <v>974</v>
      </c>
      <c r="B975" s="10"/>
      <c r="C975" s="11">
        <v>36</v>
      </c>
      <c r="D975">
        <f t="shared" si="61"/>
        <v>36</v>
      </c>
      <c r="E975">
        <f t="shared" si="62"/>
        <v>36000000</v>
      </c>
      <c r="F975">
        <f t="shared" si="63"/>
        <v>17280000</v>
      </c>
    </row>
    <row r="976" ht="13.85" spans="1:6">
      <c r="A976">
        <f t="shared" si="60"/>
        <v>975</v>
      </c>
      <c r="B976" s="10"/>
      <c r="C976" s="11">
        <v>47</v>
      </c>
      <c r="D976">
        <f t="shared" si="61"/>
        <v>47</v>
      </c>
      <c r="E976">
        <f t="shared" si="62"/>
        <v>47000000</v>
      </c>
      <c r="F976">
        <f t="shared" si="63"/>
        <v>22560000</v>
      </c>
    </row>
    <row r="977" ht="13.85" spans="1:6">
      <c r="A977">
        <f t="shared" si="60"/>
        <v>976</v>
      </c>
      <c r="B977" s="10"/>
      <c r="C977" s="11">
        <v>57</v>
      </c>
      <c r="D977">
        <f t="shared" si="61"/>
        <v>57</v>
      </c>
      <c r="E977">
        <f t="shared" si="62"/>
        <v>57000000</v>
      </c>
      <c r="F977">
        <f t="shared" si="63"/>
        <v>27360000</v>
      </c>
    </row>
    <row r="978" ht="13.85" spans="1:6">
      <c r="A978">
        <f t="shared" si="60"/>
        <v>977</v>
      </c>
      <c r="B978" s="10"/>
      <c r="C978" s="11">
        <v>68</v>
      </c>
      <c r="D978">
        <f t="shared" si="61"/>
        <v>68</v>
      </c>
      <c r="E978">
        <f t="shared" si="62"/>
        <v>68000000</v>
      </c>
      <c r="F978">
        <f t="shared" si="63"/>
        <v>32640000</v>
      </c>
    </row>
    <row r="979" ht="13.85" spans="1:6">
      <c r="A979">
        <f t="shared" si="60"/>
        <v>978</v>
      </c>
      <c r="B979" s="10"/>
      <c r="C979" s="11">
        <v>15</v>
      </c>
      <c r="D979">
        <f t="shared" si="61"/>
        <v>15</v>
      </c>
      <c r="E979">
        <f t="shared" si="62"/>
        <v>15000000</v>
      </c>
      <c r="F979">
        <f t="shared" si="63"/>
        <v>7200000</v>
      </c>
    </row>
    <row r="980" ht="13.85" spans="1:6">
      <c r="A980">
        <f t="shared" si="60"/>
        <v>979</v>
      </c>
      <c r="B980" s="10"/>
      <c r="C980" s="11">
        <v>20</v>
      </c>
      <c r="D980">
        <f t="shared" si="61"/>
        <v>20</v>
      </c>
      <c r="E980">
        <f t="shared" si="62"/>
        <v>20000000</v>
      </c>
      <c r="F980">
        <f t="shared" si="63"/>
        <v>9600000</v>
      </c>
    </row>
    <row r="981" ht="13.85" spans="1:6">
      <c r="A981">
        <f t="shared" si="60"/>
        <v>980</v>
      </c>
      <c r="B981" s="10"/>
      <c r="C981" s="11">
        <v>25</v>
      </c>
      <c r="D981">
        <f t="shared" si="61"/>
        <v>25</v>
      </c>
      <c r="E981">
        <f t="shared" si="62"/>
        <v>25000000</v>
      </c>
      <c r="F981">
        <f t="shared" si="63"/>
        <v>12000000</v>
      </c>
    </row>
    <row r="982" ht="13.85" spans="1:6">
      <c r="A982">
        <f t="shared" si="60"/>
        <v>981</v>
      </c>
      <c r="B982" s="10"/>
      <c r="C982" s="11">
        <v>34</v>
      </c>
      <c r="D982">
        <f t="shared" si="61"/>
        <v>34</v>
      </c>
      <c r="E982">
        <f t="shared" si="62"/>
        <v>34000000</v>
      </c>
      <c r="F982">
        <f t="shared" si="63"/>
        <v>16320000</v>
      </c>
    </row>
    <row r="983" ht="13.85" spans="1:6">
      <c r="A983">
        <f t="shared" si="60"/>
        <v>982</v>
      </c>
      <c r="B983" s="10"/>
      <c r="C983" s="11">
        <v>43</v>
      </c>
      <c r="D983">
        <f t="shared" si="61"/>
        <v>43</v>
      </c>
      <c r="E983">
        <f t="shared" si="62"/>
        <v>43000000</v>
      </c>
      <c r="F983">
        <f t="shared" si="63"/>
        <v>20640000</v>
      </c>
    </row>
    <row r="984" ht="13.85" spans="1:6">
      <c r="A984">
        <f t="shared" si="60"/>
        <v>983</v>
      </c>
      <c r="B984" s="10"/>
      <c r="C984" s="11">
        <v>53</v>
      </c>
      <c r="D984">
        <f t="shared" si="61"/>
        <v>53</v>
      </c>
      <c r="E984">
        <f t="shared" si="62"/>
        <v>53000000</v>
      </c>
      <c r="F984">
        <f t="shared" si="63"/>
        <v>25440000</v>
      </c>
    </row>
    <row r="985" ht="13.85" spans="1:6">
      <c r="A985">
        <f t="shared" si="60"/>
        <v>984</v>
      </c>
      <c r="B985" s="10"/>
      <c r="C985" s="11">
        <v>63</v>
      </c>
      <c r="D985">
        <f t="shared" si="61"/>
        <v>63</v>
      </c>
      <c r="E985">
        <f t="shared" si="62"/>
        <v>63000000</v>
      </c>
      <c r="F985">
        <f t="shared" si="63"/>
        <v>30240000</v>
      </c>
    </row>
    <row r="986" ht="13.85" spans="1:6">
      <c r="A986">
        <f t="shared" si="60"/>
        <v>985</v>
      </c>
      <c r="B986" s="10"/>
      <c r="C986" s="11">
        <v>15</v>
      </c>
      <c r="D986">
        <f t="shared" si="61"/>
        <v>15</v>
      </c>
      <c r="E986">
        <f t="shared" si="62"/>
        <v>15000000</v>
      </c>
      <c r="F986">
        <f t="shared" si="63"/>
        <v>7200000</v>
      </c>
    </row>
    <row r="987" ht="13.85" spans="1:6">
      <c r="A987">
        <f t="shared" si="60"/>
        <v>986</v>
      </c>
      <c r="B987" s="10"/>
      <c r="C987" s="11">
        <v>20</v>
      </c>
      <c r="D987">
        <f t="shared" si="61"/>
        <v>20</v>
      </c>
      <c r="E987">
        <f t="shared" si="62"/>
        <v>20000000</v>
      </c>
      <c r="F987">
        <f t="shared" si="63"/>
        <v>9600000</v>
      </c>
    </row>
    <row r="988" ht="13.85" spans="1:6">
      <c r="A988">
        <f t="shared" si="60"/>
        <v>987</v>
      </c>
      <c r="B988" s="10"/>
      <c r="C988" s="11">
        <v>25</v>
      </c>
      <c r="D988">
        <f t="shared" si="61"/>
        <v>25</v>
      </c>
      <c r="E988">
        <f t="shared" si="62"/>
        <v>25000000</v>
      </c>
      <c r="F988">
        <f t="shared" si="63"/>
        <v>12000000</v>
      </c>
    </row>
    <row r="989" ht="13.85" spans="1:6">
      <c r="A989">
        <f t="shared" si="60"/>
        <v>988</v>
      </c>
      <c r="B989" s="10"/>
      <c r="C989" s="11">
        <v>32</v>
      </c>
      <c r="D989">
        <f t="shared" si="61"/>
        <v>32</v>
      </c>
      <c r="E989">
        <f t="shared" si="62"/>
        <v>32000000</v>
      </c>
      <c r="F989">
        <f t="shared" si="63"/>
        <v>15360000</v>
      </c>
    </row>
    <row r="990" ht="13.85" spans="1:6">
      <c r="A990">
        <f t="shared" si="60"/>
        <v>989</v>
      </c>
      <c r="B990" s="10"/>
      <c r="C990" s="11">
        <v>43</v>
      </c>
      <c r="D990">
        <f t="shared" si="61"/>
        <v>43</v>
      </c>
      <c r="E990">
        <f t="shared" si="62"/>
        <v>43000000</v>
      </c>
      <c r="F990">
        <f t="shared" si="63"/>
        <v>20640000</v>
      </c>
    </row>
    <row r="991" ht="13.85" spans="1:6">
      <c r="A991">
        <f t="shared" si="60"/>
        <v>990</v>
      </c>
      <c r="B991" s="10"/>
      <c r="C991" s="11">
        <v>54</v>
      </c>
      <c r="D991">
        <f t="shared" si="61"/>
        <v>54</v>
      </c>
      <c r="E991">
        <f t="shared" si="62"/>
        <v>54000000</v>
      </c>
      <c r="F991">
        <f t="shared" si="63"/>
        <v>25920000</v>
      </c>
    </row>
    <row r="992" ht="13.85" spans="1:6">
      <c r="A992">
        <f t="shared" si="60"/>
        <v>991</v>
      </c>
      <c r="B992" s="10"/>
      <c r="C992" s="11">
        <v>66</v>
      </c>
      <c r="D992">
        <f t="shared" si="61"/>
        <v>66</v>
      </c>
      <c r="E992">
        <f t="shared" si="62"/>
        <v>66000000</v>
      </c>
      <c r="F992">
        <f t="shared" si="63"/>
        <v>31680000</v>
      </c>
    </row>
    <row r="993" ht="13.85" spans="1:6">
      <c r="A993">
        <f t="shared" si="60"/>
        <v>992</v>
      </c>
      <c r="B993" s="10"/>
      <c r="C993" s="11">
        <v>76</v>
      </c>
      <c r="D993">
        <f t="shared" si="61"/>
        <v>76</v>
      </c>
      <c r="E993">
        <f t="shared" si="62"/>
        <v>76000000</v>
      </c>
      <c r="F993">
        <f t="shared" si="63"/>
        <v>36480000</v>
      </c>
    </row>
    <row r="994" ht="13.85" spans="1:6">
      <c r="A994">
        <f t="shared" si="60"/>
        <v>993</v>
      </c>
      <c r="B994" s="10"/>
      <c r="C994" s="11">
        <v>89</v>
      </c>
      <c r="D994">
        <f t="shared" si="61"/>
        <v>89</v>
      </c>
      <c r="E994">
        <f t="shared" si="62"/>
        <v>89000000</v>
      </c>
      <c r="F994">
        <f t="shared" si="63"/>
        <v>42720000</v>
      </c>
    </row>
    <row r="995" ht="13.85" spans="1:6">
      <c r="A995">
        <f t="shared" si="60"/>
        <v>994</v>
      </c>
      <c r="B995" s="10"/>
      <c r="C995" s="11">
        <v>103</v>
      </c>
      <c r="D995">
        <f t="shared" si="61"/>
        <v>103</v>
      </c>
      <c r="E995">
        <f t="shared" si="62"/>
        <v>103000000</v>
      </c>
      <c r="F995">
        <f t="shared" si="63"/>
        <v>49440000</v>
      </c>
    </row>
    <row r="996" ht="13.85" spans="1:6">
      <c r="A996">
        <f t="shared" si="60"/>
        <v>995</v>
      </c>
      <c r="B996" s="10"/>
      <c r="C996" s="11">
        <v>15</v>
      </c>
      <c r="D996">
        <f t="shared" si="61"/>
        <v>15</v>
      </c>
      <c r="E996">
        <f t="shared" si="62"/>
        <v>15000000</v>
      </c>
      <c r="F996">
        <f t="shared" si="63"/>
        <v>7200000</v>
      </c>
    </row>
    <row r="997" ht="13.85" spans="1:6">
      <c r="A997">
        <f t="shared" si="60"/>
        <v>996</v>
      </c>
      <c r="B997" s="10"/>
      <c r="C997" s="11">
        <v>20</v>
      </c>
      <c r="D997">
        <f t="shared" si="61"/>
        <v>20</v>
      </c>
      <c r="E997">
        <f t="shared" si="62"/>
        <v>20000000</v>
      </c>
      <c r="F997">
        <f t="shared" si="63"/>
        <v>9600000</v>
      </c>
    </row>
    <row r="998" ht="13.85" spans="1:6">
      <c r="A998">
        <f t="shared" si="60"/>
        <v>997</v>
      </c>
      <c r="B998" s="10"/>
      <c r="C998" s="11">
        <v>27</v>
      </c>
      <c r="D998">
        <f t="shared" si="61"/>
        <v>27</v>
      </c>
      <c r="E998">
        <f t="shared" si="62"/>
        <v>27000000</v>
      </c>
      <c r="F998">
        <f t="shared" si="63"/>
        <v>12960000</v>
      </c>
    </row>
    <row r="999" ht="13.85" spans="1:6">
      <c r="A999">
        <f t="shared" si="60"/>
        <v>998</v>
      </c>
      <c r="B999" s="10"/>
      <c r="C999" s="11">
        <v>36</v>
      </c>
      <c r="D999">
        <f t="shared" si="61"/>
        <v>36</v>
      </c>
      <c r="E999">
        <f t="shared" si="62"/>
        <v>36000000</v>
      </c>
      <c r="F999">
        <f t="shared" si="63"/>
        <v>17280000</v>
      </c>
    </row>
    <row r="1000" ht="13.85" spans="1:6">
      <c r="A1000">
        <f t="shared" si="60"/>
        <v>999</v>
      </c>
      <c r="B1000" s="10"/>
      <c r="C1000" s="11">
        <v>50</v>
      </c>
      <c r="D1000">
        <f t="shared" si="61"/>
        <v>50</v>
      </c>
      <c r="E1000">
        <f t="shared" si="62"/>
        <v>50000000</v>
      </c>
      <c r="F1000">
        <f t="shared" si="63"/>
        <v>24000000</v>
      </c>
    </row>
    <row r="1001" ht="13.85" spans="1:6">
      <c r="A1001">
        <f t="shared" si="60"/>
        <v>1000</v>
      </c>
      <c r="B1001" s="10"/>
      <c r="C1001" s="11">
        <v>60</v>
      </c>
      <c r="D1001">
        <f t="shared" si="61"/>
        <v>60</v>
      </c>
      <c r="E1001">
        <f t="shared" si="62"/>
        <v>60000000</v>
      </c>
      <c r="F1001">
        <f t="shared" si="63"/>
        <v>28800000</v>
      </c>
    </row>
    <row r="1002" ht="13.85" spans="1:6">
      <c r="A1002">
        <f t="shared" si="60"/>
        <v>1001</v>
      </c>
      <c r="B1002" s="10"/>
      <c r="C1002" s="11">
        <v>72</v>
      </c>
      <c r="D1002">
        <f t="shared" si="61"/>
        <v>72</v>
      </c>
      <c r="E1002">
        <f t="shared" si="62"/>
        <v>72000000</v>
      </c>
      <c r="F1002">
        <f t="shared" si="63"/>
        <v>34560000</v>
      </c>
    </row>
    <row r="1003" ht="13.85" spans="1:6">
      <c r="A1003">
        <f t="shared" si="60"/>
        <v>1002</v>
      </c>
      <c r="B1003" s="10"/>
      <c r="C1003" s="11">
        <v>82</v>
      </c>
      <c r="D1003">
        <f t="shared" si="61"/>
        <v>82</v>
      </c>
      <c r="E1003">
        <f t="shared" si="62"/>
        <v>82000000</v>
      </c>
      <c r="F1003">
        <f t="shared" si="63"/>
        <v>39360000</v>
      </c>
    </row>
    <row r="1004" ht="13.85" spans="1:6">
      <c r="A1004">
        <f t="shared" si="60"/>
        <v>1003</v>
      </c>
      <c r="B1004" s="10"/>
      <c r="C1004" s="11">
        <v>94</v>
      </c>
      <c r="D1004">
        <f t="shared" si="61"/>
        <v>94</v>
      </c>
      <c r="E1004">
        <f t="shared" si="62"/>
        <v>94000000</v>
      </c>
      <c r="F1004">
        <f t="shared" si="63"/>
        <v>45120000</v>
      </c>
    </row>
    <row r="1005" ht="13.85" spans="1:6">
      <c r="A1005">
        <f t="shared" si="60"/>
        <v>1004</v>
      </c>
      <c r="B1005" s="10"/>
      <c r="C1005" s="11">
        <v>105</v>
      </c>
      <c r="D1005">
        <f t="shared" si="61"/>
        <v>105</v>
      </c>
      <c r="E1005">
        <f t="shared" si="62"/>
        <v>105000000</v>
      </c>
      <c r="F1005">
        <f t="shared" si="63"/>
        <v>50400000</v>
      </c>
    </row>
    <row r="1006" ht="13.85" spans="1:6">
      <c r="A1006">
        <f t="shared" si="60"/>
        <v>1005</v>
      </c>
      <c r="B1006" s="10"/>
      <c r="C1006" s="11">
        <v>123</v>
      </c>
      <c r="D1006">
        <f t="shared" si="61"/>
        <v>123</v>
      </c>
      <c r="E1006">
        <f t="shared" si="62"/>
        <v>123000000</v>
      </c>
      <c r="F1006">
        <f t="shared" si="63"/>
        <v>59040000</v>
      </c>
    </row>
    <row r="1007" ht="13.85" spans="1:6">
      <c r="A1007">
        <f t="shared" si="60"/>
        <v>1006</v>
      </c>
      <c r="B1007" s="10"/>
      <c r="C1007" s="11">
        <v>141</v>
      </c>
      <c r="D1007">
        <f t="shared" si="61"/>
        <v>141</v>
      </c>
      <c r="E1007">
        <f t="shared" si="62"/>
        <v>141000000</v>
      </c>
      <c r="F1007">
        <f t="shared" si="63"/>
        <v>67680000</v>
      </c>
    </row>
    <row r="1008" ht="13.85" spans="1:6">
      <c r="A1008">
        <f t="shared" si="60"/>
        <v>1007</v>
      </c>
      <c r="B1008" s="10"/>
      <c r="C1008" s="11">
        <v>161</v>
      </c>
      <c r="D1008">
        <f t="shared" si="61"/>
        <v>161</v>
      </c>
      <c r="E1008">
        <f t="shared" si="62"/>
        <v>161000000</v>
      </c>
      <c r="F1008">
        <f t="shared" si="63"/>
        <v>77280000</v>
      </c>
    </row>
    <row r="1009" ht="13.85" spans="1:6">
      <c r="A1009">
        <f t="shared" si="60"/>
        <v>1008</v>
      </c>
      <c r="B1009" s="10"/>
      <c r="C1009" s="11">
        <v>181</v>
      </c>
      <c r="D1009">
        <f t="shared" si="61"/>
        <v>181</v>
      </c>
      <c r="E1009">
        <f t="shared" si="62"/>
        <v>181000000</v>
      </c>
      <c r="F1009">
        <f t="shared" si="63"/>
        <v>86880000</v>
      </c>
    </row>
    <row r="1010" ht="13.85" spans="1:6">
      <c r="A1010">
        <f t="shared" si="60"/>
        <v>1009</v>
      </c>
      <c r="B1010" s="10"/>
      <c r="C1010" s="11">
        <v>210</v>
      </c>
      <c r="D1010">
        <f t="shared" si="61"/>
        <v>210</v>
      </c>
      <c r="E1010">
        <f t="shared" si="62"/>
        <v>210000000</v>
      </c>
      <c r="F1010">
        <f t="shared" si="63"/>
        <v>100800000</v>
      </c>
    </row>
    <row r="1011" ht="13.85" spans="1:6">
      <c r="A1011">
        <f t="shared" si="60"/>
        <v>1010</v>
      </c>
      <c r="B1011" s="10"/>
      <c r="C1011" s="11">
        <v>245</v>
      </c>
      <c r="D1011">
        <f t="shared" si="61"/>
        <v>245</v>
      </c>
      <c r="E1011">
        <f t="shared" si="62"/>
        <v>245000000</v>
      </c>
      <c r="F1011">
        <f t="shared" si="63"/>
        <v>117600000</v>
      </c>
    </row>
    <row r="1012" ht="13.85" spans="1:6">
      <c r="A1012">
        <f t="shared" si="60"/>
        <v>1011</v>
      </c>
      <c r="B1012" s="10"/>
      <c r="C1012" s="11">
        <v>300</v>
      </c>
      <c r="D1012">
        <f t="shared" si="61"/>
        <v>300</v>
      </c>
      <c r="E1012">
        <f t="shared" si="62"/>
        <v>300000000</v>
      </c>
      <c r="F1012">
        <f t="shared" si="63"/>
        <v>144000000</v>
      </c>
    </row>
    <row r="1013" ht="13.85" spans="1:6">
      <c r="A1013">
        <f t="shared" si="60"/>
        <v>1012</v>
      </c>
      <c r="B1013" s="10"/>
      <c r="C1013" s="11">
        <v>15</v>
      </c>
      <c r="D1013">
        <f t="shared" si="61"/>
        <v>15</v>
      </c>
      <c r="E1013">
        <f t="shared" si="62"/>
        <v>15000000</v>
      </c>
      <c r="F1013">
        <f t="shared" si="63"/>
        <v>7200000</v>
      </c>
    </row>
    <row r="1014" ht="13.85" spans="1:6">
      <c r="A1014">
        <f t="shared" si="60"/>
        <v>1013</v>
      </c>
      <c r="B1014" s="10"/>
      <c r="C1014" s="11">
        <v>20</v>
      </c>
      <c r="D1014">
        <f t="shared" si="61"/>
        <v>20</v>
      </c>
      <c r="E1014">
        <f t="shared" si="62"/>
        <v>20000000</v>
      </c>
      <c r="F1014">
        <f t="shared" si="63"/>
        <v>9600000</v>
      </c>
    </row>
    <row r="1015" ht="13.85" spans="1:6">
      <c r="A1015">
        <f t="shared" si="60"/>
        <v>1014</v>
      </c>
      <c r="B1015" s="10"/>
      <c r="C1015" s="11">
        <v>29</v>
      </c>
      <c r="D1015">
        <f t="shared" si="61"/>
        <v>29</v>
      </c>
      <c r="E1015">
        <f t="shared" si="62"/>
        <v>29000000</v>
      </c>
      <c r="F1015">
        <f t="shared" si="63"/>
        <v>13920000</v>
      </c>
    </row>
    <row r="1016" ht="13.85" spans="1:6">
      <c r="A1016">
        <f t="shared" si="60"/>
        <v>1015</v>
      </c>
      <c r="B1016" s="10"/>
      <c r="C1016" s="11">
        <v>15</v>
      </c>
      <c r="D1016">
        <f t="shared" si="61"/>
        <v>15</v>
      </c>
      <c r="E1016">
        <f t="shared" si="62"/>
        <v>15000000</v>
      </c>
      <c r="F1016">
        <f t="shared" si="63"/>
        <v>7200000</v>
      </c>
    </row>
    <row r="1017" ht="13.85" spans="1:6">
      <c r="A1017">
        <f t="shared" si="60"/>
        <v>1016</v>
      </c>
      <c r="B1017" s="10"/>
      <c r="C1017" s="11">
        <v>20</v>
      </c>
      <c r="D1017">
        <f t="shared" si="61"/>
        <v>20</v>
      </c>
      <c r="E1017">
        <f t="shared" si="62"/>
        <v>20000000</v>
      </c>
      <c r="F1017">
        <f t="shared" si="63"/>
        <v>9600000</v>
      </c>
    </row>
    <row r="1018" ht="13.85" spans="1:6">
      <c r="A1018">
        <f t="shared" si="60"/>
        <v>1017</v>
      </c>
      <c r="B1018" s="10"/>
      <c r="C1018" s="11">
        <v>29</v>
      </c>
      <c r="D1018">
        <f t="shared" si="61"/>
        <v>29</v>
      </c>
      <c r="E1018">
        <f t="shared" si="62"/>
        <v>29000000</v>
      </c>
      <c r="F1018">
        <f t="shared" si="63"/>
        <v>13920000</v>
      </c>
    </row>
    <row r="1019" ht="13.85" spans="1:6">
      <c r="A1019">
        <f t="shared" si="60"/>
        <v>1018</v>
      </c>
      <c r="B1019" s="10"/>
      <c r="C1019" s="11">
        <v>38</v>
      </c>
      <c r="D1019">
        <f t="shared" si="61"/>
        <v>38</v>
      </c>
      <c r="E1019">
        <f t="shared" si="62"/>
        <v>38000000</v>
      </c>
      <c r="F1019">
        <f t="shared" si="63"/>
        <v>18240000</v>
      </c>
    </row>
    <row r="1020" ht="13.85" spans="1:6">
      <c r="A1020">
        <f t="shared" si="60"/>
        <v>1019</v>
      </c>
      <c r="B1020" s="10"/>
      <c r="C1020" s="11">
        <v>48</v>
      </c>
      <c r="D1020">
        <f t="shared" si="61"/>
        <v>48</v>
      </c>
      <c r="E1020">
        <f t="shared" si="62"/>
        <v>48000000</v>
      </c>
      <c r="F1020">
        <f t="shared" si="63"/>
        <v>23040000</v>
      </c>
    </row>
    <row r="1021" ht="13.85" spans="1:6">
      <c r="A1021">
        <f t="shared" si="60"/>
        <v>1020</v>
      </c>
      <c r="B1021" s="10"/>
      <c r="C1021" s="11">
        <v>61</v>
      </c>
      <c r="D1021">
        <f t="shared" si="61"/>
        <v>61</v>
      </c>
      <c r="E1021">
        <f t="shared" si="62"/>
        <v>61000000</v>
      </c>
      <c r="F1021">
        <f t="shared" si="63"/>
        <v>29280000</v>
      </c>
    </row>
    <row r="1022" ht="13.85" spans="1:6">
      <c r="A1022">
        <f t="shared" si="60"/>
        <v>1021</v>
      </c>
      <c r="B1022" s="10"/>
      <c r="C1022" s="11">
        <v>15</v>
      </c>
      <c r="D1022">
        <f t="shared" si="61"/>
        <v>15</v>
      </c>
      <c r="E1022">
        <f t="shared" si="62"/>
        <v>15000000</v>
      </c>
      <c r="F1022">
        <f t="shared" si="63"/>
        <v>7200000</v>
      </c>
    </row>
    <row r="1023" ht="13.85" spans="1:6">
      <c r="A1023">
        <f t="shared" si="60"/>
        <v>1022</v>
      </c>
      <c r="B1023" s="10"/>
      <c r="C1023" s="11">
        <v>15</v>
      </c>
      <c r="D1023">
        <f t="shared" si="61"/>
        <v>15</v>
      </c>
      <c r="E1023">
        <f t="shared" si="62"/>
        <v>15000000</v>
      </c>
      <c r="F1023">
        <f t="shared" si="63"/>
        <v>7200000</v>
      </c>
    </row>
    <row r="1024" ht="13.85" spans="1:6">
      <c r="A1024">
        <f t="shared" si="60"/>
        <v>1023</v>
      </c>
      <c r="B1024" s="14"/>
      <c r="C1024" s="15">
        <v>15</v>
      </c>
      <c r="D1024">
        <f t="shared" si="61"/>
        <v>15</v>
      </c>
      <c r="E1024">
        <f t="shared" si="62"/>
        <v>15000000</v>
      </c>
      <c r="F1024">
        <f t="shared" si="63"/>
        <v>7200000</v>
      </c>
    </row>
    <row r="1025" ht="13.85" spans="1:6">
      <c r="A1025">
        <f t="shared" si="60"/>
        <v>1024</v>
      </c>
      <c r="B1025" s="12"/>
      <c r="C1025" s="13">
        <v>20</v>
      </c>
      <c r="D1025">
        <f t="shared" si="61"/>
        <v>20</v>
      </c>
      <c r="E1025">
        <f t="shared" si="62"/>
        <v>20000000</v>
      </c>
      <c r="F1025">
        <f t="shared" si="63"/>
        <v>9600000</v>
      </c>
    </row>
    <row r="1026" ht="13.85" spans="1:6">
      <c r="A1026">
        <f t="shared" ref="A1026:A1089" si="64">ROW()-1</f>
        <v>1025</v>
      </c>
      <c r="B1026" s="10"/>
      <c r="C1026" s="11">
        <v>15</v>
      </c>
      <c r="D1026">
        <f t="shared" ref="D1026:D1089" si="65">IF(RIGHT(C1026,1)="B",VALUE(LEFT(C1026,LEN(C1026)-1))*1000,C1026)</f>
        <v>15</v>
      </c>
      <c r="E1026">
        <f t="shared" ref="E1026:E1089" si="66">D1026*1000000</f>
        <v>15000000</v>
      </c>
      <c r="F1026">
        <f t="shared" ref="F1026:F1089" si="67">E1026*0.48</f>
        <v>7200000</v>
      </c>
    </row>
    <row r="1027" ht="13.85" spans="1:6">
      <c r="A1027">
        <f t="shared" si="64"/>
        <v>1026</v>
      </c>
      <c r="B1027" s="10"/>
      <c r="C1027" s="11">
        <v>20</v>
      </c>
      <c r="D1027">
        <f t="shared" si="65"/>
        <v>20</v>
      </c>
      <c r="E1027">
        <f t="shared" si="66"/>
        <v>20000000</v>
      </c>
      <c r="F1027">
        <f t="shared" si="67"/>
        <v>9600000</v>
      </c>
    </row>
    <row r="1028" ht="13.85" spans="1:6">
      <c r="A1028">
        <f t="shared" si="64"/>
        <v>1027</v>
      </c>
      <c r="B1028" s="10"/>
      <c r="C1028" s="11">
        <v>26</v>
      </c>
      <c r="D1028">
        <f t="shared" si="65"/>
        <v>26</v>
      </c>
      <c r="E1028">
        <f t="shared" si="66"/>
        <v>26000000</v>
      </c>
      <c r="F1028">
        <f t="shared" si="67"/>
        <v>12480000</v>
      </c>
    </row>
    <row r="1029" ht="13.85" spans="1:6">
      <c r="A1029">
        <f t="shared" si="64"/>
        <v>1028</v>
      </c>
      <c r="B1029" s="10"/>
      <c r="C1029" s="11">
        <v>34</v>
      </c>
      <c r="D1029">
        <f t="shared" si="65"/>
        <v>34</v>
      </c>
      <c r="E1029">
        <f t="shared" si="66"/>
        <v>34000000</v>
      </c>
      <c r="F1029">
        <f t="shared" si="67"/>
        <v>16320000</v>
      </c>
    </row>
    <row r="1030" ht="13.85" spans="1:6">
      <c r="A1030">
        <f t="shared" si="64"/>
        <v>1029</v>
      </c>
      <c r="B1030" s="10"/>
      <c r="C1030" s="11">
        <v>43</v>
      </c>
      <c r="D1030">
        <f t="shared" si="65"/>
        <v>43</v>
      </c>
      <c r="E1030">
        <f t="shared" si="66"/>
        <v>43000000</v>
      </c>
      <c r="F1030">
        <f t="shared" si="67"/>
        <v>20640000</v>
      </c>
    </row>
    <row r="1031" ht="13.85" spans="1:6">
      <c r="A1031">
        <f t="shared" si="64"/>
        <v>1030</v>
      </c>
      <c r="B1031" s="10"/>
      <c r="C1031" s="11">
        <v>51</v>
      </c>
      <c r="D1031">
        <f t="shared" si="65"/>
        <v>51</v>
      </c>
      <c r="E1031">
        <f t="shared" si="66"/>
        <v>51000000</v>
      </c>
      <c r="F1031">
        <f t="shared" si="67"/>
        <v>24480000</v>
      </c>
    </row>
    <row r="1032" ht="13.85" spans="1:6">
      <c r="A1032">
        <f t="shared" si="64"/>
        <v>1031</v>
      </c>
      <c r="B1032" s="10"/>
      <c r="C1032" s="11">
        <v>62</v>
      </c>
      <c r="D1032">
        <f t="shared" si="65"/>
        <v>62</v>
      </c>
      <c r="E1032">
        <f t="shared" si="66"/>
        <v>62000000</v>
      </c>
      <c r="F1032">
        <f t="shared" si="67"/>
        <v>29760000</v>
      </c>
    </row>
    <row r="1033" ht="13.85" spans="1:6">
      <c r="A1033">
        <f t="shared" si="64"/>
        <v>1032</v>
      </c>
      <c r="B1033" s="10"/>
      <c r="C1033" s="11">
        <v>71</v>
      </c>
      <c r="D1033">
        <f t="shared" si="65"/>
        <v>71</v>
      </c>
      <c r="E1033">
        <f t="shared" si="66"/>
        <v>71000000</v>
      </c>
      <c r="F1033">
        <f t="shared" si="67"/>
        <v>34080000</v>
      </c>
    </row>
    <row r="1034" ht="13.85" spans="1:6">
      <c r="A1034">
        <f t="shared" si="64"/>
        <v>1033</v>
      </c>
      <c r="B1034" s="10"/>
      <c r="C1034" s="11">
        <v>82</v>
      </c>
      <c r="D1034">
        <f t="shared" si="65"/>
        <v>82</v>
      </c>
      <c r="E1034">
        <f t="shared" si="66"/>
        <v>82000000</v>
      </c>
      <c r="F1034">
        <f t="shared" si="67"/>
        <v>39360000</v>
      </c>
    </row>
    <row r="1035" ht="13.85" spans="1:6">
      <c r="A1035">
        <f t="shared" si="64"/>
        <v>1034</v>
      </c>
      <c r="B1035" s="10"/>
      <c r="C1035" s="11">
        <v>95</v>
      </c>
      <c r="D1035">
        <f t="shared" si="65"/>
        <v>95</v>
      </c>
      <c r="E1035">
        <f t="shared" si="66"/>
        <v>95000000</v>
      </c>
      <c r="F1035">
        <f t="shared" si="67"/>
        <v>45600000</v>
      </c>
    </row>
    <row r="1036" ht="13.85" spans="1:6">
      <c r="A1036">
        <f t="shared" si="64"/>
        <v>1035</v>
      </c>
      <c r="B1036" s="10"/>
      <c r="C1036" s="11">
        <v>109</v>
      </c>
      <c r="D1036">
        <f t="shared" si="65"/>
        <v>109</v>
      </c>
      <c r="E1036">
        <f t="shared" si="66"/>
        <v>109000000</v>
      </c>
      <c r="F1036">
        <f t="shared" si="67"/>
        <v>52320000</v>
      </c>
    </row>
    <row r="1037" ht="13.85" spans="1:6">
      <c r="A1037">
        <f t="shared" si="64"/>
        <v>1036</v>
      </c>
      <c r="B1037" s="10"/>
      <c r="C1037" s="11">
        <v>120</v>
      </c>
      <c r="D1037">
        <f t="shared" si="65"/>
        <v>120</v>
      </c>
      <c r="E1037">
        <f t="shared" si="66"/>
        <v>120000000</v>
      </c>
      <c r="F1037">
        <f t="shared" si="67"/>
        <v>57600000</v>
      </c>
    </row>
    <row r="1038" ht="13.85" spans="1:6">
      <c r="A1038">
        <f t="shared" si="64"/>
        <v>1037</v>
      </c>
      <c r="B1038" s="10"/>
      <c r="C1038" s="11">
        <v>137</v>
      </c>
      <c r="D1038">
        <f t="shared" si="65"/>
        <v>137</v>
      </c>
      <c r="E1038">
        <f t="shared" si="66"/>
        <v>137000000</v>
      </c>
      <c r="F1038">
        <f t="shared" si="67"/>
        <v>65760000</v>
      </c>
    </row>
    <row r="1039" ht="13.85" spans="1:6">
      <c r="A1039">
        <f t="shared" si="64"/>
        <v>1038</v>
      </c>
      <c r="B1039" s="10"/>
      <c r="C1039" s="11">
        <v>155</v>
      </c>
      <c r="D1039">
        <f t="shared" si="65"/>
        <v>155</v>
      </c>
      <c r="E1039">
        <f t="shared" si="66"/>
        <v>155000000</v>
      </c>
      <c r="F1039">
        <f t="shared" si="67"/>
        <v>74400000</v>
      </c>
    </row>
    <row r="1040" ht="13.85" spans="1:6">
      <c r="A1040">
        <f t="shared" si="64"/>
        <v>1039</v>
      </c>
      <c r="B1040" s="10"/>
      <c r="C1040" s="11">
        <v>15</v>
      </c>
      <c r="D1040">
        <f t="shared" si="65"/>
        <v>15</v>
      </c>
      <c r="E1040">
        <f t="shared" si="66"/>
        <v>15000000</v>
      </c>
      <c r="F1040">
        <f t="shared" si="67"/>
        <v>7200000</v>
      </c>
    </row>
    <row r="1041" ht="13.85" spans="1:6">
      <c r="A1041">
        <f t="shared" si="64"/>
        <v>1040</v>
      </c>
      <c r="B1041" s="10"/>
      <c r="C1041" s="11">
        <v>20</v>
      </c>
      <c r="D1041">
        <f t="shared" si="65"/>
        <v>20</v>
      </c>
      <c r="E1041">
        <f t="shared" si="66"/>
        <v>20000000</v>
      </c>
      <c r="F1041">
        <f t="shared" si="67"/>
        <v>9600000</v>
      </c>
    </row>
    <row r="1042" ht="13.85" spans="1:6">
      <c r="A1042">
        <f t="shared" si="64"/>
        <v>1041</v>
      </c>
      <c r="B1042" s="10"/>
      <c r="C1042" s="11">
        <v>26</v>
      </c>
      <c r="D1042">
        <f t="shared" si="65"/>
        <v>26</v>
      </c>
      <c r="E1042">
        <f t="shared" si="66"/>
        <v>26000000</v>
      </c>
      <c r="F1042">
        <f t="shared" si="67"/>
        <v>12480000</v>
      </c>
    </row>
    <row r="1043" ht="13.85" spans="1:6">
      <c r="A1043">
        <f t="shared" si="64"/>
        <v>1042</v>
      </c>
      <c r="B1043" s="10"/>
      <c r="C1043" s="11">
        <v>33</v>
      </c>
      <c r="D1043">
        <f t="shared" si="65"/>
        <v>33</v>
      </c>
      <c r="E1043">
        <f t="shared" si="66"/>
        <v>33000000</v>
      </c>
      <c r="F1043">
        <f t="shared" si="67"/>
        <v>15840000</v>
      </c>
    </row>
    <row r="1044" ht="13.85" spans="1:6">
      <c r="A1044">
        <f t="shared" si="64"/>
        <v>1043</v>
      </c>
      <c r="B1044" s="10"/>
      <c r="C1044" s="11">
        <v>15</v>
      </c>
      <c r="D1044">
        <f t="shared" si="65"/>
        <v>15</v>
      </c>
      <c r="E1044">
        <f t="shared" si="66"/>
        <v>15000000</v>
      </c>
      <c r="F1044">
        <f t="shared" si="67"/>
        <v>7200000</v>
      </c>
    </row>
    <row r="1045" ht="13.85" spans="1:6">
      <c r="A1045">
        <f t="shared" si="64"/>
        <v>1044</v>
      </c>
      <c r="B1045" s="10"/>
      <c r="C1045" s="11">
        <v>20</v>
      </c>
      <c r="D1045">
        <f t="shared" si="65"/>
        <v>20</v>
      </c>
      <c r="E1045">
        <f t="shared" si="66"/>
        <v>20000000</v>
      </c>
      <c r="F1045">
        <f t="shared" si="67"/>
        <v>9600000</v>
      </c>
    </row>
    <row r="1046" ht="13.85" spans="1:6">
      <c r="A1046">
        <f t="shared" si="64"/>
        <v>1045</v>
      </c>
      <c r="B1046" s="10"/>
      <c r="C1046" s="11">
        <v>25</v>
      </c>
      <c r="D1046">
        <f t="shared" si="65"/>
        <v>25</v>
      </c>
      <c r="E1046">
        <f t="shared" si="66"/>
        <v>25000000</v>
      </c>
      <c r="F1046">
        <f t="shared" si="67"/>
        <v>12000000</v>
      </c>
    </row>
    <row r="1047" ht="13.85" spans="1:6">
      <c r="A1047">
        <f t="shared" si="64"/>
        <v>1046</v>
      </c>
      <c r="B1047" s="10"/>
      <c r="C1047" s="11">
        <v>32</v>
      </c>
      <c r="D1047">
        <f t="shared" si="65"/>
        <v>32</v>
      </c>
      <c r="E1047">
        <f t="shared" si="66"/>
        <v>32000000</v>
      </c>
      <c r="F1047">
        <f t="shared" si="67"/>
        <v>15360000</v>
      </c>
    </row>
    <row r="1048" ht="13.85" spans="1:6">
      <c r="A1048">
        <f t="shared" si="64"/>
        <v>1047</v>
      </c>
      <c r="B1048" s="10"/>
      <c r="C1048" s="11">
        <v>42</v>
      </c>
      <c r="D1048">
        <f t="shared" si="65"/>
        <v>42</v>
      </c>
      <c r="E1048">
        <f t="shared" si="66"/>
        <v>42000000</v>
      </c>
      <c r="F1048">
        <f t="shared" si="67"/>
        <v>20160000</v>
      </c>
    </row>
    <row r="1049" ht="13.85" spans="1:6">
      <c r="A1049">
        <f t="shared" si="64"/>
        <v>1048</v>
      </c>
      <c r="B1049" s="10"/>
      <c r="C1049" s="11">
        <v>52</v>
      </c>
      <c r="D1049">
        <f t="shared" si="65"/>
        <v>52</v>
      </c>
      <c r="E1049">
        <f t="shared" si="66"/>
        <v>52000000</v>
      </c>
      <c r="F1049">
        <f t="shared" si="67"/>
        <v>24960000</v>
      </c>
    </row>
    <row r="1050" ht="13.85" spans="1:6">
      <c r="A1050">
        <f t="shared" si="64"/>
        <v>1049</v>
      </c>
      <c r="B1050" s="10"/>
      <c r="C1050" s="11">
        <v>63</v>
      </c>
      <c r="D1050">
        <f t="shared" si="65"/>
        <v>63</v>
      </c>
      <c r="E1050">
        <f t="shared" si="66"/>
        <v>63000000</v>
      </c>
      <c r="F1050">
        <f t="shared" si="67"/>
        <v>30240000</v>
      </c>
    </row>
    <row r="1051" ht="13.85" spans="1:6">
      <c r="A1051">
        <f t="shared" si="64"/>
        <v>1050</v>
      </c>
      <c r="B1051" s="10"/>
      <c r="C1051" s="11">
        <v>71</v>
      </c>
      <c r="D1051">
        <f t="shared" si="65"/>
        <v>71</v>
      </c>
      <c r="E1051">
        <f t="shared" si="66"/>
        <v>71000000</v>
      </c>
      <c r="F1051">
        <f t="shared" si="67"/>
        <v>34080000</v>
      </c>
    </row>
    <row r="1052" ht="13.85" spans="1:6">
      <c r="A1052">
        <f t="shared" si="64"/>
        <v>1051</v>
      </c>
      <c r="B1052" s="10"/>
      <c r="C1052" s="11">
        <v>83</v>
      </c>
      <c r="D1052">
        <f t="shared" si="65"/>
        <v>83</v>
      </c>
      <c r="E1052">
        <f t="shared" si="66"/>
        <v>83000000</v>
      </c>
      <c r="F1052">
        <f t="shared" si="67"/>
        <v>39840000</v>
      </c>
    </row>
    <row r="1053" ht="13.85" spans="1:6">
      <c r="A1053">
        <f t="shared" si="64"/>
        <v>1052</v>
      </c>
      <c r="B1053" s="10"/>
      <c r="C1053" s="11">
        <v>95</v>
      </c>
      <c r="D1053">
        <f t="shared" si="65"/>
        <v>95</v>
      </c>
      <c r="E1053">
        <f t="shared" si="66"/>
        <v>95000000</v>
      </c>
      <c r="F1053">
        <f t="shared" si="67"/>
        <v>45600000</v>
      </c>
    </row>
    <row r="1054" ht="13.85" spans="1:6">
      <c r="A1054">
        <f t="shared" si="64"/>
        <v>1053</v>
      </c>
      <c r="B1054" s="10"/>
      <c r="C1054" s="11">
        <v>15</v>
      </c>
      <c r="D1054">
        <f t="shared" si="65"/>
        <v>15</v>
      </c>
      <c r="E1054">
        <f t="shared" si="66"/>
        <v>15000000</v>
      </c>
      <c r="F1054">
        <f t="shared" si="67"/>
        <v>7200000</v>
      </c>
    </row>
    <row r="1055" ht="13.85" spans="1:6">
      <c r="A1055">
        <f t="shared" si="64"/>
        <v>1054</v>
      </c>
      <c r="B1055" s="10"/>
      <c r="C1055" s="11">
        <v>20</v>
      </c>
      <c r="D1055">
        <f t="shared" si="65"/>
        <v>20</v>
      </c>
      <c r="E1055">
        <f t="shared" si="66"/>
        <v>20000000</v>
      </c>
      <c r="F1055">
        <f t="shared" si="67"/>
        <v>9600000</v>
      </c>
    </row>
    <row r="1056" ht="13.85" spans="1:6">
      <c r="A1056">
        <f t="shared" si="64"/>
        <v>1055</v>
      </c>
      <c r="B1056" s="10"/>
      <c r="C1056" s="11">
        <v>25</v>
      </c>
      <c r="D1056">
        <f t="shared" si="65"/>
        <v>25</v>
      </c>
      <c r="E1056">
        <f t="shared" si="66"/>
        <v>25000000</v>
      </c>
      <c r="F1056">
        <f t="shared" si="67"/>
        <v>12000000</v>
      </c>
    </row>
    <row r="1057" ht="13.85" spans="1:6">
      <c r="A1057">
        <f t="shared" si="64"/>
        <v>1056</v>
      </c>
      <c r="B1057" s="10"/>
      <c r="C1057" s="11">
        <v>33</v>
      </c>
      <c r="D1057">
        <f t="shared" si="65"/>
        <v>33</v>
      </c>
      <c r="E1057">
        <f t="shared" si="66"/>
        <v>33000000</v>
      </c>
      <c r="F1057">
        <f t="shared" si="67"/>
        <v>15840000</v>
      </c>
    </row>
    <row r="1058" ht="13.85" spans="1:6">
      <c r="A1058">
        <f t="shared" si="64"/>
        <v>1057</v>
      </c>
      <c r="B1058" s="10"/>
      <c r="C1058" s="11">
        <v>43</v>
      </c>
      <c r="D1058">
        <f t="shared" si="65"/>
        <v>43</v>
      </c>
      <c r="E1058">
        <f t="shared" si="66"/>
        <v>43000000</v>
      </c>
      <c r="F1058">
        <f t="shared" si="67"/>
        <v>20640000</v>
      </c>
    </row>
    <row r="1059" ht="13.85" spans="1:6">
      <c r="A1059">
        <f t="shared" si="64"/>
        <v>1058</v>
      </c>
      <c r="B1059" s="10"/>
      <c r="C1059" s="11">
        <v>52</v>
      </c>
      <c r="D1059">
        <f t="shared" si="65"/>
        <v>52</v>
      </c>
      <c r="E1059">
        <f t="shared" si="66"/>
        <v>52000000</v>
      </c>
      <c r="F1059">
        <f t="shared" si="67"/>
        <v>24960000</v>
      </c>
    </row>
    <row r="1060" ht="13.85" spans="1:6">
      <c r="A1060">
        <f t="shared" si="64"/>
        <v>1059</v>
      </c>
      <c r="B1060" s="10"/>
      <c r="C1060" s="11">
        <v>63</v>
      </c>
      <c r="D1060">
        <f t="shared" si="65"/>
        <v>63</v>
      </c>
      <c r="E1060">
        <f t="shared" si="66"/>
        <v>63000000</v>
      </c>
      <c r="F1060">
        <f t="shared" si="67"/>
        <v>30240000</v>
      </c>
    </row>
    <row r="1061" ht="13.85" spans="1:6">
      <c r="A1061">
        <f t="shared" si="64"/>
        <v>1060</v>
      </c>
      <c r="B1061" s="10"/>
      <c r="C1061" s="11">
        <v>74</v>
      </c>
      <c r="D1061">
        <f t="shared" si="65"/>
        <v>74</v>
      </c>
      <c r="E1061">
        <f t="shared" si="66"/>
        <v>74000000</v>
      </c>
      <c r="F1061">
        <f t="shared" si="67"/>
        <v>35520000</v>
      </c>
    </row>
    <row r="1062" ht="13.85" spans="1:6">
      <c r="A1062">
        <f t="shared" si="64"/>
        <v>1061</v>
      </c>
      <c r="B1062" s="10"/>
      <c r="C1062" s="11">
        <v>86</v>
      </c>
      <c r="D1062">
        <f t="shared" si="65"/>
        <v>86</v>
      </c>
      <c r="E1062">
        <f t="shared" si="66"/>
        <v>86000000</v>
      </c>
      <c r="F1062">
        <f t="shared" si="67"/>
        <v>41280000</v>
      </c>
    </row>
    <row r="1063" ht="13.85" spans="1:6">
      <c r="A1063">
        <f t="shared" si="64"/>
        <v>1062</v>
      </c>
      <c r="B1063" s="10"/>
      <c r="C1063" s="11">
        <v>100</v>
      </c>
      <c r="D1063">
        <f t="shared" si="65"/>
        <v>100</v>
      </c>
      <c r="E1063">
        <f t="shared" si="66"/>
        <v>100000000</v>
      </c>
      <c r="F1063">
        <f t="shared" si="67"/>
        <v>48000000</v>
      </c>
    </row>
    <row r="1064" ht="13.85" spans="1:6">
      <c r="A1064">
        <f t="shared" si="64"/>
        <v>1063</v>
      </c>
      <c r="B1064" s="10"/>
      <c r="C1064" s="11">
        <v>115</v>
      </c>
      <c r="D1064">
        <f t="shared" si="65"/>
        <v>115</v>
      </c>
      <c r="E1064">
        <f t="shared" si="66"/>
        <v>115000000</v>
      </c>
      <c r="F1064">
        <f t="shared" si="67"/>
        <v>55200000</v>
      </c>
    </row>
    <row r="1065" ht="13.85" spans="1:6">
      <c r="A1065">
        <f t="shared" si="64"/>
        <v>1064</v>
      </c>
      <c r="B1065" s="10"/>
      <c r="C1065" s="11">
        <v>133</v>
      </c>
      <c r="D1065">
        <f t="shared" si="65"/>
        <v>133</v>
      </c>
      <c r="E1065">
        <f t="shared" si="66"/>
        <v>133000000</v>
      </c>
      <c r="F1065">
        <f t="shared" si="67"/>
        <v>63840000</v>
      </c>
    </row>
    <row r="1066" ht="13.85" spans="1:6">
      <c r="A1066">
        <f t="shared" si="64"/>
        <v>1065</v>
      </c>
      <c r="B1066" s="10"/>
      <c r="C1066" s="11">
        <v>153</v>
      </c>
      <c r="D1066">
        <f t="shared" si="65"/>
        <v>153</v>
      </c>
      <c r="E1066">
        <f t="shared" si="66"/>
        <v>153000000</v>
      </c>
      <c r="F1066">
        <f t="shared" si="67"/>
        <v>73440000</v>
      </c>
    </row>
    <row r="1067" ht="13.85" spans="1:6">
      <c r="A1067">
        <f t="shared" si="64"/>
        <v>1066</v>
      </c>
      <c r="B1067" s="10"/>
      <c r="C1067" s="11">
        <v>173</v>
      </c>
      <c r="D1067">
        <f t="shared" si="65"/>
        <v>173</v>
      </c>
      <c r="E1067">
        <f t="shared" si="66"/>
        <v>173000000</v>
      </c>
      <c r="F1067">
        <f t="shared" si="67"/>
        <v>83040000</v>
      </c>
    </row>
    <row r="1068" ht="13.85" spans="1:6">
      <c r="A1068">
        <f t="shared" si="64"/>
        <v>1067</v>
      </c>
      <c r="B1068" s="10"/>
      <c r="C1068" s="11">
        <v>200</v>
      </c>
      <c r="D1068">
        <f t="shared" si="65"/>
        <v>200</v>
      </c>
      <c r="E1068">
        <f t="shared" si="66"/>
        <v>200000000</v>
      </c>
      <c r="F1068">
        <f t="shared" si="67"/>
        <v>96000000</v>
      </c>
    </row>
    <row r="1069" ht="13.85" spans="1:6">
      <c r="A1069">
        <f t="shared" si="64"/>
        <v>1068</v>
      </c>
      <c r="B1069" s="10"/>
      <c r="C1069" s="11">
        <v>230</v>
      </c>
      <c r="D1069">
        <f t="shared" si="65"/>
        <v>230</v>
      </c>
      <c r="E1069">
        <f t="shared" si="66"/>
        <v>230000000</v>
      </c>
      <c r="F1069">
        <f t="shared" si="67"/>
        <v>110400000</v>
      </c>
    </row>
    <row r="1070" ht="13.85" spans="1:6">
      <c r="A1070">
        <f t="shared" si="64"/>
        <v>1069</v>
      </c>
      <c r="B1070" s="10"/>
      <c r="C1070" s="11">
        <v>275</v>
      </c>
      <c r="D1070">
        <f t="shared" si="65"/>
        <v>275</v>
      </c>
      <c r="E1070">
        <f t="shared" si="66"/>
        <v>275000000</v>
      </c>
      <c r="F1070">
        <f t="shared" si="67"/>
        <v>132000000</v>
      </c>
    </row>
    <row r="1071" ht="13.85" spans="1:6">
      <c r="A1071">
        <f t="shared" si="64"/>
        <v>1070</v>
      </c>
      <c r="B1071" s="10"/>
      <c r="C1071" s="11">
        <v>15</v>
      </c>
      <c r="D1071">
        <f t="shared" si="65"/>
        <v>15</v>
      </c>
      <c r="E1071">
        <f t="shared" si="66"/>
        <v>15000000</v>
      </c>
      <c r="F1071">
        <f t="shared" si="67"/>
        <v>7200000</v>
      </c>
    </row>
    <row r="1072" ht="13.85" spans="1:6">
      <c r="A1072">
        <f t="shared" si="64"/>
        <v>1071</v>
      </c>
      <c r="B1072" s="10"/>
      <c r="C1072" s="11">
        <v>20</v>
      </c>
      <c r="D1072">
        <f t="shared" si="65"/>
        <v>20</v>
      </c>
      <c r="E1072">
        <f t="shared" si="66"/>
        <v>20000000</v>
      </c>
      <c r="F1072">
        <f t="shared" si="67"/>
        <v>9600000</v>
      </c>
    </row>
    <row r="1073" ht="13.85" spans="1:6">
      <c r="A1073">
        <f t="shared" si="64"/>
        <v>1072</v>
      </c>
      <c r="B1073" s="10"/>
      <c r="C1073" s="11">
        <v>26</v>
      </c>
      <c r="D1073">
        <f t="shared" si="65"/>
        <v>26</v>
      </c>
      <c r="E1073">
        <f t="shared" si="66"/>
        <v>26000000</v>
      </c>
      <c r="F1073">
        <f t="shared" si="67"/>
        <v>12480000</v>
      </c>
    </row>
    <row r="1074" ht="13.85" spans="1:6">
      <c r="A1074">
        <f t="shared" si="64"/>
        <v>1073</v>
      </c>
      <c r="B1074" s="10"/>
      <c r="C1074" s="11">
        <v>36</v>
      </c>
      <c r="D1074">
        <f t="shared" si="65"/>
        <v>36</v>
      </c>
      <c r="E1074">
        <f t="shared" si="66"/>
        <v>36000000</v>
      </c>
      <c r="F1074">
        <f t="shared" si="67"/>
        <v>17280000</v>
      </c>
    </row>
    <row r="1075" ht="13.85" spans="1:6">
      <c r="A1075">
        <f t="shared" si="64"/>
        <v>1074</v>
      </c>
      <c r="B1075" s="10"/>
      <c r="C1075" s="11">
        <v>46</v>
      </c>
      <c r="D1075">
        <f t="shared" si="65"/>
        <v>46</v>
      </c>
      <c r="E1075">
        <f t="shared" si="66"/>
        <v>46000000</v>
      </c>
      <c r="F1075">
        <f t="shared" si="67"/>
        <v>22080000</v>
      </c>
    </row>
    <row r="1076" ht="13.85" spans="1:6">
      <c r="A1076">
        <f t="shared" si="64"/>
        <v>1075</v>
      </c>
      <c r="B1076" s="10"/>
      <c r="C1076" s="11">
        <v>57</v>
      </c>
      <c r="D1076">
        <f t="shared" si="65"/>
        <v>57</v>
      </c>
      <c r="E1076">
        <f t="shared" si="66"/>
        <v>57000000</v>
      </c>
      <c r="F1076">
        <f t="shared" si="67"/>
        <v>27360000</v>
      </c>
    </row>
    <row r="1077" ht="13.85" spans="1:6">
      <c r="A1077">
        <f t="shared" si="64"/>
        <v>1076</v>
      </c>
      <c r="B1077" s="10"/>
      <c r="C1077" s="11">
        <v>68</v>
      </c>
      <c r="D1077">
        <f t="shared" si="65"/>
        <v>68</v>
      </c>
      <c r="E1077">
        <f t="shared" si="66"/>
        <v>68000000</v>
      </c>
      <c r="F1077">
        <f t="shared" si="67"/>
        <v>32640000</v>
      </c>
    </row>
    <row r="1078" ht="13.85" spans="1:6">
      <c r="A1078">
        <f t="shared" si="64"/>
        <v>1077</v>
      </c>
      <c r="B1078" s="10"/>
      <c r="C1078" s="11">
        <v>80</v>
      </c>
      <c r="D1078">
        <f t="shared" si="65"/>
        <v>80</v>
      </c>
      <c r="E1078">
        <f t="shared" si="66"/>
        <v>80000000</v>
      </c>
      <c r="F1078">
        <f t="shared" si="67"/>
        <v>38400000</v>
      </c>
    </row>
    <row r="1079" ht="13.85" spans="1:6">
      <c r="A1079">
        <f t="shared" si="64"/>
        <v>1078</v>
      </c>
      <c r="B1079" s="10"/>
      <c r="C1079" s="11">
        <v>91</v>
      </c>
      <c r="D1079">
        <f t="shared" si="65"/>
        <v>91</v>
      </c>
      <c r="E1079">
        <f t="shared" si="66"/>
        <v>91000000</v>
      </c>
      <c r="F1079">
        <f t="shared" si="67"/>
        <v>43680000</v>
      </c>
    </row>
    <row r="1080" ht="13.85" spans="1:6">
      <c r="A1080">
        <f t="shared" si="64"/>
        <v>1079</v>
      </c>
      <c r="B1080" s="10"/>
      <c r="C1080" s="11">
        <v>105</v>
      </c>
      <c r="D1080">
        <f t="shared" si="65"/>
        <v>105</v>
      </c>
      <c r="E1080">
        <f t="shared" si="66"/>
        <v>105000000</v>
      </c>
      <c r="F1080">
        <f t="shared" si="67"/>
        <v>50400000</v>
      </c>
    </row>
    <row r="1081" ht="13.85" spans="1:6">
      <c r="A1081">
        <f t="shared" si="64"/>
        <v>1080</v>
      </c>
      <c r="B1081" s="10"/>
      <c r="C1081" s="11">
        <v>125</v>
      </c>
      <c r="D1081">
        <f t="shared" si="65"/>
        <v>125</v>
      </c>
      <c r="E1081">
        <f t="shared" si="66"/>
        <v>125000000</v>
      </c>
      <c r="F1081">
        <f t="shared" si="67"/>
        <v>60000000</v>
      </c>
    </row>
    <row r="1082" ht="13.85" spans="1:6">
      <c r="A1082">
        <f t="shared" si="64"/>
        <v>1081</v>
      </c>
      <c r="B1082" s="10"/>
      <c r="C1082" s="11">
        <v>144</v>
      </c>
      <c r="D1082">
        <f t="shared" si="65"/>
        <v>144</v>
      </c>
      <c r="E1082">
        <f t="shared" si="66"/>
        <v>144000000</v>
      </c>
      <c r="F1082">
        <f t="shared" si="67"/>
        <v>69120000</v>
      </c>
    </row>
    <row r="1083" ht="13.85" spans="1:6">
      <c r="A1083">
        <f t="shared" si="64"/>
        <v>1082</v>
      </c>
      <c r="B1083" s="10"/>
      <c r="C1083" s="11">
        <v>162</v>
      </c>
      <c r="D1083">
        <f t="shared" si="65"/>
        <v>162</v>
      </c>
      <c r="E1083">
        <f t="shared" si="66"/>
        <v>162000000</v>
      </c>
      <c r="F1083">
        <f t="shared" si="67"/>
        <v>77760000</v>
      </c>
    </row>
    <row r="1084" ht="13.85" spans="1:6">
      <c r="A1084">
        <f t="shared" si="64"/>
        <v>1083</v>
      </c>
      <c r="B1084" s="10"/>
      <c r="C1084" s="11">
        <v>179</v>
      </c>
      <c r="D1084">
        <f t="shared" si="65"/>
        <v>179</v>
      </c>
      <c r="E1084">
        <f t="shared" si="66"/>
        <v>179000000</v>
      </c>
      <c r="F1084">
        <f t="shared" si="67"/>
        <v>85920000</v>
      </c>
    </row>
    <row r="1085" ht="13.85" spans="1:6">
      <c r="A1085">
        <f t="shared" si="64"/>
        <v>1084</v>
      </c>
      <c r="B1085" s="10"/>
      <c r="C1085" s="11">
        <v>15</v>
      </c>
      <c r="D1085">
        <f t="shared" si="65"/>
        <v>15</v>
      </c>
      <c r="E1085">
        <f t="shared" si="66"/>
        <v>15000000</v>
      </c>
      <c r="F1085">
        <f t="shared" si="67"/>
        <v>7200000</v>
      </c>
    </row>
    <row r="1086" ht="13.85" spans="1:6">
      <c r="A1086">
        <f t="shared" si="64"/>
        <v>1085</v>
      </c>
      <c r="B1086" s="10"/>
      <c r="C1086" s="11">
        <v>20</v>
      </c>
      <c r="D1086">
        <f t="shared" si="65"/>
        <v>20</v>
      </c>
      <c r="E1086">
        <f t="shared" si="66"/>
        <v>20000000</v>
      </c>
      <c r="F1086">
        <f t="shared" si="67"/>
        <v>9600000</v>
      </c>
    </row>
    <row r="1087" ht="13.85" spans="1:6">
      <c r="A1087">
        <f t="shared" si="64"/>
        <v>1086</v>
      </c>
      <c r="B1087" s="10"/>
      <c r="C1087" s="11">
        <v>26</v>
      </c>
      <c r="D1087">
        <f t="shared" si="65"/>
        <v>26</v>
      </c>
      <c r="E1087">
        <f t="shared" si="66"/>
        <v>26000000</v>
      </c>
      <c r="F1087">
        <f t="shared" si="67"/>
        <v>12480000</v>
      </c>
    </row>
    <row r="1088" ht="13.85" spans="1:6">
      <c r="A1088">
        <f t="shared" si="64"/>
        <v>1087</v>
      </c>
      <c r="B1088" s="10"/>
      <c r="C1088" s="11">
        <v>35</v>
      </c>
      <c r="D1088">
        <f t="shared" si="65"/>
        <v>35</v>
      </c>
      <c r="E1088">
        <f t="shared" si="66"/>
        <v>35000000</v>
      </c>
      <c r="F1088">
        <f t="shared" si="67"/>
        <v>16800000</v>
      </c>
    </row>
    <row r="1089" ht="13.85" spans="1:6">
      <c r="A1089">
        <f t="shared" si="64"/>
        <v>1088</v>
      </c>
      <c r="B1089" s="10"/>
      <c r="C1089" s="11">
        <v>15</v>
      </c>
      <c r="D1089">
        <f t="shared" si="65"/>
        <v>15</v>
      </c>
      <c r="E1089">
        <f t="shared" si="66"/>
        <v>15000000</v>
      </c>
      <c r="F1089">
        <f t="shared" si="67"/>
        <v>7200000</v>
      </c>
    </row>
    <row r="1090" ht="13.85" spans="1:6">
      <c r="A1090">
        <f t="shared" ref="A1090:A1153" si="68">ROW()-1</f>
        <v>1089</v>
      </c>
      <c r="B1090" s="10"/>
      <c r="C1090" s="11">
        <v>20</v>
      </c>
      <c r="D1090">
        <f t="shared" ref="D1090:D1153" si="69">IF(RIGHT(C1090,1)="B",VALUE(LEFT(C1090,LEN(C1090)-1))*1000,C1090)</f>
        <v>20</v>
      </c>
      <c r="E1090">
        <f t="shared" ref="E1090:E1153" si="70">D1090*1000000</f>
        <v>20000000</v>
      </c>
      <c r="F1090">
        <f t="shared" ref="F1090:F1153" si="71">E1090*0.48</f>
        <v>9600000</v>
      </c>
    </row>
    <row r="1091" ht="13.85" spans="1:6">
      <c r="A1091">
        <f t="shared" si="68"/>
        <v>1090</v>
      </c>
      <c r="B1091" s="10"/>
      <c r="C1091" s="11">
        <v>25</v>
      </c>
      <c r="D1091">
        <f t="shared" si="69"/>
        <v>25</v>
      </c>
      <c r="E1091">
        <f t="shared" si="70"/>
        <v>25000000</v>
      </c>
      <c r="F1091">
        <f t="shared" si="71"/>
        <v>12000000</v>
      </c>
    </row>
    <row r="1092" ht="13.85" spans="1:6">
      <c r="A1092">
        <f t="shared" si="68"/>
        <v>1091</v>
      </c>
      <c r="B1092" s="10"/>
      <c r="C1092" s="11">
        <v>33</v>
      </c>
      <c r="D1092">
        <f t="shared" si="69"/>
        <v>33</v>
      </c>
      <c r="E1092">
        <f t="shared" si="70"/>
        <v>33000000</v>
      </c>
      <c r="F1092">
        <f t="shared" si="71"/>
        <v>15840000</v>
      </c>
    </row>
    <row r="1093" ht="13.85" spans="1:6">
      <c r="A1093">
        <f t="shared" si="68"/>
        <v>1092</v>
      </c>
      <c r="B1093" s="10"/>
      <c r="C1093" s="11">
        <v>15</v>
      </c>
      <c r="D1093">
        <f t="shared" si="69"/>
        <v>15</v>
      </c>
      <c r="E1093">
        <f t="shared" si="70"/>
        <v>15000000</v>
      </c>
      <c r="F1093">
        <f t="shared" si="71"/>
        <v>7200000</v>
      </c>
    </row>
    <row r="1094" ht="13.85" spans="1:6">
      <c r="A1094">
        <f t="shared" si="68"/>
        <v>1093</v>
      </c>
      <c r="B1094" s="10"/>
      <c r="C1094" s="11">
        <v>20</v>
      </c>
      <c r="D1094">
        <f t="shared" si="69"/>
        <v>20</v>
      </c>
      <c r="E1094">
        <f t="shared" si="70"/>
        <v>20000000</v>
      </c>
      <c r="F1094">
        <f t="shared" si="71"/>
        <v>9600000</v>
      </c>
    </row>
    <row r="1095" ht="13.85" spans="1:6">
      <c r="A1095">
        <f t="shared" si="68"/>
        <v>1094</v>
      </c>
      <c r="B1095" s="10"/>
      <c r="C1095" s="11">
        <v>25</v>
      </c>
      <c r="D1095">
        <f t="shared" si="69"/>
        <v>25</v>
      </c>
      <c r="E1095">
        <f t="shared" si="70"/>
        <v>25000000</v>
      </c>
      <c r="F1095">
        <f t="shared" si="71"/>
        <v>12000000</v>
      </c>
    </row>
    <row r="1096" ht="13.85" spans="1:6">
      <c r="A1096">
        <f t="shared" si="68"/>
        <v>1095</v>
      </c>
      <c r="B1096" s="10"/>
      <c r="C1096" s="11">
        <v>33</v>
      </c>
      <c r="D1096">
        <f t="shared" si="69"/>
        <v>33</v>
      </c>
      <c r="E1096">
        <f t="shared" si="70"/>
        <v>33000000</v>
      </c>
      <c r="F1096">
        <f t="shared" si="71"/>
        <v>15840000</v>
      </c>
    </row>
    <row r="1097" ht="13.85" spans="1:6">
      <c r="A1097">
        <f t="shared" si="68"/>
        <v>1096</v>
      </c>
      <c r="B1097" s="10"/>
      <c r="C1097" s="11">
        <v>42</v>
      </c>
      <c r="D1097">
        <f t="shared" si="69"/>
        <v>42</v>
      </c>
      <c r="E1097">
        <f t="shared" si="70"/>
        <v>42000000</v>
      </c>
      <c r="F1097">
        <f t="shared" si="71"/>
        <v>20160000</v>
      </c>
    </row>
    <row r="1098" ht="13.85" spans="1:6">
      <c r="A1098">
        <f t="shared" si="68"/>
        <v>1097</v>
      </c>
      <c r="B1098" s="10"/>
      <c r="C1098" s="11">
        <v>53</v>
      </c>
      <c r="D1098">
        <f t="shared" si="69"/>
        <v>53</v>
      </c>
      <c r="E1098">
        <f t="shared" si="70"/>
        <v>53000000</v>
      </c>
      <c r="F1098">
        <f t="shared" si="71"/>
        <v>25440000</v>
      </c>
    </row>
    <row r="1099" ht="13.85" spans="1:6">
      <c r="A1099">
        <f t="shared" si="68"/>
        <v>1098</v>
      </c>
      <c r="B1099" s="10"/>
      <c r="C1099" s="11">
        <v>64</v>
      </c>
      <c r="D1099">
        <f t="shared" si="69"/>
        <v>64</v>
      </c>
      <c r="E1099">
        <f t="shared" si="70"/>
        <v>64000000</v>
      </c>
      <c r="F1099">
        <f t="shared" si="71"/>
        <v>30720000</v>
      </c>
    </row>
    <row r="1100" ht="13.85" spans="1:6">
      <c r="A1100">
        <f t="shared" si="68"/>
        <v>1099</v>
      </c>
      <c r="B1100" s="10"/>
      <c r="C1100" s="11">
        <v>75</v>
      </c>
      <c r="D1100">
        <f t="shared" si="69"/>
        <v>75</v>
      </c>
      <c r="E1100">
        <f t="shared" si="70"/>
        <v>75000000</v>
      </c>
      <c r="F1100">
        <f t="shared" si="71"/>
        <v>36000000</v>
      </c>
    </row>
    <row r="1101" ht="13.85" spans="1:6">
      <c r="A1101">
        <f t="shared" si="68"/>
        <v>1100</v>
      </c>
      <c r="B1101" s="10"/>
      <c r="C1101" s="11">
        <v>85</v>
      </c>
      <c r="D1101">
        <f t="shared" si="69"/>
        <v>85</v>
      </c>
      <c r="E1101">
        <f t="shared" si="70"/>
        <v>85000000</v>
      </c>
      <c r="F1101">
        <f t="shared" si="71"/>
        <v>40800000</v>
      </c>
    </row>
    <row r="1102" ht="13.85" spans="1:6">
      <c r="A1102">
        <f t="shared" si="68"/>
        <v>1101</v>
      </c>
      <c r="B1102" s="10"/>
      <c r="C1102" s="11">
        <v>15</v>
      </c>
      <c r="D1102">
        <f t="shared" si="69"/>
        <v>15</v>
      </c>
      <c r="E1102">
        <f t="shared" si="70"/>
        <v>15000000</v>
      </c>
      <c r="F1102">
        <f t="shared" si="71"/>
        <v>7200000</v>
      </c>
    </row>
    <row r="1103" ht="13.85" spans="1:6">
      <c r="A1103">
        <f t="shared" si="68"/>
        <v>1102</v>
      </c>
      <c r="B1103" s="10"/>
      <c r="C1103" s="11">
        <v>20</v>
      </c>
      <c r="D1103">
        <f t="shared" si="69"/>
        <v>20</v>
      </c>
      <c r="E1103">
        <f t="shared" si="70"/>
        <v>20000000</v>
      </c>
      <c r="F1103">
        <f t="shared" si="71"/>
        <v>9600000</v>
      </c>
    </row>
    <row r="1104" ht="13.85" spans="1:6">
      <c r="A1104">
        <f t="shared" si="68"/>
        <v>1103</v>
      </c>
      <c r="B1104" s="10"/>
      <c r="C1104" s="11">
        <v>25</v>
      </c>
      <c r="D1104">
        <f t="shared" si="69"/>
        <v>25</v>
      </c>
      <c r="E1104">
        <f t="shared" si="70"/>
        <v>25000000</v>
      </c>
      <c r="F1104">
        <f t="shared" si="71"/>
        <v>12000000</v>
      </c>
    </row>
    <row r="1105" ht="13.85" spans="1:6">
      <c r="A1105">
        <f t="shared" si="68"/>
        <v>1104</v>
      </c>
      <c r="B1105" s="10"/>
      <c r="C1105" s="11">
        <v>33</v>
      </c>
      <c r="D1105">
        <f t="shared" si="69"/>
        <v>33</v>
      </c>
      <c r="E1105">
        <f t="shared" si="70"/>
        <v>33000000</v>
      </c>
      <c r="F1105">
        <f t="shared" si="71"/>
        <v>15840000</v>
      </c>
    </row>
    <row r="1106" ht="13.85" spans="1:6">
      <c r="A1106">
        <f t="shared" si="68"/>
        <v>1105</v>
      </c>
      <c r="B1106" s="10"/>
      <c r="C1106" s="11">
        <v>43</v>
      </c>
      <c r="D1106">
        <f t="shared" si="69"/>
        <v>43</v>
      </c>
      <c r="E1106">
        <f t="shared" si="70"/>
        <v>43000000</v>
      </c>
      <c r="F1106">
        <f t="shared" si="71"/>
        <v>20640000</v>
      </c>
    </row>
    <row r="1107" ht="13.85" spans="1:6">
      <c r="A1107">
        <f t="shared" si="68"/>
        <v>1106</v>
      </c>
      <c r="B1107" s="10"/>
      <c r="C1107" s="11">
        <v>54</v>
      </c>
      <c r="D1107">
        <f t="shared" si="69"/>
        <v>54</v>
      </c>
      <c r="E1107">
        <f t="shared" si="70"/>
        <v>54000000</v>
      </c>
      <c r="F1107">
        <f t="shared" si="71"/>
        <v>25920000</v>
      </c>
    </row>
    <row r="1108" ht="13.85" spans="1:6">
      <c r="A1108">
        <f t="shared" si="68"/>
        <v>1107</v>
      </c>
      <c r="B1108" s="10"/>
      <c r="C1108" s="11">
        <v>64</v>
      </c>
      <c r="D1108">
        <f t="shared" si="69"/>
        <v>64</v>
      </c>
      <c r="E1108">
        <f t="shared" si="70"/>
        <v>64000000</v>
      </c>
      <c r="F1108">
        <f t="shared" si="71"/>
        <v>30720000</v>
      </c>
    </row>
    <row r="1109" ht="13.85" spans="1:6">
      <c r="A1109">
        <f t="shared" si="68"/>
        <v>1108</v>
      </c>
      <c r="B1109" s="10"/>
      <c r="C1109" s="11">
        <v>75</v>
      </c>
      <c r="D1109">
        <f t="shared" si="69"/>
        <v>75</v>
      </c>
      <c r="E1109">
        <f t="shared" si="70"/>
        <v>75000000</v>
      </c>
      <c r="F1109">
        <f t="shared" si="71"/>
        <v>36000000</v>
      </c>
    </row>
    <row r="1110" ht="13.85" spans="1:6">
      <c r="A1110">
        <f t="shared" si="68"/>
        <v>1109</v>
      </c>
      <c r="B1110" s="10"/>
      <c r="C1110" s="11">
        <v>87</v>
      </c>
      <c r="D1110">
        <f t="shared" si="69"/>
        <v>87</v>
      </c>
      <c r="E1110">
        <f t="shared" si="70"/>
        <v>87000000</v>
      </c>
      <c r="F1110">
        <f t="shared" si="71"/>
        <v>41760000</v>
      </c>
    </row>
    <row r="1111" ht="13.85" spans="1:6">
      <c r="A1111">
        <f t="shared" si="68"/>
        <v>1110</v>
      </c>
      <c r="B1111" s="10"/>
      <c r="C1111" s="11">
        <v>15</v>
      </c>
      <c r="D1111">
        <f t="shared" si="69"/>
        <v>15</v>
      </c>
      <c r="E1111">
        <f t="shared" si="70"/>
        <v>15000000</v>
      </c>
      <c r="F1111">
        <f t="shared" si="71"/>
        <v>7200000</v>
      </c>
    </row>
    <row r="1112" ht="13.85" spans="1:6">
      <c r="A1112">
        <f t="shared" si="68"/>
        <v>1111</v>
      </c>
      <c r="B1112" s="10"/>
      <c r="C1112" s="11">
        <v>20</v>
      </c>
      <c r="D1112">
        <f t="shared" si="69"/>
        <v>20</v>
      </c>
      <c r="E1112">
        <f t="shared" si="70"/>
        <v>20000000</v>
      </c>
      <c r="F1112">
        <f t="shared" si="71"/>
        <v>9600000</v>
      </c>
    </row>
    <row r="1113" ht="13.85" spans="1:6">
      <c r="A1113">
        <f t="shared" si="68"/>
        <v>1112</v>
      </c>
      <c r="B1113" s="10"/>
      <c r="C1113" s="11">
        <v>25</v>
      </c>
      <c r="D1113">
        <f t="shared" si="69"/>
        <v>25</v>
      </c>
      <c r="E1113">
        <f t="shared" si="70"/>
        <v>25000000</v>
      </c>
      <c r="F1113">
        <f t="shared" si="71"/>
        <v>12000000</v>
      </c>
    </row>
    <row r="1114" ht="13.85" spans="1:6">
      <c r="A1114">
        <f t="shared" si="68"/>
        <v>1113</v>
      </c>
      <c r="B1114" s="10"/>
      <c r="C1114" s="11">
        <v>35</v>
      </c>
      <c r="D1114">
        <f t="shared" si="69"/>
        <v>35</v>
      </c>
      <c r="E1114">
        <f t="shared" si="70"/>
        <v>35000000</v>
      </c>
      <c r="F1114">
        <f t="shared" si="71"/>
        <v>16800000</v>
      </c>
    </row>
    <row r="1115" ht="13.85" spans="1:6">
      <c r="A1115">
        <f t="shared" si="68"/>
        <v>1114</v>
      </c>
      <c r="B1115" s="10"/>
      <c r="C1115" s="11">
        <v>43</v>
      </c>
      <c r="D1115">
        <f t="shared" si="69"/>
        <v>43</v>
      </c>
      <c r="E1115">
        <f t="shared" si="70"/>
        <v>43000000</v>
      </c>
      <c r="F1115">
        <f t="shared" si="71"/>
        <v>20640000</v>
      </c>
    </row>
    <row r="1116" ht="13.85" spans="1:6">
      <c r="A1116">
        <f t="shared" si="68"/>
        <v>1115</v>
      </c>
      <c r="B1116" s="10"/>
      <c r="C1116" s="11">
        <v>52</v>
      </c>
      <c r="D1116">
        <f t="shared" si="69"/>
        <v>52</v>
      </c>
      <c r="E1116">
        <f t="shared" si="70"/>
        <v>52000000</v>
      </c>
      <c r="F1116">
        <f t="shared" si="71"/>
        <v>24960000</v>
      </c>
    </row>
    <row r="1117" ht="13.85" spans="1:6">
      <c r="A1117">
        <f t="shared" si="68"/>
        <v>1116</v>
      </c>
      <c r="B1117" s="10"/>
      <c r="C1117" s="11">
        <v>62</v>
      </c>
      <c r="D1117">
        <f t="shared" si="69"/>
        <v>62</v>
      </c>
      <c r="E1117">
        <f t="shared" si="70"/>
        <v>62000000</v>
      </c>
      <c r="F1117">
        <f t="shared" si="71"/>
        <v>29760000</v>
      </c>
    </row>
    <row r="1118" ht="13.85" spans="1:6">
      <c r="A1118">
        <f t="shared" si="68"/>
        <v>1117</v>
      </c>
      <c r="B1118" s="10"/>
      <c r="C1118" s="11">
        <v>72</v>
      </c>
      <c r="D1118">
        <f t="shared" si="69"/>
        <v>72</v>
      </c>
      <c r="E1118">
        <f t="shared" si="70"/>
        <v>72000000</v>
      </c>
      <c r="F1118">
        <f t="shared" si="71"/>
        <v>34560000</v>
      </c>
    </row>
    <row r="1119" ht="13.85" spans="1:6">
      <c r="A1119">
        <f t="shared" si="68"/>
        <v>1118</v>
      </c>
      <c r="B1119" s="10"/>
      <c r="C1119" s="11">
        <v>81</v>
      </c>
      <c r="D1119">
        <f t="shared" si="69"/>
        <v>81</v>
      </c>
      <c r="E1119">
        <f t="shared" si="70"/>
        <v>81000000</v>
      </c>
      <c r="F1119">
        <f t="shared" si="71"/>
        <v>38880000</v>
      </c>
    </row>
    <row r="1120" ht="13.85" spans="1:6">
      <c r="A1120">
        <f t="shared" si="68"/>
        <v>1119</v>
      </c>
      <c r="B1120" s="10"/>
      <c r="C1120" s="11">
        <v>92</v>
      </c>
      <c r="D1120">
        <f t="shared" si="69"/>
        <v>92</v>
      </c>
      <c r="E1120">
        <f t="shared" si="70"/>
        <v>92000000</v>
      </c>
      <c r="F1120">
        <f t="shared" si="71"/>
        <v>44160000</v>
      </c>
    </row>
    <row r="1121" ht="13.85" spans="1:6">
      <c r="A1121">
        <f t="shared" si="68"/>
        <v>1120</v>
      </c>
      <c r="B1121" s="10"/>
      <c r="C1121" s="11">
        <v>102</v>
      </c>
      <c r="D1121">
        <f t="shared" si="69"/>
        <v>102</v>
      </c>
      <c r="E1121">
        <f t="shared" si="70"/>
        <v>102000000</v>
      </c>
      <c r="F1121">
        <f t="shared" si="71"/>
        <v>48960000</v>
      </c>
    </row>
    <row r="1122" ht="13.85" spans="1:6">
      <c r="A1122">
        <f t="shared" si="68"/>
        <v>1121</v>
      </c>
      <c r="B1122" s="10"/>
      <c r="C1122" s="11">
        <v>118</v>
      </c>
      <c r="D1122">
        <f t="shared" si="69"/>
        <v>118</v>
      </c>
      <c r="E1122">
        <f t="shared" si="70"/>
        <v>118000000</v>
      </c>
      <c r="F1122">
        <f t="shared" si="71"/>
        <v>56640000</v>
      </c>
    </row>
    <row r="1123" ht="13.85" spans="1:6">
      <c r="A1123">
        <f t="shared" si="68"/>
        <v>1122</v>
      </c>
      <c r="B1123" s="10"/>
      <c r="C1123" s="11">
        <v>136</v>
      </c>
      <c r="D1123">
        <f t="shared" si="69"/>
        <v>136</v>
      </c>
      <c r="E1123">
        <f t="shared" si="70"/>
        <v>136000000</v>
      </c>
      <c r="F1123">
        <f t="shared" si="71"/>
        <v>65280000</v>
      </c>
    </row>
    <row r="1124" ht="13.85" spans="1:6">
      <c r="A1124">
        <f t="shared" si="68"/>
        <v>1123</v>
      </c>
      <c r="B1124" s="10"/>
      <c r="C1124" s="11">
        <v>154</v>
      </c>
      <c r="D1124">
        <f t="shared" si="69"/>
        <v>154</v>
      </c>
      <c r="E1124">
        <f t="shared" si="70"/>
        <v>154000000</v>
      </c>
      <c r="F1124">
        <f t="shared" si="71"/>
        <v>73920000</v>
      </c>
    </row>
    <row r="1125" ht="13.85" spans="1:6">
      <c r="A1125">
        <f t="shared" si="68"/>
        <v>1124</v>
      </c>
      <c r="B1125" s="10"/>
      <c r="C1125" s="11">
        <v>176</v>
      </c>
      <c r="D1125">
        <f t="shared" si="69"/>
        <v>176</v>
      </c>
      <c r="E1125">
        <f t="shared" si="70"/>
        <v>176000000</v>
      </c>
      <c r="F1125">
        <f t="shared" si="71"/>
        <v>84480000</v>
      </c>
    </row>
    <row r="1126" ht="13.85" spans="1:6">
      <c r="A1126">
        <f t="shared" si="68"/>
        <v>1125</v>
      </c>
      <c r="B1126" s="10"/>
      <c r="C1126" s="11">
        <v>200</v>
      </c>
      <c r="D1126">
        <f t="shared" si="69"/>
        <v>200</v>
      </c>
      <c r="E1126">
        <f t="shared" si="70"/>
        <v>200000000</v>
      </c>
      <c r="F1126">
        <f t="shared" si="71"/>
        <v>96000000</v>
      </c>
    </row>
    <row r="1127" ht="13.85" spans="1:6">
      <c r="A1127">
        <f t="shared" si="68"/>
        <v>1126</v>
      </c>
      <c r="B1127" s="10"/>
      <c r="C1127" s="11">
        <v>15</v>
      </c>
      <c r="D1127">
        <f t="shared" si="69"/>
        <v>15</v>
      </c>
      <c r="E1127">
        <f t="shared" si="70"/>
        <v>15000000</v>
      </c>
      <c r="F1127">
        <f t="shared" si="71"/>
        <v>7200000</v>
      </c>
    </row>
    <row r="1128" ht="13.85" spans="1:6">
      <c r="A1128">
        <f t="shared" si="68"/>
        <v>1127</v>
      </c>
      <c r="B1128" s="14"/>
      <c r="C1128" s="15">
        <v>20</v>
      </c>
      <c r="D1128">
        <f t="shared" si="69"/>
        <v>20</v>
      </c>
      <c r="E1128">
        <f t="shared" si="70"/>
        <v>20000000</v>
      </c>
      <c r="F1128">
        <f t="shared" si="71"/>
        <v>9600000</v>
      </c>
    </row>
    <row r="1129" ht="13.85" spans="1:6">
      <c r="A1129">
        <f t="shared" si="68"/>
        <v>1128</v>
      </c>
      <c r="B1129" s="12"/>
      <c r="C1129" s="13">
        <v>15</v>
      </c>
      <c r="D1129">
        <f t="shared" si="69"/>
        <v>15</v>
      </c>
      <c r="E1129">
        <f t="shared" si="70"/>
        <v>15000000</v>
      </c>
      <c r="F1129">
        <f t="shared" si="71"/>
        <v>7200000</v>
      </c>
    </row>
    <row r="1130" ht="13.85" spans="1:6">
      <c r="A1130">
        <f t="shared" si="68"/>
        <v>1129</v>
      </c>
      <c r="B1130" s="10"/>
      <c r="C1130" s="11">
        <v>20</v>
      </c>
      <c r="D1130">
        <f t="shared" si="69"/>
        <v>20</v>
      </c>
      <c r="E1130">
        <f t="shared" si="70"/>
        <v>20000000</v>
      </c>
      <c r="F1130">
        <f t="shared" si="71"/>
        <v>9600000</v>
      </c>
    </row>
    <row r="1131" ht="13.85" spans="1:6">
      <c r="A1131">
        <f t="shared" si="68"/>
        <v>1130</v>
      </c>
      <c r="B1131" s="10"/>
      <c r="C1131" s="11">
        <v>25</v>
      </c>
      <c r="D1131">
        <f t="shared" si="69"/>
        <v>25</v>
      </c>
      <c r="E1131">
        <f t="shared" si="70"/>
        <v>25000000</v>
      </c>
      <c r="F1131">
        <f t="shared" si="71"/>
        <v>12000000</v>
      </c>
    </row>
    <row r="1132" ht="13.85" spans="1:6">
      <c r="A1132">
        <f t="shared" si="68"/>
        <v>1131</v>
      </c>
      <c r="B1132" s="10"/>
      <c r="C1132" s="11">
        <v>32</v>
      </c>
      <c r="D1132">
        <f t="shared" si="69"/>
        <v>32</v>
      </c>
      <c r="E1132">
        <f t="shared" si="70"/>
        <v>32000000</v>
      </c>
      <c r="F1132">
        <f t="shared" si="71"/>
        <v>15360000</v>
      </c>
    </row>
    <row r="1133" ht="13.85" spans="1:6">
      <c r="A1133">
        <f t="shared" si="68"/>
        <v>1132</v>
      </c>
      <c r="B1133" s="10"/>
      <c r="C1133" s="11">
        <v>42</v>
      </c>
      <c r="D1133">
        <f t="shared" si="69"/>
        <v>42</v>
      </c>
      <c r="E1133">
        <f t="shared" si="70"/>
        <v>42000000</v>
      </c>
      <c r="F1133">
        <f t="shared" si="71"/>
        <v>20160000</v>
      </c>
    </row>
    <row r="1134" ht="13.85" spans="1:6">
      <c r="A1134">
        <f t="shared" si="68"/>
        <v>1133</v>
      </c>
      <c r="B1134" s="10"/>
      <c r="C1134" s="11">
        <v>52</v>
      </c>
      <c r="D1134">
        <f t="shared" si="69"/>
        <v>52</v>
      </c>
      <c r="E1134">
        <f t="shared" si="70"/>
        <v>52000000</v>
      </c>
      <c r="F1134">
        <f t="shared" si="71"/>
        <v>24960000</v>
      </c>
    </row>
    <row r="1135" ht="13.85" spans="1:6">
      <c r="A1135">
        <f t="shared" si="68"/>
        <v>1134</v>
      </c>
      <c r="B1135" s="10"/>
      <c r="C1135" s="11">
        <v>59</v>
      </c>
      <c r="D1135">
        <f t="shared" si="69"/>
        <v>59</v>
      </c>
      <c r="E1135">
        <f t="shared" si="70"/>
        <v>59000000</v>
      </c>
      <c r="F1135">
        <f t="shared" si="71"/>
        <v>28320000</v>
      </c>
    </row>
    <row r="1136" ht="13.85" spans="1:6">
      <c r="A1136">
        <f t="shared" si="68"/>
        <v>1135</v>
      </c>
      <c r="B1136" s="10"/>
      <c r="C1136" s="11">
        <v>15</v>
      </c>
      <c r="D1136">
        <f t="shared" si="69"/>
        <v>15</v>
      </c>
      <c r="E1136">
        <f t="shared" si="70"/>
        <v>15000000</v>
      </c>
      <c r="F1136">
        <f t="shared" si="71"/>
        <v>7200000</v>
      </c>
    </row>
    <row r="1137" ht="13.85" spans="1:6">
      <c r="A1137">
        <f t="shared" si="68"/>
        <v>1136</v>
      </c>
      <c r="B1137" s="10"/>
      <c r="C1137" s="11">
        <v>20</v>
      </c>
      <c r="D1137">
        <f t="shared" si="69"/>
        <v>20</v>
      </c>
      <c r="E1137">
        <f t="shared" si="70"/>
        <v>20000000</v>
      </c>
      <c r="F1137">
        <f t="shared" si="71"/>
        <v>9600000</v>
      </c>
    </row>
    <row r="1138" ht="13.85" spans="1:6">
      <c r="A1138">
        <f t="shared" si="68"/>
        <v>1137</v>
      </c>
      <c r="B1138" s="10"/>
      <c r="C1138" s="11">
        <v>25</v>
      </c>
      <c r="D1138">
        <f t="shared" si="69"/>
        <v>25</v>
      </c>
      <c r="E1138">
        <f t="shared" si="70"/>
        <v>25000000</v>
      </c>
      <c r="F1138">
        <f t="shared" si="71"/>
        <v>12000000</v>
      </c>
    </row>
    <row r="1139" ht="13.85" spans="1:6">
      <c r="A1139">
        <f t="shared" si="68"/>
        <v>1138</v>
      </c>
      <c r="B1139" s="10"/>
      <c r="C1139" s="11">
        <v>32</v>
      </c>
      <c r="D1139">
        <f t="shared" si="69"/>
        <v>32</v>
      </c>
      <c r="E1139">
        <f t="shared" si="70"/>
        <v>32000000</v>
      </c>
      <c r="F1139">
        <f t="shared" si="71"/>
        <v>15360000</v>
      </c>
    </row>
    <row r="1140" ht="13.85" spans="1:6">
      <c r="A1140">
        <f t="shared" si="68"/>
        <v>1139</v>
      </c>
      <c r="B1140" s="10"/>
      <c r="C1140" s="11">
        <v>42</v>
      </c>
      <c r="D1140">
        <f t="shared" si="69"/>
        <v>42</v>
      </c>
      <c r="E1140">
        <f t="shared" si="70"/>
        <v>42000000</v>
      </c>
      <c r="F1140">
        <f t="shared" si="71"/>
        <v>20160000</v>
      </c>
    </row>
    <row r="1141" ht="13.85" spans="1:6">
      <c r="A1141">
        <f t="shared" si="68"/>
        <v>1140</v>
      </c>
      <c r="B1141" s="10"/>
      <c r="C1141" s="11">
        <v>50</v>
      </c>
      <c r="D1141">
        <f t="shared" si="69"/>
        <v>50</v>
      </c>
      <c r="E1141">
        <f t="shared" si="70"/>
        <v>50000000</v>
      </c>
      <c r="F1141">
        <f t="shared" si="71"/>
        <v>24000000</v>
      </c>
    </row>
    <row r="1142" ht="13.85" spans="1:6">
      <c r="A1142">
        <f t="shared" si="68"/>
        <v>1141</v>
      </c>
      <c r="B1142" s="10"/>
      <c r="C1142" s="11">
        <v>61</v>
      </c>
      <c r="D1142">
        <f t="shared" si="69"/>
        <v>61</v>
      </c>
      <c r="E1142">
        <f t="shared" si="70"/>
        <v>61000000</v>
      </c>
      <c r="F1142">
        <f t="shared" si="71"/>
        <v>29280000</v>
      </c>
    </row>
    <row r="1143" ht="13.85" spans="1:6">
      <c r="A1143">
        <f t="shared" si="68"/>
        <v>1142</v>
      </c>
      <c r="B1143" s="21"/>
      <c r="C1143" s="22">
        <v>15</v>
      </c>
      <c r="D1143" s="23">
        <f t="shared" si="69"/>
        <v>15</v>
      </c>
      <c r="E1143" s="23">
        <f t="shared" si="70"/>
        <v>15000000</v>
      </c>
      <c r="F1143">
        <f t="shared" si="71"/>
        <v>7200000</v>
      </c>
    </row>
    <row r="1144" ht="13.85" spans="1:6">
      <c r="A1144">
        <f t="shared" si="68"/>
        <v>1143</v>
      </c>
      <c r="B1144" s="10"/>
      <c r="C1144" s="11">
        <v>20</v>
      </c>
      <c r="D1144">
        <f t="shared" si="69"/>
        <v>20</v>
      </c>
      <c r="E1144">
        <f t="shared" si="70"/>
        <v>20000000</v>
      </c>
      <c r="F1144">
        <f t="shared" si="71"/>
        <v>9600000</v>
      </c>
    </row>
    <row r="1145" ht="13.85" spans="1:6">
      <c r="A1145">
        <f t="shared" si="68"/>
        <v>1144</v>
      </c>
      <c r="B1145" s="10"/>
      <c r="C1145" s="11">
        <v>25</v>
      </c>
      <c r="D1145">
        <f t="shared" si="69"/>
        <v>25</v>
      </c>
      <c r="E1145">
        <f t="shared" si="70"/>
        <v>25000000</v>
      </c>
      <c r="F1145">
        <f t="shared" si="71"/>
        <v>12000000</v>
      </c>
    </row>
    <row r="1146" ht="13.85" spans="1:6">
      <c r="A1146">
        <f t="shared" si="68"/>
        <v>1145</v>
      </c>
      <c r="B1146" s="10"/>
      <c r="C1146" s="11">
        <v>30</v>
      </c>
      <c r="D1146">
        <f t="shared" si="69"/>
        <v>30</v>
      </c>
      <c r="E1146">
        <f t="shared" si="70"/>
        <v>30000000</v>
      </c>
      <c r="F1146">
        <f t="shared" si="71"/>
        <v>14400000</v>
      </c>
    </row>
    <row r="1147" ht="13.85" spans="1:6">
      <c r="A1147">
        <f t="shared" si="68"/>
        <v>1146</v>
      </c>
      <c r="B1147" s="10"/>
      <c r="C1147" s="11">
        <v>35</v>
      </c>
      <c r="D1147">
        <f t="shared" si="69"/>
        <v>35</v>
      </c>
      <c r="E1147">
        <f t="shared" si="70"/>
        <v>35000000</v>
      </c>
      <c r="F1147">
        <f t="shared" si="71"/>
        <v>16800000</v>
      </c>
    </row>
    <row r="1148" ht="13.85" spans="1:6">
      <c r="A1148">
        <f t="shared" si="68"/>
        <v>1147</v>
      </c>
      <c r="B1148" s="10"/>
      <c r="C1148" s="11">
        <v>40</v>
      </c>
      <c r="D1148">
        <f t="shared" si="69"/>
        <v>40</v>
      </c>
      <c r="E1148">
        <f t="shared" si="70"/>
        <v>40000000</v>
      </c>
      <c r="F1148">
        <f t="shared" si="71"/>
        <v>19200000</v>
      </c>
    </row>
    <row r="1149" ht="13.85" spans="1:6">
      <c r="A1149">
        <f t="shared" si="68"/>
        <v>1148</v>
      </c>
      <c r="B1149" s="10"/>
      <c r="C1149" s="11">
        <v>50</v>
      </c>
      <c r="D1149">
        <f t="shared" si="69"/>
        <v>50</v>
      </c>
      <c r="E1149">
        <f t="shared" si="70"/>
        <v>50000000</v>
      </c>
      <c r="F1149">
        <f t="shared" si="71"/>
        <v>24000000</v>
      </c>
    </row>
    <row r="1150" ht="13.85" spans="1:6">
      <c r="A1150">
        <f t="shared" si="68"/>
        <v>1149</v>
      </c>
      <c r="B1150" s="10"/>
      <c r="C1150" s="11">
        <v>57</v>
      </c>
      <c r="D1150">
        <f t="shared" si="69"/>
        <v>57</v>
      </c>
      <c r="E1150">
        <f t="shared" si="70"/>
        <v>57000000</v>
      </c>
      <c r="F1150">
        <f t="shared" si="71"/>
        <v>27360000</v>
      </c>
    </row>
    <row r="1151" ht="13.85" spans="1:6">
      <c r="A1151">
        <f t="shared" si="68"/>
        <v>1150</v>
      </c>
      <c r="B1151" s="10"/>
      <c r="C1151" s="11">
        <v>62</v>
      </c>
      <c r="D1151">
        <f t="shared" si="69"/>
        <v>62</v>
      </c>
      <c r="E1151">
        <f t="shared" si="70"/>
        <v>62000000</v>
      </c>
      <c r="F1151">
        <f t="shared" si="71"/>
        <v>29760000</v>
      </c>
    </row>
    <row r="1152" ht="13.85" spans="1:6">
      <c r="A1152">
        <f t="shared" si="68"/>
        <v>1151</v>
      </c>
      <c r="B1152" s="10"/>
      <c r="C1152" s="11">
        <v>70</v>
      </c>
      <c r="D1152">
        <f t="shared" si="69"/>
        <v>70</v>
      </c>
      <c r="E1152">
        <f t="shared" si="70"/>
        <v>70000000</v>
      </c>
      <c r="F1152">
        <f t="shared" si="71"/>
        <v>33600000</v>
      </c>
    </row>
    <row r="1153" ht="13.85" spans="1:6">
      <c r="A1153">
        <f t="shared" si="68"/>
        <v>1152</v>
      </c>
      <c r="B1153" s="10"/>
      <c r="C1153" s="11">
        <v>80</v>
      </c>
      <c r="D1153">
        <f t="shared" si="69"/>
        <v>80</v>
      </c>
      <c r="E1153">
        <f t="shared" si="70"/>
        <v>80000000</v>
      </c>
      <c r="F1153">
        <f t="shared" si="71"/>
        <v>38400000</v>
      </c>
    </row>
    <row r="1154" ht="13.85" spans="1:6">
      <c r="A1154">
        <f t="shared" ref="A1154:A1217" si="72">ROW()-1</f>
        <v>1153</v>
      </c>
      <c r="B1154" s="10"/>
      <c r="C1154" s="11">
        <v>90</v>
      </c>
      <c r="D1154">
        <f t="shared" ref="D1154:D1217" si="73">IF(RIGHT(C1154,1)="B",VALUE(LEFT(C1154,LEN(C1154)-1))*1000,C1154)</f>
        <v>90</v>
      </c>
      <c r="E1154">
        <f t="shared" ref="E1154:E1217" si="74">D1154*1000000</f>
        <v>90000000</v>
      </c>
      <c r="F1154">
        <f t="shared" ref="F1154:F1217" si="75">E1154*0.48</f>
        <v>43200000</v>
      </c>
    </row>
    <row r="1155" ht="13.85" spans="1:6">
      <c r="A1155">
        <f t="shared" si="72"/>
        <v>1154</v>
      </c>
      <c r="B1155" s="10"/>
      <c r="C1155" s="11">
        <v>105</v>
      </c>
      <c r="D1155">
        <f t="shared" si="73"/>
        <v>105</v>
      </c>
      <c r="E1155">
        <f t="shared" si="74"/>
        <v>105000000</v>
      </c>
      <c r="F1155">
        <f t="shared" si="75"/>
        <v>50400000</v>
      </c>
    </row>
    <row r="1156" ht="13.85" spans="1:6">
      <c r="A1156">
        <f t="shared" si="72"/>
        <v>1155</v>
      </c>
      <c r="B1156" s="10"/>
      <c r="C1156" s="11">
        <v>120</v>
      </c>
      <c r="D1156">
        <f t="shared" si="73"/>
        <v>120</v>
      </c>
      <c r="E1156">
        <f t="shared" si="74"/>
        <v>120000000</v>
      </c>
      <c r="F1156">
        <f t="shared" si="75"/>
        <v>57600000</v>
      </c>
    </row>
    <row r="1157" ht="13.85" spans="1:6">
      <c r="A1157">
        <f t="shared" si="72"/>
        <v>1156</v>
      </c>
      <c r="B1157" s="10"/>
      <c r="C1157" s="11">
        <v>146</v>
      </c>
      <c r="D1157">
        <f t="shared" si="73"/>
        <v>146</v>
      </c>
      <c r="E1157">
        <f t="shared" si="74"/>
        <v>146000000</v>
      </c>
      <c r="F1157">
        <f t="shared" si="75"/>
        <v>70080000</v>
      </c>
    </row>
    <row r="1158" ht="13.85" spans="1:6">
      <c r="A1158">
        <f t="shared" si="72"/>
        <v>1157</v>
      </c>
      <c r="B1158" s="10"/>
      <c r="C1158" s="11">
        <v>165</v>
      </c>
      <c r="D1158">
        <f t="shared" si="73"/>
        <v>165</v>
      </c>
      <c r="E1158">
        <f t="shared" si="74"/>
        <v>165000000</v>
      </c>
      <c r="F1158">
        <f t="shared" si="75"/>
        <v>79200000</v>
      </c>
    </row>
    <row r="1159" ht="13.85" spans="1:6">
      <c r="A1159">
        <f t="shared" si="72"/>
        <v>1158</v>
      </c>
      <c r="B1159" s="19"/>
      <c r="C1159" s="20">
        <v>20</v>
      </c>
      <c r="D1159" s="9">
        <f t="shared" si="73"/>
        <v>20</v>
      </c>
      <c r="E1159" s="9">
        <f t="shared" si="74"/>
        <v>20000000</v>
      </c>
      <c r="F1159">
        <f t="shared" si="75"/>
        <v>9600000</v>
      </c>
    </row>
    <row r="1160" ht="13.85" spans="1:6">
      <c r="A1160">
        <f t="shared" si="72"/>
        <v>1159</v>
      </c>
      <c r="B1160" s="10"/>
      <c r="C1160" s="11">
        <v>25</v>
      </c>
      <c r="D1160">
        <f t="shared" si="73"/>
        <v>25</v>
      </c>
      <c r="E1160">
        <f t="shared" si="74"/>
        <v>25000000</v>
      </c>
      <c r="F1160">
        <f t="shared" si="75"/>
        <v>12000000</v>
      </c>
    </row>
    <row r="1161" ht="13.85" spans="1:6">
      <c r="A1161">
        <f t="shared" si="72"/>
        <v>1160</v>
      </c>
      <c r="B1161" s="10"/>
      <c r="C1161" s="11">
        <v>30</v>
      </c>
      <c r="D1161">
        <f t="shared" si="73"/>
        <v>30</v>
      </c>
      <c r="E1161">
        <f t="shared" si="74"/>
        <v>30000000</v>
      </c>
      <c r="F1161">
        <f t="shared" si="75"/>
        <v>14400000</v>
      </c>
    </row>
    <row r="1162" ht="13.85" spans="1:6">
      <c r="A1162">
        <f t="shared" si="72"/>
        <v>1161</v>
      </c>
      <c r="B1162" s="10"/>
      <c r="C1162" s="11">
        <v>42</v>
      </c>
      <c r="D1162">
        <f t="shared" si="73"/>
        <v>42</v>
      </c>
      <c r="E1162">
        <f t="shared" si="74"/>
        <v>42000000</v>
      </c>
      <c r="F1162">
        <f t="shared" si="75"/>
        <v>20160000</v>
      </c>
    </row>
    <row r="1163" ht="13.85" spans="1:6">
      <c r="A1163">
        <f t="shared" si="72"/>
        <v>1162</v>
      </c>
      <c r="B1163" s="10"/>
      <c r="C1163" s="11">
        <v>52</v>
      </c>
      <c r="D1163">
        <f t="shared" si="73"/>
        <v>52</v>
      </c>
      <c r="E1163">
        <f t="shared" si="74"/>
        <v>52000000</v>
      </c>
      <c r="F1163">
        <f t="shared" si="75"/>
        <v>24960000</v>
      </c>
    </row>
    <row r="1164" ht="13.85" spans="1:6">
      <c r="A1164">
        <f t="shared" si="72"/>
        <v>1163</v>
      </c>
      <c r="B1164" s="10"/>
      <c r="C1164" s="11">
        <v>65</v>
      </c>
      <c r="D1164">
        <f t="shared" si="73"/>
        <v>65</v>
      </c>
      <c r="E1164">
        <f t="shared" si="74"/>
        <v>65000000</v>
      </c>
      <c r="F1164">
        <f t="shared" si="75"/>
        <v>31200000</v>
      </c>
    </row>
    <row r="1165" ht="13.85" spans="1:6">
      <c r="A1165">
        <f t="shared" si="72"/>
        <v>1164</v>
      </c>
      <c r="B1165" s="10"/>
      <c r="C1165" s="11">
        <v>78</v>
      </c>
      <c r="D1165">
        <f t="shared" si="73"/>
        <v>78</v>
      </c>
      <c r="E1165">
        <f t="shared" si="74"/>
        <v>78000000</v>
      </c>
      <c r="F1165">
        <f t="shared" si="75"/>
        <v>37440000</v>
      </c>
    </row>
    <row r="1166" ht="13.85" spans="1:6">
      <c r="A1166">
        <f t="shared" si="72"/>
        <v>1165</v>
      </c>
      <c r="B1166" s="10"/>
      <c r="C1166" s="11">
        <v>92</v>
      </c>
      <c r="D1166">
        <f t="shared" si="73"/>
        <v>92</v>
      </c>
      <c r="E1166">
        <f t="shared" si="74"/>
        <v>92000000</v>
      </c>
      <c r="F1166">
        <f t="shared" si="75"/>
        <v>44160000</v>
      </c>
    </row>
    <row r="1167" ht="13.85" spans="1:6">
      <c r="A1167">
        <f t="shared" si="72"/>
        <v>1166</v>
      </c>
      <c r="B1167" s="10"/>
      <c r="C1167" s="11">
        <v>105</v>
      </c>
      <c r="D1167">
        <f t="shared" si="73"/>
        <v>105</v>
      </c>
      <c r="E1167">
        <f t="shared" si="74"/>
        <v>105000000</v>
      </c>
      <c r="F1167">
        <f t="shared" si="75"/>
        <v>50400000</v>
      </c>
    </row>
    <row r="1168" ht="13.85" spans="1:6">
      <c r="A1168">
        <f t="shared" si="72"/>
        <v>1167</v>
      </c>
      <c r="B1168" s="10"/>
      <c r="C1168" s="11">
        <v>125</v>
      </c>
      <c r="D1168">
        <f t="shared" si="73"/>
        <v>125</v>
      </c>
      <c r="E1168">
        <f t="shared" si="74"/>
        <v>125000000</v>
      </c>
      <c r="F1168">
        <f t="shared" si="75"/>
        <v>60000000</v>
      </c>
    </row>
    <row r="1169" ht="13.85" spans="1:6">
      <c r="A1169">
        <f t="shared" si="72"/>
        <v>1168</v>
      </c>
      <c r="B1169" s="10"/>
      <c r="C1169" s="11">
        <v>150</v>
      </c>
      <c r="D1169">
        <f t="shared" si="73"/>
        <v>150</v>
      </c>
      <c r="E1169">
        <f t="shared" si="74"/>
        <v>150000000</v>
      </c>
      <c r="F1169">
        <f t="shared" si="75"/>
        <v>72000000</v>
      </c>
    </row>
    <row r="1170" ht="13.85" spans="1:6">
      <c r="A1170">
        <f t="shared" si="72"/>
        <v>1169</v>
      </c>
      <c r="B1170" s="10"/>
      <c r="C1170" s="11">
        <v>173</v>
      </c>
      <c r="D1170">
        <f t="shared" si="73"/>
        <v>173</v>
      </c>
      <c r="E1170">
        <f t="shared" si="74"/>
        <v>173000000</v>
      </c>
      <c r="F1170">
        <f t="shared" si="75"/>
        <v>83040000</v>
      </c>
    </row>
    <row r="1171" ht="13.85" spans="1:6">
      <c r="A1171">
        <f t="shared" si="72"/>
        <v>1170</v>
      </c>
      <c r="B1171" s="10"/>
      <c r="C1171" s="11">
        <v>20</v>
      </c>
      <c r="D1171">
        <f t="shared" si="73"/>
        <v>20</v>
      </c>
      <c r="E1171">
        <f t="shared" si="74"/>
        <v>20000000</v>
      </c>
      <c r="F1171">
        <f t="shared" si="75"/>
        <v>9600000</v>
      </c>
    </row>
    <row r="1172" ht="13.85" spans="1:6">
      <c r="A1172">
        <f t="shared" si="72"/>
        <v>1171</v>
      </c>
      <c r="B1172" s="10"/>
      <c r="C1172" s="11">
        <v>25</v>
      </c>
      <c r="D1172">
        <f t="shared" si="73"/>
        <v>25</v>
      </c>
      <c r="E1172">
        <f t="shared" si="74"/>
        <v>25000000</v>
      </c>
      <c r="F1172">
        <f t="shared" si="75"/>
        <v>12000000</v>
      </c>
    </row>
    <row r="1173" ht="13.85" spans="1:6">
      <c r="A1173">
        <f t="shared" si="72"/>
        <v>1172</v>
      </c>
      <c r="B1173" s="10"/>
      <c r="C1173" s="11">
        <v>32</v>
      </c>
      <c r="D1173">
        <f t="shared" si="73"/>
        <v>32</v>
      </c>
      <c r="E1173">
        <f t="shared" si="74"/>
        <v>32000000</v>
      </c>
      <c r="F1173">
        <f t="shared" si="75"/>
        <v>15360000</v>
      </c>
    </row>
    <row r="1174" ht="13.85" spans="1:6">
      <c r="A1174">
        <f t="shared" si="72"/>
        <v>1173</v>
      </c>
      <c r="B1174" s="10"/>
      <c r="C1174" s="11">
        <v>44</v>
      </c>
      <c r="D1174">
        <f t="shared" si="73"/>
        <v>44</v>
      </c>
      <c r="E1174">
        <f t="shared" si="74"/>
        <v>44000000</v>
      </c>
      <c r="F1174">
        <f t="shared" si="75"/>
        <v>21120000</v>
      </c>
    </row>
    <row r="1175" ht="13.85" spans="1:6">
      <c r="A1175">
        <f t="shared" si="72"/>
        <v>1174</v>
      </c>
      <c r="B1175" s="10"/>
      <c r="C1175" s="11">
        <v>55</v>
      </c>
      <c r="D1175">
        <f t="shared" si="73"/>
        <v>55</v>
      </c>
      <c r="E1175">
        <f t="shared" si="74"/>
        <v>55000000</v>
      </c>
      <c r="F1175">
        <f t="shared" si="75"/>
        <v>26400000</v>
      </c>
    </row>
    <row r="1176" ht="13.85" spans="1:6">
      <c r="A1176">
        <f t="shared" si="72"/>
        <v>1175</v>
      </c>
      <c r="B1176" s="10"/>
      <c r="C1176" s="11">
        <v>70</v>
      </c>
      <c r="D1176">
        <f t="shared" si="73"/>
        <v>70</v>
      </c>
      <c r="E1176">
        <f t="shared" si="74"/>
        <v>70000000</v>
      </c>
      <c r="F1176">
        <f t="shared" si="75"/>
        <v>33600000</v>
      </c>
    </row>
    <row r="1177" ht="13.85" spans="1:6">
      <c r="A1177">
        <f t="shared" si="72"/>
        <v>1176</v>
      </c>
      <c r="B1177" s="10"/>
      <c r="C1177" s="11">
        <v>81</v>
      </c>
      <c r="D1177">
        <f t="shared" si="73"/>
        <v>81</v>
      </c>
      <c r="E1177">
        <f t="shared" si="74"/>
        <v>81000000</v>
      </c>
      <c r="F1177">
        <f t="shared" si="75"/>
        <v>38880000</v>
      </c>
    </row>
    <row r="1178" ht="13.85" spans="1:6">
      <c r="A1178">
        <f t="shared" si="72"/>
        <v>1177</v>
      </c>
      <c r="B1178" s="10"/>
      <c r="C1178" s="11">
        <v>94</v>
      </c>
      <c r="D1178">
        <f t="shared" si="73"/>
        <v>94</v>
      </c>
      <c r="E1178">
        <f t="shared" si="74"/>
        <v>94000000</v>
      </c>
      <c r="F1178">
        <f t="shared" si="75"/>
        <v>45120000</v>
      </c>
    </row>
    <row r="1179" ht="13.85" spans="1:6">
      <c r="A1179">
        <f t="shared" si="72"/>
        <v>1178</v>
      </c>
      <c r="B1179" s="10"/>
      <c r="C1179" s="11">
        <v>109</v>
      </c>
      <c r="D1179">
        <f t="shared" si="73"/>
        <v>109</v>
      </c>
      <c r="E1179">
        <f t="shared" si="74"/>
        <v>109000000</v>
      </c>
      <c r="F1179">
        <f t="shared" si="75"/>
        <v>52320000</v>
      </c>
    </row>
    <row r="1180" ht="13.85" spans="1:6">
      <c r="A1180">
        <f t="shared" si="72"/>
        <v>1179</v>
      </c>
      <c r="B1180" s="10"/>
      <c r="C1180" s="11">
        <v>126</v>
      </c>
      <c r="D1180">
        <f t="shared" si="73"/>
        <v>126</v>
      </c>
      <c r="E1180">
        <f t="shared" si="74"/>
        <v>126000000</v>
      </c>
      <c r="F1180">
        <f t="shared" si="75"/>
        <v>60480000</v>
      </c>
    </row>
    <row r="1181" ht="13.85" spans="1:6">
      <c r="A1181">
        <f t="shared" si="72"/>
        <v>1180</v>
      </c>
      <c r="B1181" s="10"/>
      <c r="C1181" s="11">
        <v>144</v>
      </c>
      <c r="D1181">
        <f t="shared" si="73"/>
        <v>144</v>
      </c>
      <c r="E1181">
        <f t="shared" si="74"/>
        <v>144000000</v>
      </c>
      <c r="F1181">
        <f t="shared" si="75"/>
        <v>69120000</v>
      </c>
    </row>
    <row r="1182" ht="13.85" spans="1:6">
      <c r="A1182">
        <f t="shared" si="72"/>
        <v>1181</v>
      </c>
      <c r="B1182" s="10"/>
      <c r="C1182" s="11">
        <v>20</v>
      </c>
      <c r="D1182">
        <f t="shared" si="73"/>
        <v>20</v>
      </c>
      <c r="E1182">
        <f t="shared" si="74"/>
        <v>20000000</v>
      </c>
      <c r="F1182">
        <f t="shared" si="75"/>
        <v>9600000</v>
      </c>
    </row>
    <row r="1183" ht="13.85" spans="1:6">
      <c r="A1183">
        <f t="shared" si="72"/>
        <v>1182</v>
      </c>
      <c r="B1183" s="10"/>
      <c r="C1183" s="11">
        <v>25</v>
      </c>
      <c r="D1183">
        <f t="shared" si="73"/>
        <v>25</v>
      </c>
      <c r="E1183">
        <f t="shared" si="74"/>
        <v>25000000</v>
      </c>
      <c r="F1183">
        <f t="shared" si="75"/>
        <v>12000000</v>
      </c>
    </row>
    <row r="1184" ht="13.85" spans="1:6">
      <c r="A1184">
        <f t="shared" si="72"/>
        <v>1183</v>
      </c>
      <c r="B1184" s="10"/>
      <c r="C1184" s="11">
        <v>31</v>
      </c>
      <c r="D1184">
        <f t="shared" si="73"/>
        <v>31</v>
      </c>
      <c r="E1184">
        <f t="shared" si="74"/>
        <v>31000000</v>
      </c>
      <c r="F1184">
        <f t="shared" si="75"/>
        <v>14880000</v>
      </c>
    </row>
    <row r="1185" ht="13.85" spans="1:6">
      <c r="A1185">
        <f t="shared" si="72"/>
        <v>1184</v>
      </c>
      <c r="B1185" s="10"/>
      <c r="C1185" s="11">
        <v>42</v>
      </c>
      <c r="D1185">
        <f t="shared" si="73"/>
        <v>42</v>
      </c>
      <c r="E1185">
        <f t="shared" si="74"/>
        <v>42000000</v>
      </c>
      <c r="F1185">
        <f t="shared" si="75"/>
        <v>20160000</v>
      </c>
    </row>
    <row r="1186" ht="13.85" spans="1:6">
      <c r="A1186">
        <f t="shared" si="72"/>
        <v>1185</v>
      </c>
      <c r="B1186" s="10"/>
      <c r="C1186" s="11">
        <v>53</v>
      </c>
      <c r="D1186">
        <f t="shared" si="73"/>
        <v>53</v>
      </c>
      <c r="E1186">
        <f t="shared" si="74"/>
        <v>53000000</v>
      </c>
      <c r="F1186">
        <f t="shared" si="75"/>
        <v>25440000</v>
      </c>
    </row>
    <row r="1187" ht="13.85" spans="1:6">
      <c r="A1187">
        <f t="shared" si="72"/>
        <v>1186</v>
      </c>
      <c r="B1187" s="10"/>
      <c r="C1187" s="11">
        <v>65</v>
      </c>
      <c r="D1187">
        <f t="shared" si="73"/>
        <v>65</v>
      </c>
      <c r="E1187">
        <f t="shared" si="74"/>
        <v>65000000</v>
      </c>
      <c r="F1187">
        <f t="shared" si="75"/>
        <v>31200000</v>
      </c>
    </row>
    <row r="1188" ht="13.85" spans="1:6">
      <c r="A1188">
        <f t="shared" si="72"/>
        <v>1187</v>
      </c>
      <c r="B1188" s="10"/>
      <c r="C1188" s="11">
        <v>77</v>
      </c>
      <c r="D1188">
        <f t="shared" si="73"/>
        <v>77</v>
      </c>
      <c r="E1188">
        <f t="shared" si="74"/>
        <v>77000000</v>
      </c>
      <c r="F1188">
        <f t="shared" si="75"/>
        <v>36960000</v>
      </c>
    </row>
    <row r="1189" ht="13.85" spans="1:6">
      <c r="A1189">
        <f t="shared" si="72"/>
        <v>1188</v>
      </c>
      <c r="B1189" s="10"/>
      <c r="C1189" s="11">
        <v>92</v>
      </c>
      <c r="D1189">
        <f t="shared" si="73"/>
        <v>92</v>
      </c>
      <c r="E1189">
        <f t="shared" si="74"/>
        <v>92000000</v>
      </c>
      <c r="F1189">
        <f t="shared" si="75"/>
        <v>44160000</v>
      </c>
    </row>
    <row r="1190" ht="13.85" spans="1:6">
      <c r="A1190">
        <f t="shared" si="72"/>
        <v>1189</v>
      </c>
      <c r="B1190" s="10"/>
      <c r="C1190" s="11">
        <v>109</v>
      </c>
      <c r="D1190">
        <f t="shared" si="73"/>
        <v>109</v>
      </c>
      <c r="E1190">
        <f t="shared" si="74"/>
        <v>109000000</v>
      </c>
      <c r="F1190">
        <f t="shared" si="75"/>
        <v>52320000</v>
      </c>
    </row>
    <row r="1191" ht="13.85" spans="1:6">
      <c r="A1191">
        <f t="shared" si="72"/>
        <v>1190</v>
      </c>
      <c r="B1191" s="10"/>
      <c r="C1191" s="11">
        <v>129</v>
      </c>
      <c r="D1191">
        <f t="shared" si="73"/>
        <v>129</v>
      </c>
      <c r="E1191">
        <f t="shared" si="74"/>
        <v>129000000</v>
      </c>
      <c r="F1191">
        <f t="shared" si="75"/>
        <v>61920000</v>
      </c>
    </row>
    <row r="1192" ht="13.85" spans="1:6">
      <c r="A1192">
        <f t="shared" si="72"/>
        <v>1191</v>
      </c>
      <c r="B1192" s="10"/>
      <c r="C1192" s="11">
        <v>150</v>
      </c>
      <c r="D1192">
        <f t="shared" si="73"/>
        <v>150</v>
      </c>
      <c r="E1192">
        <f t="shared" si="74"/>
        <v>150000000</v>
      </c>
      <c r="F1192">
        <f t="shared" si="75"/>
        <v>72000000</v>
      </c>
    </row>
    <row r="1193" ht="13.85" spans="1:6">
      <c r="A1193">
        <f t="shared" si="72"/>
        <v>1192</v>
      </c>
      <c r="B1193" s="10"/>
      <c r="C1193" s="11">
        <v>170</v>
      </c>
      <c r="D1193">
        <f t="shared" si="73"/>
        <v>170</v>
      </c>
      <c r="E1193">
        <f t="shared" si="74"/>
        <v>170000000</v>
      </c>
      <c r="F1193">
        <f t="shared" si="75"/>
        <v>81600000</v>
      </c>
    </row>
    <row r="1194" ht="13.85" spans="1:6">
      <c r="A1194">
        <f t="shared" si="72"/>
        <v>1193</v>
      </c>
      <c r="B1194" s="10"/>
      <c r="C1194" s="11">
        <v>192</v>
      </c>
      <c r="D1194">
        <f t="shared" si="73"/>
        <v>192</v>
      </c>
      <c r="E1194">
        <f t="shared" si="74"/>
        <v>192000000</v>
      </c>
      <c r="F1194">
        <f t="shared" si="75"/>
        <v>92160000</v>
      </c>
    </row>
    <row r="1195" ht="13.85" spans="1:6">
      <c r="A1195">
        <f t="shared" si="72"/>
        <v>1194</v>
      </c>
      <c r="B1195" s="10"/>
      <c r="C1195" s="11">
        <v>232</v>
      </c>
      <c r="D1195">
        <f t="shared" si="73"/>
        <v>232</v>
      </c>
      <c r="E1195">
        <f t="shared" si="74"/>
        <v>232000000</v>
      </c>
      <c r="F1195">
        <f t="shared" si="75"/>
        <v>111360000</v>
      </c>
    </row>
    <row r="1196" ht="13.85" spans="1:6">
      <c r="A1196">
        <f t="shared" si="72"/>
        <v>1195</v>
      </c>
      <c r="B1196" s="10"/>
      <c r="C1196" s="11">
        <v>20</v>
      </c>
      <c r="D1196">
        <f t="shared" si="73"/>
        <v>20</v>
      </c>
      <c r="E1196">
        <f t="shared" si="74"/>
        <v>20000000</v>
      </c>
      <c r="F1196">
        <f t="shared" si="75"/>
        <v>9600000</v>
      </c>
    </row>
    <row r="1197" ht="13.85" spans="1:6">
      <c r="A1197">
        <f t="shared" si="72"/>
        <v>1196</v>
      </c>
      <c r="B1197" s="10"/>
      <c r="C1197" s="11">
        <v>25</v>
      </c>
      <c r="D1197">
        <f t="shared" si="73"/>
        <v>25</v>
      </c>
      <c r="E1197">
        <f t="shared" si="74"/>
        <v>25000000</v>
      </c>
      <c r="F1197">
        <f t="shared" si="75"/>
        <v>12000000</v>
      </c>
    </row>
    <row r="1198" ht="13.85" spans="1:6">
      <c r="A1198">
        <f t="shared" si="72"/>
        <v>1197</v>
      </c>
      <c r="B1198" s="10"/>
      <c r="C1198" s="11">
        <v>34</v>
      </c>
      <c r="D1198">
        <f t="shared" si="73"/>
        <v>34</v>
      </c>
      <c r="E1198">
        <f t="shared" si="74"/>
        <v>34000000</v>
      </c>
      <c r="F1198">
        <f t="shared" si="75"/>
        <v>16320000</v>
      </c>
    </row>
    <row r="1199" ht="13.85" spans="1:6">
      <c r="A1199">
        <f t="shared" si="72"/>
        <v>1198</v>
      </c>
      <c r="B1199" s="10"/>
      <c r="C1199" s="11">
        <v>45</v>
      </c>
      <c r="D1199">
        <f t="shared" si="73"/>
        <v>45</v>
      </c>
      <c r="E1199">
        <f t="shared" si="74"/>
        <v>45000000</v>
      </c>
      <c r="F1199">
        <f t="shared" si="75"/>
        <v>21600000</v>
      </c>
    </row>
    <row r="1200" ht="13.85" spans="1:6">
      <c r="A1200">
        <f t="shared" si="72"/>
        <v>1199</v>
      </c>
      <c r="B1200" s="10"/>
      <c r="C1200" s="11">
        <v>59</v>
      </c>
      <c r="D1200">
        <f t="shared" si="73"/>
        <v>59</v>
      </c>
      <c r="E1200">
        <f t="shared" si="74"/>
        <v>59000000</v>
      </c>
      <c r="F1200">
        <f t="shared" si="75"/>
        <v>28320000</v>
      </c>
    </row>
    <row r="1201" ht="13.85" spans="1:6">
      <c r="A1201">
        <f t="shared" si="72"/>
        <v>1200</v>
      </c>
      <c r="B1201" s="10"/>
      <c r="C1201" s="11">
        <v>72</v>
      </c>
      <c r="D1201">
        <f t="shared" si="73"/>
        <v>72</v>
      </c>
      <c r="E1201">
        <f t="shared" si="74"/>
        <v>72000000</v>
      </c>
      <c r="F1201">
        <f t="shared" si="75"/>
        <v>34560000</v>
      </c>
    </row>
    <row r="1202" ht="13.85" spans="1:6">
      <c r="A1202">
        <f t="shared" si="72"/>
        <v>1201</v>
      </c>
      <c r="B1202" s="10"/>
      <c r="C1202" s="11">
        <v>86</v>
      </c>
      <c r="D1202">
        <f t="shared" si="73"/>
        <v>86</v>
      </c>
      <c r="E1202">
        <f t="shared" si="74"/>
        <v>86000000</v>
      </c>
      <c r="F1202">
        <f t="shared" si="75"/>
        <v>41280000</v>
      </c>
    </row>
    <row r="1203" ht="13.85" spans="1:6">
      <c r="A1203">
        <f t="shared" si="72"/>
        <v>1202</v>
      </c>
      <c r="B1203" s="10"/>
      <c r="C1203" s="11">
        <v>20</v>
      </c>
      <c r="D1203">
        <f t="shared" si="73"/>
        <v>20</v>
      </c>
      <c r="E1203">
        <f t="shared" si="74"/>
        <v>20000000</v>
      </c>
      <c r="F1203">
        <f t="shared" si="75"/>
        <v>9600000</v>
      </c>
    </row>
    <row r="1204" ht="13.85" spans="1:6">
      <c r="A1204">
        <f t="shared" si="72"/>
        <v>1203</v>
      </c>
      <c r="B1204" s="10"/>
      <c r="C1204" s="11">
        <v>25</v>
      </c>
      <c r="D1204">
        <f t="shared" si="73"/>
        <v>25</v>
      </c>
      <c r="E1204">
        <f t="shared" si="74"/>
        <v>25000000</v>
      </c>
      <c r="F1204">
        <f t="shared" si="75"/>
        <v>12000000</v>
      </c>
    </row>
    <row r="1205" ht="13.85" spans="1:6">
      <c r="A1205">
        <f t="shared" si="72"/>
        <v>1204</v>
      </c>
      <c r="B1205" s="10"/>
      <c r="C1205" s="11">
        <v>20</v>
      </c>
      <c r="D1205">
        <f t="shared" si="73"/>
        <v>20</v>
      </c>
      <c r="E1205">
        <f t="shared" si="74"/>
        <v>20000000</v>
      </c>
      <c r="F1205">
        <f t="shared" si="75"/>
        <v>9600000</v>
      </c>
    </row>
    <row r="1206" ht="13.85" spans="1:6">
      <c r="A1206">
        <f t="shared" si="72"/>
        <v>1205</v>
      </c>
      <c r="B1206" s="10"/>
      <c r="C1206" s="11">
        <v>25</v>
      </c>
      <c r="D1206">
        <f t="shared" si="73"/>
        <v>25</v>
      </c>
      <c r="E1206">
        <f t="shared" si="74"/>
        <v>25000000</v>
      </c>
      <c r="F1206">
        <f t="shared" si="75"/>
        <v>12000000</v>
      </c>
    </row>
    <row r="1207" ht="13.85" spans="1:6">
      <c r="A1207">
        <f t="shared" si="72"/>
        <v>1206</v>
      </c>
      <c r="B1207" s="10"/>
      <c r="C1207" s="11">
        <v>30</v>
      </c>
      <c r="D1207">
        <f t="shared" si="73"/>
        <v>30</v>
      </c>
      <c r="E1207">
        <f t="shared" si="74"/>
        <v>30000000</v>
      </c>
      <c r="F1207">
        <f t="shared" si="75"/>
        <v>14400000</v>
      </c>
    </row>
    <row r="1208" ht="13.85" spans="1:6">
      <c r="A1208">
        <f t="shared" si="72"/>
        <v>1207</v>
      </c>
      <c r="B1208" s="10"/>
      <c r="C1208" s="11">
        <v>38</v>
      </c>
      <c r="D1208">
        <f t="shared" si="73"/>
        <v>38</v>
      </c>
      <c r="E1208">
        <f t="shared" si="74"/>
        <v>38000000</v>
      </c>
      <c r="F1208">
        <f t="shared" si="75"/>
        <v>18240000</v>
      </c>
    </row>
    <row r="1209" ht="13.85" spans="1:6">
      <c r="A1209">
        <f t="shared" si="72"/>
        <v>1208</v>
      </c>
      <c r="B1209" s="10"/>
      <c r="C1209" s="11">
        <v>49</v>
      </c>
      <c r="D1209">
        <f t="shared" si="73"/>
        <v>49</v>
      </c>
      <c r="E1209">
        <f t="shared" si="74"/>
        <v>49000000</v>
      </c>
      <c r="F1209">
        <f t="shared" si="75"/>
        <v>23520000</v>
      </c>
    </row>
    <row r="1210" ht="13.85" spans="1:6">
      <c r="A1210">
        <f t="shared" si="72"/>
        <v>1209</v>
      </c>
      <c r="B1210" s="10"/>
      <c r="C1210" s="11">
        <v>61</v>
      </c>
      <c r="D1210">
        <f t="shared" si="73"/>
        <v>61</v>
      </c>
      <c r="E1210">
        <f t="shared" si="74"/>
        <v>61000000</v>
      </c>
      <c r="F1210">
        <f t="shared" si="75"/>
        <v>29280000</v>
      </c>
    </row>
    <row r="1211" ht="13.85" spans="1:6">
      <c r="A1211">
        <f t="shared" si="72"/>
        <v>1210</v>
      </c>
      <c r="B1211" s="10"/>
      <c r="C1211" s="11">
        <v>74</v>
      </c>
      <c r="D1211">
        <f t="shared" si="73"/>
        <v>74</v>
      </c>
      <c r="E1211">
        <f t="shared" si="74"/>
        <v>74000000</v>
      </c>
      <c r="F1211">
        <f t="shared" si="75"/>
        <v>35520000</v>
      </c>
    </row>
    <row r="1212" ht="13.85" spans="1:6">
      <c r="A1212">
        <f t="shared" si="72"/>
        <v>1211</v>
      </c>
      <c r="B1212" s="10"/>
      <c r="C1212" s="11">
        <v>88</v>
      </c>
      <c r="D1212">
        <f t="shared" si="73"/>
        <v>88</v>
      </c>
      <c r="E1212">
        <f t="shared" si="74"/>
        <v>88000000</v>
      </c>
      <c r="F1212">
        <f t="shared" si="75"/>
        <v>42240000</v>
      </c>
    </row>
    <row r="1213" ht="13.85" spans="1:6">
      <c r="A1213">
        <f t="shared" si="72"/>
        <v>1212</v>
      </c>
      <c r="B1213" s="10"/>
      <c r="C1213" s="11">
        <v>102</v>
      </c>
      <c r="D1213">
        <f t="shared" si="73"/>
        <v>102</v>
      </c>
      <c r="E1213">
        <f t="shared" si="74"/>
        <v>102000000</v>
      </c>
      <c r="F1213">
        <f t="shared" si="75"/>
        <v>48960000</v>
      </c>
    </row>
    <row r="1214" ht="13.85" spans="1:6">
      <c r="A1214">
        <f t="shared" si="72"/>
        <v>1213</v>
      </c>
      <c r="B1214" s="10"/>
      <c r="C1214" s="11">
        <v>120</v>
      </c>
      <c r="D1214">
        <f t="shared" si="73"/>
        <v>120</v>
      </c>
      <c r="E1214">
        <f t="shared" si="74"/>
        <v>120000000</v>
      </c>
      <c r="F1214">
        <f t="shared" si="75"/>
        <v>57600000</v>
      </c>
    </row>
    <row r="1215" ht="13.85" spans="1:6">
      <c r="A1215">
        <f t="shared" si="72"/>
        <v>1214</v>
      </c>
      <c r="B1215" s="10"/>
      <c r="C1215" s="11">
        <v>138</v>
      </c>
      <c r="D1215">
        <f t="shared" si="73"/>
        <v>138</v>
      </c>
      <c r="E1215">
        <f t="shared" si="74"/>
        <v>138000000</v>
      </c>
      <c r="F1215">
        <f t="shared" si="75"/>
        <v>66240000</v>
      </c>
    </row>
    <row r="1216" ht="13.85" spans="1:6">
      <c r="A1216">
        <f t="shared" si="72"/>
        <v>1215</v>
      </c>
      <c r="B1216" s="10"/>
      <c r="C1216" s="11">
        <v>161</v>
      </c>
      <c r="D1216">
        <f t="shared" si="73"/>
        <v>161</v>
      </c>
      <c r="E1216">
        <f t="shared" si="74"/>
        <v>161000000</v>
      </c>
      <c r="F1216">
        <f t="shared" si="75"/>
        <v>77280000</v>
      </c>
    </row>
    <row r="1217" ht="13.85" spans="1:6">
      <c r="A1217">
        <f t="shared" si="72"/>
        <v>1216</v>
      </c>
      <c r="B1217" s="10"/>
      <c r="C1217" s="11">
        <v>186</v>
      </c>
      <c r="D1217">
        <f t="shared" si="73"/>
        <v>186</v>
      </c>
      <c r="E1217">
        <f t="shared" si="74"/>
        <v>186000000</v>
      </c>
      <c r="F1217">
        <f t="shared" si="75"/>
        <v>89280000</v>
      </c>
    </row>
    <row r="1218" ht="13.85" spans="1:6">
      <c r="A1218">
        <f t="shared" ref="A1218:A1281" si="76">ROW()-1</f>
        <v>1217</v>
      </c>
      <c r="B1218" s="10"/>
      <c r="C1218" s="11">
        <v>213</v>
      </c>
      <c r="D1218">
        <f t="shared" ref="D1218:D1281" si="77">IF(RIGHT(C1218,1)="B",VALUE(LEFT(C1218,LEN(C1218)-1))*1000,C1218)</f>
        <v>213</v>
      </c>
      <c r="E1218">
        <f t="shared" ref="E1218:E1281" si="78">D1218*1000000</f>
        <v>213000000</v>
      </c>
      <c r="F1218">
        <f t="shared" ref="F1218:F1281" si="79">E1218*0.48</f>
        <v>102240000</v>
      </c>
    </row>
    <row r="1219" ht="13.85" spans="1:6">
      <c r="A1219">
        <f t="shared" si="76"/>
        <v>1218</v>
      </c>
      <c r="B1219" s="10"/>
      <c r="C1219" s="11">
        <v>250</v>
      </c>
      <c r="D1219">
        <f t="shared" si="77"/>
        <v>250</v>
      </c>
      <c r="E1219">
        <f t="shared" si="78"/>
        <v>250000000</v>
      </c>
      <c r="F1219">
        <f t="shared" si="79"/>
        <v>120000000</v>
      </c>
    </row>
    <row r="1220" ht="13.85" spans="1:6">
      <c r="A1220">
        <f t="shared" si="76"/>
        <v>1219</v>
      </c>
      <c r="B1220" s="10"/>
      <c r="C1220" s="11">
        <v>20</v>
      </c>
      <c r="D1220">
        <f t="shared" si="77"/>
        <v>20</v>
      </c>
      <c r="E1220">
        <f t="shared" si="78"/>
        <v>20000000</v>
      </c>
      <c r="F1220">
        <f t="shared" si="79"/>
        <v>9600000</v>
      </c>
    </row>
    <row r="1221" ht="13.85" spans="1:6">
      <c r="A1221">
        <f t="shared" si="76"/>
        <v>1220</v>
      </c>
      <c r="B1221" s="10"/>
      <c r="C1221" s="11">
        <v>25</v>
      </c>
      <c r="D1221">
        <f t="shared" si="77"/>
        <v>25</v>
      </c>
      <c r="E1221">
        <f t="shared" si="78"/>
        <v>25000000</v>
      </c>
      <c r="F1221">
        <f t="shared" si="79"/>
        <v>12000000</v>
      </c>
    </row>
    <row r="1222" ht="13.85" spans="1:6">
      <c r="A1222">
        <f t="shared" si="76"/>
        <v>1221</v>
      </c>
      <c r="B1222" s="10"/>
      <c r="C1222" s="11">
        <v>33</v>
      </c>
      <c r="D1222">
        <f t="shared" si="77"/>
        <v>33</v>
      </c>
      <c r="E1222">
        <f t="shared" si="78"/>
        <v>33000000</v>
      </c>
      <c r="F1222">
        <f t="shared" si="79"/>
        <v>15840000</v>
      </c>
    </row>
    <row r="1223" ht="13.85" spans="1:6">
      <c r="A1223">
        <f t="shared" si="76"/>
        <v>1222</v>
      </c>
      <c r="B1223" s="10"/>
      <c r="C1223" s="11">
        <v>45</v>
      </c>
      <c r="D1223">
        <f t="shared" si="77"/>
        <v>45</v>
      </c>
      <c r="E1223">
        <f t="shared" si="78"/>
        <v>45000000</v>
      </c>
      <c r="F1223">
        <f t="shared" si="79"/>
        <v>21600000</v>
      </c>
    </row>
    <row r="1224" ht="13.85" spans="1:6">
      <c r="A1224">
        <f t="shared" si="76"/>
        <v>1223</v>
      </c>
      <c r="B1224" s="10"/>
      <c r="C1224" s="11">
        <v>57</v>
      </c>
      <c r="D1224">
        <f t="shared" si="77"/>
        <v>57</v>
      </c>
      <c r="E1224">
        <f t="shared" si="78"/>
        <v>57000000</v>
      </c>
      <c r="F1224">
        <f t="shared" si="79"/>
        <v>27360000</v>
      </c>
    </row>
    <row r="1225" ht="13.85" spans="1:6">
      <c r="A1225">
        <f t="shared" si="76"/>
        <v>1224</v>
      </c>
      <c r="B1225" s="10"/>
      <c r="C1225" s="11">
        <v>67</v>
      </c>
      <c r="D1225">
        <f t="shared" si="77"/>
        <v>67</v>
      </c>
      <c r="E1225">
        <f t="shared" si="78"/>
        <v>67000000</v>
      </c>
      <c r="F1225">
        <f t="shared" si="79"/>
        <v>32160000</v>
      </c>
    </row>
    <row r="1226" ht="13.85" spans="1:6">
      <c r="A1226">
        <f t="shared" si="76"/>
        <v>1225</v>
      </c>
      <c r="B1226" s="10"/>
      <c r="C1226" s="11">
        <v>81</v>
      </c>
      <c r="D1226">
        <f t="shared" si="77"/>
        <v>81</v>
      </c>
      <c r="E1226">
        <f t="shared" si="78"/>
        <v>81000000</v>
      </c>
      <c r="F1226">
        <f t="shared" si="79"/>
        <v>38880000</v>
      </c>
    </row>
    <row r="1227" ht="13.85" spans="1:6">
      <c r="A1227">
        <f t="shared" si="76"/>
        <v>1226</v>
      </c>
      <c r="B1227" s="10"/>
      <c r="C1227" s="11">
        <v>95</v>
      </c>
      <c r="D1227">
        <f t="shared" si="77"/>
        <v>95</v>
      </c>
      <c r="E1227">
        <f t="shared" si="78"/>
        <v>95000000</v>
      </c>
      <c r="F1227">
        <f t="shared" si="79"/>
        <v>45600000</v>
      </c>
    </row>
    <row r="1228" ht="13.85" spans="1:6">
      <c r="A1228">
        <f t="shared" si="76"/>
        <v>1227</v>
      </c>
      <c r="B1228" s="10"/>
      <c r="C1228" s="11">
        <v>111</v>
      </c>
      <c r="D1228">
        <f t="shared" si="77"/>
        <v>111</v>
      </c>
      <c r="E1228">
        <f t="shared" si="78"/>
        <v>111000000</v>
      </c>
      <c r="F1228">
        <f t="shared" si="79"/>
        <v>53280000</v>
      </c>
    </row>
    <row r="1229" ht="13.85" spans="1:6">
      <c r="A1229">
        <f t="shared" si="76"/>
        <v>1228</v>
      </c>
      <c r="B1229" s="10"/>
      <c r="C1229" s="11">
        <v>129</v>
      </c>
      <c r="D1229">
        <f t="shared" si="77"/>
        <v>129</v>
      </c>
      <c r="E1229">
        <f t="shared" si="78"/>
        <v>129000000</v>
      </c>
      <c r="F1229">
        <f t="shared" si="79"/>
        <v>61920000</v>
      </c>
    </row>
    <row r="1230" ht="13.85" spans="1:6">
      <c r="A1230">
        <f t="shared" si="76"/>
        <v>1229</v>
      </c>
      <c r="B1230" s="10"/>
      <c r="C1230" s="11">
        <v>150</v>
      </c>
      <c r="D1230">
        <f t="shared" si="77"/>
        <v>150</v>
      </c>
      <c r="E1230">
        <f t="shared" si="78"/>
        <v>150000000</v>
      </c>
      <c r="F1230">
        <f t="shared" si="79"/>
        <v>72000000</v>
      </c>
    </row>
    <row r="1231" ht="13.85" spans="1:6">
      <c r="A1231">
        <f t="shared" si="76"/>
        <v>1230</v>
      </c>
      <c r="B1231" s="10"/>
      <c r="C1231" s="11">
        <v>170</v>
      </c>
      <c r="D1231">
        <f t="shared" si="77"/>
        <v>170</v>
      </c>
      <c r="E1231">
        <f t="shared" si="78"/>
        <v>170000000</v>
      </c>
      <c r="F1231">
        <f t="shared" si="79"/>
        <v>81600000</v>
      </c>
    </row>
    <row r="1232" ht="13.85" spans="1:6">
      <c r="A1232">
        <f t="shared" si="76"/>
        <v>1231</v>
      </c>
      <c r="B1232" s="10"/>
      <c r="C1232" s="11">
        <v>189</v>
      </c>
      <c r="D1232">
        <f t="shared" si="77"/>
        <v>189</v>
      </c>
      <c r="E1232">
        <f t="shared" si="78"/>
        <v>189000000</v>
      </c>
      <c r="F1232">
        <f t="shared" si="79"/>
        <v>90720000</v>
      </c>
    </row>
    <row r="1233" ht="13.85" spans="1:6">
      <c r="A1233">
        <f t="shared" si="76"/>
        <v>1232</v>
      </c>
      <c r="B1233" s="14"/>
      <c r="C1233" s="15">
        <v>20</v>
      </c>
      <c r="D1233">
        <f t="shared" si="77"/>
        <v>20</v>
      </c>
      <c r="E1233">
        <f t="shared" si="78"/>
        <v>20000000</v>
      </c>
      <c r="F1233">
        <f t="shared" si="79"/>
        <v>9600000</v>
      </c>
    </row>
    <row r="1234" ht="13.85" spans="1:6">
      <c r="A1234">
        <f t="shared" si="76"/>
        <v>1233</v>
      </c>
      <c r="B1234" s="12"/>
      <c r="C1234" s="13">
        <v>25</v>
      </c>
      <c r="D1234">
        <f t="shared" si="77"/>
        <v>25</v>
      </c>
      <c r="E1234">
        <f t="shared" si="78"/>
        <v>25000000</v>
      </c>
      <c r="F1234">
        <f t="shared" si="79"/>
        <v>12000000</v>
      </c>
    </row>
    <row r="1235" ht="13.85" spans="1:6">
      <c r="A1235">
        <f t="shared" si="76"/>
        <v>1234</v>
      </c>
      <c r="B1235" s="10"/>
      <c r="C1235" s="11">
        <v>30</v>
      </c>
      <c r="D1235">
        <f t="shared" si="77"/>
        <v>30</v>
      </c>
      <c r="E1235">
        <f t="shared" si="78"/>
        <v>30000000</v>
      </c>
      <c r="F1235">
        <f t="shared" si="79"/>
        <v>14400000</v>
      </c>
    </row>
    <row r="1236" ht="13.85" spans="1:6">
      <c r="A1236">
        <f t="shared" si="76"/>
        <v>1235</v>
      </c>
      <c r="B1236" s="10"/>
      <c r="C1236" s="11">
        <v>20</v>
      </c>
      <c r="D1236">
        <f t="shared" si="77"/>
        <v>20</v>
      </c>
      <c r="E1236">
        <f t="shared" si="78"/>
        <v>20000000</v>
      </c>
      <c r="F1236">
        <f t="shared" si="79"/>
        <v>9600000</v>
      </c>
    </row>
    <row r="1237" ht="13.85" spans="1:6">
      <c r="A1237">
        <f t="shared" si="76"/>
        <v>1236</v>
      </c>
      <c r="B1237" s="10"/>
      <c r="C1237" s="11">
        <v>25</v>
      </c>
      <c r="D1237">
        <f t="shared" si="77"/>
        <v>25</v>
      </c>
      <c r="E1237">
        <f t="shared" si="78"/>
        <v>25000000</v>
      </c>
      <c r="F1237">
        <f t="shared" si="79"/>
        <v>12000000</v>
      </c>
    </row>
    <row r="1238" ht="13.85" spans="1:6">
      <c r="A1238">
        <f t="shared" si="76"/>
        <v>1237</v>
      </c>
      <c r="B1238" s="10"/>
      <c r="C1238" s="11">
        <v>31</v>
      </c>
      <c r="D1238">
        <f t="shared" si="77"/>
        <v>31</v>
      </c>
      <c r="E1238">
        <f t="shared" si="78"/>
        <v>31000000</v>
      </c>
      <c r="F1238">
        <f t="shared" si="79"/>
        <v>14880000</v>
      </c>
    </row>
    <row r="1239" ht="13.85" spans="1:6">
      <c r="A1239">
        <f t="shared" si="76"/>
        <v>1238</v>
      </c>
      <c r="B1239" s="10"/>
      <c r="C1239" s="11">
        <v>41</v>
      </c>
      <c r="D1239">
        <f t="shared" si="77"/>
        <v>41</v>
      </c>
      <c r="E1239">
        <f t="shared" si="78"/>
        <v>41000000</v>
      </c>
      <c r="F1239">
        <f t="shared" si="79"/>
        <v>19680000</v>
      </c>
    </row>
    <row r="1240" ht="13.85" spans="1:6">
      <c r="A1240">
        <f t="shared" si="76"/>
        <v>1239</v>
      </c>
      <c r="B1240" s="10"/>
      <c r="C1240" s="11">
        <v>53</v>
      </c>
      <c r="D1240">
        <f t="shared" si="77"/>
        <v>53</v>
      </c>
      <c r="E1240">
        <f t="shared" si="78"/>
        <v>53000000</v>
      </c>
      <c r="F1240">
        <f t="shared" si="79"/>
        <v>25440000</v>
      </c>
    </row>
    <row r="1241" ht="13.85" spans="1:6">
      <c r="A1241">
        <f t="shared" si="76"/>
        <v>1240</v>
      </c>
      <c r="B1241" s="10"/>
      <c r="C1241" s="11">
        <v>66</v>
      </c>
      <c r="D1241">
        <f t="shared" si="77"/>
        <v>66</v>
      </c>
      <c r="E1241">
        <f t="shared" si="78"/>
        <v>66000000</v>
      </c>
      <c r="F1241">
        <f t="shared" si="79"/>
        <v>31680000</v>
      </c>
    </row>
    <row r="1242" ht="13.85" spans="1:6">
      <c r="A1242">
        <f t="shared" si="76"/>
        <v>1241</v>
      </c>
      <c r="B1242" s="10"/>
      <c r="C1242" s="11">
        <v>80</v>
      </c>
      <c r="D1242">
        <f t="shared" si="77"/>
        <v>80</v>
      </c>
      <c r="E1242">
        <f t="shared" si="78"/>
        <v>80000000</v>
      </c>
      <c r="F1242">
        <f t="shared" si="79"/>
        <v>38400000</v>
      </c>
    </row>
    <row r="1243" ht="13.85" spans="1:6">
      <c r="A1243">
        <f t="shared" si="76"/>
        <v>1242</v>
      </c>
      <c r="B1243" s="10"/>
      <c r="C1243" s="11">
        <v>96</v>
      </c>
      <c r="D1243">
        <f t="shared" si="77"/>
        <v>96</v>
      </c>
      <c r="E1243">
        <f t="shared" si="78"/>
        <v>96000000</v>
      </c>
      <c r="F1243">
        <f t="shared" si="79"/>
        <v>46080000</v>
      </c>
    </row>
    <row r="1244" ht="13.85" spans="1:6">
      <c r="A1244">
        <f t="shared" si="76"/>
        <v>1243</v>
      </c>
      <c r="B1244" s="10"/>
      <c r="C1244" s="11">
        <v>20</v>
      </c>
      <c r="D1244">
        <f t="shared" si="77"/>
        <v>20</v>
      </c>
      <c r="E1244">
        <f t="shared" si="78"/>
        <v>20000000</v>
      </c>
      <c r="F1244">
        <f t="shared" si="79"/>
        <v>9600000</v>
      </c>
    </row>
    <row r="1245" ht="13.85" spans="1:6">
      <c r="A1245">
        <f t="shared" si="76"/>
        <v>1244</v>
      </c>
      <c r="B1245" s="10"/>
      <c r="C1245" s="11">
        <v>25</v>
      </c>
      <c r="D1245">
        <f t="shared" si="77"/>
        <v>25</v>
      </c>
      <c r="E1245">
        <f t="shared" si="78"/>
        <v>25000000</v>
      </c>
      <c r="F1245">
        <f t="shared" si="79"/>
        <v>12000000</v>
      </c>
    </row>
    <row r="1246" ht="13.85" spans="1:6">
      <c r="A1246">
        <f t="shared" si="76"/>
        <v>1245</v>
      </c>
      <c r="B1246" s="10"/>
      <c r="C1246" s="11">
        <v>32</v>
      </c>
      <c r="D1246">
        <f t="shared" si="77"/>
        <v>32</v>
      </c>
      <c r="E1246">
        <f t="shared" si="78"/>
        <v>32000000</v>
      </c>
      <c r="F1246">
        <f t="shared" si="79"/>
        <v>15360000</v>
      </c>
    </row>
    <row r="1247" ht="13.85" spans="1:6">
      <c r="A1247">
        <f t="shared" si="76"/>
        <v>1246</v>
      </c>
      <c r="B1247" s="10"/>
      <c r="C1247" s="11">
        <v>20</v>
      </c>
      <c r="D1247">
        <f t="shared" si="77"/>
        <v>20</v>
      </c>
      <c r="E1247">
        <f t="shared" si="78"/>
        <v>20000000</v>
      </c>
      <c r="F1247">
        <f t="shared" si="79"/>
        <v>9600000</v>
      </c>
    </row>
    <row r="1248" ht="13.85" spans="1:6">
      <c r="A1248">
        <f t="shared" si="76"/>
        <v>1247</v>
      </c>
      <c r="B1248" s="10"/>
      <c r="C1248" s="11">
        <v>25</v>
      </c>
      <c r="D1248">
        <f t="shared" si="77"/>
        <v>25</v>
      </c>
      <c r="E1248">
        <f t="shared" si="78"/>
        <v>25000000</v>
      </c>
      <c r="F1248">
        <f t="shared" si="79"/>
        <v>12000000</v>
      </c>
    </row>
    <row r="1249" ht="13.85" spans="1:6">
      <c r="A1249">
        <f t="shared" si="76"/>
        <v>1248</v>
      </c>
      <c r="B1249" s="10"/>
      <c r="C1249" s="11">
        <v>30</v>
      </c>
      <c r="D1249">
        <f t="shared" si="77"/>
        <v>30</v>
      </c>
      <c r="E1249">
        <f t="shared" si="78"/>
        <v>30000000</v>
      </c>
      <c r="F1249">
        <f t="shared" si="79"/>
        <v>14400000</v>
      </c>
    </row>
    <row r="1250" ht="13.85" spans="1:6">
      <c r="A1250">
        <f t="shared" si="76"/>
        <v>1249</v>
      </c>
      <c r="B1250" s="10"/>
      <c r="C1250" s="11">
        <v>41</v>
      </c>
      <c r="D1250">
        <f t="shared" si="77"/>
        <v>41</v>
      </c>
      <c r="E1250">
        <f t="shared" si="78"/>
        <v>41000000</v>
      </c>
      <c r="F1250">
        <f t="shared" si="79"/>
        <v>19680000</v>
      </c>
    </row>
    <row r="1251" ht="13.85" spans="1:6">
      <c r="A1251">
        <f t="shared" si="76"/>
        <v>1250</v>
      </c>
      <c r="B1251" s="10"/>
      <c r="C1251" s="11">
        <v>52</v>
      </c>
      <c r="D1251">
        <f t="shared" si="77"/>
        <v>52</v>
      </c>
      <c r="E1251">
        <f t="shared" si="78"/>
        <v>52000000</v>
      </c>
      <c r="F1251">
        <f t="shared" si="79"/>
        <v>24960000</v>
      </c>
    </row>
    <row r="1252" ht="13.85" spans="1:6">
      <c r="A1252">
        <f t="shared" si="76"/>
        <v>1251</v>
      </c>
      <c r="B1252" s="10"/>
      <c r="C1252" s="11">
        <v>65</v>
      </c>
      <c r="D1252">
        <f t="shared" si="77"/>
        <v>65</v>
      </c>
      <c r="E1252">
        <f t="shared" si="78"/>
        <v>65000000</v>
      </c>
      <c r="F1252">
        <f t="shared" si="79"/>
        <v>31200000</v>
      </c>
    </row>
    <row r="1253" ht="13.85" spans="1:6">
      <c r="A1253">
        <f t="shared" si="76"/>
        <v>1252</v>
      </c>
      <c r="B1253" s="10"/>
      <c r="C1253" s="11">
        <v>77</v>
      </c>
      <c r="D1253">
        <f t="shared" si="77"/>
        <v>77</v>
      </c>
      <c r="E1253">
        <f t="shared" si="78"/>
        <v>77000000</v>
      </c>
      <c r="F1253">
        <f t="shared" si="79"/>
        <v>36960000</v>
      </c>
    </row>
    <row r="1254" ht="13.85" spans="1:6">
      <c r="A1254">
        <f t="shared" si="76"/>
        <v>1253</v>
      </c>
      <c r="B1254" s="10"/>
      <c r="C1254" s="11">
        <v>92</v>
      </c>
      <c r="D1254">
        <f t="shared" si="77"/>
        <v>92</v>
      </c>
      <c r="E1254">
        <f t="shared" si="78"/>
        <v>92000000</v>
      </c>
      <c r="F1254">
        <f t="shared" si="79"/>
        <v>44160000</v>
      </c>
    </row>
    <row r="1255" ht="13.85" spans="1:6">
      <c r="A1255">
        <f t="shared" si="76"/>
        <v>1254</v>
      </c>
      <c r="B1255" s="10"/>
      <c r="C1255" s="11">
        <v>106</v>
      </c>
      <c r="D1255">
        <f t="shared" si="77"/>
        <v>106</v>
      </c>
      <c r="E1255">
        <f t="shared" si="78"/>
        <v>106000000</v>
      </c>
      <c r="F1255">
        <f t="shared" si="79"/>
        <v>50880000</v>
      </c>
    </row>
    <row r="1256" ht="13.85" spans="1:6">
      <c r="A1256">
        <f t="shared" si="76"/>
        <v>1255</v>
      </c>
      <c r="B1256" s="10"/>
      <c r="C1256" s="11">
        <v>122</v>
      </c>
      <c r="D1256">
        <f t="shared" si="77"/>
        <v>122</v>
      </c>
      <c r="E1256">
        <f t="shared" si="78"/>
        <v>122000000</v>
      </c>
      <c r="F1256">
        <f t="shared" si="79"/>
        <v>58560000</v>
      </c>
    </row>
    <row r="1257" ht="13.85" spans="1:6">
      <c r="A1257">
        <f t="shared" si="76"/>
        <v>1256</v>
      </c>
      <c r="B1257" s="10"/>
      <c r="C1257" s="11">
        <v>20</v>
      </c>
      <c r="D1257">
        <f t="shared" si="77"/>
        <v>20</v>
      </c>
      <c r="E1257">
        <f t="shared" si="78"/>
        <v>20000000</v>
      </c>
      <c r="F1257">
        <f t="shared" si="79"/>
        <v>9600000</v>
      </c>
    </row>
    <row r="1258" ht="13.85" spans="1:6">
      <c r="A1258">
        <f t="shared" si="76"/>
        <v>1257</v>
      </c>
      <c r="B1258" s="11">
        <v>3664065</v>
      </c>
      <c r="C1258" s="11">
        <v>25</v>
      </c>
      <c r="D1258">
        <f t="shared" si="77"/>
        <v>25</v>
      </c>
      <c r="E1258">
        <f t="shared" si="78"/>
        <v>25000000</v>
      </c>
      <c r="F1258">
        <f t="shared" si="79"/>
        <v>12000000</v>
      </c>
    </row>
    <row r="1259" ht="13.85" spans="1:6">
      <c r="A1259">
        <f t="shared" si="76"/>
        <v>1258</v>
      </c>
      <c r="B1259" s="11">
        <v>3281291</v>
      </c>
      <c r="C1259" s="11">
        <v>20</v>
      </c>
      <c r="D1259">
        <f t="shared" si="77"/>
        <v>20</v>
      </c>
      <c r="E1259">
        <f t="shared" si="78"/>
        <v>20000000</v>
      </c>
      <c r="F1259">
        <f t="shared" si="79"/>
        <v>9600000</v>
      </c>
    </row>
    <row r="1260" ht="13.85" spans="1:6">
      <c r="A1260">
        <f t="shared" si="76"/>
        <v>1259</v>
      </c>
      <c r="B1260" s="11">
        <v>3565801</v>
      </c>
      <c r="C1260" s="11">
        <v>25</v>
      </c>
      <c r="D1260">
        <f t="shared" si="77"/>
        <v>25</v>
      </c>
      <c r="E1260">
        <f t="shared" si="78"/>
        <v>25000000</v>
      </c>
      <c r="F1260">
        <f t="shared" si="79"/>
        <v>12000000</v>
      </c>
    </row>
    <row r="1261" ht="13.85" spans="1:6">
      <c r="A1261">
        <f t="shared" si="76"/>
        <v>1260</v>
      </c>
      <c r="B1261" s="11">
        <v>3351777</v>
      </c>
      <c r="C1261" s="11">
        <v>30</v>
      </c>
      <c r="D1261">
        <f t="shared" si="77"/>
        <v>30</v>
      </c>
      <c r="E1261">
        <f t="shared" si="78"/>
        <v>30000000</v>
      </c>
      <c r="F1261">
        <f t="shared" si="79"/>
        <v>14400000</v>
      </c>
    </row>
    <row r="1262" ht="13.85" spans="1:6">
      <c r="A1262">
        <f t="shared" si="76"/>
        <v>1261</v>
      </c>
      <c r="B1262" s="11">
        <v>3816771</v>
      </c>
      <c r="C1262" s="11">
        <v>40</v>
      </c>
      <c r="D1262">
        <f t="shared" si="77"/>
        <v>40</v>
      </c>
      <c r="E1262">
        <f t="shared" si="78"/>
        <v>40000000</v>
      </c>
      <c r="F1262">
        <f t="shared" si="79"/>
        <v>19200000</v>
      </c>
    </row>
    <row r="1263" ht="13.85" spans="1:6">
      <c r="A1263">
        <f t="shared" si="76"/>
        <v>1262</v>
      </c>
      <c r="B1263" s="11">
        <v>3611695</v>
      </c>
      <c r="C1263" s="11">
        <v>51</v>
      </c>
      <c r="D1263">
        <f t="shared" si="77"/>
        <v>51</v>
      </c>
      <c r="E1263">
        <f t="shared" si="78"/>
        <v>51000000</v>
      </c>
      <c r="F1263">
        <f t="shared" si="79"/>
        <v>24480000</v>
      </c>
    </row>
    <row r="1264" ht="13.85" spans="1:6">
      <c r="A1264">
        <f t="shared" si="76"/>
        <v>1263</v>
      </c>
      <c r="B1264" s="11">
        <v>4154196</v>
      </c>
      <c r="C1264" s="11">
        <v>65</v>
      </c>
      <c r="D1264">
        <f t="shared" si="77"/>
        <v>65</v>
      </c>
      <c r="E1264">
        <f t="shared" si="78"/>
        <v>65000000</v>
      </c>
      <c r="F1264">
        <f t="shared" si="79"/>
        <v>31200000</v>
      </c>
    </row>
    <row r="1265" ht="13.85" spans="1:6">
      <c r="A1265">
        <f t="shared" si="76"/>
        <v>1264</v>
      </c>
      <c r="B1265" s="11">
        <v>3898819</v>
      </c>
      <c r="C1265" s="11">
        <v>76</v>
      </c>
      <c r="D1265">
        <f t="shared" si="77"/>
        <v>76</v>
      </c>
      <c r="E1265">
        <f t="shared" si="78"/>
        <v>76000000</v>
      </c>
      <c r="F1265">
        <f t="shared" si="79"/>
        <v>36480000</v>
      </c>
    </row>
    <row r="1266" ht="13.85" spans="1:6">
      <c r="A1266">
        <f t="shared" si="76"/>
        <v>1265</v>
      </c>
      <c r="B1266" s="11">
        <v>4346111</v>
      </c>
      <c r="C1266" s="11">
        <v>90</v>
      </c>
      <c r="D1266">
        <f t="shared" si="77"/>
        <v>90</v>
      </c>
      <c r="E1266">
        <f t="shared" si="78"/>
        <v>90000000</v>
      </c>
      <c r="F1266">
        <f t="shared" si="79"/>
        <v>43200000</v>
      </c>
    </row>
    <row r="1267" ht="13.85" spans="1:6">
      <c r="A1267">
        <f t="shared" si="76"/>
        <v>1266</v>
      </c>
      <c r="B1267" s="11">
        <v>6236199</v>
      </c>
      <c r="C1267" s="11">
        <v>115</v>
      </c>
      <c r="D1267">
        <f t="shared" si="77"/>
        <v>115</v>
      </c>
      <c r="E1267">
        <f t="shared" si="78"/>
        <v>115000000</v>
      </c>
      <c r="F1267">
        <f t="shared" si="79"/>
        <v>55200000</v>
      </c>
    </row>
    <row r="1268" ht="13.85" spans="1:6">
      <c r="A1268">
        <f t="shared" si="76"/>
        <v>1267</v>
      </c>
      <c r="B1268" s="11">
        <v>6567186</v>
      </c>
      <c r="C1268" s="11">
        <v>140</v>
      </c>
      <c r="D1268">
        <f t="shared" si="77"/>
        <v>140</v>
      </c>
      <c r="E1268">
        <f t="shared" si="78"/>
        <v>140000000</v>
      </c>
      <c r="F1268">
        <f t="shared" si="79"/>
        <v>67200000</v>
      </c>
    </row>
    <row r="1269" ht="13.85" spans="1:6">
      <c r="A1269">
        <f t="shared" si="76"/>
        <v>1268</v>
      </c>
      <c r="B1269" s="11">
        <v>4103589</v>
      </c>
      <c r="C1269" s="11">
        <v>20</v>
      </c>
      <c r="D1269">
        <f t="shared" si="77"/>
        <v>20</v>
      </c>
      <c r="E1269">
        <f t="shared" si="78"/>
        <v>20000000</v>
      </c>
      <c r="F1269">
        <f t="shared" si="79"/>
        <v>9600000</v>
      </c>
    </row>
    <row r="1270" ht="13.85" spans="1:6">
      <c r="A1270">
        <f t="shared" si="76"/>
        <v>1269</v>
      </c>
      <c r="B1270" s="11">
        <v>4725428</v>
      </c>
      <c r="C1270" s="11">
        <v>25</v>
      </c>
      <c r="D1270">
        <f t="shared" si="77"/>
        <v>25</v>
      </c>
      <c r="E1270">
        <f t="shared" si="78"/>
        <v>25000000</v>
      </c>
      <c r="F1270">
        <f t="shared" si="79"/>
        <v>12000000</v>
      </c>
    </row>
    <row r="1271" ht="13.85" spans="1:6">
      <c r="A1271">
        <f t="shared" si="76"/>
        <v>1270</v>
      </c>
      <c r="B1271" s="11">
        <v>4440934</v>
      </c>
      <c r="C1271" s="11">
        <v>40</v>
      </c>
      <c r="D1271">
        <f t="shared" si="77"/>
        <v>40</v>
      </c>
      <c r="E1271">
        <f t="shared" si="78"/>
        <v>40000000</v>
      </c>
      <c r="F1271">
        <f t="shared" si="79"/>
        <v>19200000</v>
      </c>
    </row>
    <row r="1272" ht="13.85" spans="1:6">
      <c r="A1272">
        <f t="shared" si="76"/>
        <v>1271</v>
      </c>
      <c r="B1272" s="11">
        <v>5047912</v>
      </c>
      <c r="C1272" s="11">
        <v>57</v>
      </c>
      <c r="D1272">
        <f t="shared" si="77"/>
        <v>57</v>
      </c>
      <c r="E1272">
        <f t="shared" si="78"/>
        <v>57000000</v>
      </c>
      <c r="F1272">
        <f t="shared" si="79"/>
        <v>27360000</v>
      </c>
    </row>
    <row r="1273" ht="13.85" spans="1:6">
      <c r="A1273">
        <f t="shared" si="76"/>
        <v>1272</v>
      </c>
      <c r="B1273" s="11">
        <v>4713751</v>
      </c>
      <c r="C1273" s="11">
        <v>76</v>
      </c>
      <c r="D1273">
        <f t="shared" si="77"/>
        <v>76</v>
      </c>
      <c r="E1273">
        <f t="shared" si="78"/>
        <v>76000000</v>
      </c>
      <c r="F1273">
        <f t="shared" si="79"/>
        <v>36480000</v>
      </c>
    </row>
    <row r="1274" ht="13.85" spans="1:6">
      <c r="A1274">
        <f t="shared" si="76"/>
        <v>1273</v>
      </c>
      <c r="B1274" s="11">
        <v>5365786</v>
      </c>
      <c r="C1274" s="11">
        <v>95</v>
      </c>
      <c r="D1274">
        <f t="shared" si="77"/>
        <v>95</v>
      </c>
      <c r="E1274">
        <f t="shared" si="78"/>
        <v>95000000</v>
      </c>
      <c r="F1274">
        <f t="shared" si="79"/>
        <v>45600000</v>
      </c>
    </row>
    <row r="1275" ht="13.85" spans="1:6">
      <c r="A1275">
        <f t="shared" si="76"/>
        <v>1274</v>
      </c>
      <c r="B1275" s="11">
        <v>5599177</v>
      </c>
      <c r="C1275" s="11">
        <v>114</v>
      </c>
      <c r="D1275">
        <f t="shared" si="77"/>
        <v>114</v>
      </c>
      <c r="E1275">
        <f t="shared" si="78"/>
        <v>114000000</v>
      </c>
      <c r="F1275">
        <f t="shared" si="79"/>
        <v>54720000</v>
      </c>
    </row>
    <row r="1276" ht="13.85" spans="1:6">
      <c r="A1276">
        <f t="shared" si="76"/>
        <v>1275</v>
      </c>
      <c r="B1276" s="11">
        <v>6303025</v>
      </c>
      <c r="C1276" s="11">
        <v>144</v>
      </c>
      <c r="D1276">
        <f t="shared" si="77"/>
        <v>144</v>
      </c>
      <c r="E1276">
        <f t="shared" si="78"/>
        <v>144000000</v>
      </c>
      <c r="F1276">
        <f t="shared" si="79"/>
        <v>69120000</v>
      </c>
    </row>
    <row r="1277" ht="13.85" spans="1:6">
      <c r="A1277">
        <f t="shared" si="76"/>
        <v>1276</v>
      </c>
      <c r="B1277" s="11">
        <v>6470707</v>
      </c>
      <c r="C1277" s="11">
        <v>172</v>
      </c>
      <c r="D1277">
        <f t="shared" si="77"/>
        <v>172</v>
      </c>
      <c r="E1277">
        <f t="shared" si="78"/>
        <v>172000000</v>
      </c>
      <c r="F1277">
        <f t="shared" si="79"/>
        <v>82560000</v>
      </c>
    </row>
    <row r="1278" ht="13.85" spans="1:6">
      <c r="A1278">
        <f t="shared" si="76"/>
        <v>1277</v>
      </c>
      <c r="B1278" s="11">
        <v>8335800</v>
      </c>
      <c r="C1278" s="11">
        <v>211</v>
      </c>
      <c r="D1278">
        <f t="shared" si="77"/>
        <v>211</v>
      </c>
      <c r="E1278">
        <f t="shared" si="78"/>
        <v>211000000</v>
      </c>
      <c r="F1278">
        <f t="shared" si="79"/>
        <v>101280000</v>
      </c>
    </row>
    <row r="1279" ht="13.85" spans="1:6">
      <c r="A1279">
        <f t="shared" si="76"/>
        <v>1278</v>
      </c>
      <c r="B1279" s="11">
        <v>4237993</v>
      </c>
      <c r="C1279" s="11">
        <v>20</v>
      </c>
      <c r="D1279">
        <f t="shared" si="77"/>
        <v>20</v>
      </c>
      <c r="E1279">
        <f t="shared" si="78"/>
        <v>20000000</v>
      </c>
      <c r="F1279">
        <f t="shared" si="79"/>
        <v>9600000</v>
      </c>
    </row>
    <row r="1280" ht="13.85" spans="1:6">
      <c r="A1280">
        <f t="shared" si="76"/>
        <v>1279</v>
      </c>
      <c r="B1280" s="11">
        <v>4546.369</v>
      </c>
      <c r="C1280" s="11">
        <v>30</v>
      </c>
      <c r="D1280">
        <f t="shared" si="77"/>
        <v>30</v>
      </c>
      <c r="E1280">
        <f t="shared" si="78"/>
        <v>30000000</v>
      </c>
      <c r="F1280">
        <f t="shared" si="79"/>
        <v>14400000</v>
      </c>
    </row>
    <row r="1281" ht="13.85" spans="1:6">
      <c r="A1281">
        <f t="shared" si="76"/>
        <v>1280</v>
      </c>
      <c r="B1281" s="11">
        <v>4280274</v>
      </c>
      <c r="C1281" s="11">
        <v>45</v>
      </c>
      <c r="D1281">
        <f t="shared" si="77"/>
        <v>45</v>
      </c>
      <c r="E1281">
        <f t="shared" si="78"/>
        <v>45000000</v>
      </c>
      <c r="F1281">
        <f t="shared" si="79"/>
        <v>21600000</v>
      </c>
    </row>
    <row r="1282" ht="13.85" spans="1:6">
      <c r="A1282">
        <f t="shared" ref="A1282:A1345" si="80">ROW()-1</f>
        <v>1281</v>
      </c>
      <c r="B1282" s="11">
        <v>4873235</v>
      </c>
      <c r="C1282" s="11">
        <v>65</v>
      </c>
      <c r="D1282">
        <f t="shared" ref="D1282:D1345" si="81">IF(RIGHT(C1282,1)="B",VALUE(LEFT(C1282,LEN(C1282)-1))*1000,C1282)</f>
        <v>65</v>
      </c>
      <c r="E1282">
        <f t="shared" ref="E1282:E1345" si="82">D1282*1000000</f>
        <v>65000000</v>
      </c>
      <c r="F1282">
        <f t="shared" ref="F1282:F1345" si="83">E1282*0.48</f>
        <v>31200000</v>
      </c>
    </row>
    <row r="1283" ht="13.85" spans="1:6">
      <c r="A1283">
        <f t="shared" si="80"/>
        <v>1282</v>
      </c>
      <c r="B1283" s="11">
        <v>4649824</v>
      </c>
      <c r="C1283" s="11">
        <v>82</v>
      </c>
      <c r="D1283">
        <f t="shared" si="81"/>
        <v>82</v>
      </c>
      <c r="E1283">
        <f t="shared" si="82"/>
        <v>82000000</v>
      </c>
      <c r="F1283">
        <f t="shared" si="83"/>
        <v>39360000</v>
      </c>
    </row>
    <row r="1284" ht="13.85" spans="1:6">
      <c r="A1284">
        <f t="shared" si="80"/>
        <v>1283</v>
      </c>
      <c r="B1284" s="11">
        <v>5818806</v>
      </c>
      <c r="C1284" s="11">
        <v>103</v>
      </c>
      <c r="D1284">
        <f t="shared" si="81"/>
        <v>103</v>
      </c>
      <c r="E1284">
        <f t="shared" si="82"/>
        <v>103000000</v>
      </c>
      <c r="F1284">
        <f t="shared" si="83"/>
        <v>49440000</v>
      </c>
    </row>
    <row r="1285" ht="13.85" spans="1:6">
      <c r="A1285">
        <f t="shared" si="80"/>
        <v>1284</v>
      </c>
      <c r="B1285" s="11">
        <v>5444820</v>
      </c>
      <c r="C1285" s="11">
        <v>125</v>
      </c>
      <c r="D1285">
        <f t="shared" si="81"/>
        <v>125</v>
      </c>
      <c r="E1285">
        <f t="shared" si="82"/>
        <v>125000000</v>
      </c>
      <c r="F1285">
        <f t="shared" si="83"/>
        <v>60000000</v>
      </c>
    </row>
    <row r="1286" ht="13.85" spans="1:6">
      <c r="A1286">
        <f t="shared" si="80"/>
        <v>1285</v>
      </c>
      <c r="B1286" s="11">
        <v>6177501</v>
      </c>
      <c r="C1286" s="11">
        <v>150</v>
      </c>
      <c r="D1286">
        <f t="shared" si="81"/>
        <v>150</v>
      </c>
      <c r="E1286">
        <f t="shared" si="82"/>
        <v>150000000</v>
      </c>
      <c r="F1286">
        <f t="shared" si="83"/>
        <v>72000000</v>
      </c>
    </row>
    <row r="1287" ht="13.85" spans="1:6">
      <c r="A1287">
        <f t="shared" si="80"/>
        <v>1286</v>
      </c>
      <c r="B1287" s="11">
        <v>6119936</v>
      </c>
      <c r="C1287" s="11">
        <v>177</v>
      </c>
      <c r="D1287">
        <f t="shared" si="81"/>
        <v>177</v>
      </c>
      <c r="E1287">
        <f t="shared" si="82"/>
        <v>177000000</v>
      </c>
      <c r="F1287">
        <f t="shared" si="83"/>
        <v>84960000</v>
      </c>
    </row>
    <row r="1288" ht="13.85" spans="1:6">
      <c r="A1288">
        <f t="shared" si="80"/>
        <v>1287</v>
      </c>
      <c r="B1288" s="11">
        <v>8084180</v>
      </c>
      <c r="C1288" s="11">
        <v>212</v>
      </c>
      <c r="D1288">
        <f t="shared" si="81"/>
        <v>212</v>
      </c>
      <c r="E1288">
        <f t="shared" si="82"/>
        <v>212000000</v>
      </c>
      <c r="F1288">
        <f t="shared" si="83"/>
        <v>101760000</v>
      </c>
    </row>
    <row r="1289" ht="13.85" spans="1:6">
      <c r="A1289">
        <f t="shared" si="80"/>
        <v>1288</v>
      </c>
      <c r="B1289" s="11">
        <v>9554163</v>
      </c>
      <c r="C1289" s="11">
        <v>252</v>
      </c>
      <c r="D1289">
        <f t="shared" si="81"/>
        <v>252</v>
      </c>
      <c r="E1289">
        <f t="shared" si="82"/>
        <v>252000000</v>
      </c>
      <c r="F1289">
        <f t="shared" si="83"/>
        <v>120960000</v>
      </c>
    </row>
    <row r="1290" ht="13.85" spans="1:6">
      <c r="A1290">
        <f t="shared" si="80"/>
        <v>1289</v>
      </c>
      <c r="B1290" s="11">
        <v>4450367</v>
      </c>
      <c r="C1290" s="11">
        <v>20</v>
      </c>
      <c r="D1290">
        <f t="shared" si="81"/>
        <v>20</v>
      </c>
      <c r="E1290">
        <f t="shared" si="82"/>
        <v>20000000</v>
      </c>
      <c r="F1290">
        <f t="shared" si="83"/>
        <v>9600000</v>
      </c>
    </row>
    <row r="1291" ht="13.85" spans="1:6">
      <c r="A1291">
        <f t="shared" si="80"/>
        <v>1290</v>
      </c>
      <c r="B1291" s="11">
        <v>4174230</v>
      </c>
      <c r="C1291" s="11">
        <v>30</v>
      </c>
      <c r="D1291">
        <f t="shared" si="81"/>
        <v>30</v>
      </c>
      <c r="E1291">
        <f t="shared" si="82"/>
        <v>30000000</v>
      </c>
      <c r="F1291">
        <f t="shared" si="83"/>
        <v>14400000</v>
      </c>
    </row>
    <row r="1292" ht="13.85" spans="1:6">
      <c r="A1292">
        <f t="shared" si="80"/>
        <v>1291</v>
      </c>
      <c r="B1292" s="11">
        <v>5246570</v>
      </c>
      <c r="C1292" s="11">
        <v>45</v>
      </c>
      <c r="D1292">
        <f t="shared" si="81"/>
        <v>45</v>
      </c>
      <c r="E1292">
        <f t="shared" si="82"/>
        <v>45000000</v>
      </c>
      <c r="F1292">
        <f t="shared" si="83"/>
        <v>21600000</v>
      </c>
    </row>
    <row r="1293" ht="13.85" spans="1:6">
      <c r="A1293">
        <f t="shared" si="80"/>
        <v>1292</v>
      </c>
      <c r="B1293" s="11">
        <v>5170663</v>
      </c>
      <c r="C1293" s="11">
        <v>60</v>
      </c>
      <c r="D1293">
        <f t="shared" si="81"/>
        <v>60</v>
      </c>
      <c r="E1293">
        <f t="shared" si="82"/>
        <v>60000000</v>
      </c>
      <c r="F1293">
        <f t="shared" si="83"/>
        <v>28800000</v>
      </c>
    </row>
    <row r="1294" ht="13.85" spans="1:6">
      <c r="A1294">
        <f t="shared" si="80"/>
        <v>1293</v>
      </c>
      <c r="B1294" s="11">
        <v>5808567</v>
      </c>
      <c r="C1294" s="11">
        <v>80</v>
      </c>
      <c r="D1294">
        <f t="shared" si="81"/>
        <v>80</v>
      </c>
      <c r="E1294">
        <f t="shared" si="82"/>
        <v>80000000</v>
      </c>
      <c r="F1294">
        <f t="shared" si="83"/>
        <v>38400000</v>
      </c>
    </row>
    <row r="1295" ht="13.85" spans="1:6">
      <c r="A1295">
        <f t="shared" si="80"/>
        <v>1294</v>
      </c>
      <c r="B1295" s="11">
        <v>5843221</v>
      </c>
      <c r="C1295" s="11">
        <v>97</v>
      </c>
      <c r="D1295">
        <f t="shared" si="81"/>
        <v>97</v>
      </c>
      <c r="E1295">
        <f t="shared" si="82"/>
        <v>97000000</v>
      </c>
      <c r="F1295">
        <f t="shared" si="83"/>
        <v>46560000</v>
      </c>
    </row>
    <row r="1296" ht="13.85" spans="1:6">
      <c r="A1296">
        <f t="shared" si="80"/>
        <v>1295</v>
      </c>
      <c r="B1296" s="11">
        <v>6649847</v>
      </c>
      <c r="C1296" s="11">
        <v>120</v>
      </c>
      <c r="D1296">
        <f t="shared" si="81"/>
        <v>120</v>
      </c>
      <c r="E1296">
        <f t="shared" si="82"/>
        <v>120000000</v>
      </c>
      <c r="F1296">
        <f t="shared" si="83"/>
        <v>57600000</v>
      </c>
    </row>
    <row r="1297" ht="13.85" spans="1:6">
      <c r="A1297">
        <f t="shared" si="80"/>
        <v>1296</v>
      </c>
      <c r="B1297" s="11">
        <v>6538813</v>
      </c>
      <c r="C1297" s="11">
        <v>145</v>
      </c>
      <c r="D1297">
        <f t="shared" si="81"/>
        <v>145</v>
      </c>
      <c r="E1297">
        <f t="shared" si="82"/>
        <v>145000000</v>
      </c>
      <c r="F1297">
        <f t="shared" si="83"/>
        <v>69600000</v>
      </c>
    </row>
    <row r="1298" ht="13.85" spans="1:6">
      <c r="A1298">
        <f t="shared" si="80"/>
        <v>1297</v>
      </c>
      <c r="B1298" s="11">
        <v>7229950</v>
      </c>
      <c r="C1298" s="11">
        <v>164</v>
      </c>
      <c r="D1298">
        <f t="shared" si="81"/>
        <v>164</v>
      </c>
      <c r="E1298">
        <f t="shared" si="82"/>
        <v>164000000</v>
      </c>
      <c r="F1298">
        <f t="shared" si="83"/>
        <v>78720000</v>
      </c>
    </row>
    <row r="1299" ht="13.85" spans="1:6">
      <c r="A1299">
        <f t="shared" si="80"/>
        <v>1298</v>
      </c>
      <c r="B1299" s="11">
        <v>7104383</v>
      </c>
      <c r="C1299" s="11">
        <v>190</v>
      </c>
      <c r="D1299">
        <f t="shared" si="81"/>
        <v>190</v>
      </c>
      <c r="E1299">
        <f t="shared" si="82"/>
        <v>190000000</v>
      </c>
      <c r="F1299">
        <f t="shared" si="83"/>
        <v>91200000</v>
      </c>
    </row>
    <row r="1300" ht="13.85" spans="1:6">
      <c r="A1300">
        <f t="shared" si="80"/>
        <v>1299</v>
      </c>
      <c r="B1300" s="11">
        <v>8864698</v>
      </c>
      <c r="C1300" s="11">
        <v>220</v>
      </c>
      <c r="D1300">
        <f t="shared" si="81"/>
        <v>220</v>
      </c>
      <c r="E1300">
        <f t="shared" si="82"/>
        <v>220000000</v>
      </c>
      <c r="F1300">
        <f t="shared" si="83"/>
        <v>105600000</v>
      </c>
    </row>
    <row r="1301" ht="13.85" spans="1:6">
      <c r="A1301">
        <f t="shared" si="80"/>
        <v>1300</v>
      </c>
      <c r="B1301" s="11">
        <v>9185636</v>
      </c>
      <c r="C1301" s="11">
        <v>260</v>
      </c>
      <c r="D1301">
        <f t="shared" si="81"/>
        <v>260</v>
      </c>
      <c r="E1301">
        <f t="shared" si="82"/>
        <v>260000000</v>
      </c>
      <c r="F1301">
        <f t="shared" si="83"/>
        <v>124800000</v>
      </c>
    </row>
    <row r="1302" ht="13.85" spans="1:6">
      <c r="A1302">
        <f t="shared" si="80"/>
        <v>1301</v>
      </c>
      <c r="B1302" s="11">
        <v>5020389</v>
      </c>
      <c r="C1302" s="11">
        <v>20</v>
      </c>
      <c r="D1302">
        <f t="shared" si="81"/>
        <v>20</v>
      </c>
      <c r="E1302">
        <f t="shared" si="82"/>
        <v>20000000</v>
      </c>
      <c r="F1302">
        <f t="shared" si="83"/>
        <v>9600000</v>
      </c>
    </row>
    <row r="1303" ht="13.85" spans="1:6">
      <c r="A1303">
        <f t="shared" si="80"/>
        <v>1302</v>
      </c>
      <c r="B1303" s="11">
        <v>4622008</v>
      </c>
      <c r="C1303" s="11">
        <v>28</v>
      </c>
      <c r="D1303">
        <f t="shared" si="81"/>
        <v>28</v>
      </c>
      <c r="E1303">
        <f t="shared" si="82"/>
        <v>28000000</v>
      </c>
      <c r="F1303">
        <f t="shared" si="83"/>
        <v>13440000</v>
      </c>
    </row>
    <row r="1304" ht="13.85" spans="1:6">
      <c r="A1304">
        <f t="shared" si="80"/>
        <v>1303</v>
      </c>
      <c r="B1304" s="11">
        <v>5201990</v>
      </c>
      <c r="C1304" s="11">
        <v>44</v>
      </c>
      <c r="D1304">
        <f t="shared" si="81"/>
        <v>44</v>
      </c>
      <c r="E1304">
        <f t="shared" si="82"/>
        <v>44000000</v>
      </c>
      <c r="F1304">
        <f t="shared" si="83"/>
        <v>21120000</v>
      </c>
    </row>
    <row r="1305" ht="13.85" spans="1:6">
      <c r="A1305">
        <f t="shared" si="80"/>
        <v>1304</v>
      </c>
      <c r="B1305" s="11">
        <v>5054515</v>
      </c>
      <c r="C1305" s="11">
        <v>60</v>
      </c>
      <c r="D1305">
        <f t="shared" si="81"/>
        <v>60</v>
      </c>
      <c r="E1305">
        <f t="shared" si="82"/>
        <v>60000000</v>
      </c>
      <c r="F1305">
        <f t="shared" si="83"/>
        <v>28800000</v>
      </c>
    </row>
    <row r="1306" ht="13.85" spans="1:6">
      <c r="A1306">
        <f t="shared" si="80"/>
        <v>1305</v>
      </c>
      <c r="B1306" s="11">
        <v>5552080</v>
      </c>
      <c r="C1306" s="11">
        <v>78</v>
      </c>
      <c r="D1306">
        <f t="shared" si="81"/>
        <v>78</v>
      </c>
      <c r="E1306">
        <f t="shared" si="82"/>
        <v>78000000</v>
      </c>
      <c r="F1306">
        <f t="shared" si="83"/>
        <v>37440000</v>
      </c>
    </row>
    <row r="1307" ht="13.85" spans="1:6">
      <c r="A1307">
        <f t="shared" si="80"/>
        <v>1306</v>
      </c>
      <c r="B1307" s="11">
        <v>5292327</v>
      </c>
      <c r="C1307" s="11">
        <v>97</v>
      </c>
      <c r="D1307">
        <f t="shared" si="81"/>
        <v>97</v>
      </c>
      <c r="E1307">
        <f t="shared" si="82"/>
        <v>97000000</v>
      </c>
      <c r="F1307">
        <f t="shared" si="83"/>
        <v>46560000</v>
      </c>
    </row>
    <row r="1308" ht="13.85" spans="1:6">
      <c r="A1308">
        <f t="shared" si="80"/>
        <v>1307</v>
      </c>
      <c r="B1308" s="11">
        <v>4612260</v>
      </c>
      <c r="C1308" s="11">
        <v>20</v>
      </c>
      <c r="D1308">
        <f t="shared" si="81"/>
        <v>20</v>
      </c>
      <c r="E1308">
        <f t="shared" si="82"/>
        <v>20000000</v>
      </c>
      <c r="F1308">
        <f t="shared" si="83"/>
        <v>9600000</v>
      </c>
    </row>
    <row r="1309" ht="13.85" spans="1:6">
      <c r="A1309">
        <f t="shared" si="80"/>
        <v>1308</v>
      </c>
      <c r="B1309" s="11">
        <v>4313686</v>
      </c>
      <c r="C1309" s="11">
        <v>27</v>
      </c>
      <c r="D1309">
        <f t="shared" si="81"/>
        <v>27</v>
      </c>
      <c r="E1309">
        <f t="shared" si="82"/>
        <v>27000000</v>
      </c>
      <c r="F1309">
        <f t="shared" si="83"/>
        <v>12960000</v>
      </c>
    </row>
    <row r="1310" ht="13.85" spans="1:6">
      <c r="A1310">
        <f t="shared" si="80"/>
        <v>1309</v>
      </c>
      <c r="B1310" s="11">
        <v>5048935</v>
      </c>
      <c r="C1310" s="11">
        <v>41</v>
      </c>
      <c r="D1310">
        <f t="shared" si="81"/>
        <v>41</v>
      </c>
      <c r="E1310">
        <f t="shared" si="82"/>
        <v>41000000</v>
      </c>
      <c r="F1310">
        <f t="shared" si="83"/>
        <v>19680000</v>
      </c>
    </row>
    <row r="1311" ht="13.85" spans="1:6">
      <c r="A1311">
        <f t="shared" si="80"/>
        <v>1310</v>
      </c>
      <c r="B1311" s="11">
        <v>4508896</v>
      </c>
      <c r="C1311" s="11">
        <v>54</v>
      </c>
      <c r="D1311">
        <f t="shared" si="81"/>
        <v>54</v>
      </c>
      <c r="E1311">
        <f t="shared" si="82"/>
        <v>54000000</v>
      </c>
      <c r="F1311">
        <f t="shared" si="83"/>
        <v>25920000</v>
      </c>
    </row>
    <row r="1312" ht="13.85" spans="1:6">
      <c r="A1312">
        <f t="shared" si="80"/>
        <v>1311</v>
      </c>
      <c r="B1312" s="11">
        <v>5189791</v>
      </c>
      <c r="C1312" s="11">
        <v>72</v>
      </c>
      <c r="D1312">
        <f t="shared" si="81"/>
        <v>72</v>
      </c>
      <c r="E1312">
        <f t="shared" si="82"/>
        <v>72000000</v>
      </c>
      <c r="F1312">
        <f t="shared" si="83"/>
        <v>34560000</v>
      </c>
    </row>
    <row r="1313" ht="13.85" spans="1:6">
      <c r="A1313">
        <f t="shared" si="80"/>
        <v>1312</v>
      </c>
      <c r="B1313" s="11">
        <v>4034771</v>
      </c>
      <c r="C1313" s="11">
        <v>20</v>
      </c>
      <c r="D1313">
        <f t="shared" si="81"/>
        <v>20</v>
      </c>
      <c r="E1313">
        <f t="shared" si="82"/>
        <v>20000000</v>
      </c>
      <c r="F1313">
        <f t="shared" si="83"/>
        <v>9600000</v>
      </c>
    </row>
    <row r="1314" ht="13.85" spans="1:6">
      <c r="A1314">
        <f t="shared" si="80"/>
        <v>1313</v>
      </c>
      <c r="B1314" s="11">
        <v>4479637</v>
      </c>
      <c r="C1314" s="11">
        <v>27</v>
      </c>
      <c r="D1314">
        <f t="shared" si="81"/>
        <v>27</v>
      </c>
      <c r="E1314">
        <f t="shared" si="82"/>
        <v>27000000</v>
      </c>
      <c r="F1314">
        <f t="shared" si="83"/>
        <v>12960000</v>
      </c>
    </row>
    <row r="1315" ht="13.85" spans="1:6">
      <c r="A1315">
        <f t="shared" si="80"/>
        <v>1314</v>
      </c>
      <c r="B1315" s="11">
        <v>4209548</v>
      </c>
      <c r="C1315" s="11">
        <v>37</v>
      </c>
      <c r="D1315">
        <f t="shared" si="81"/>
        <v>37</v>
      </c>
      <c r="E1315">
        <f t="shared" si="82"/>
        <v>37000000</v>
      </c>
      <c r="F1315">
        <f t="shared" si="83"/>
        <v>17760000</v>
      </c>
    </row>
    <row r="1316" ht="13.85" spans="1:6">
      <c r="A1316">
        <f t="shared" si="80"/>
        <v>1315</v>
      </c>
      <c r="B1316" s="11">
        <v>4793631</v>
      </c>
      <c r="C1316" s="11">
        <v>52</v>
      </c>
      <c r="D1316">
        <f t="shared" si="81"/>
        <v>52</v>
      </c>
      <c r="E1316">
        <f t="shared" si="82"/>
        <v>52000000</v>
      </c>
      <c r="F1316">
        <f t="shared" si="83"/>
        <v>24960000</v>
      </c>
    </row>
    <row r="1317" ht="13.85" spans="1:6">
      <c r="A1317">
        <f t="shared" si="80"/>
        <v>1316</v>
      </c>
      <c r="B1317" s="11">
        <v>4469142</v>
      </c>
      <c r="C1317" s="11">
        <v>67</v>
      </c>
      <c r="D1317">
        <f t="shared" si="81"/>
        <v>67</v>
      </c>
      <c r="E1317">
        <f t="shared" si="82"/>
        <v>67000000</v>
      </c>
      <c r="F1317">
        <f t="shared" si="83"/>
        <v>32160000</v>
      </c>
    </row>
    <row r="1318" ht="13.85" spans="1:6">
      <c r="A1318">
        <f t="shared" si="80"/>
        <v>1317</v>
      </c>
      <c r="B1318" s="11">
        <v>5317398</v>
      </c>
      <c r="C1318" s="11">
        <v>85</v>
      </c>
      <c r="D1318">
        <f t="shared" si="81"/>
        <v>85</v>
      </c>
      <c r="E1318">
        <f t="shared" si="82"/>
        <v>85000000</v>
      </c>
      <c r="F1318">
        <f t="shared" si="83"/>
        <v>40800000</v>
      </c>
    </row>
    <row r="1319" ht="13.85" spans="1:6">
      <c r="A1319">
        <f t="shared" si="80"/>
        <v>1318</v>
      </c>
      <c r="B1319" s="11">
        <v>3999674</v>
      </c>
      <c r="C1319" s="11">
        <v>20</v>
      </c>
      <c r="D1319">
        <f t="shared" si="81"/>
        <v>20</v>
      </c>
      <c r="E1319">
        <f t="shared" si="82"/>
        <v>20000000</v>
      </c>
      <c r="F1319">
        <f t="shared" si="83"/>
        <v>9600000</v>
      </c>
    </row>
    <row r="1320" ht="13.85" spans="1:6">
      <c r="A1320">
        <f t="shared" si="80"/>
        <v>1319</v>
      </c>
      <c r="B1320" s="11">
        <v>4396128</v>
      </c>
      <c r="C1320" s="11">
        <v>25</v>
      </c>
      <c r="D1320">
        <f t="shared" si="81"/>
        <v>25</v>
      </c>
      <c r="E1320">
        <f t="shared" si="82"/>
        <v>25000000</v>
      </c>
      <c r="F1320">
        <f t="shared" si="83"/>
        <v>12000000</v>
      </c>
    </row>
    <row r="1321" ht="13.85" spans="1:6">
      <c r="A1321">
        <f t="shared" si="80"/>
        <v>1320</v>
      </c>
      <c r="B1321" s="11">
        <v>4108557</v>
      </c>
      <c r="C1321" s="11">
        <v>38</v>
      </c>
      <c r="D1321">
        <f t="shared" si="81"/>
        <v>38</v>
      </c>
      <c r="E1321">
        <f t="shared" si="82"/>
        <v>38000000</v>
      </c>
      <c r="F1321">
        <f t="shared" si="83"/>
        <v>18240000</v>
      </c>
    </row>
    <row r="1322" ht="13.85" spans="1:6">
      <c r="A1322">
        <f t="shared" si="80"/>
        <v>1321</v>
      </c>
      <c r="B1322" s="11">
        <v>4712972</v>
      </c>
      <c r="C1322" s="11">
        <v>51</v>
      </c>
      <c r="D1322">
        <f t="shared" si="81"/>
        <v>51</v>
      </c>
      <c r="E1322">
        <f t="shared" si="82"/>
        <v>51000000</v>
      </c>
      <c r="F1322">
        <f t="shared" si="83"/>
        <v>24480000</v>
      </c>
    </row>
    <row r="1323" ht="13.85" spans="1:6">
      <c r="A1323">
        <f t="shared" si="80"/>
        <v>1322</v>
      </c>
      <c r="B1323" s="11">
        <v>4352484</v>
      </c>
      <c r="C1323" s="11">
        <v>64</v>
      </c>
      <c r="D1323">
        <f t="shared" si="81"/>
        <v>64</v>
      </c>
      <c r="E1323">
        <f t="shared" si="82"/>
        <v>64000000</v>
      </c>
      <c r="F1323">
        <f t="shared" si="83"/>
        <v>30720000</v>
      </c>
    </row>
    <row r="1324" ht="13.85" spans="1:6">
      <c r="A1324">
        <f t="shared" si="80"/>
        <v>1323</v>
      </c>
      <c r="B1324" s="11">
        <v>5034328</v>
      </c>
      <c r="C1324" s="11">
        <v>80</v>
      </c>
      <c r="D1324">
        <f t="shared" si="81"/>
        <v>80</v>
      </c>
      <c r="E1324">
        <f t="shared" si="82"/>
        <v>80000000</v>
      </c>
      <c r="F1324">
        <f t="shared" si="83"/>
        <v>38400000</v>
      </c>
    </row>
    <row r="1325" ht="13.85" spans="1:6">
      <c r="A1325">
        <f t="shared" si="80"/>
        <v>1324</v>
      </c>
      <c r="B1325" s="11">
        <v>3736101</v>
      </c>
      <c r="C1325" s="11">
        <v>20</v>
      </c>
      <c r="D1325">
        <f t="shared" si="81"/>
        <v>20</v>
      </c>
      <c r="E1325">
        <f t="shared" si="82"/>
        <v>20000000</v>
      </c>
      <c r="F1325">
        <f t="shared" si="83"/>
        <v>9600000</v>
      </c>
    </row>
    <row r="1326" ht="13.85" spans="1:6">
      <c r="A1326">
        <f t="shared" si="80"/>
        <v>1325</v>
      </c>
      <c r="B1326" s="11">
        <v>4143608</v>
      </c>
      <c r="C1326" s="11">
        <v>25</v>
      </c>
      <c r="D1326">
        <f t="shared" si="81"/>
        <v>25</v>
      </c>
      <c r="E1326">
        <f t="shared" si="82"/>
        <v>25000000</v>
      </c>
      <c r="F1326">
        <f t="shared" si="83"/>
        <v>12000000</v>
      </c>
    </row>
    <row r="1327" ht="13.85" spans="1:6">
      <c r="A1327">
        <f t="shared" si="80"/>
        <v>1326</v>
      </c>
      <c r="B1327" s="11">
        <v>4023009</v>
      </c>
      <c r="C1327" s="11">
        <v>34</v>
      </c>
      <c r="D1327">
        <f t="shared" si="81"/>
        <v>34</v>
      </c>
      <c r="E1327">
        <f t="shared" si="82"/>
        <v>34000000</v>
      </c>
      <c r="F1327">
        <f t="shared" si="83"/>
        <v>16320000</v>
      </c>
    </row>
    <row r="1328" ht="13.85" spans="1:6">
      <c r="A1328">
        <f t="shared" si="80"/>
        <v>1327</v>
      </c>
      <c r="B1328" s="11">
        <v>4676091</v>
      </c>
      <c r="C1328" s="11">
        <v>47</v>
      </c>
      <c r="D1328">
        <f t="shared" si="81"/>
        <v>47</v>
      </c>
      <c r="E1328">
        <f t="shared" si="82"/>
        <v>47000000</v>
      </c>
      <c r="F1328">
        <f t="shared" si="83"/>
        <v>22560000</v>
      </c>
    </row>
    <row r="1329" ht="13.85" spans="1:6">
      <c r="A1329">
        <f t="shared" si="80"/>
        <v>1328</v>
      </c>
      <c r="B1329" s="11">
        <v>4216514</v>
      </c>
      <c r="C1329" s="11">
        <v>62</v>
      </c>
      <c r="D1329">
        <f t="shared" si="81"/>
        <v>62</v>
      </c>
      <c r="E1329">
        <f t="shared" si="82"/>
        <v>62000000</v>
      </c>
      <c r="F1329">
        <f t="shared" si="83"/>
        <v>29760000</v>
      </c>
    </row>
    <row r="1330" ht="13.85" spans="1:6">
      <c r="A1330">
        <f t="shared" si="80"/>
        <v>1329</v>
      </c>
      <c r="B1330" s="11">
        <v>4918722</v>
      </c>
      <c r="C1330" s="11">
        <v>79</v>
      </c>
      <c r="D1330">
        <f t="shared" si="81"/>
        <v>79</v>
      </c>
      <c r="E1330">
        <f t="shared" si="82"/>
        <v>79000000</v>
      </c>
      <c r="F1330">
        <f t="shared" si="83"/>
        <v>37920000</v>
      </c>
    </row>
    <row r="1331" ht="13.85" spans="1:6">
      <c r="A1331">
        <f t="shared" si="80"/>
        <v>1330</v>
      </c>
      <c r="B1331" s="11">
        <v>4812580</v>
      </c>
      <c r="C1331" s="11">
        <v>94</v>
      </c>
      <c r="D1331">
        <f t="shared" si="81"/>
        <v>94</v>
      </c>
      <c r="E1331">
        <f t="shared" si="82"/>
        <v>94000000</v>
      </c>
      <c r="F1331">
        <f t="shared" si="83"/>
        <v>45120000</v>
      </c>
    </row>
    <row r="1332" ht="13.85" spans="1:6">
      <c r="A1332">
        <f t="shared" si="80"/>
        <v>1331</v>
      </c>
      <c r="B1332" s="11">
        <v>5766049</v>
      </c>
      <c r="C1332" s="11">
        <v>112</v>
      </c>
      <c r="D1332">
        <f t="shared" si="81"/>
        <v>112</v>
      </c>
      <c r="E1332">
        <f t="shared" si="82"/>
        <v>112000000</v>
      </c>
      <c r="F1332">
        <f t="shared" si="83"/>
        <v>53760000</v>
      </c>
    </row>
    <row r="1333" ht="13.85" spans="1:6">
      <c r="A1333">
        <f t="shared" si="80"/>
        <v>1332</v>
      </c>
      <c r="B1333" s="11">
        <v>3818338</v>
      </c>
      <c r="C1333" s="11">
        <v>20</v>
      </c>
      <c r="D1333">
        <f t="shared" si="81"/>
        <v>20</v>
      </c>
      <c r="E1333">
        <f t="shared" si="82"/>
        <v>20000000</v>
      </c>
      <c r="F1333">
        <f t="shared" si="83"/>
        <v>9600000</v>
      </c>
    </row>
    <row r="1334" ht="13.85" spans="1:6">
      <c r="A1334">
        <f t="shared" si="80"/>
        <v>1333</v>
      </c>
      <c r="B1334" s="11">
        <v>4274751</v>
      </c>
      <c r="C1334" s="11">
        <v>25</v>
      </c>
      <c r="D1334">
        <f t="shared" si="81"/>
        <v>25</v>
      </c>
      <c r="E1334">
        <f t="shared" si="82"/>
        <v>25000000</v>
      </c>
      <c r="F1334">
        <f t="shared" si="83"/>
        <v>12000000</v>
      </c>
    </row>
    <row r="1335" ht="13.85" spans="1:6">
      <c r="A1335">
        <f t="shared" si="80"/>
        <v>1334</v>
      </c>
      <c r="B1335" s="11">
        <v>3899229</v>
      </c>
      <c r="C1335" s="11">
        <v>35</v>
      </c>
      <c r="D1335">
        <f t="shared" si="81"/>
        <v>35</v>
      </c>
      <c r="E1335">
        <f t="shared" si="82"/>
        <v>35000000</v>
      </c>
      <c r="F1335">
        <f t="shared" si="83"/>
        <v>16800000</v>
      </c>
    </row>
    <row r="1336" ht="13.85" spans="1:6">
      <c r="A1336">
        <f t="shared" si="80"/>
        <v>1335</v>
      </c>
      <c r="B1336" s="11">
        <v>4660067</v>
      </c>
      <c r="C1336" s="11">
        <v>48</v>
      </c>
      <c r="D1336">
        <f t="shared" si="81"/>
        <v>48</v>
      </c>
      <c r="E1336">
        <f t="shared" si="82"/>
        <v>48000000</v>
      </c>
      <c r="F1336">
        <f t="shared" si="83"/>
        <v>23040000</v>
      </c>
    </row>
    <row r="1337" ht="13.85" spans="1:6">
      <c r="A1337">
        <f t="shared" si="80"/>
        <v>1336</v>
      </c>
      <c r="B1337" s="15">
        <v>4262356</v>
      </c>
      <c r="C1337" s="15">
        <v>60</v>
      </c>
      <c r="D1337">
        <f t="shared" si="81"/>
        <v>60</v>
      </c>
      <c r="E1337">
        <f t="shared" si="82"/>
        <v>60000000</v>
      </c>
      <c r="F1337">
        <f t="shared" si="83"/>
        <v>28800000</v>
      </c>
    </row>
    <row r="1338" ht="13.85" spans="1:6">
      <c r="A1338">
        <f t="shared" si="80"/>
        <v>1337</v>
      </c>
      <c r="B1338" s="13">
        <v>4125939</v>
      </c>
      <c r="C1338" s="13">
        <v>20</v>
      </c>
      <c r="D1338">
        <f t="shared" si="81"/>
        <v>20</v>
      </c>
      <c r="E1338">
        <f t="shared" si="82"/>
        <v>20000000</v>
      </c>
      <c r="F1338">
        <f t="shared" si="83"/>
        <v>9600000</v>
      </c>
    </row>
    <row r="1339" ht="13.85" spans="1:6">
      <c r="A1339">
        <f t="shared" si="80"/>
        <v>1338</v>
      </c>
      <c r="B1339" s="11">
        <v>3680960</v>
      </c>
      <c r="C1339" s="11">
        <v>25</v>
      </c>
      <c r="D1339">
        <f t="shared" si="81"/>
        <v>25</v>
      </c>
      <c r="E1339">
        <f t="shared" si="82"/>
        <v>25000000</v>
      </c>
      <c r="F1339">
        <f t="shared" si="83"/>
        <v>12000000</v>
      </c>
    </row>
    <row r="1340" ht="13.85" spans="1:6">
      <c r="A1340">
        <f t="shared" si="80"/>
        <v>1339</v>
      </c>
      <c r="B1340" s="11">
        <v>4224817</v>
      </c>
      <c r="C1340" s="11">
        <v>34</v>
      </c>
      <c r="D1340">
        <f t="shared" si="81"/>
        <v>34</v>
      </c>
      <c r="E1340">
        <f t="shared" si="82"/>
        <v>34000000</v>
      </c>
      <c r="F1340">
        <f t="shared" si="83"/>
        <v>16320000</v>
      </c>
    </row>
    <row r="1341" ht="13.85" spans="1:6">
      <c r="A1341">
        <f t="shared" si="80"/>
        <v>1340</v>
      </c>
      <c r="B1341" s="11">
        <v>3892119</v>
      </c>
      <c r="C1341" s="11">
        <v>46</v>
      </c>
      <c r="D1341">
        <f t="shared" si="81"/>
        <v>46</v>
      </c>
      <c r="E1341">
        <f t="shared" si="82"/>
        <v>46000000</v>
      </c>
      <c r="F1341">
        <f t="shared" si="83"/>
        <v>22080000</v>
      </c>
    </row>
    <row r="1342" ht="13.85" spans="1:6">
      <c r="A1342">
        <f t="shared" si="80"/>
        <v>1341</v>
      </c>
      <c r="B1342" s="11">
        <v>4444566</v>
      </c>
      <c r="C1342" s="11">
        <v>59</v>
      </c>
      <c r="D1342">
        <f t="shared" si="81"/>
        <v>59</v>
      </c>
      <c r="E1342">
        <f t="shared" si="82"/>
        <v>59000000</v>
      </c>
      <c r="F1342">
        <f t="shared" si="83"/>
        <v>28320000</v>
      </c>
    </row>
    <row r="1343" ht="13.85" spans="1:6">
      <c r="A1343">
        <f t="shared" si="80"/>
        <v>1342</v>
      </c>
      <c r="B1343" s="11">
        <v>4169175</v>
      </c>
      <c r="C1343" s="11">
        <v>72</v>
      </c>
      <c r="D1343">
        <f t="shared" si="81"/>
        <v>72</v>
      </c>
      <c r="E1343">
        <f t="shared" si="82"/>
        <v>72000000</v>
      </c>
      <c r="F1343">
        <f t="shared" si="83"/>
        <v>34560000</v>
      </c>
    </row>
    <row r="1344" ht="13.85" spans="1:6">
      <c r="A1344">
        <f t="shared" si="80"/>
        <v>1343</v>
      </c>
      <c r="B1344" s="11">
        <v>4842660</v>
      </c>
      <c r="C1344" s="11">
        <v>87</v>
      </c>
      <c r="D1344">
        <f t="shared" si="81"/>
        <v>87</v>
      </c>
      <c r="E1344">
        <f t="shared" si="82"/>
        <v>87000000</v>
      </c>
      <c r="F1344">
        <f t="shared" si="83"/>
        <v>41760000</v>
      </c>
    </row>
    <row r="1345" ht="13.85" spans="1:6">
      <c r="A1345">
        <f t="shared" si="80"/>
        <v>1344</v>
      </c>
      <c r="B1345" s="11">
        <v>5156626</v>
      </c>
      <c r="C1345" s="11">
        <v>104</v>
      </c>
      <c r="D1345">
        <f t="shared" si="81"/>
        <v>104</v>
      </c>
      <c r="E1345">
        <f t="shared" si="82"/>
        <v>104000000</v>
      </c>
      <c r="F1345">
        <f t="shared" si="83"/>
        <v>49920000</v>
      </c>
    </row>
    <row r="1346" ht="13.85" spans="1:6">
      <c r="A1346">
        <f t="shared" ref="A1346:A1409" si="84">ROW()-1</f>
        <v>1345</v>
      </c>
      <c r="B1346" s="11">
        <v>5921610</v>
      </c>
      <c r="C1346" s="11">
        <v>123</v>
      </c>
      <c r="D1346">
        <f t="shared" ref="D1346:D1409" si="85">IF(RIGHT(C1346,1)="B",VALUE(LEFT(C1346,LEN(C1346)-1))*1000,C1346)</f>
        <v>123</v>
      </c>
      <c r="E1346">
        <f t="shared" ref="E1346:E1409" si="86">D1346*1000000</f>
        <v>123000000</v>
      </c>
      <c r="F1346">
        <f t="shared" ref="F1346:F1409" si="87">E1346*0.48</f>
        <v>59040000</v>
      </c>
    </row>
    <row r="1347" ht="13.85" spans="1:6">
      <c r="A1347">
        <f t="shared" si="84"/>
        <v>1346</v>
      </c>
      <c r="B1347" s="11">
        <v>3748831</v>
      </c>
      <c r="C1347" s="11">
        <v>20</v>
      </c>
      <c r="D1347">
        <f t="shared" si="85"/>
        <v>20</v>
      </c>
      <c r="E1347">
        <f t="shared" si="86"/>
        <v>20000000</v>
      </c>
      <c r="F1347">
        <f t="shared" si="87"/>
        <v>9600000</v>
      </c>
    </row>
    <row r="1348" ht="13.85" spans="1:6">
      <c r="A1348">
        <f t="shared" si="84"/>
        <v>1347</v>
      </c>
      <c r="B1348" s="11">
        <v>4176188</v>
      </c>
      <c r="C1348" s="11">
        <v>25</v>
      </c>
      <c r="D1348">
        <f t="shared" si="85"/>
        <v>25</v>
      </c>
      <c r="E1348">
        <f t="shared" si="86"/>
        <v>25000000</v>
      </c>
      <c r="F1348">
        <f t="shared" si="87"/>
        <v>12000000</v>
      </c>
    </row>
    <row r="1349" ht="13.85" spans="1:6">
      <c r="A1349">
        <f t="shared" si="84"/>
        <v>1348</v>
      </c>
      <c r="B1349" s="11">
        <v>3863635</v>
      </c>
      <c r="C1349" s="11">
        <v>35</v>
      </c>
      <c r="D1349">
        <f t="shared" si="85"/>
        <v>35</v>
      </c>
      <c r="E1349">
        <f t="shared" si="86"/>
        <v>35000000</v>
      </c>
      <c r="F1349">
        <f t="shared" si="87"/>
        <v>16800000</v>
      </c>
    </row>
    <row r="1350" ht="13.85" spans="1:6">
      <c r="A1350">
        <f t="shared" si="84"/>
        <v>1349</v>
      </c>
      <c r="B1350" s="11">
        <v>4425199</v>
      </c>
      <c r="C1350" s="11">
        <v>50</v>
      </c>
      <c r="D1350">
        <f t="shared" si="85"/>
        <v>50</v>
      </c>
      <c r="E1350">
        <f t="shared" si="86"/>
        <v>50000000</v>
      </c>
      <c r="F1350">
        <f t="shared" si="87"/>
        <v>24000000</v>
      </c>
    </row>
    <row r="1351" ht="13.85" spans="1:6">
      <c r="A1351">
        <f t="shared" si="84"/>
        <v>1350</v>
      </c>
      <c r="B1351" s="11">
        <v>4322207</v>
      </c>
      <c r="C1351" s="11">
        <v>64</v>
      </c>
      <c r="D1351">
        <f t="shared" si="85"/>
        <v>64</v>
      </c>
      <c r="E1351">
        <f t="shared" si="86"/>
        <v>64000000</v>
      </c>
      <c r="F1351">
        <f t="shared" si="87"/>
        <v>30720000</v>
      </c>
    </row>
    <row r="1352" ht="13.85" spans="1:6">
      <c r="A1352">
        <f t="shared" si="84"/>
        <v>1351</v>
      </c>
      <c r="B1352" s="11">
        <v>4374770</v>
      </c>
      <c r="C1352" s="11">
        <v>79</v>
      </c>
      <c r="D1352">
        <f t="shared" si="85"/>
        <v>79</v>
      </c>
      <c r="E1352">
        <f t="shared" si="86"/>
        <v>79000000</v>
      </c>
      <c r="F1352">
        <f t="shared" si="87"/>
        <v>37920000</v>
      </c>
    </row>
    <row r="1353" ht="13.85" spans="1:6">
      <c r="A1353">
        <f t="shared" si="84"/>
        <v>1352</v>
      </c>
      <c r="B1353" s="11">
        <v>4615896</v>
      </c>
      <c r="C1353" s="11">
        <v>95</v>
      </c>
      <c r="D1353">
        <f t="shared" si="85"/>
        <v>95</v>
      </c>
      <c r="E1353">
        <f t="shared" si="86"/>
        <v>95000000</v>
      </c>
      <c r="F1353">
        <f t="shared" si="87"/>
        <v>45600000</v>
      </c>
    </row>
    <row r="1354" ht="13.85" spans="1:6">
      <c r="A1354">
        <f t="shared" si="84"/>
        <v>1353</v>
      </c>
      <c r="B1354" s="11">
        <v>4080043</v>
      </c>
      <c r="C1354" s="11">
        <v>20</v>
      </c>
      <c r="D1354">
        <f t="shared" si="85"/>
        <v>20</v>
      </c>
      <c r="E1354">
        <f t="shared" si="86"/>
        <v>20000000</v>
      </c>
      <c r="F1354">
        <f t="shared" si="87"/>
        <v>9600000</v>
      </c>
    </row>
    <row r="1355" ht="13.85" spans="1:6">
      <c r="A1355">
        <f t="shared" si="84"/>
        <v>1354</v>
      </c>
      <c r="B1355" s="11">
        <v>3641988</v>
      </c>
      <c r="C1355" s="11">
        <v>25</v>
      </c>
      <c r="D1355">
        <f t="shared" si="85"/>
        <v>25</v>
      </c>
      <c r="E1355">
        <f t="shared" si="86"/>
        <v>25000000</v>
      </c>
      <c r="F1355">
        <f t="shared" si="87"/>
        <v>12000000</v>
      </c>
    </row>
    <row r="1356" ht="13.85" spans="1:6">
      <c r="A1356">
        <f t="shared" si="84"/>
        <v>1355</v>
      </c>
      <c r="B1356" s="11">
        <v>4156363</v>
      </c>
      <c r="C1356" s="11">
        <v>37</v>
      </c>
      <c r="D1356">
        <f t="shared" si="85"/>
        <v>37</v>
      </c>
      <c r="E1356">
        <f t="shared" si="86"/>
        <v>37000000</v>
      </c>
      <c r="F1356">
        <f t="shared" si="87"/>
        <v>17760000</v>
      </c>
    </row>
    <row r="1357" ht="13.85" spans="1:6">
      <c r="A1357">
        <f t="shared" si="84"/>
        <v>1356</v>
      </c>
      <c r="B1357" s="11">
        <v>3501606</v>
      </c>
      <c r="C1357" s="11">
        <v>20</v>
      </c>
      <c r="D1357">
        <f t="shared" si="85"/>
        <v>20</v>
      </c>
      <c r="E1357">
        <f t="shared" si="86"/>
        <v>20000000</v>
      </c>
      <c r="F1357">
        <f t="shared" si="87"/>
        <v>9600000</v>
      </c>
    </row>
    <row r="1358" ht="13.85" spans="1:6">
      <c r="A1358">
        <f t="shared" si="84"/>
        <v>1357</v>
      </c>
      <c r="B1358" s="11">
        <v>3967395</v>
      </c>
      <c r="C1358" s="11">
        <v>25</v>
      </c>
      <c r="D1358">
        <f t="shared" si="85"/>
        <v>25</v>
      </c>
      <c r="E1358">
        <f t="shared" si="86"/>
        <v>25000000</v>
      </c>
      <c r="F1358">
        <f t="shared" si="87"/>
        <v>12000000</v>
      </c>
    </row>
    <row r="1359" ht="13.85" spans="1:6">
      <c r="A1359">
        <f t="shared" si="84"/>
        <v>1358</v>
      </c>
      <c r="B1359" s="11">
        <v>3809419</v>
      </c>
      <c r="C1359" s="11">
        <v>35</v>
      </c>
      <c r="D1359">
        <f t="shared" si="85"/>
        <v>35</v>
      </c>
      <c r="E1359">
        <f t="shared" si="86"/>
        <v>35000000</v>
      </c>
      <c r="F1359">
        <f t="shared" si="87"/>
        <v>16800000</v>
      </c>
    </row>
    <row r="1360" ht="13.85" spans="1:6">
      <c r="A1360">
        <f t="shared" si="84"/>
        <v>1359</v>
      </c>
      <c r="B1360" s="11">
        <v>3828713</v>
      </c>
      <c r="C1360" s="11">
        <v>46</v>
      </c>
      <c r="D1360">
        <f t="shared" si="85"/>
        <v>46</v>
      </c>
      <c r="E1360">
        <f t="shared" si="86"/>
        <v>46000000</v>
      </c>
      <c r="F1360">
        <f t="shared" si="87"/>
        <v>22080000</v>
      </c>
    </row>
    <row r="1361" ht="13.85" spans="1:6">
      <c r="A1361">
        <f t="shared" si="84"/>
        <v>1360</v>
      </c>
      <c r="B1361" s="11">
        <v>3444488</v>
      </c>
      <c r="C1361" s="11">
        <v>20</v>
      </c>
      <c r="D1361">
        <f t="shared" si="85"/>
        <v>20</v>
      </c>
      <c r="E1361">
        <f t="shared" si="86"/>
        <v>20000000</v>
      </c>
      <c r="F1361">
        <f t="shared" si="87"/>
        <v>9600000</v>
      </c>
    </row>
    <row r="1362" ht="13.85" spans="1:6">
      <c r="A1362">
        <f t="shared" si="84"/>
        <v>1361</v>
      </c>
      <c r="B1362" s="11">
        <v>3935676</v>
      </c>
      <c r="C1362" s="11">
        <v>25</v>
      </c>
      <c r="D1362">
        <f t="shared" si="85"/>
        <v>25</v>
      </c>
      <c r="E1362">
        <f t="shared" si="86"/>
        <v>25000000</v>
      </c>
      <c r="F1362">
        <f t="shared" si="87"/>
        <v>12000000</v>
      </c>
    </row>
    <row r="1363" ht="13.85" spans="1:6">
      <c r="A1363">
        <f t="shared" si="84"/>
        <v>1362</v>
      </c>
      <c r="B1363" s="11">
        <v>3933394</v>
      </c>
      <c r="C1363" s="11">
        <v>34</v>
      </c>
      <c r="D1363">
        <f t="shared" si="85"/>
        <v>34</v>
      </c>
      <c r="E1363">
        <f t="shared" si="86"/>
        <v>34000000</v>
      </c>
      <c r="F1363">
        <f t="shared" si="87"/>
        <v>16320000</v>
      </c>
    </row>
    <row r="1364" ht="13.85" spans="1:6">
      <c r="A1364">
        <f t="shared" si="84"/>
        <v>1363</v>
      </c>
      <c r="B1364" s="11">
        <v>4257480</v>
      </c>
      <c r="C1364" s="11">
        <v>51</v>
      </c>
      <c r="D1364">
        <f t="shared" si="85"/>
        <v>51</v>
      </c>
      <c r="E1364">
        <f t="shared" si="86"/>
        <v>51000000</v>
      </c>
      <c r="F1364">
        <f t="shared" si="87"/>
        <v>24480000</v>
      </c>
    </row>
    <row r="1365" ht="13.85" spans="1:6">
      <c r="A1365">
        <f t="shared" si="84"/>
        <v>1364</v>
      </c>
      <c r="B1365" s="11">
        <v>3820255</v>
      </c>
      <c r="C1365" s="11">
        <v>67</v>
      </c>
      <c r="D1365">
        <f t="shared" si="85"/>
        <v>67</v>
      </c>
      <c r="E1365">
        <f t="shared" si="86"/>
        <v>67000000</v>
      </c>
      <c r="F1365">
        <f t="shared" si="87"/>
        <v>32160000</v>
      </c>
    </row>
    <row r="1366" ht="13.85" spans="1:6">
      <c r="A1366">
        <f t="shared" si="84"/>
        <v>1365</v>
      </c>
      <c r="B1366" s="11">
        <v>4724566</v>
      </c>
      <c r="C1366" s="11">
        <v>82</v>
      </c>
      <c r="D1366">
        <f t="shared" si="85"/>
        <v>82</v>
      </c>
      <c r="E1366">
        <f t="shared" si="86"/>
        <v>82000000</v>
      </c>
      <c r="F1366">
        <f t="shared" si="87"/>
        <v>39360000</v>
      </c>
    </row>
    <row r="1367" ht="13.85" spans="1:6">
      <c r="A1367">
        <f t="shared" si="84"/>
        <v>1366</v>
      </c>
      <c r="B1367" s="11">
        <v>4593142</v>
      </c>
      <c r="C1367" s="11">
        <v>96</v>
      </c>
      <c r="D1367">
        <f t="shared" si="85"/>
        <v>96</v>
      </c>
      <c r="E1367">
        <f t="shared" si="86"/>
        <v>96000000</v>
      </c>
      <c r="F1367">
        <f t="shared" si="87"/>
        <v>46080000</v>
      </c>
    </row>
    <row r="1368" ht="13.85" spans="1:6">
      <c r="A1368">
        <f t="shared" si="84"/>
        <v>1367</v>
      </c>
      <c r="B1368" s="11">
        <v>5482879</v>
      </c>
      <c r="C1368" s="11">
        <v>122</v>
      </c>
      <c r="D1368">
        <f t="shared" si="85"/>
        <v>122</v>
      </c>
      <c r="E1368">
        <f t="shared" si="86"/>
        <v>122000000</v>
      </c>
      <c r="F1368">
        <f t="shared" si="87"/>
        <v>58560000</v>
      </c>
    </row>
    <row r="1369" ht="13.85" spans="1:6">
      <c r="A1369">
        <f t="shared" si="84"/>
        <v>1368</v>
      </c>
      <c r="B1369" s="11">
        <v>3400335</v>
      </c>
      <c r="C1369" s="11">
        <v>20</v>
      </c>
      <c r="D1369">
        <f t="shared" si="85"/>
        <v>20</v>
      </c>
      <c r="E1369">
        <f t="shared" si="86"/>
        <v>20000000</v>
      </c>
      <c r="F1369">
        <f t="shared" si="87"/>
        <v>9600000</v>
      </c>
    </row>
    <row r="1370" ht="13.85" spans="1:6">
      <c r="A1370">
        <f t="shared" si="84"/>
        <v>1369</v>
      </c>
      <c r="B1370" s="11">
        <v>3875620</v>
      </c>
      <c r="C1370" s="11">
        <v>25</v>
      </c>
      <c r="D1370">
        <f t="shared" si="85"/>
        <v>25</v>
      </c>
      <c r="E1370">
        <f t="shared" si="86"/>
        <v>25000000</v>
      </c>
      <c r="F1370">
        <f t="shared" si="87"/>
        <v>12000000</v>
      </c>
    </row>
    <row r="1371" ht="13.85" spans="1:6">
      <c r="A1371">
        <f t="shared" si="84"/>
        <v>1370</v>
      </c>
      <c r="B1371" s="11">
        <v>3459491</v>
      </c>
      <c r="C1371" s="11">
        <v>35</v>
      </c>
      <c r="D1371">
        <f t="shared" si="85"/>
        <v>35</v>
      </c>
      <c r="E1371">
        <f t="shared" si="86"/>
        <v>35000000</v>
      </c>
      <c r="F1371">
        <f t="shared" si="87"/>
        <v>16800000</v>
      </c>
    </row>
    <row r="1372" ht="13.85" spans="1:6">
      <c r="A1372">
        <f t="shared" si="84"/>
        <v>1371</v>
      </c>
      <c r="B1372" s="11">
        <v>4328952</v>
      </c>
      <c r="C1372" s="11">
        <v>50</v>
      </c>
      <c r="D1372">
        <f t="shared" si="85"/>
        <v>50</v>
      </c>
      <c r="E1372">
        <f t="shared" si="86"/>
        <v>50000000</v>
      </c>
      <c r="F1372">
        <f t="shared" si="87"/>
        <v>24000000</v>
      </c>
    </row>
    <row r="1373" ht="13.85" spans="1:6">
      <c r="A1373">
        <f t="shared" si="84"/>
        <v>1372</v>
      </c>
      <c r="B1373" s="11">
        <v>4019025</v>
      </c>
      <c r="C1373" s="11">
        <v>63</v>
      </c>
      <c r="D1373">
        <f t="shared" si="85"/>
        <v>63</v>
      </c>
      <c r="E1373">
        <f t="shared" si="86"/>
        <v>63000000</v>
      </c>
      <c r="F1373">
        <f t="shared" si="87"/>
        <v>30240000</v>
      </c>
    </row>
    <row r="1374" ht="13.85" spans="1:6">
      <c r="A1374">
        <f t="shared" si="84"/>
        <v>1373</v>
      </c>
      <c r="B1374" s="11">
        <v>4756333</v>
      </c>
      <c r="C1374" s="11">
        <v>82</v>
      </c>
      <c r="D1374">
        <f t="shared" si="85"/>
        <v>82</v>
      </c>
      <c r="E1374">
        <f t="shared" si="86"/>
        <v>82000000</v>
      </c>
      <c r="F1374">
        <f t="shared" si="87"/>
        <v>39360000</v>
      </c>
    </row>
    <row r="1375" ht="13.85" spans="1:6">
      <c r="A1375">
        <f t="shared" si="84"/>
        <v>1374</v>
      </c>
      <c r="B1375" s="11">
        <v>5135016</v>
      </c>
      <c r="C1375" s="11">
        <v>101</v>
      </c>
      <c r="D1375">
        <f t="shared" si="85"/>
        <v>101</v>
      </c>
      <c r="E1375">
        <f t="shared" si="86"/>
        <v>101000000</v>
      </c>
      <c r="F1375">
        <f t="shared" si="87"/>
        <v>48480000</v>
      </c>
    </row>
    <row r="1376" ht="13.85" spans="1:6">
      <c r="A1376">
        <f t="shared" si="84"/>
        <v>1375</v>
      </c>
      <c r="B1376" s="11">
        <v>5893619</v>
      </c>
      <c r="C1376" s="11">
        <v>126</v>
      </c>
      <c r="D1376">
        <f t="shared" si="85"/>
        <v>126</v>
      </c>
      <c r="E1376">
        <f t="shared" si="86"/>
        <v>126000000</v>
      </c>
      <c r="F1376">
        <f t="shared" si="87"/>
        <v>60480000</v>
      </c>
    </row>
    <row r="1377" ht="13.85" spans="1:6">
      <c r="A1377">
        <f t="shared" si="84"/>
        <v>1376</v>
      </c>
      <c r="B1377" s="11">
        <v>5993048</v>
      </c>
      <c r="C1377" s="11">
        <v>155</v>
      </c>
      <c r="D1377">
        <f t="shared" si="85"/>
        <v>155</v>
      </c>
      <c r="E1377">
        <f t="shared" si="86"/>
        <v>155000000</v>
      </c>
      <c r="F1377">
        <f t="shared" si="87"/>
        <v>74400000</v>
      </c>
    </row>
    <row r="1378" ht="13.85" spans="1:6">
      <c r="A1378">
        <f t="shared" si="84"/>
        <v>1377</v>
      </c>
      <c r="B1378" s="11">
        <v>7118074</v>
      </c>
      <c r="C1378" s="11">
        <v>184</v>
      </c>
      <c r="D1378">
        <f t="shared" si="85"/>
        <v>184</v>
      </c>
      <c r="E1378">
        <f t="shared" si="86"/>
        <v>184000000</v>
      </c>
      <c r="F1378">
        <f t="shared" si="87"/>
        <v>88320000</v>
      </c>
    </row>
    <row r="1379" ht="13.85" spans="1:6">
      <c r="A1379">
        <f t="shared" si="84"/>
        <v>1378</v>
      </c>
      <c r="B1379" s="11">
        <v>3756232</v>
      </c>
      <c r="C1379" s="11">
        <v>20</v>
      </c>
      <c r="D1379">
        <f t="shared" si="85"/>
        <v>20</v>
      </c>
      <c r="E1379">
        <f t="shared" si="86"/>
        <v>20000000</v>
      </c>
      <c r="F1379">
        <f t="shared" si="87"/>
        <v>9600000</v>
      </c>
    </row>
    <row r="1380" ht="13.85" spans="1:6">
      <c r="A1380">
        <f t="shared" si="84"/>
        <v>1379</v>
      </c>
      <c r="B1380" s="11">
        <v>4170079</v>
      </c>
      <c r="C1380" s="11">
        <v>25</v>
      </c>
      <c r="D1380">
        <f t="shared" si="85"/>
        <v>25</v>
      </c>
      <c r="E1380">
        <f t="shared" si="86"/>
        <v>25000000</v>
      </c>
      <c r="F1380">
        <f t="shared" si="87"/>
        <v>12000000</v>
      </c>
    </row>
    <row r="1381" ht="13.85" spans="1:6">
      <c r="A1381">
        <f t="shared" si="84"/>
        <v>1380</v>
      </c>
      <c r="B1381" s="11">
        <v>3772240</v>
      </c>
      <c r="C1381" s="11">
        <v>40</v>
      </c>
      <c r="D1381">
        <f t="shared" si="85"/>
        <v>40</v>
      </c>
      <c r="E1381">
        <f t="shared" si="86"/>
        <v>40000000</v>
      </c>
      <c r="F1381">
        <f t="shared" si="87"/>
        <v>19200000</v>
      </c>
    </row>
    <row r="1382" ht="13.85" spans="1:6">
      <c r="A1382">
        <f t="shared" si="84"/>
        <v>1381</v>
      </c>
      <c r="B1382" s="11">
        <v>4326013</v>
      </c>
      <c r="C1382" s="11">
        <v>54</v>
      </c>
      <c r="D1382">
        <f t="shared" si="85"/>
        <v>54</v>
      </c>
      <c r="E1382">
        <f t="shared" si="86"/>
        <v>54000000</v>
      </c>
      <c r="F1382">
        <f t="shared" si="87"/>
        <v>25920000</v>
      </c>
    </row>
    <row r="1383" ht="13.85" spans="1:6">
      <c r="A1383">
        <f t="shared" si="84"/>
        <v>1382</v>
      </c>
      <c r="B1383" s="11">
        <v>4026201</v>
      </c>
      <c r="C1383" s="11">
        <v>67</v>
      </c>
      <c r="D1383">
        <f t="shared" si="85"/>
        <v>67</v>
      </c>
      <c r="E1383">
        <f t="shared" si="86"/>
        <v>67000000</v>
      </c>
      <c r="F1383">
        <f t="shared" si="87"/>
        <v>32160000</v>
      </c>
    </row>
    <row r="1384" ht="13.85" spans="1:6">
      <c r="A1384">
        <f t="shared" si="84"/>
        <v>1383</v>
      </c>
      <c r="B1384" s="11">
        <v>4699839</v>
      </c>
      <c r="C1384" s="11">
        <v>85</v>
      </c>
      <c r="D1384">
        <f t="shared" si="85"/>
        <v>85</v>
      </c>
      <c r="E1384">
        <f t="shared" si="86"/>
        <v>85000000</v>
      </c>
      <c r="F1384">
        <f t="shared" si="87"/>
        <v>40800000</v>
      </c>
    </row>
    <row r="1385" ht="13.85" spans="1:6">
      <c r="A1385">
        <f t="shared" si="84"/>
        <v>1384</v>
      </c>
      <c r="B1385" s="11">
        <v>4962100</v>
      </c>
      <c r="C1385" s="11">
        <v>101</v>
      </c>
      <c r="D1385">
        <f t="shared" si="85"/>
        <v>101</v>
      </c>
      <c r="E1385">
        <f t="shared" si="86"/>
        <v>101000000</v>
      </c>
      <c r="F1385">
        <f t="shared" si="87"/>
        <v>48480000</v>
      </c>
    </row>
    <row r="1386" ht="13.85" spans="1:6">
      <c r="A1386">
        <f t="shared" si="84"/>
        <v>1385</v>
      </c>
      <c r="B1386" s="11">
        <v>6007453</v>
      </c>
      <c r="C1386" s="11">
        <v>125</v>
      </c>
      <c r="D1386">
        <f t="shared" si="85"/>
        <v>125</v>
      </c>
      <c r="E1386">
        <f t="shared" si="86"/>
        <v>125000000</v>
      </c>
      <c r="F1386">
        <f t="shared" si="87"/>
        <v>60000000</v>
      </c>
    </row>
    <row r="1387" ht="13.85" spans="1:6">
      <c r="A1387">
        <f t="shared" si="84"/>
        <v>1386</v>
      </c>
      <c r="B1387" s="11">
        <v>5764552</v>
      </c>
      <c r="C1387" s="11">
        <v>153</v>
      </c>
      <c r="D1387">
        <f t="shared" si="85"/>
        <v>153</v>
      </c>
      <c r="E1387">
        <f t="shared" si="86"/>
        <v>153000000</v>
      </c>
      <c r="F1387">
        <f t="shared" si="87"/>
        <v>73440000</v>
      </c>
    </row>
    <row r="1388" ht="13.85" spans="1:6">
      <c r="A1388">
        <f t="shared" si="84"/>
        <v>1387</v>
      </c>
      <c r="B1388" s="11">
        <v>7106695</v>
      </c>
      <c r="C1388" s="11">
        <v>187</v>
      </c>
      <c r="D1388">
        <f t="shared" si="85"/>
        <v>187</v>
      </c>
      <c r="E1388">
        <f t="shared" si="86"/>
        <v>187000000</v>
      </c>
      <c r="F1388">
        <f t="shared" si="87"/>
        <v>89760000</v>
      </c>
    </row>
    <row r="1389" ht="13.85" spans="1:6">
      <c r="A1389">
        <f t="shared" si="84"/>
        <v>1388</v>
      </c>
      <c r="B1389" s="11">
        <v>7611156</v>
      </c>
      <c r="C1389" s="11">
        <v>218</v>
      </c>
      <c r="D1389">
        <f t="shared" si="85"/>
        <v>218</v>
      </c>
      <c r="E1389">
        <f t="shared" si="86"/>
        <v>218000000</v>
      </c>
      <c r="F1389">
        <f t="shared" si="87"/>
        <v>104640000</v>
      </c>
    </row>
    <row r="1390" ht="13.85" spans="1:6">
      <c r="A1390">
        <f t="shared" si="84"/>
        <v>1389</v>
      </c>
      <c r="B1390" s="11">
        <v>4099554</v>
      </c>
      <c r="C1390" s="11">
        <v>20</v>
      </c>
      <c r="D1390">
        <f t="shared" si="85"/>
        <v>20</v>
      </c>
      <c r="E1390">
        <f t="shared" si="86"/>
        <v>20000000</v>
      </c>
      <c r="F1390">
        <f t="shared" si="87"/>
        <v>9600000</v>
      </c>
    </row>
    <row r="1391" ht="13.85" spans="1:6">
      <c r="A1391">
        <f t="shared" si="84"/>
        <v>1390</v>
      </c>
      <c r="B1391" s="11">
        <v>3688014</v>
      </c>
      <c r="C1391" s="11">
        <v>27</v>
      </c>
      <c r="D1391">
        <f t="shared" si="85"/>
        <v>27</v>
      </c>
      <c r="E1391">
        <f t="shared" si="86"/>
        <v>27000000</v>
      </c>
      <c r="F1391">
        <f t="shared" si="87"/>
        <v>12960000</v>
      </c>
    </row>
    <row r="1392" ht="13.85" spans="1:6">
      <c r="A1392">
        <f t="shared" si="84"/>
        <v>1391</v>
      </c>
      <c r="B1392" s="11">
        <v>4203698</v>
      </c>
      <c r="C1392" s="11">
        <v>43</v>
      </c>
      <c r="D1392">
        <f t="shared" si="85"/>
        <v>43</v>
      </c>
      <c r="E1392">
        <f t="shared" si="86"/>
        <v>43000000</v>
      </c>
      <c r="F1392">
        <f t="shared" si="87"/>
        <v>20640000</v>
      </c>
    </row>
    <row r="1393" ht="13.85" spans="1:6">
      <c r="A1393">
        <f t="shared" si="84"/>
        <v>1392</v>
      </c>
      <c r="B1393" s="11">
        <v>4072333</v>
      </c>
      <c r="C1393" s="11">
        <v>56</v>
      </c>
      <c r="D1393">
        <f t="shared" si="85"/>
        <v>56</v>
      </c>
      <c r="E1393">
        <f t="shared" si="86"/>
        <v>56000000</v>
      </c>
      <c r="F1393">
        <f t="shared" si="87"/>
        <v>26880000</v>
      </c>
    </row>
    <row r="1394" ht="13.85" spans="1:6">
      <c r="A1394">
        <f t="shared" si="84"/>
        <v>1393</v>
      </c>
      <c r="B1394" s="11">
        <v>4669198</v>
      </c>
      <c r="C1394" s="11">
        <v>72</v>
      </c>
      <c r="D1394">
        <f t="shared" si="85"/>
        <v>72</v>
      </c>
      <c r="E1394">
        <f t="shared" si="86"/>
        <v>72000000</v>
      </c>
      <c r="F1394">
        <f t="shared" si="87"/>
        <v>34560000</v>
      </c>
    </row>
    <row r="1395" ht="13.85" spans="1:6">
      <c r="A1395">
        <f t="shared" si="84"/>
        <v>1394</v>
      </c>
      <c r="B1395" s="11">
        <v>3393882</v>
      </c>
      <c r="C1395" s="11">
        <v>20</v>
      </c>
      <c r="D1395">
        <f t="shared" si="85"/>
        <v>20</v>
      </c>
      <c r="E1395">
        <f t="shared" si="86"/>
        <v>20000000</v>
      </c>
      <c r="F1395">
        <f t="shared" si="87"/>
        <v>9600000</v>
      </c>
    </row>
    <row r="1396" ht="13.85" spans="1:6">
      <c r="A1396">
        <f t="shared" si="84"/>
        <v>1395</v>
      </c>
      <c r="B1396" s="11">
        <v>3889173</v>
      </c>
      <c r="C1396" s="11">
        <v>25</v>
      </c>
      <c r="D1396">
        <f t="shared" si="85"/>
        <v>25</v>
      </c>
      <c r="E1396">
        <f t="shared" si="86"/>
        <v>25000000</v>
      </c>
      <c r="F1396">
        <f t="shared" si="87"/>
        <v>12000000</v>
      </c>
    </row>
    <row r="1397" ht="13.85" spans="1:6">
      <c r="A1397">
        <f t="shared" si="84"/>
        <v>1396</v>
      </c>
      <c r="B1397" s="11">
        <v>3603653</v>
      </c>
      <c r="C1397" s="11">
        <v>36</v>
      </c>
      <c r="D1397">
        <f t="shared" si="85"/>
        <v>36</v>
      </c>
      <c r="E1397">
        <f t="shared" si="86"/>
        <v>36000000</v>
      </c>
      <c r="F1397">
        <f t="shared" si="87"/>
        <v>17280000</v>
      </c>
    </row>
    <row r="1398" ht="13.85" spans="1:6">
      <c r="A1398">
        <f t="shared" si="84"/>
        <v>1397</v>
      </c>
      <c r="B1398" s="11">
        <v>4151179</v>
      </c>
      <c r="C1398" s="11">
        <v>50</v>
      </c>
      <c r="D1398">
        <f t="shared" si="85"/>
        <v>50</v>
      </c>
      <c r="E1398">
        <f t="shared" si="86"/>
        <v>50000000</v>
      </c>
      <c r="F1398">
        <f t="shared" si="87"/>
        <v>24000000</v>
      </c>
    </row>
    <row r="1399" ht="13.85" spans="1:6">
      <c r="A1399">
        <f t="shared" si="84"/>
        <v>1398</v>
      </c>
      <c r="B1399" s="11">
        <v>3912759</v>
      </c>
      <c r="C1399" s="11">
        <v>65</v>
      </c>
      <c r="D1399">
        <f t="shared" si="85"/>
        <v>65</v>
      </c>
      <c r="E1399">
        <f t="shared" si="86"/>
        <v>65000000</v>
      </c>
      <c r="F1399">
        <f t="shared" si="87"/>
        <v>31200000</v>
      </c>
    </row>
    <row r="1400" ht="13.85" spans="1:6">
      <c r="A1400">
        <f t="shared" si="84"/>
        <v>1399</v>
      </c>
      <c r="B1400" s="11">
        <v>4579789</v>
      </c>
      <c r="C1400" s="11">
        <v>81</v>
      </c>
      <c r="D1400">
        <f t="shared" si="85"/>
        <v>81</v>
      </c>
      <c r="E1400">
        <f t="shared" si="86"/>
        <v>81000000</v>
      </c>
      <c r="F1400">
        <f t="shared" si="87"/>
        <v>38880000</v>
      </c>
    </row>
    <row r="1401" ht="13.85" spans="1:6">
      <c r="A1401">
        <f t="shared" si="84"/>
        <v>1400</v>
      </c>
      <c r="B1401" s="11">
        <v>4466675</v>
      </c>
      <c r="C1401" s="11">
        <v>97</v>
      </c>
      <c r="D1401">
        <f t="shared" si="85"/>
        <v>97</v>
      </c>
      <c r="E1401">
        <f t="shared" si="86"/>
        <v>97000000</v>
      </c>
      <c r="F1401">
        <f t="shared" si="87"/>
        <v>46560000</v>
      </c>
    </row>
    <row r="1402" ht="13.85" spans="1:6">
      <c r="A1402">
        <f t="shared" si="84"/>
        <v>1401</v>
      </c>
      <c r="B1402" s="11">
        <v>5383206</v>
      </c>
      <c r="C1402" s="11">
        <v>120</v>
      </c>
      <c r="D1402">
        <f t="shared" si="85"/>
        <v>120</v>
      </c>
      <c r="E1402">
        <f t="shared" si="86"/>
        <v>120000000</v>
      </c>
      <c r="F1402">
        <f t="shared" si="87"/>
        <v>57600000</v>
      </c>
    </row>
    <row r="1403" ht="13.85" spans="1:6">
      <c r="A1403">
        <f t="shared" si="84"/>
        <v>1402</v>
      </c>
      <c r="B1403" s="11">
        <v>5318510</v>
      </c>
      <c r="C1403" s="11">
        <v>144</v>
      </c>
      <c r="D1403">
        <f t="shared" si="85"/>
        <v>144</v>
      </c>
      <c r="E1403">
        <f t="shared" si="86"/>
        <v>144000000</v>
      </c>
      <c r="F1403">
        <f t="shared" si="87"/>
        <v>69120000</v>
      </c>
    </row>
    <row r="1404" ht="13.85" spans="1:6">
      <c r="A1404">
        <f t="shared" si="84"/>
        <v>1403</v>
      </c>
      <c r="B1404" s="11">
        <v>6207449</v>
      </c>
      <c r="C1404" s="11">
        <v>171</v>
      </c>
      <c r="D1404">
        <f t="shared" si="85"/>
        <v>171</v>
      </c>
      <c r="E1404">
        <f t="shared" si="86"/>
        <v>171000000</v>
      </c>
      <c r="F1404">
        <f t="shared" si="87"/>
        <v>82080000</v>
      </c>
    </row>
    <row r="1405" ht="13.85" spans="1:6">
      <c r="A1405">
        <f t="shared" si="84"/>
        <v>1404</v>
      </c>
      <c r="B1405" s="11">
        <v>7117610</v>
      </c>
      <c r="C1405" s="11">
        <v>200</v>
      </c>
      <c r="D1405">
        <f t="shared" si="85"/>
        <v>200</v>
      </c>
      <c r="E1405">
        <f t="shared" si="86"/>
        <v>200000000</v>
      </c>
      <c r="F1405">
        <f t="shared" si="87"/>
        <v>96000000</v>
      </c>
    </row>
    <row r="1406" ht="13.85" spans="1:6">
      <c r="A1406">
        <f t="shared" si="84"/>
        <v>1405</v>
      </c>
      <c r="B1406" s="11">
        <v>3994627</v>
      </c>
      <c r="C1406" s="11">
        <v>20</v>
      </c>
      <c r="D1406">
        <f t="shared" si="85"/>
        <v>20</v>
      </c>
      <c r="E1406">
        <f t="shared" si="86"/>
        <v>20000000</v>
      </c>
      <c r="F1406">
        <f t="shared" si="87"/>
        <v>9600000</v>
      </c>
    </row>
    <row r="1407" ht="13.85" spans="1:6">
      <c r="A1407">
        <f t="shared" si="84"/>
        <v>1406</v>
      </c>
      <c r="B1407" s="11">
        <v>3562079</v>
      </c>
      <c r="C1407" s="11">
        <v>25</v>
      </c>
      <c r="D1407">
        <f t="shared" si="85"/>
        <v>25</v>
      </c>
      <c r="E1407">
        <f t="shared" si="86"/>
        <v>25000000</v>
      </c>
      <c r="F1407">
        <f t="shared" si="87"/>
        <v>12000000</v>
      </c>
    </row>
    <row r="1408" ht="13.85" spans="1:6">
      <c r="A1408">
        <f t="shared" si="84"/>
        <v>1407</v>
      </c>
      <c r="B1408" s="11">
        <v>3772971</v>
      </c>
      <c r="C1408" s="11">
        <v>20</v>
      </c>
      <c r="D1408">
        <f t="shared" si="85"/>
        <v>20</v>
      </c>
      <c r="E1408">
        <f t="shared" si="86"/>
        <v>20000000</v>
      </c>
      <c r="F1408">
        <f t="shared" si="87"/>
        <v>9600000</v>
      </c>
    </row>
    <row r="1409" ht="13.85" spans="1:6">
      <c r="A1409">
        <f t="shared" si="84"/>
        <v>1408</v>
      </c>
      <c r="B1409" s="11">
        <v>3454781</v>
      </c>
      <c r="C1409" s="11">
        <v>25</v>
      </c>
      <c r="D1409">
        <f t="shared" si="85"/>
        <v>25</v>
      </c>
      <c r="E1409">
        <f t="shared" si="86"/>
        <v>25000000</v>
      </c>
      <c r="F1409">
        <f t="shared" si="87"/>
        <v>12000000</v>
      </c>
    </row>
    <row r="1410" ht="13.85" spans="1:6">
      <c r="A1410">
        <f t="shared" ref="A1410:A1473" si="88">ROW()-1</f>
        <v>1409</v>
      </c>
      <c r="B1410" s="11">
        <v>3926797</v>
      </c>
      <c r="C1410" s="11">
        <v>36</v>
      </c>
      <c r="D1410">
        <f t="shared" ref="D1410:D1473" si="89">IF(RIGHT(C1410,1)="B",VALUE(LEFT(C1410,LEN(C1410)-1))*1000,C1410)</f>
        <v>36</v>
      </c>
      <c r="E1410">
        <f t="shared" ref="E1410:E1473" si="90">D1410*1000000</f>
        <v>36000000</v>
      </c>
      <c r="F1410">
        <f t="shared" ref="F1410:F1473" si="91">E1410*0.48</f>
        <v>17280000</v>
      </c>
    </row>
    <row r="1411" ht="13.85" spans="1:6">
      <c r="A1411">
        <f t="shared" si="88"/>
        <v>1410</v>
      </c>
      <c r="B1411" s="11">
        <v>3633408</v>
      </c>
      <c r="C1411" s="11">
        <v>48</v>
      </c>
      <c r="D1411">
        <f t="shared" si="89"/>
        <v>48</v>
      </c>
      <c r="E1411">
        <f t="shared" si="90"/>
        <v>48000000</v>
      </c>
      <c r="F1411">
        <f t="shared" si="91"/>
        <v>23040000</v>
      </c>
    </row>
    <row r="1412" ht="13.85" spans="1:6">
      <c r="A1412">
        <f t="shared" si="88"/>
        <v>1411</v>
      </c>
      <c r="B1412" s="11">
        <v>4189633</v>
      </c>
      <c r="C1412" s="11">
        <v>63</v>
      </c>
      <c r="D1412">
        <f t="shared" si="89"/>
        <v>63</v>
      </c>
      <c r="E1412">
        <f t="shared" si="90"/>
        <v>63000000</v>
      </c>
      <c r="F1412">
        <f t="shared" si="91"/>
        <v>30240000</v>
      </c>
    </row>
    <row r="1413" ht="13.85" spans="1:6">
      <c r="A1413">
        <f t="shared" si="88"/>
        <v>1412</v>
      </c>
      <c r="B1413" s="11">
        <v>3878029</v>
      </c>
      <c r="C1413" s="11">
        <v>76</v>
      </c>
      <c r="D1413">
        <f t="shared" si="89"/>
        <v>76</v>
      </c>
      <c r="E1413">
        <f t="shared" si="90"/>
        <v>76000000</v>
      </c>
      <c r="F1413">
        <f t="shared" si="91"/>
        <v>36480000</v>
      </c>
    </row>
    <row r="1414" ht="13.85" spans="1:6">
      <c r="A1414">
        <f t="shared" si="88"/>
        <v>1413</v>
      </c>
      <c r="B1414" s="11">
        <v>3707393</v>
      </c>
      <c r="C1414" s="11">
        <v>20</v>
      </c>
      <c r="D1414">
        <f t="shared" si="89"/>
        <v>20</v>
      </c>
      <c r="E1414">
        <f t="shared" si="90"/>
        <v>20000000</v>
      </c>
      <c r="F1414">
        <f t="shared" si="91"/>
        <v>9600000</v>
      </c>
    </row>
    <row r="1415" ht="13.85" spans="1:6">
      <c r="A1415">
        <f t="shared" si="88"/>
        <v>1414</v>
      </c>
      <c r="B1415" s="11">
        <v>3180426</v>
      </c>
      <c r="C1415" s="11">
        <v>25</v>
      </c>
      <c r="D1415">
        <f t="shared" si="89"/>
        <v>25</v>
      </c>
      <c r="E1415">
        <f t="shared" si="90"/>
        <v>25000000</v>
      </c>
      <c r="F1415">
        <f t="shared" si="91"/>
        <v>12000000</v>
      </c>
    </row>
    <row r="1416" ht="13.85" spans="1:6">
      <c r="A1416">
        <f t="shared" si="88"/>
        <v>1415</v>
      </c>
      <c r="B1416" s="11">
        <v>3751101</v>
      </c>
      <c r="C1416" s="11">
        <v>36</v>
      </c>
      <c r="D1416">
        <f t="shared" si="89"/>
        <v>36</v>
      </c>
      <c r="E1416">
        <f t="shared" si="90"/>
        <v>36000000</v>
      </c>
      <c r="F1416">
        <f t="shared" si="91"/>
        <v>17280000</v>
      </c>
    </row>
    <row r="1417" ht="13.85" spans="1:6">
      <c r="A1417">
        <f t="shared" si="88"/>
        <v>1416</v>
      </c>
      <c r="B1417" s="11">
        <v>3536997</v>
      </c>
      <c r="C1417" s="11">
        <v>48</v>
      </c>
      <c r="D1417">
        <f t="shared" si="89"/>
        <v>48</v>
      </c>
      <c r="E1417">
        <f t="shared" si="90"/>
        <v>48000000</v>
      </c>
      <c r="F1417">
        <f t="shared" si="91"/>
        <v>23040000</v>
      </c>
    </row>
    <row r="1418" ht="13.85" spans="1:6">
      <c r="A1418">
        <f t="shared" si="88"/>
        <v>1417</v>
      </c>
      <c r="B1418" s="11">
        <v>4097178</v>
      </c>
      <c r="C1418" s="11">
        <v>61</v>
      </c>
      <c r="D1418">
        <f t="shared" si="89"/>
        <v>61</v>
      </c>
      <c r="E1418">
        <f t="shared" si="90"/>
        <v>61000000</v>
      </c>
      <c r="F1418">
        <f t="shared" si="91"/>
        <v>29280000</v>
      </c>
    </row>
    <row r="1419" ht="13.85" spans="1:6">
      <c r="A1419">
        <f t="shared" si="88"/>
        <v>1418</v>
      </c>
      <c r="B1419" s="11">
        <v>3844115</v>
      </c>
      <c r="C1419" s="11">
        <v>76</v>
      </c>
      <c r="D1419">
        <f t="shared" si="89"/>
        <v>76</v>
      </c>
      <c r="E1419">
        <f t="shared" si="90"/>
        <v>76000000</v>
      </c>
      <c r="F1419">
        <f t="shared" si="91"/>
        <v>36480000</v>
      </c>
    </row>
    <row r="1420" ht="13.85" spans="1:6">
      <c r="A1420">
        <f t="shared" si="88"/>
        <v>1419</v>
      </c>
      <c r="B1420" s="11">
        <v>4526355</v>
      </c>
      <c r="C1420" s="11">
        <v>92</v>
      </c>
      <c r="D1420">
        <f t="shared" si="89"/>
        <v>92</v>
      </c>
      <c r="E1420">
        <f t="shared" si="90"/>
        <v>92000000</v>
      </c>
      <c r="F1420">
        <f t="shared" si="91"/>
        <v>44160000</v>
      </c>
    </row>
    <row r="1421" ht="13.85" spans="1:6">
      <c r="A1421">
        <f t="shared" si="88"/>
        <v>1420</v>
      </c>
      <c r="B1421" s="11">
        <v>4810460</v>
      </c>
      <c r="C1421" s="11">
        <v>111</v>
      </c>
      <c r="D1421">
        <f t="shared" si="89"/>
        <v>111</v>
      </c>
      <c r="E1421">
        <f t="shared" si="90"/>
        <v>111000000</v>
      </c>
      <c r="F1421">
        <f t="shared" si="91"/>
        <v>53280000</v>
      </c>
    </row>
    <row r="1422" ht="13.85" spans="1:6">
      <c r="A1422">
        <f t="shared" si="88"/>
        <v>1421</v>
      </c>
      <c r="B1422" s="11">
        <v>5565726</v>
      </c>
      <c r="C1422" s="11">
        <v>133</v>
      </c>
      <c r="D1422">
        <f t="shared" si="89"/>
        <v>133</v>
      </c>
      <c r="E1422">
        <f t="shared" si="90"/>
        <v>133000000</v>
      </c>
      <c r="F1422">
        <f t="shared" si="91"/>
        <v>63840000</v>
      </c>
    </row>
    <row r="1423" ht="13.85" spans="1:6">
      <c r="A1423">
        <f t="shared" si="88"/>
        <v>1422</v>
      </c>
      <c r="B1423" s="11">
        <v>5807169</v>
      </c>
      <c r="C1423" s="11">
        <v>160</v>
      </c>
      <c r="D1423">
        <f t="shared" si="89"/>
        <v>160</v>
      </c>
      <c r="E1423">
        <f t="shared" si="90"/>
        <v>160000000</v>
      </c>
      <c r="F1423">
        <f t="shared" si="91"/>
        <v>76800000</v>
      </c>
    </row>
    <row r="1424" ht="13.85" spans="1:6">
      <c r="A1424">
        <f t="shared" si="88"/>
        <v>1423</v>
      </c>
      <c r="B1424" s="11">
        <v>6685555</v>
      </c>
      <c r="C1424" s="11">
        <v>180</v>
      </c>
      <c r="D1424">
        <f t="shared" si="89"/>
        <v>180</v>
      </c>
      <c r="E1424">
        <f t="shared" si="90"/>
        <v>180000000</v>
      </c>
      <c r="F1424">
        <f t="shared" si="91"/>
        <v>86400000</v>
      </c>
    </row>
    <row r="1425" ht="13.85" spans="1:6">
      <c r="A1425">
        <f t="shared" si="88"/>
        <v>1424</v>
      </c>
      <c r="B1425" s="11">
        <v>8139169</v>
      </c>
      <c r="C1425" s="11">
        <v>220</v>
      </c>
      <c r="D1425">
        <f t="shared" si="89"/>
        <v>220</v>
      </c>
      <c r="E1425">
        <f t="shared" si="90"/>
        <v>220000000</v>
      </c>
      <c r="F1425">
        <f t="shared" si="91"/>
        <v>105600000</v>
      </c>
    </row>
    <row r="1426" ht="13.85" spans="1:6">
      <c r="A1426">
        <f t="shared" si="88"/>
        <v>1425</v>
      </c>
      <c r="B1426" s="11">
        <v>3904934</v>
      </c>
      <c r="C1426" s="11">
        <v>20</v>
      </c>
      <c r="D1426">
        <f t="shared" si="89"/>
        <v>20</v>
      </c>
      <c r="E1426">
        <f t="shared" si="90"/>
        <v>20000000</v>
      </c>
      <c r="F1426">
        <f t="shared" si="91"/>
        <v>9600000</v>
      </c>
    </row>
    <row r="1427" ht="13.85" spans="1:6">
      <c r="A1427">
        <f t="shared" si="88"/>
        <v>1426</v>
      </c>
      <c r="B1427" s="11">
        <v>3480154</v>
      </c>
      <c r="C1427" s="11">
        <v>25</v>
      </c>
      <c r="D1427">
        <f t="shared" si="89"/>
        <v>25</v>
      </c>
      <c r="E1427">
        <f t="shared" si="90"/>
        <v>25000000</v>
      </c>
      <c r="F1427">
        <f t="shared" si="91"/>
        <v>12000000</v>
      </c>
    </row>
    <row r="1428" ht="13.85" spans="1:6">
      <c r="A1428">
        <f t="shared" si="88"/>
        <v>1427</v>
      </c>
      <c r="B1428" s="11">
        <v>3984308</v>
      </c>
      <c r="C1428" s="11">
        <v>37</v>
      </c>
      <c r="D1428">
        <f t="shared" si="89"/>
        <v>37</v>
      </c>
      <c r="E1428">
        <f t="shared" si="90"/>
        <v>37000000</v>
      </c>
      <c r="F1428">
        <f t="shared" si="91"/>
        <v>17760000</v>
      </c>
    </row>
    <row r="1429" ht="13.85" spans="1:6">
      <c r="A1429">
        <f t="shared" si="88"/>
        <v>1428</v>
      </c>
      <c r="B1429" s="11">
        <v>3718328</v>
      </c>
      <c r="C1429" s="11">
        <v>47</v>
      </c>
      <c r="D1429">
        <f t="shared" si="89"/>
        <v>47</v>
      </c>
      <c r="E1429">
        <f t="shared" si="90"/>
        <v>47000000</v>
      </c>
      <c r="F1429">
        <f t="shared" si="91"/>
        <v>22560000</v>
      </c>
    </row>
    <row r="1430" ht="13.85" spans="1:6">
      <c r="A1430">
        <f t="shared" si="88"/>
        <v>1429</v>
      </c>
      <c r="B1430" s="11">
        <v>4241766</v>
      </c>
      <c r="C1430" s="11">
        <v>61</v>
      </c>
      <c r="D1430">
        <f t="shared" si="89"/>
        <v>61</v>
      </c>
      <c r="E1430">
        <f t="shared" si="90"/>
        <v>61000000</v>
      </c>
      <c r="F1430">
        <f t="shared" si="91"/>
        <v>29280000</v>
      </c>
    </row>
    <row r="1431" ht="13.85" spans="1:6">
      <c r="A1431">
        <f t="shared" si="88"/>
        <v>1430</v>
      </c>
      <c r="B1431" s="11">
        <v>4002018</v>
      </c>
      <c r="C1431" s="11">
        <v>75</v>
      </c>
      <c r="D1431">
        <f t="shared" si="89"/>
        <v>75</v>
      </c>
      <c r="E1431">
        <f t="shared" si="90"/>
        <v>75000000</v>
      </c>
      <c r="F1431">
        <f t="shared" si="91"/>
        <v>36000000</v>
      </c>
    </row>
    <row r="1432" ht="13.85" spans="1:6">
      <c r="A1432">
        <f t="shared" si="88"/>
        <v>1431</v>
      </c>
      <c r="B1432" s="11">
        <v>4890186</v>
      </c>
      <c r="C1432" s="11">
        <v>91</v>
      </c>
      <c r="D1432">
        <f t="shared" si="89"/>
        <v>91</v>
      </c>
      <c r="E1432">
        <f t="shared" si="90"/>
        <v>91000000</v>
      </c>
      <c r="F1432">
        <f t="shared" si="91"/>
        <v>43680000</v>
      </c>
    </row>
    <row r="1433" ht="13.85" spans="1:6">
      <c r="A1433">
        <f t="shared" si="88"/>
        <v>1432</v>
      </c>
      <c r="B1433" s="11">
        <v>4805018</v>
      </c>
      <c r="C1433" s="11">
        <v>107</v>
      </c>
      <c r="D1433">
        <f t="shared" si="89"/>
        <v>107</v>
      </c>
      <c r="E1433">
        <f t="shared" si="90"/>
        <v>107000000</v>
      </c>
      <c r="F1433">
        <f t="shared" si="91"/>
        <v>51360000</v>
      </c>
    </row>
    <row r="1434" ht="13.85" spans="1:6">
      <c r="A1434">
        <f t="shared" si="88"/>
        <v>1433</v>
      </c>
      <c r="B1434" s="11">
        <v>3765926</v>
      </c>
      <c r="C1434" s="11">
        <v>20</v>
      </c>
      <c r="D1434">
        <f t="shared" si="89"/>
        <v>20</v>
      </c>
      <c r="E1434">
        <f t="shared" si="90"/>
        <v>20000000</v>
      </c>
      <c r="F1434">
        <f t="shared" si="91"/>
        <v>9600000</v>
      </c>
    </row>
    <row r="1435" ht="13.85" spans="1:6">
      <c r="A1435">
        <f t="shared" si="88"/>
        <v>1434</v>
      </c>
      <c r="B1435" s="11">
        <v>3379280</v>
      </c>
      <c r="C1435" s="11">
        <v>25</v>
      </c>
      <c r="D1435">
        <f t="shared" si="89"/>
        <v>25</v>
      </c>
      <c r="E1435">
        <f t="shared" si="90"/>
        <v>25000000</v>
      </c>
      <c r="F1435">
        <f t="shared" si="91"/>
        <v>12000000</v>
      </c>
    </row>
    <row r="1436" ht="13.85" spans="1:6">
      <c r="A1436">
        <f t="shared" si="88"/>
        <v>1435</v>
      </c>
      <c r="B1436" s="11">
        <v>3614271</v>
      </c>
      <c r="C1436" s="11">
        <v>20</v>
      </c>
      <c r="D1436">
        <f t="shared" si="89"/>
        <v>20</v>
      </c>
      <c r="E1436">
        <f t="shared" si="90"/>
        <v>20000000</v>
      </c>
      <c r="F1436">
        <f t="shared" si="91"/>
        <v>9600000</v>
      </c>
    </row>
    <row r="1437" ht="13.85" spans="1:6">
      <c r="A1437">
        <f t="shared" si="88"/>
        <v>1436</v>
      </c>
      <c r="B1437" s="11">
        <v>3271164</v>
      </c>
      <c r="C1437" s="11">
        <v>25</v>
      </c>
      <c r="D1437">
        <f t="shared" si="89"/>
        <v>25</v>
      </c>
      <c r="E1437">
        <f t="shared" si="90"/>
        <v>25000000</v>
      </c>
      <c r="F1437">
        <f t="shared" si="91"/>
        <v>12000000</v>
      </c>
    </row>
    <row r="1438" ht="13.85" spans="1:6">
      <c r="A1438">
        <f t="shared" si="88"/>
        <v>1437</v>
      </c>
      <c r="B1438" s="11">
        <v>3687249</v>
      </c>
      <c r="C1438" s="11">
        <v>30</v>
      </c>
      <c r="D1438">
        <f t="shared" si="89"/>
        <v>30</v>
      </c>
      <c r="E1438">
        <f t="shared" si="90"/>
        <v>30000000</v>
      </c>
      <c r="F1438">
        <f t="shared" si="91"/>
        <v>14400000</v>
      </c>
    </row>
    <row r="1439" ht="13.85" spans="1:6">
      <c r="A1439">
        <f t="shared" si="88"/>
        <v>1438</v>
      </c>
      <c r="B1439" s="11">
        <v>3393573</v>
      </c>
      <c r="C1439" s="11">
        <v>37</v>
      </c>
      <c r="D1439">
        <f t="shared" si="89"/>
        <v>37</v>
      </c>
      <c r="E1439">
        <f t="shared" si="90"/>
        <v>37000000</v>
      </c>
      <c r="F1439">
        <f t="shared" si="91"/>
        <v>17760000</v>
      </c>
    </row>
    <row r="1440" ht="13.85" spans="1:6">
      <c r="A1440">
        <f t="shared" si="88"/>
        <v>1439</v>
      </c>
      <c r="B1440" s="11">
        <v>3974619</v>
      </c>
      <c r="C1440" s="11">
        <v>47</v>
      </c>
      <c r="D1440">
        <f t="shared" si="89"/>
        <v>47</v>
      </c>
      <c r="E1440">
        <f t="shared" si="90"/>
        <v>47000000</v>
      </c>
      <c r="F1440">
        <f t="shared" si="91"/>
        <v>22560000</v>
      </c>
    </row>
    <row r="1441" ht="13.85" spans="1:6">
      <c r="A1441">
        <f t="shared" si="88"/>
        <v>1440</v>
      </c>
      <c r="B1441" s="11">
        <v>3753552</v>
      </c>
      <c r="C1441" s="11">
        <v>58</v>
      </c>
      <c r="D1441">
        <f t="shared" si="89"/>
        <v>58</v>
      </c>
      <c r="E1441">
        <f t="shared" si="90"/>
        <v>58000000</v>
      </c>
      <c r="F1441">
        <f t="shared" si="91"/>
        <v>27840000</v>
      </c>
    </row>
    <row r="1442" ht="13.85" spans="1:6">
      <c r="A1442">
        <f t="shared" si="88"/>
        <v>1441</v>
      </c>
      <c r="B1442" s="13">
        <v>4295039</v>
      </c>
      <c r="C1442" s="13">
        <v>71</v>
      </c>
      <c r="D1442">
        <f t="shared" si="89"/>
        <v>71</v>
      </c>
      <c r="E1442">
        <f t="shared" si="90"/>
        <v>71000000</v>
      </c>
      <c r="F1442">
        <f t="shared" si="91"/>
        <v>34080000</v>
      </c>
    </row>
    <row r="1443" ht="13.85" spans="1:6">
      <c r="A1443">
        <f t="shared" si="88"/>
        <v>1442</v>
      </c>
      <c r="B1443" s="11">
        <v>4112270</v>
      </c>
      <c r="C1443" s="11">
        <v>86</v>
      </c>
      <c r="D1443">
        <f t="shared" si="89"/>
        <v>86</v>
      </c>
      <c r="E1443">
        <f t="shared" si="90"/>
        <v>86000000</v>
      </c>
      <c r="F1443">
        <f t="shared" si="91"/>
        <v>41280000</v>
      </c>
    </row>
    <row r="1444" ht="13.85" spans="1:6">
      <c r="A1444">
        <f t="shared" si="88"/>
        <v>1443</v>
      </c>
      <c r="B1444" s="11">
        <v>5064198</v>
      </c>
      <c r="C1444" s="11">
        <v>105</v>
      </c>
      <c r="D1444">
        <f t="shared" si="89"/>
        <v>105</v>
      </c>
      <c r="E1444">
        <f t="shared" si="90"/>
        <v>105000000</v>
      </c>
      <c r="F1444">
        <f t="shared" si="91"/>
        <v>50400000</v>
      </c>
    </row>
    <row r="1445" ht="13.85" spans="1:6">
      <c r="A1445">
        <f t="shared" si="88"/>
        <v>1444</v>
      </c>
      <c r="B1445" s="11">
        <v>5035152</v>
      </c>
      <c r="C1445" s="11">
        <v>124</v>
      </c>
      <c r="D1445">
        <f t="shared" si="89"/>
        <v>124</v>
      </c>
      <c r="E1445">
        <f t="shared" si="90"/>
        <v>124000000</v>
      </c>
      <c r="F1445">
        <f t="shared" si="91"/>
        <v>59520000</v>
      </c>
    </row>
    <row r="1446" ht="13.85" spans="1:6">
      <c r="A1446">
        <f t="shared" si="88"/>
        <v>1445</v>
      </c>
      <c r="B1446" s="11">
        <v>5818941</v>
      </c>
      <c r="C1446" s="11">
        <v>148</v>
      </c>
      <c r="D1446">
        <f t="shared" si="89"/>
        <v>148</v>
      </c>
      <c r="E1446">
        <f t="shared" si="90"/>
        <v>148000000</v>
      </c>
      <c r="F1446">
        <f t="shared" si="91"/>
        <v>71040000</v>
      </c>
    </row>
    <row r="1447" ht="13.85" spans="1:6">
      <c r="A1447">
        <f t="shared" si="88"/>
        <v>1446</v>
      </c>
      <c r="B1447" s="11">
        <v>6168589</v>
      </c>
      <c r="C1447" s="11">
        <v>173</v>
      </c>
      <c r="D1447">
        <f t="shared" si="89"/>
        <v>173</v>
      </c>
      <c r="E1447">
        <f t="shared" si="90"/>
        <v>173000000</v>
      </c>
      <c r="F1447">
        <f t="shared" si="91"/>
        <v>83040000</v>
      </c>
    </row>
    <row r="1448" ht="13.85" spans="1:6">
      <c r="A1448">
        <f t="shared" si="88"/>
        <v>1447</v>
      </c>
      <c r="B1448" s="11">
        <v>7564568</v>
      </c>
      <c r="C1448" s="11">
        <v>203</v>
      </c>
      <c r="D1448">
        <f t="shared" si="89"/>
        <v>203</v>
      </c>
      <c r="E1448">
        <f t="shared" si="90"/>
        <v>203000000</v>
      </c>
      <c r="F1448">
        <f t="shared" si="91"/>
        <v>97440000</v>
      </c>
    </row>
    <row r="1449" ht="13.85" spans="1:6">
      <c r="A1449">
        <f t="shared" si="88"/>
        <v>1448</v>
      </c>
      <c r="B1449" s="11">
        <v>9584564</v>
      </c>
      <c r="C1449" s="11">
        <v>245</v>
      </c>
      <c r="D1449">
        <f t="shared" si="89"/>
        <v>245</v>
      </c>
      <c r="E1449">
        <f t="shared" si="90"/>
        <v>245000000</v>
      </c>
      <c r="F1449">
        <f t="shared" si="91"/>
        <v>117600000</v>
      </c>
    </row>
    <row r="1450" ht="13.85" spans="1:6">
      <c r="A1450">
        <f t="shared" si="88"/>
        <v>1449</v>
      </c>
      <c r="B1450" s="11">
        <v>3969048</v>
      </c>
      <c r="C1450" s="11">
        <v>20</v>
      </c>
      <c r="D1450">
        <f t="shared" si="89"/>
        <v>20</v>
      </c>
      <c r="E1450">
        <f t="shared" si="90"/>
        <v>20000000</v>
      </c>
      <c r="F1450">
        <f t="shared" si="91"/>
        <v>9600000</v>
      </c>
    </row>
    <row r="1451" ht="13.85" spans="1:6">
      <c r="A1451">
        <f t="shared" si="88"/>
        <v>1450</v>
      </c>
      <c r="B1451" s="11">
        <v>3595177</v>
      </c>
      <c r="C1451" s="11">
        <v>25</v>
      </c>
      <c r="D1451">
        <f t="shared" si="89"/>
        <v>25</v>
      </c>
      <c r="E1451">
        <f t="shared" si="90"/>
        <v>25000000</v>
      </c>
      <c r="F1451">
        <f t="shared" si="91"/>
        <v>12000000</v>
      </c>
    </row>
    <row r="1452" ht="13.85" spans="1:6">
      <c r="A1452">
        <f t="shared" si="88"/>
        <v>1451</v>
      </c>
      <c r="B1452" s="11">
        <v>4168616</v>
      </c>
      <c r="C1452" s="11">
        <v>35</v>
      </c>
      <c r="D1452">
        <f t="shared" si="89"/>
        <v>35</v>
      </c>
      <c r="E1452">
        <f t="shared" si="90"/>
        <v>35000000</v>
      </c>
      <c r="F1452">
        <f t="shared" si="91"/>
        <v>16800000</v>
      </c>
    </row>
    <row r="1453" ht="13.85" spans="1:6">
      <c r="A1453">
        <f t="shared" si="88"/>
        <v>1452</v>
      </c>
      <c r="B1453" s="11">
        <v>3857159</v>
      </c>
      <c r="C1453" s="11">
        <v>46</v>
      </c>
      <c r="D1453">
        <f t="shared" si="89"/>
        <v>46</v>
      </c>
      <c r="E1453">
        <f t="shared" si="90"/>
        <v>46000000</v>
      </c>
      <c r="F1453">
        <f t="shared" si="91"/>
        <v>22080000</v>
      </c>
    </row>
    <row r="1454" ht="13.85" spans="1:6">
      <c r="A1454">
        <f t="shared" si="88"/>
        <v>1453</v>
      </c>
      <c r="B1454" s="11">
        <v>4310684</v>
      </c>
      <c r="C1454" s="11">
        <v>60</v>
      </c>
      <c r="D1454">
        <f t="shared" si="89"/>
        <v>60</v>
      </c>
      <c r="E1454">
        <f t="shared" si="90"/>
        <v>60000000</v>
      </c>
      <c r="F1454">
        <f t="shared" si="91"/>
        <v>28800000</v>
      </c>
    </row>
    <row r="1455" ht="13.85" spans="1:6">
      <c r="A1455">
        <f t="shared" si="88"/>
        <v>1454</v>
      </c>
      <c r="B1455" s="11">
        <v>3489879</v>
      </c>
      <c r="C1455" s="11">
        <v>20</v>
      </c>
      <c r="D1455">
        <f t="shared" si="89"/>
        <v>20</v>
      </c>
      <c r="E1455">
        <f t="shared" si="90"/>
        <v>20000000</v>
      </c>
      <c r="F1455">
        <f t="shared" si="91"/>
        <v>9600000</v>
      </c>
    </row>
    <row r="1456" ht="13.85" spans="1:6">
      <c r="A1456">
        <f t="shared" si="88"/>
        <v>1455</v>
      </c>
      <c r="B1456" s="11">
        <v>3484253</v>
      </c>
      <c r="C1456" s="11">
        <v>25</v>
      </c>
      <c r="D1456">
        <f t="shared" si="89"/>
        <v>25</v>
      </c>
      <c r="E1456">
        <f t="shared" si="90"/>
        <v>25000000</v>
      </c>
      <c r="F1456">
        <f t="shared" si="91"/>
        <v>12000000</v>
      </c>
    </row>
    <row r="1457" ht="13.85" spans="1:6">
      <c r="A1457">
        <f t="shared" si="88"/>
        <v>1456</v>
      </c>
      <c r="B1457" s="11">
        <v>3396161</v>
      </c>
      <c r="C1457" s="11">
        <v>31</v>
      </c>
      <c r="D1457">
        <f t="shared" si="89"/>
        <v>31</v>
      </c>
      <c r="E1457">
        <f t="shared" si="90"/>
        <v>31000000</v>
      </c>
      <c r="F1457">
        <f t="shared" si="91"/>
        <v>14880000</v>
      </c>
    </row>
    <row r="1458" ht="13.85" spans="1:6">
      <c r="A1458">
        <f t="shared" si="88"/>
        <v>1457</v>
      </c>
      <c r="B1458" s="11">
        <v>3944208</v>
      </c>
      <c r="C1458" s="11">
        <v>40</v>
      </c>
      <c r="D1458">
        <f t="shared" si="89"/>
        <v>40</v>
      </c>
      <c r="E1458">
        <f t="shared" si="90"/>
        <v>40000000</v>
      </c>
      <c r="F1458">
        <f t="shared" si="91"/>
        <v>19200000</v>
      </c>
    </row>
    <row r="1459" ht="13.85" spans="1:6">
      <c r="A1459">
        <f t="shared" si="88"/>
        <v>1458</v>
      </c>
      <c r="B1459" s="11">
        <v>3610108</v>
      </c>
      <c r="C1459" s="11">
        <v>52</v>
      </c>
      <c r="D1459">
        <f t="shared" si="89"/>
        <v>52</v>
      </c>
      <c r="E1459">
        <f t="shared" si="90"/>
        <v>52000000</v>
      </c>
      <c r="F1459">
        <f t="shared" si="91"/>
        <v>24960000</v>
      </c>
    </row>
    <row r="1460" ht="13.85" spans="1:6">
      <c r="A1460">
        <f t="shared" si="88"/>
        <v>1459</v>
      </c>
      <c r="B1460" s="11">
        <v>4100508</v>
      </c>
      <c r="C1460" s="11">
        <v>67</v>
      </c>
      <c r="D1460">
        <f t="shared" si="89"/>
        <v>67</v>
      </c>
      <c r="E1460">
        <f t="shared" si="90"/>
        <v>67000000</v>
      </c>
      <c r="F1460">
        <f t="shared" si="91"/>
        <v>32160000</v>
      </c>
    </row>
    <row r="1461" ht="13.85" spans="1:6">
      <c r="A1461">
        <f t="shared" si="88"/>
        <v>1460</v>
      </c>
      <c r="B1461" s="11">
        <v>3908243</v>
      </c>
      <c r="C1461" s="11">
        <v>78</v>
      </c>
      <c r="D1461">
        <f t="shared" si="89"/>
        <v>78</v>
      </c>
      <c r="E1461">
        <f t="shared" si="90"/>
        <v>78000000</v>
      </c>
      <c r="F1461">
        <f t="shared" si="91"/>
        <v>37440000</v>
      </c>
    </row>
    <row r="1462" ht="13.85" spans="1:6">
      <c r="A1462">
        <f t="shared" si="88"/>
        <v>1461</v>
      </c>
      <c r="B1462" s="11">
        <v>4568297</v>
      </c>
      <c r="C1462" s="11">
        <v>91</v>
      </c>
      <c r="D1462">
        <f t="shared" si="89"/>
        <v>91</v>
      </c>
      <c r="E1462">
        <f t="shared" si="90"/>
        <v>91000000</v>
      </c>
      <c r="F1462">
        <f t="shared" si="91"/>
        <v>43680000</v>
      </c>
    </row>
    <row r="1463" ht="13.85" spans="1:6">
      <c r="A1463">
        <f t="shared" si="88"/>
        <v>1462</v>
      </c>
      <c r="B1463" s="11">
        <v>4705316</v>
      </c>
      <c r="C1463" s="11">
        <v>104</v>
      </c>
      <c r="D1463">
        <f t="shared" si="89"/>
        <v>104</v>
      </c>
      <c r="E1463">
        <f t="shared" si="90"/>
        <v>104000000</v>
      </c>
      <c r="F1463">
        <f t="shared" si="91"/>
        <v>49920000</v>
      </c>
    </row>
    <row r="1464" ht="13.85" spans="1:6">
      <c r="A1464">
        <f t="shared" si="88"/>
        <v>1463</v>
      </c>
      <c r="B1464" s="11">
        <v>5873279</v>
      </c>
      <c r="C1464" s="11">
        <v>125</v>
      </c>
      <c r="D1464">
        <f t="shared" si="89"/>
        <v>125</v>
      </c>
      <c r="E1464">
        <f t="shared" si="90"/>
        <v>125000000</v>
      </c>
      <c r="F1464">
        <f t="shared" si="91"/>
        <v>60000000</v>
      </c>
    </row>
    <row r="1465" ht="13.85" spans="1:6">
      <c r="A1465">
        <f t="shared" si="88"/>
        <v>1464</v>
      </c>
      <c r="B1465" s="17">
        <v>3198822</v>
      </c>
      <c r="C1465" s="17">
        <v>20</v>
      </c>
      <c r="D1465" s="18">
        <f t="shared" si="89"/>
        <v>20</v>
      </c>
      <c r="E1465" s="18">
        <f t="shared" si="90"/>
        <v>20000000</v>
      </c>
      <c r="F1465">
        <f t="shared" si="91"/>
        <v>9600000</v>
      </c>
    </row>
    <row r="1466" ht="13.85" spans="1:6">
      <c r="A1466">
        <f t="shared" si="88"/>
        <v>1465</v>
      </c>
      <c r="B1466" s="11">
        <v>4116045</v>
      </c>
      <c r="C1466" s="11">
        <v>25</v>
      </c>
      <c r="D1466">
        <f t="shared" si="89"/>
        <v>25</v>
      </c>
      <c r="E1466">
        <f t="shared" si="90"/>
        <v>25000000</v>
      </c>
      <c r="F1466">
        <f t="shared" si="91"/>
        <v>12000000</v>
      </c>
    </row>
    <row r="1467" ht="13.85" spans="1:6">
      <c r="A1467">
        <f t="shared" si="88"/>
        <v>1466</v>
      </c>
      <c r="B1467" s="11">
        <v>3296588</v>
      </c>
      <c r="C1467" s="11">
        <v>30</v>
      </c>
      <c r="D1467">
        <f t="shared" si="89"/>
        <v>30</v>
      </c>
      <c r="E1467">
        <f t="shared" si="90"/>
        <v>30000000</v>
      </c>
      <c r="F1467">
        <f t="shared" si="91"/>
        <v>14400000</v>
      </c>
    </row>
    <row r="1468" ht="13.85" spans="1:6">
      <c r="A1468">
        <f t="shared" si="88"/>
        <v>1467</v>
      </c>
      <c r="B1468" s="11">
        <v>3847029</v>
      </c>
      <c r="C1468" s="11">
        <v>44</v>
      </c>
      <c r="D1468">
        <f t="shared" si="89"/>
        <v>44</v>
      </c>
      <c r="E1468">
        <f t="shared" si="90"/>
        <v>44000000</v>
      </c>
      <c r="F1468">
        <f t="shared" si="91"/>
        <v>21120000</v>
      </c>
    </row>
    <row r="1469" ht="13.85" spans="1:6">
      <c r="A1469">
        <f t="shared" si="88"/>
        <v>1468</v>
      </c>
      <c r="B1469" s="11">
        <v>3580133</v>
      </c>
      <c r="C1469" s="11">
        <v>54</v>
      </c>
      <c r="D1469">
        <f t="shared" si="89"/>
        <v>54</v>
      </c>
      <c r="E1469">
        <f t="shared" si="90"/>
        <v>54000000</v>
      </c>
      <c r="F1469">
        <f t="shared" si="91"/>
        <v>25920000</v>
      </c>
    </row>
    <row r="1470" ht="13.85" spans="1:6">
      <c r="A1470">
        <f t="shared" si="88"/>
        <v>1469</v>
      </c>
      <c r="B1470" s="11">
        <v>4103408</v>
      </c>
      <c r="C1470" s="11">
        <v>66</v>
      </c>
      <c r="D1470">
        <f t="shared" si="89"/>
        <v>66</v>
      </c>
      <c r="E1470">
        <f t="shared" si="90"/>
        <v>66000000</v>
      </c>
      <c r="F1470">
        <f t="shared" si="91"/>
        <v>31680000</v>
      </c>
    </row>
    <row r="1471" ht="13.85" spans="1:6">
      <c r="A1471">
        <f t="shared" si="88"/>
        <v>1470</v>
      </c>
      <c r="B1471" s="11">
        <v>2872881</v>
      </c>
      <c r="C1471" s="11">
        <v>80</v>
      </c>
      <c r="D1471">
        <f t="shared" si="89"/>
        <v>80</v>
      </c>
      <c r="E1471">
        <f t="shared" si="90"/>
        <v>80000000</v>
      </c>
      <c r="F1471">
        <f t="shared" si="91"/>
        <v>38400000</v>
      </c>
    </row>
    <row r="1472" ht="13.85" spans="1:6">
      <c r="A1472">
        <f t="shared" si="88"/>
        <v>1471</v>
      </c>
      <c r="B1472" s="11">
        <v>3392197</v>
      </c>
      <c r="C1472" s="11">
        <v>100</v>
      </c>
      <c r="D1472">
        <f t="shared" si="89"/>
        <v>100</v>
      </c>
      <c r="E1472">
        <f t="shared" si="90"/>
        <v>100000000</v>
      </c>
      <c r="F1472">
        <f t="shared" si="91"/>
        <v>48000000</v>
      </c>
    </row>
    <row r="1473" ht="13.85" spans="1:6">
      <c r="A1473">
        <f t="shared" si="88"/>
        <v>1472</v>
      </c>
      <c r="B1473" s="11">
        <v>3289453</v>
      </c>
      <c r="C1473" s="11">
        <v>120</v>
      </c>
      <c r="D1473">
        <f t="shared" si="89"/>
        <v>120</v>
      </c>
      <c r="E1473">
        <f t="shared" si="90"/>
        <v>120000000</v>
      </c>
      <c r="F1473">
        <f t="shared" si="91"/>
        <v>57600000</v>
      </c>
    </row>
    <row r="1474" ht="13.85" spans="1:6">
      <c r="A1474">
        <f t="shared" ref="A1474:A1537" si="92">ROW()-1</f>
        <v>1473</v>
      </c>
      <c r="B1474" s="11">
        <v>3882738</v>
      </c>
      <c r="C1474" s="11">
        <v>146</v>
      </c>
      <c r="D1474">
        <f t="shared" ref="D1474:D1537" si="93">IF(RIGHT(C1474,1)="B",VALUE(LEFT(C1474,LEN(C1474)-1))*1000,C1474)</f>
        <v>146</v>
      </c>
      <c r="E1474">
        <f t="shared" ref="E1474:E1537" si="94">D1474*1000000</f>
        <v>146000000</v>
      </c>
      <c r="F1474">
        <f t="shared" ref="F1474:F1537" si="95">E1474*0.48</f>
        <v>70080000</v>
      </c>
    </row>
    <row r="1475" ht="13.85" spans="1:6">
      <c r="A1475">
        <f t="shared" si="92"/>
        <v>1474</v>
      </c>
      <c r="B1475" s="11">
        <v>4102587</v>
      </c>
      <c r="C1475" s="11">
        <v>170</v>
      </c>
      <c r="D1475">
        <f t="shared" si="93"/>
        <v>170</v>
      </c>
      <c r="E1475">
        <f t="shared" si="94"/>
        <v>170000000</v>
      </c>
      <c r="F1475">
        <f t="shared" si="95"/>
        <v>81600000</v>
      </c>
    </row>
    <row r="1476" ht="13.85" spans="1:6">
      <c r="A1476">
        <f t="shared" si="92"/>
        <v>1475</v>
      </c>
      <c r="B1476" s="11">
        <v>5330475</v>
      </c>
      <c r="C1476" s="11">
        <v>200</v>
      </c>
      <c r="D1476">
        <f t="shared" si="93"/>
        <v>200</v>
      </c>
      <c r="E1476">
        <f t="shared" si="94"/>
        <v>200000000</v>
      </c>
      <c r="F1476">
        <f t="shared" si="95"/>
        <v>96000000</v>
      </c>
    </row>
    <row r="1477" ht="13.85" spans="1:6">
      <c r="A1477">
        <f t="shared" si="92"/>
        <v>1476</v>
      </c>
      <c r="B1477" s="11">
        <v>6324021</v>
      </c>
      <c r="C1477" s="11">
        <v>250</v>
      </c>
      <c r="D1477">
        <f t="shared" si="93"/>
        <v>250</v>
      </c>
      <c r="E1477">
        <f t="shared" si="94"/>
        <v>250000000</v>
      </c>
      <c r="F1477">
        <f t="shared" si="95"/>
        <v>120000000</v>
      </c>
    </row>
    <row r="1478" ht="13.85" spans="1:6">
      <c r="A1478">
        <f t="shared" si="92"/>
        <v>1477</v>
      </c>
      <c r="B1478" s="11">
        <v>10398105</v>
      </c>
      <c r="C1478" s="11">
        <v>325</v>
      </c>
      <c r="D1478">
        <f t="shared" si="93"/>
        <v>325</v>
      </c>
      <c r="E1478">
        <f t="shared" si="94"/>
        <v>325000000</v>
      </c>
      <c r="F1478">
        <f t="shared" si="95"/>
        <v>156000000</v>
      </c>
    </row>
    <row r="1479" ht="13.85" spans="1:6">
      <c r="A1479">
        <f t="shared" si="92"/>
        <v>1478</v>
      </c>
      <c r="B1479" s="20">
        <v>3025553</v>
      </c>
      <c r="C1479" s="20">
        <v>40</v>
      </c>
      <c r="D1479" s="9">
        <f t="shared" si="93"/>
        <v>40</v>
      </c>
      <c r="E1479" s="9">
        <f t="shared" si="94"/>
        <v>40000000</v>
      </c>
      <c r="F1479">
        <f t="shared" si="95"/>
        <v>19200000</v>
      </c>
    </row>
    <row r="1480" ht="13.85" spans="1:6">
      <c r="A1480">
        <f t="shared" si="92"/>
        <v>1479</v>
      </c>
      <c r="B1480" s="11">
        <v>3442221</v>
      </c>
      <c r="C1480" s="11">
        <v>50</v>
      </c>
      <c r="D1480">
        <f t="shared" si="93"/>
        <v>50</v>
      </c>
      <c r="E1480">
        <f t="shared" si="94"/>
        <v>50000000</v>
      </c>
      <c r="F1480">
        <f t="shared" si="95"/>
        <v>24000000</v>
      </c>
    </row>
    <row r="1481" ht="13.85" spans="1:6">
      <c r="A1481">
        <f t="shared" si="92"/>
        <v>1480</v>
      </c>
      <c r="B1481" s="11">
        <v>3002305</v>
      </c>
      <c r="C1481" s="11">
        <v>60</v>
      </c>
      <c r="D1481">
        <f t="shared" si="93"/>
        <v>60</v>
      </c>
      <c r="E1481">
        <f t="shared" si="94"/>
        <v>60000000</v>
      </c>
      <c r="F1481">
        <f t="shared" si="95"/>
        <v>28800000</v>
      </c>
    </row>
    <row r="1482" ht="13.85" spans="1:6">
      <c r="A1482">
        <f t="shared" si="92"/>
        <v>1481</v>
      </c>
      <c r="B1482" s="11">
        <v>3419920</v>
      </c>
      <c r="C1482" s="11">
        <v>70</v>
      </c>
      <c r="D1482">
        <f t="shared" si="93"/>
        <v>70</v>
      </c>
      <c r="E1482">
        <f t="shared" si="94"/>
        <v>70000000</v>
      </c>
      <c r="F1482">
        <f t="shared" si="95"/>
        <v>33600000</v>
      </c>
    </row>
    <row r="1483" ht="13.85" spans="1:6">
      <c r="A1483">
        <f t="shared" si="92"/>
        <v>1482</v>
      </c>
      <c r="B1483" s="11">
        <v>2742270</v>
      </c>
      <c r="C1483" s="11">
        <v>40</v>
      </c>
      <c r="D1483">
        <f t="shared" si="93"/>
        <v>40</v>
      </c>
      <c r="E1483">
        <f t="shared" si="94"/>
        <v>40000000</v>
      </c>
      <c r="F1483">
        <f t="shared" si="95"/>
        <v>19200000</v>
      </c>
    </row>
    <row r="1484" ht="13.85" spans="1:6">
      <c r="A1484">
        <f t="shared" si="92"/>
        <v>1483</v>
      </c>
      <c r="B1484" s="11">
        <v>3266963</v>
      </c>
      <c r="C1484" s="11">
        <v>50</v>
      </c>
      <c r="D1484">
        <f t="shared" si="93"/>
        <v>50</v>
      </c>
      <c r="E1484">
        <f t="shared" si="94"/>
        <v>50000000</v>
      </c>
      <c r="F1484">
        <f t="shared" si="95"/>
        <v>24000000</v>
      </c>
    </row>
    <row r="1485" ht="13.85" spans="1:6">
      <c r="A1485">
        <f t="shared" si="92"/>
        <v>1484</v>
      </c>
      <c r="B1485" s="11">
        <v>2928736</v>
      </c>
      <c r="C1485" s="11">
        <v>60</v>
      </c>
      <c r="D1485">
        <f t="shared" si="93"/>
        <v>60</v>
      </c>
      <c r="E1485">
        <f t="shared" si="94"/>
        <v>60000000</v>
      </c>
      <c r="F1485">
        <f t="shared" si="95"/>
        <v>28800000</v>
      </c>
    </row>
    <row r="1486" ht="13.85" spans="1:6">
      <c r="A1486">
        <f t="shared" si="92"/>
        <v>1485</v>
      </c>
      <c r="B1486" s="11">
        <v>3057693</v>
      </c>
      <c r="C1486" s="11">
        <v>40</v>
      </c>
      <c r="D1486">
        <f t="shared" si="93"/>
        <v>40</v>
      </c>
      <c r="E1486">
        <f t="shared" si="94"/>
        <v>40000000</v>
      </c>
      <c r="F1486">
        <f t="shared" si="95"/>
        <v>19200000</v>
      </c>
    </row>
    <row r="1487" ht="13.85" spans="1:6">
      <c r="A1487">
        <f t="shared" si="92"/>
        <v>1486</v>
      </c>
      <c r="B1487" s="11">
        <v>2665167</v>
      </c>
      <c r="C1487" s="11">
        <v>50</v>
      </c>
      <c r="D1487">
        <f t="shared" si="93"/>
        <v>50</v>
      </c>
      <c r="E1487">
        <f t="shared" si="94"/>
        <v>50000000</v>
      </c>
      <c r="F1487">
        <f t="shared" si="95"/>
        <v>24000000</v>
      </c>
    </row>
    <row r="1488" ht="13.85" spans="1:6">
      <c r="A1488">
        <f t="shared" si="92"/>
        <v>1487</v>
      </c>
      <c r="B1488" s="11">
        <v>3031289</v>
      </c>
      <c r="C1488" s="11">
        <v>60</v>
      </c>
      <c r="D1488">
        <f t="shared" si="93"/>
        <v>60</v>
      </c>
      <c r="E1488">
        <f t="shared" si="94"/>
        <v>60000000</v>
      </c>
      <c r="F1488">
        <f t="shared" si="95"/>
        <v>28800000</v>
      </c>
    </row>
    <row r="1489" ht="13.85" spans="1:6">
      <c r="A1489">
        <f t="shared" si="92"/>
        <v>1488</v>
      </c>
      <c r="B1489" s="11">
        <v>2732888</v>
      </c>
      <c r="C1489" s="11">
        <v>70</v>
      </c>
      <c r="D1489">
        <f t="shared" si="93"/>
        <v>70</v>
      </c>
      <c r="E1489">
        <f t="shared" si="94"/>
        <v>70000000</v>
      </c>
      <c r="F1489">
        <f t="shared" si="95"/>
        <v>33600000</v>
      </c>
    </row>
    <row r="1490" ht="13.85" spans="1:6">
      <c r="A1490">
        <f t="shared" si="92"/>
        <v>1489</v>
      </c>
      <c r="B1490" s="11">
        <v>2828541</v>
      </c>
      <c r="C1490" s="11">
        <v>40</v>
      </c>
      <c r="D1490">
        <f t="shared" si="93"/>
        <v>40</v>
      </c>
      <c r="E1490">
        <f t="shared" si="94"/>
        <v>40000000</v>
      </c>
      <c r="F1490">
        <f t="shared" si="95"/>
        <v>19200000</v>
      </c>
    </row>
    <row r="1491" ht="13.85" spans="1:6">
      <c r="A1491">
        <f t="shared" si="92"/>
        <v>1490</v>
      </c>
      <c r="B1491" s="11">
        <v>2687696</v>
      </c>
      <c r="C1491" s="11">
        <v>50</v>
      </c>
      <c r="D1491">
        <f t="shared" si="93"/>
        <v>50</v>
      </c>
      <c r="E1491">
        <f t="shared" si="94"/>
        <v>50000000</v>
      </c>
      <c r="F1491">
        <f t="shared" si="95"/>
        <v>24000000</v>
      </c>
    </row>
    <row r="1492" ht="13.85" spans="1:6">
      <c r="A1492">
        <f t="shared" si="92"/>
        <v>1491</v>
      </c>
      <c r="B1492" s="11">
        <v>3335997</v>
      </c>
      <c r="C1492" s="11">
        <v>60</v>
      </c>
      <c r="D1492">
        <f t="shared" si="93"/>
        <v>60</v>
      </c>
      <c r="E1492">
        <f t="shared" si="94"/>
        <v>60000000</v>
      </c>
      <c r="F1492">
        <f t="shared" si="95"/>
        <v>28800000</v>
      </c>
    </row>
    <row r="1493" ht="13.85" spans="1:6">
      <c r="A1493">
        <f t="shared" si="92"/>
        <v>1492</v>
      </c>
      <c r="B1493" s="11">
        <v>2623485</v>
      </c>
      <c r="C1493" s="11">
        <v>70</v>
      </c>
      <c r="D1493">
        <f t="shared" si="93"/>
        <v>70</v>
      </c>
      <c r="E1493">
        <f t="shared" si="94"/>
        <v>70000000</v>
      </c>
      <c r="F1493">
        <f t="shared" si="95"/>
        <v>33600000</v>
      </c>
    </row>
    <row r="1494" ht="13.85" spans="1:6">
      <c r="A1494">
        <f t="shared" si="92"/>
        <v>1493</v>
      </c>
      <c r="B1494" s="11">
        <v>2965575</v>
      </c>
      <c r="C1494" s="11">
        <v>80</v>
      </c>
      <c r="D1494">
        <f t="shared" si="93"/>
        <v>80</v>
      </c>
      <c r="E1494">
        <f t="shared" si="94"/>
        <v>80000000</v>
      </c>
      <c r="F1494">
        <f t="shared" si="95"/>
        <v>38400000</v>
      </c>
    </row>
    <row r="1495" ht="13.85" spans="1:6">
      <c r="A1495">
        <f t="shared" si="92"/>
        <v>1494</v>
      </c>
      <c r="B1495" s="11">
        <v>2794411</v>
      </c>
      <c r="C1495" s="11">
        <v>94</v>
      </c>
      <c r="D1495">
        <f t="shared" si="93"/>
        <v>94</v>
      </c>
      <c r="E1495">
        <f t="shared" si="94"/>
        <v>94000000</v>
      </c>
      <c r="F1495">
        <f t="shared" si="95"/>
        <v>45120000</v>
      </c>
    </row>
    <row r="1496" ht="13.85" spans="1:6">
      <c r="A1496">
        <f t="shared" si="92"/>
        <v>1495</v>
      </c>
      <c r="B1496" s="11">
        <v>3338689</v>
      </c>
      <c r="C1496" s="11">
        <v>113</v>
      </c>
      <c r="D1496">
        <f t="shared" si="93"/>
        <v>113</v>
      </c>
      <c r="E1496">
        <f t="shared" si="94"/>
        <v>113000000</v>
      </c>
      <c r="F1496">
        <f t="shared" si="95"/>
        <v>54240000</v>
      </c>
    </row>
    <row r="1497" ht="13.85" spans="1:6">
      <c r="A1497">
        <f t="shared" si="92"/>
        <v>1496</v>
      </c>
      <c r="B1497" s="11">
        <v>3179378</v>
      </c>
      <c r="C1497" s="11">
        <v>131</v>
      </c>
      <c r="D1497">
        <f t="shared" si="93"/>
        <v>131</v>
      </c>
      <c r="E1497">
        <f t="shared" si="94"/>
        <v>131000000</v>
      </c>
      <c r="F1497">
        <f t="shared" si="95"/>
        <v>62880000</v>
      </c>
    </row>
    <row r="1498" ht="13.85" spans="1:6">
      <c r="A1498">
        <f t="shared" si="92"/>
        <v>1497</v>
      </c>
      <c r="B1498" s="11">
        <v>3608823</v>
      </c>
      <c r="C1498" s="11">
        <v>152</v>
      </c>
      <c r="D1498">
        <f t="shared" si="93"/>
        <v>152</v>
      </c>
      <c r="E1498">
        <f t="shared" si="94"/>
        <v>152000000</v>
      </c>
      <c r="F1498">
        <f t="shared" si="95"/>
        <v>72960000</v>
      </c>
    </row>
    <row r="1499" ht="13.85" spans="1:6">
      <c r="A1499">
        <f t="shared" si="92"/>
        <v>1498</v>
      </c>
      <c r="B1499" s="11">
        <v>3477205</v>
      </c>
      <c r="C1499" s="11">
        <v>173</v>
      </c>
      <c r="D1499">
        <f t="shared" si="93"/>
        <v>173</v>
      </c>
      <c r="E1499">
        <f t="shared" si="94"/>
        <v>173000000</v>
      </c>
      <c r="F1499">
        <f t="shared" si="95"/>
        <v>83040000</v>
      </c>
    </row>
    <row r="1500" ht="13.85" spans="1:6">
      <c r="A1500">
        <f t="shared" si="92"/>
        <v>1499</v>
      </c>
      <c r="B1500" s="11">
        <v>2627843</v>
      </c>
      <c r="C1500" s="11">
        <v>40</v>
      </c>
      <c r="D1500">
        <f t="shared" si="93"/>
        <v>40</v>
      </c>
      <c r="E1500">
        <f t="shared" si="94"/>
        <v>40000000</v>
      </c>
      <c r="F1500">
        <f t="shared" si="95"/>
        <v>19200000</v>
      </c>
    </row>
    <row r="1501" ht="13.85" spans="1:6">
      <c r="A1501">
        <f t="shared" si="92"/>
        <v>1500</v>
      </c>
      <c r="B1501" s="11">
        <v>2356309</v>
      </c>
      <c r="C1501" s="11">
        <v>50</v>
      </c>
      <c r="D1501">
        <f t="shared" si="93"/>
        <v>50</v>
      </c>
      <c r="E1501">
        <f t="shared" si="94"/>
        <v>50000000</v>
      </c>
      <c r="F1501">
        <f t="shared" si="95"/>
        <v>24000000</v>
      </c>
    </row>
    <row r="1502" ht="13.85" spans="1:6">
      <c r="A1502">
        <f t="shared" si="92"/>
        <v>1501</v>
      </c>
      <c r="B1502" s="11">
        <v>2641657</v>
      </c>
      <c r="C1502" s="11">
        <v>60</v>
      </c>
      <c r="D1502">
        <f t="shared" si="93"/>
        <v>60</v>
      </c>
      <c r="E1502">
        <f t="shared" si="94"/>
        <v>60000000</v>
      </c>
      <c r="F1502">
        <f t="shared" si="95"/>
        <v>28800000</v>
      </c>
    </row>
    <row r="1503" ht="13.85" spans="1:6">
      <c r="A1503">
        <f t="shared" si="92"/>
        <v>1502</v>
      </c>
      <c r="B1503" s="11">
        <v>2435984</v>
      </c>
      <c r="C1503" s="11">
        <v>70</v>
      </c>
      <c r="D1503">
        <f t="shared" si="93"/>
        <v>70</v>
      </c>
      <c r="E1503">
        <f t="shared" si="94"/>
        <v>70000000</v>
      </c>
      <c r="F1503">
        <f t="shared" si="95"/>
        <v>33600000</v>
      </c>
    </row>
    <row r="1504" ht="13.85" spans="1:6">
      <c r="A1504">
        <f t="shared" si="92"/>
        <v>1503</v>
      </c>
      <c r="B1504" s="11">
        <v>2771164</v>
      </c>
      <c r="C1504" s="11">
        <v>80</v>
      </c>
      <c r="D1504">
        <f t="shared" si="93"/>
        <v>80</v>
      </c>
      <c r="E1504">
        <f t="shared" si="94"/>
        <v>80000000</v>
      </c>
      <c r="F1504">
        <f t="shared" si="95"/>
        <v>38400000</v>
      </c>
    </row>
    <row r="1505" ht="13.85" spans="1:6">
      <c r="A1505">
        <f t="shared" si="92"/>
        <v>1504</v>
      </c>
      <c r="B1505" s="11">
        <v>2561540</v>
      </c>
      <c r="C1505" s="11">
        <v>90</v>
      </c>
      <c r="D1505">
        <f t="shared" si="93"/>
        <v>90</v>
      </c>
      <c r="E1505">
        <f t="shared" si="94"/>
        <v>90000000</v>
      </c>
      <c r="F1505">
        <f t="shared" si="95"/>
        <v>43200000</v>
      </c>
    </row>
    <row r="1506" ht="13.85" spans="1:6">
      <c r="A1506">
        <f t="shared" si="92"/>
        <v>1505</v>
      </c>
      <c r="B1506" s="11">
        <v>3099787</v>
      </c>
      <c r="C1506" s="11">
        <v>100</v>
      </c>
      <c r="D1506">
        <f t="shared" si="93"/>
        <v>100</v>
      </c>
      <c r="E1506">
        <f t="shared" si="94"/>
        <v>100000000</v>
      </c>
      <c r="F1506">
        <f t="shared" si="95"/>
        <v>48000000</v>
      </c>
    </row>
    <row r="1507" ht="13.85" spans="1:6">
      <c r="A1507">
        <f t="shared" si="92"/>
        <v>1506</v>
      </c>
      <c r="B1507" s="11">
        <v>2870696</v>
      </c>
      <c r="C1507" s="11">
        <v>110</v>
      </c>
      <c r="D1507">
        <f t="shared" si="93"/>
        <v>110</v>
      </c>
      <c r="E1507">
        <f t="shared" si="94"/>
        <v>110000000</v>
      </c>
      <c r="F1507">
        <f t="shared" si="95"/>
        <v>52800000</v>
      </c>
    </row>
    <row r="1508" ht="13.85" spans="1:6">
      <c r="A1508">
        <f t="shared" si="92"/>
        <v>1507</v>
      </c>
      <c r="B1508" s="11">
        <v>3247704</v>
      </c>
      <c r="C1508" s="11">
        <v>128</v>
      </c>
      <c r="D1508">
        <f t="shared" si="93"/>
        <v>128</v>
      </c>
      <c r="E1508">
        <f t="shared" si="94"/>
        <v>128000000</v>
      </c>
      <c r="F1508">
        <f t="shared" si="95"/>
        <v>61440000</v>
      </c>
    </row>
    <row r="1509" ht="13.85" spans="1:6">
      <c r="A1509">
        <f t="shared" si="92"/>
        <v>1508</v>
      </c>
      <c r="B1509" s="11">
        <v>2988035</v>
      </c>
      <c r="C1509" s="11">
        <v>146</v>
      </c>
      <c r="D1509">
        <f t="shared" si="93"/>
        <v>146</v>
      </c>
      <c r="E1509">
        <f t="shared" si="94"/>
        <v>146000000</v>
      </c>
      <c r="F1509">
        <f t="shared" si="95"/>
        <v>70080000</v>
      </c>
    </row>
    <row r="1510" ht="13.85" spans="1:6">
      <c r="A1510">
        <f t="shared" si="92"/>
        <v>1509</v>
      </c>
      <c r="B1510" s="11">
        <v>3741974</v>
      </c>
      <c r="C1510" s="11">
        <v>164</v>
      </c>
      <c r="D1510">
        <f t="shared" si="93"/>
        <v>164</v>
      </c>
      <c r="E1510">
        <f t="shared" si="94"/>
        <v>164000000</v>
      </c>
      <c r="F1510">
        <f t="shared" si="95"/>
        <v>78720000</v>
      </c>
    </row>
    <row r="1511" ht="13.85" spans="1:6">
      <c r="A1511">
        <f t="shared" si="92"/>
        <v>1510</v>
      </c>
      <c r="B1511" s="11">
        <v>3616960</v>
      </c>
      <c r="C1511" s="11">
        <v>177</v>
      </c>
      <c r="D1511">
        <f t="shared" si="93"/>
        <v>177</v>
      </c>
      <c r="E1511">
        <f t="shared" si="94"/>
        <v>177000000</v>
      </c>
      <c r="F1511">
        <f t="shared" si="95"/>
        <v>84960000</v>
      </c>
    </row>
    <row r="1512" ht="13.85" spans="1:6">
      <c r="A1512">
        <f t="shared" si="92"/>
        <v>1511</v>
      </c>
      <c r="B1512" s="11">
        <v>4391834</v>
      </c>
      <c r="C1512" s="11">
        <v>205</v>
      </c>
      <c r="D1512">
        <f t="shared" si="93"/>
        <v>205</v>
      </c>
      <c r="E1512">
        <f t="shared" si="94"/>
        <v>205000000</v>
      </c>
      <c r="F1512">
        <f t="shared" si="95"/>
        <v>98400000</v>
      </c>
    </row>
    <row r="1513" ht="13.85" spans="1:6">
      <c r="A1513">
        <f t="shared" si="92"/>
        <v>1512</v>
      </c>
      <c r="B1513" s="11">
        <v>4554897</v>
      </c>
      <c r="C1513" s="11">
        <v>241</v>
      </c>
      <c r="D1513">
        <f t="shared" si="93"/>
        <v>241</v>
      </c>
      <c r="E1513">
        <f t="shared" si="94"/>
        <v>241000000</v>
      </c>
      <c r="F1513">
        <f t="shared" si="95"/>
        <v>115680000</v>
      </c>
    </row>
    <row r="1514" ht="13.85" spans="1:6">
      <c r="A1514">
        <f t="shared" si="92"/>
        <v>1513</v>
      </c>
      <c r="B1514" s="11">
        <v>2569560</v>
      </c>
      <c r="C1514" s="11">
        <v>40</v>
      </c>
      <c r="D1514">
        <f t="shared" si="93"/>
        <v>40</v>
      </c>
      <c r="E1514">
        <f t="shared" si="94"/>
        <v>40000000</v>
      </c>
      <c r="F1514">
        <f t="shared" si="95"/>
        <v>19200000</v>
      </c>
    </row>
    <row r="1515" ht="13.85" spans="1:6">
      <c r="A1515">
        <f t="shared" si="92"/>
        <v>1514</v>
      </c>
      <c r="B1515" s="11">
        <v>2309768</v>
      </c>
      <c r="C1515" s="11">
        <v>50</v>
      </c>
      <c r="D1515">
        <f t="shared" si="93"/>
        <v>50</v>
      </c>
      <c r="E1515">
        <f t="shared" si="94"/>
        <v>50000000</v>
      </c>
      <c r="F1515">
        <f t="shared" si="95"/>
        <v>24000000</v>
      </c>
    </row>
    <row r="1516" ht="13.85" spans="1:6">
      <c r="A1516">
        <f t="shared" si="92"/>
        <v>1515</v>
      </c>
      <c r="B1516" s="11">
        <v>2609827</v>
      </c>
      <c r="C1516" s="11">
        <v>60</v>
      </c>
      <c r="D1516">
        <f t="shared" si="93"/>
        <v>60</v>
      </c>
      <c r="E1516">
        <f t="shared" si="94"/>
        <v>60000000</v>
      </c>
      <c r="F1516">
        <f t="shared" si="95"/>
        <v>28800000</v>
      </c>
    </row>
    <row r="1517" ht="13.85" spans="1:6">
      <c r="A1517">
        <f t="shared" si="92"/>
        <v>1516</v>
      </c>
      <c r="B1517" s="11">
        <v>2169375</v>
      </c>
      <c r="C1517" s="11">
        <v>40</v>
      </c>
      <c r="D1517">
        <f t="shared" si="93"/>
        <v>40</v>
      </c>
      <c r="E1517">
        <f t="shared" si="94"/>
        <v>40000000</v>
      </c>
      <c r="F1517">
        <f t="shared" si="95"/>
        <v>19200000</v>
      </c>
    </row>
    <row r="1518" ht="13.85" spans="1:6">
      <c r="A1518">
        <f t="shared" si="92"/>
        <v>1517</v>
      </c>
      <c r="B1518" s="11">
        <v>2479942</v>
      </c>
      <c r="C1518" s="11">
        <v>50</v>
      </c>
      <c r="D1518">
        <f t="shared" si="93"/>
        <v>50</v>
      </c>
      <c r="E1518">
        <f t="shared" si="94"/>
        <v>50000000</v>
      </c>
      <c r="F1518">
        <f t="shared" si="95"/>
        <v>24000000</v>
      </c>
    </row>
    <row r="1519" ht="13.85" spans="1:6">
      <c r="A1519">
        <f t="shared" si="92"/>
        <v>1518</v>
      </c>
      <c r="B1519" s="11">
        <v>2225811</v>
      </c>
      <c r="C1519" s="11">
        <v>60</v>
      </c>
      <c r="D1519">
        <f t="shared" si="93"/>
        <v>60</v>
      </c>
      <c r="E1519">
        <f t="shared" si="94"/>
        <v>60000000</v>
      </c>
      <c r="F1519">
        <f t="shared" si="95"/>
        <v>28800000</v>
      </c>
    </row>
    <row r="1520" ht="13.85" spans="1:6">
      <c r="A1520">
        <f t="shared" si="92"/>
        <v>1519</v>
      </c>
      <c r="B1520" s="11">
        <v>2645775</v>
      </c>
      <c r="C1520" s="11">
        <v>70</v>
      </c>
      <c r="D1520">
        <f t="shared" si="93"/>
        <v>70</v>
      </c>
      <c r="E1520">
        <f t="shared" si="94"/>
        <v>70000000</v>
      </c>
      <c r="F1520">
        <f t="shared" si="95"/>
        <v>33600000</v>
      </c>
    </row>
    <row r="1521" ht="13.85" spans="1:6">
      <c r="A1521">
        <f t="shared" si="92"/>
        <v>1520</v>
      </c>
      <c r="B1521" s="11">
        <v>2489298</v>
      </c>
      <c r="C1521" s="11">
        <v>80</v>
      </c>
      <c r="D1521">
        <f t="shared" si="93"/>
        <v>80</v>
      </c>
      <c r="E1521">
        <f t="shared" si="94"/>
        <v>80000000</v>
      </c>
      <c r="F1521">
        <f t="shared" si="95"/>
        <v>38400000</v>
      </c>
    </row>
    <row r="1522" ht="13.85" spans="1:6">
      <c r="A1522">
        <f t="shared" si="92"/>
        <v>1521</v>
      </c>
      <c r="B1522" s="11">
        <v>2877874</v>
      </c>
      <c r="C1522" s="11">
        <v>90</v>
      </c>
      <c r="D1522">
        <f t="shared" si="93"/>
        <v>90</v>
      </c>
      <c r="E1522">
        <f t="shared" si="94"/>
        <v>90000000</v>
      </c>
      <c r="F1522">
        <f t="shared" si="95"/>
        <v>43200000</v>
      </c>
    </row>
    <row r="1523" ht="13.85" spans="1:6">
      <c r="A1523">
        <f t="shared" si="92"/>
        <v>1522</v>
      </c>
      <c r="B1523" s="11">
        <v>2917111</v>
      </c>
      <c r="C1523" s="11">
        <v>100</v>
      </c>
      <c r="D1523">
        <f t="shared" si="93"/>
        <v>100</v>
      </c>
      <c r="E1523">
        <f t="shared" si="94"/>
        <v>100000000</v>
      </c>
      <c r="F1523">
        <f t="shared" si="95"/>
        <v>48000000</v>
      </c>
    </row>
    <row r="1524" ht="13.85" spans="1:6">
      <c r="A1524">
        <f t="shared" si="92"/>
        <v>1523</v>
      </c>
      <c r="B1524" s="11">
        <v>3226240</v>
      </c>
      <c r="C1524" s="11">
        <v>110</v>
      </c>
      <c r="D1524">
        <f t="shared" si="93"/>
        <v>110</v>
      </c>
      <c r="E1524">
        <f t="shared" si="94"/>
        <v>110000000</v>
      </c>
      <c r="F1524">
        <f t="shared" si="95"/>
        <v>52800000</v>
      </c>
    </row>
    <row r="1525" ht="13.85" spans="1:6">
      <c r="A1525">
        <f t="shared" si="92"/>
        <v>1524</v>
      </c>
      <c r="B1525" s="11">
        <v>3085767</v>
      </c>
      <c r="C1525" s="11">
        <v>121</v>
      </c>
      <c r="D1525">
        <f t="shared" si="93"/>
        <v>121</v>
      </c>
      <c r="E1525">
        <f t="shared" si="94"/>
        <v>121000000</v>
      </c>
      <c r="F1525">
        <f t="shared" si="95"/>
        <v>58080000</v>
      </c>
    </row>
    <row r="1526" ht="13.85" spans="1:6">
      <c r="A1526">
        <f t="shared" si="92"/>
        <v>1525</v>
      </c>
      <c r="B1526" s="11">
        <v>3455703</v>
      </c>
      <c r="C1526" s="11">
        <v>139</v>
      </c>
      <c r="D1526">
        <f t="shared" si="93"/>
        <v>139</v>
      </c>
      <c r="E1526">
        <f t="shared" si="94"/>
        <v>139000000</v>
      </c>
      <c r="F1526">
        <f t="shared" si="95"/>
        <v>66720000</v>
      </c>
    </row>
    <row r="1527" ht="13.85" spans="1:6">
      <c r="A1527">
        <f t="shared" si="92"/>
        <v>1526</v>
      </c>
      <c r="B1527" s="11">
        <v>3541603</v>
      </c>
      <c r="C1527" s="11">
        <v>158</v>
      </c>
      <c r="D1527">
        <f t="shared" si="93"/>
        <v>158</v>
      </c>
      <c r="E1527">
        <f t="shared" si="94"/>
        <v>158000000</v>
      </c>
      <c r="F1527">
        <f t="shared" si="95"/>
        <v>75840000</v>
      </c>
    </row>
    <row r="1528" ht="13.85" spans="1:6">
      <c r="A1528">
        <f t="shared" si="92"/>
        <v>1527</v>
      </c>
      <c r="B1528" s="11">
        <v>4174239</v>
      </c>
      <c r="C1528" s="11">
        <v>181</v>
      </c>
      <c r="D1528">
        <f t="shared" si="93"/>
        <v>181</v>
      </c>
      <c r="E1528">
        <f t="shared" si="94"/>
        <v>181000000</v>
      </c>
      <c r="F1528">
        <f t="shared" si="95"/>
        <v>86880000</v>
      </c>
    </row>
    <row r="1529" ht="13.85" spans="1:6">
      <c r="A1529">
        <f t="shared" si="92"/>
        <v>1528</v>
      </c>
      <c r="B1529" s="11">
        <v>4679168</v>
      </c>
      <c r="C1529" s="11">
        <v>212</v>
      </c>
      <c r="D1529">
        <f t="shared" si="93"/>
        <v>212</v>
      </c>
      <c r="E1529">
        <f t="shared" si="94"/>
        <v>212000000</v>
      </c>
      <c r="F1529">
        <f t="shared" si="95"/>
        <v>101760000</v>
      </c>
    </row>
    <row r="1530" ht="13.85" spans="1:6">
      <c r="A1530">
        <f t="shared" si="92"/>
        <v>1529</v>
      </c>
      <c r="B1530" s="11">
        <v>5881870</v>
      </c>
      <c r="C1530" s="11">
        <v>253</v>
      </c>
      <c r="D1530">
        <f t="shared" si="93"/>
        <v>253</v>
      </c>
      <c r="E1530">
        <f t="shared" si="94"/>
        <v>253000000</v>
      </c>
      <c r="F1530">
        <f t="shared" si="95"/>
        <v>121440000</v>
      </c>
    </row>
    <row r="1531" ht="13.85" spans="1:6">
      <c r="A1531">
        <f t="shared" si="92"/>
        <v>1530</v>
      </c>
      <c r="B1531" s="11">
        <v>9525749</v>
      </c>
      <c r="C1531" s="11">
        <v>320</v>
      </c>
      <c r="D1531">
        <f t="shared" si="93"/>
        <v>320</v>
      </c>
      <c r="E1531">
        <f t="shared" si="94"/>
        <v>320000000</v>
      </c>
      <c r="F1531">
        <f t="shared" si="95"/>
        <v>153600000</v>
      </c>
    </row>
    <row r="1532" ht="13.85" spans="1:6">
      <c r="A1532">
        <f t="shared" si="92"/>
        <v>1531</v>
      </c>
      <c r="B1532" s="11">
        <v>2515060</v>
      </c>
      <c r="C1532" s="11">
        <v>40</v>
      </c>
      <c r="D1532">
        <f t="shared" si="93"/>
        <v>40</v>
      </c>
      <c r="E1532">
        <f t="shared" si="94"/>
        <v>40000000</v>
      </c>
      <c r="F1532">
        <f t="shared" si="95"/>
        <v>19200000</v>
      </c>
    </row>
    <row r="1533" ht="13.85" spans="1:6">
      <c r="A1533">
        <f t="shared" si="92"/>
        <v>1532</v>
      </c>
      <c r="B1533" s="11">
        <v>2362821</v>
      </c>
      <c r="C1533" s="11">
        <v>50</v>
      </c>
      <c r="D1533">
        <f t="shared" si="93"/>
        <v>50</v>
      </c>
      <c r="E1533">
        <f t="shared" si="94"/>
        <v>50000000</v>
      </c>
      <c r="F1533">
        <f t="shared" si="95"/>
        <v>24000000</v>
      </c>
    </row>
    <row r="1534" ht="13.85" spans="1:6">
      <c r="A1534">
        <f t="shared" si="92"/>
        <v>1533</v>
      </c>
      <c r="B1534" s="11">
        <v>2660432</v>
      </c>
      <c r="C1534" s="11">
        <v>60</v>
      </c>
      <c r="D1534">
        <f t="shared" si="93"/>
        <v>60</v>
      </c>
      <c r="E1534">
        <f t="shared" si="94"/>
        <v>60000000</v>
      </c>
      <c r="F1534">
        <f t="shared" si="95"/>
        <v>28800000</v>
      </c>
    </row>
    <row r="1535" ht="13.85" spans="1:6">
      <c r="A1535">
        <f t="shared" si="92"/>
        <v>1534</v>
      </c>
      <c r="B1535" s="11">
        <v>2406395</v>
      </c>
      <c r="C1535" s="11">
        <v>70</v>
      </c>
      <c r="D1535">
        <f t="shared" si="93"/>
        <v>70</v>
      </c>
      <c r="E1535">
        <f t="shared" si="94"/>
        <v>70000000</v>
      </c>
      <c r="F1535">
        <f t="shared" si="95"/>
        <v>33600000</v>
      </c>
    </row>
    <row r="1536" ht="13.85" spans="1:6">
      <c r="A1536">
        <f t="shared" si="92"/>
        <v>1535</v>
      </c>
      <c r="B1536" s="11">
        <v>2876698</v>
      </c>
      <c r="C1536" s="11">
        <v>80</v>
      </c>
      <c r="D1536">
        <f t="shared" si="93"/>
        <v>80</v>
      </c>
      <c r="E1536">
        <f t="shared" si="94"/>
        <v>80000000</v>
      </c>
      <c r="F1536">
        <f t="shared" si="95"/>
        <v>38400000</v>
      </c>
    </row>
    <row r="1537" ht="13.85" spans="1:6">
      <c r="A1537">
        <f t="shared" si="92"/>
        <v>1536</v>
      </c>
      <c r="B1537" s="11">
        <v>2577588</v>
      </c>
      <c r="C1537" s="11">
        <v>90</v>
      </c>
      <c r="D1537">
        <f t="shared" si="93"/>
        <v>90</v>
      </c>
      <c r="E1537">
        <f t="shared" si="94"/>
        <v>90000000</v>
      </c>
      <c r="F1537">
        <f t="shared" si="95"/>
        <v>43200000</v>
      </c>
    </row>
    <row r="1538" ht="13.85" spans="1:6">
      <c r="A1538">
        <f t="shared" ref="A1538:A1601" si="96">ROW()-1</f>
        <v>1537</v>
      </c>
      <c r="B1538" s="11">
        <v>3128521</v>
      </c>
      <c r="C1538" s="11">
        <v>100</v>
      </c>
      <c r="D1538">
        <f t="shared" ref="D1538:D1601" si="97">IF(RIGHT(C1538,1)="B",VALUE(LEFT(C1538,LEN(C1538)-1))*1000,C1538)</f>
        <v>100</v>
      </c>
      <c r="E1538">
        <f t="shared" ref="E1538:E1601" si="98">D1538*1000000</f>
        <v>100000000</v>
      </c>
      <c r="F1538">
        <f t="shared" ref="F1538:F1601" si="99">E1538*0.48</f>
        <v>48000000</v>
      </c>
    </row>
    <row r="1539" ht="13.85" spans="1:6">
      <c r="A1539">
        <f t="shared" si="96"/>
        <v>1538</v>
      </c>
      <c r="B1539" s="11">
        <v>2892921</v>
      </c>
      <c r="C1539" s="11">
        <v>110</v>
      </c>
      <c r="D1539">
        <f t="shared" si="97"/>
        <v>110</v>
      </c>
      <c r="E1539">
        <f t="shared" si="98"/>
        <v>110000000</v>
      </c>
      <c r="F1539">
        <f t="shared" si="99"/>
        <v>52800000</v>
      </c>
    </row>
    <row r="1540" ht="13.85" spans="1:6">
      <c r="A1540">
        <f t="shared" si="96"/>
        <v>1539</v>
      </c>
      <c r="B1540" s="11">
        <v>3326883</v>
      </c>
      <c r="C1540" s="11">
        <v>125</v>
      </c>
      <c r="D1540">
        <f t="shared" si="97"/>
        <v>125</v>
      </c>
      <c r="E1540">
        <f t="shared" si="98"/>
        <v>125000000</v>
      </c>
      <c r="F1540">
        <f t="shared" si="99"/>
        <v>60000000</v>
      </c>
    </row>
    <row r="1541" ht="13.85" spans="1:6">
      <c r="A1541">
        <f t="shared" si="96"/>
        <v>1540</v>
      </c>
      <c r="B1541" s="11">
        <v>3268231</v>
      </c>
      <c r="C1541" s="11">
        <v>149</v>
      </c>
      <c r="D1541">
        <f t="shared" si="97"/>
        <v>149</v>
      </c>
      <c r="E1541">
        <f t="shared" si="98"/>
        <v>149000000</v>
      </c>
      <c r="F1541">
        <f t="shared" si="99"/>
        <v>71520000</v>
      </c>
    </row>
    <row r="1542" ht="13.85" spans="1:6">
      <c r="A1542">
        <f t="shared" si="96"/>
        <v>1541</v>
      </c>
      <c r="B1542" s="11">
        <v>3802526</v>
      </c>
      <c r="C1542" s="11">
        <v>174</v>
      </c>
      <c r="D1542">
        <f t="shared" si="97"/>
        <v>174</v>
      </c>
      <c r="E1542">
        <f t="shared" si="98"/>
        <v>174000000</v>
      </c>
      <c r="F1542">
        <f t="shared" si="99"/>
        <v>83520000</v>
      </c>
    </row>
    <row r="1543" ht="13.85" spans="1:6">
      <c r="A1543">
        <f t="shared" si="96"/>
        <v>1542</v>
      </c>
      <c r="B1543" s="11">
        <v>4242993</v>
      </c>
      <c r="C1543" s="11">
        <v>200</v>
      </c>
      <c r="D1543">
        <f t="shared" si="97"/>
        <v>200</v>
      </c>
      <c r="E1543">
        <f t="shared" si="98"/>
        <v>200000000</v>
      </c>
      <c r="F1543">
        <f t="shared" si="99"/>
        <v>96000000</v>
      </c>
    </row>
    <row r="1544" ht="13.85" spans="1:6">
      <c r="A1544">
        <f t="shared" si="96"/>
        <v>1543</v>
      </c>
      <c r="B1544" s="11">
        <v>2562163</v>
      </c>
      <c r="C1544" s="11">
        <v>40</v>
      </c>
      <c r="D1544">
        <f t="shared" si="97"/>
        <v>40</v>
      </c>
      <c r="E1544">
        <f t="shared" si="98"/>
        <v>40000000</v>
      </c>
      <c r="F1544">
        <f t="shared" si="99"/>
        <v>19200000</v>
      </c>
    </row>
    <row r="1545" ht="13.85" spans="1:6">
      <c r="A1545">
        <f t="shared" si="96"/>
        <v>1544</v>
      </c>
      <c r="B1545" s="11">
        <v>2391629</v>
      </c>
      <c r="C1545" s="11">
        <v>50</v>
      </c>
      <c r="D1545">
        <f t="shared" si="97"/>
        <v>50</v>
      </c>
      <c r="E1545">
        <f t="shared" si="98"/>
        <v>50000000</v>
      </c>
      <c r="F1545">
        <f t="shared" si="99"/>
        <v>24000000</v>
      </c>
    </row>
    <row r="1546" ht="13.85" spans="1:6">
      <c r="A1546">
        <f t="shared" si="96"/>
        <v>1545</v>
      </c>
      <c r="B1546" s="15">
        <v>2487312</v>
      </c>
      <c r="C1546" s="15">
        <v>40</v>
      </c>
      <c r="D1546">
        <f t="shared" si="97"/>
        <v>40</v>
      </c>
      <c r="E1546">
        <f t="shared" si="98"/>
        <v>40000000</v>
      </c>
      <c r="F1546">
        <f t="shared" si="99"/>
        <v>19200000</v>
      </c>
    </row>
    <row r="1547" ht="13.85" spans="1:6">
      <c r="A1547">
        <f t="shared" si="96"/>
        <v>1546</v>
      </c>
      <c r="B1547" s="13">
        <v>2265794</v>
      </c>
      <c r="C1547" s="13">
        <v>50</v>
      </c>
      <c r="D1547">
        <f t="shared" si="97"/>
        <v>50</v>
      </c>
      <c r="E1547">
        <f t="shared" si="98"/>
        <v>50000000</v>
      </c>
      <c r="F1547">
        <f t="shared" si="99"/>
        <v>24000000</v>
      </c>
    </row>
    <row r="1548" ht="13.85" spans="1:6">
      <c r="A1548">
        <f t="shared" si="96"/>
        <v>1547</v>
      </c>
      <c r="B1548" s="11">
        <v>2557437</v>
      </c>
      <c r="C1548" s="11">
        <v>60</v>
      </c>
      <c r="D1548">
        <f t="shared" si="97"/>
        <v>60</v>
      </c>
      <c r="E1548">
        <f t="shared" si="98"/>
        <v>60000000</v>
      </c>
      <c r="F1548">
        <f t="shared" si="99"/>
        <v>28800000</v>
      </c>
    </row>
    <row r="1549" ht="13.85" spans="1:6">
      <c r="A1549">
        <f t="shared" si="96"/>
        <v>1548</v>
      </c>
      <c r="B1549" s="11">
        <v>2362969</v>
      </c>
      <c r="C1549" s="11">
        <v>70</v>
      </c>
      <c r="D1549">
        <f t="shared" si="97"/>
        <v>70</v>
      </c>
      <c r="E1549">
        <f t="shared" si="98"/>
        <v>70000000</v>
      </c>
      <c r="F1549">
        <f t="shared" si="99"/>
        <v>33600000</v>
      </c>
    </row>
    <row r="1550" ht="13.85" spans="1:6">
      <c r="A1550">
        <f t="shared" si="96"/>
        <v>1549</v>
      </c>
      <c r="B1550" s="11">
        <v>2705413</v>
      </c>
      <c r="C1550" s="11">
        <v>80</v>
      </c>
      <c r="D1550">
        <f t="shared" si="97"/>
        <v>80</v>
      </c>
      <c r="E1550">
        <f t="shared" si="98"/>
        <v>80000000</v>
      </c>
      <c r="F1550">
        <f t="shared" si="99"/>
        <v>38400000</v>
      </c>
    </row>
    <row r="1551" ht="13.85" spans="1:6">
      <c r="A1551">
        <f t="shared" si="96"/>
        <v>1550</v>
      </c>
      <c r="B1551" s="11">
        <v>2547738</v>
      </c>
      <c r="C1551" s="11">
        <v>90</v>
      </c>
      <c r="D1551">
        <f t="shared" si="97"/>
        <v>90</v>
      </c>
      <c r="E1551">
        <f t="shared" si="98"/>
        <v>90000000</v>
      </c>
      <c r="F1551">
        <f t="shared" si="99"/>
        <v>43200000</v>
      </c>
    </row>
    <row r="1552" ht="13.85" spans="1:6">
      <c r="A1552">
        <f t="shared" si="96"/>
        <v>1551</v>
      </c>
      <c r="B1552" s="11">
        <v>3081952</v>
      </c>
      <c r="C1552" s="11">
        <v>100</v>
      </c>
      <c r="D1552">
        <f t="shared" si="97"/>
        <v>100</v>
      </c>
      <c r="E1552">
        <f t="shared" si="98"/>
        <v>100000000</v>
      </c>
      <c r="F1552">
        <f t="shared" si="99"/>
        <v>48000000</v>
      </c>
    </row>
    <row r="1553" ht="13.85" spans="1:6">
      <c r="A1553">
        <f t="shared" si="96"/>
        <v>1552</v>
      </c>
      <c r="B1553" s="11">
        <v>2732749</v>
      </c>
      <c r="C1553" s="11">
        <v>110</v>
      </c>
      <c r="D1553">
        <f t="shared" si="97"/>
        <v>110</v>
      </c>
      <c r="E1553">
        <f t="shared" si="98"/>
        <v>110000000</v>
      </c>
      <c r="F1553">
        <f t="shared" si="99"/>
        <v>52800000</v>
      </c>
    </row>
    <row r="1554" ht="13.85" spans="1:6">
      <c r="A1554">
        <f t="shared" si="96"/>
        <v>1553</v>
      </c>
      <c r="B1554" s="11">
        <v>3369082</v>
      </c>
      <c r="C1554" s="11">
        <v>124</v>
      </c>
      <c r="D1554">
        <f t="shared" si="97"/>
        <v>124</v>
      </c>
      <c r="E1554">
        <f t="shared" si="98"/>
        <v>124000000</v>
      </c>
      <c r="F1554">
        <f t="shared" si="99"/>
        <v>59520000</v>
      </c>
    </row>
    <row r="1555" ht="13.85" spans="1:6">
      <c r="A1555">
        <f t="shared" si="96"/>
        <v>1554</v>
      </c>
      <c r="B1555" s="11">
        <v>3243858</v>
      </c>
      <c r="C1555" s="11">
        <v>143</v>
      </c>
      <c r="D1555">
        <f t="shared" si="97"/>
        <v>143</v>
      </c>
      <c r="E1555">
        <f t="shared" si="98"/>
        <v>143000000</v>
      </c>
      <c r="F1555">
        <f t="shared" si="99"/>
        <v>68640000</v>
      </c>
    </row>
    <row r="1556" ht="13.85" spans="1:6">
      <c r="A1556">
        <f t="shared" si="96"/>
        <v>1555</v>
      </c>
      <c r="B1556" s="11">
        <v>3772787</v>
      </c>
      <c r="C1556" s="11">
        <v>168</v>
      </c>
      <c r="D1556">
        <f t="shared" si="97"/>
        <v>168</v>
      </c>
      <c r="E1556">
        <f t="shared" si="98"/>
        <v>168000000</v>
      </c>
      <c r="F1556">
        <f t="shared" si="99"/>
        <v>80640000</v>
      </c>
    </row>
    <row r="1557" ht="13.85" spans="1:6">
      <c r="A1557">
        <f t="shared" si="96"/>
        <v>1556</v>
      </c>
      <c r="B1557" s="11">
        <v>3794895</v>
      </c>
      <c r="C1557" s="11">
        <v>185</v>
      </c>
      <c r="D1557">
        <f t="shared" si="97"/>
        <v>185</v>
      </c>
      <c r="E1557">
        <f t="shared" si="98"/>
        <v>185000000</v>
      </c>
      <c r="F1557">
        <f t="shared" si="99"/>
        <v>88800000</v>
      </c>
    </row>
    <row r="1558" ht="13.85" spans="1:6">
      <c r="A1558">
        <f t="shared" si="96"/>
        <v>1557</v>
      </c>
      <c r="B1558" s="11">
        <v>4772489</v>
      </c>
      <c r="C1558" s="11">
        <v>214</v>
      </c>
      <c r="D1558">
        <f t="shared" si="97"/>
        <v>214</v>
      </c>
      <c r="E1558">
        <f t="shared" si="98"/>
        <v>214000000</v>
      </c>
      <c r="F1558">
        <f t="shared" si="99"/>
        <v>102720000</v>
      </c>
    </row>
    <row r="1559" ht="13.85" spans="1:6">
      <c r="A1559">
        <f t="shared" si="96"/>
        <v>1558</v>
      </c>
      <c r="B1559" s="11">
        <v>5543806</v>
      </c>
      <c r="C1559" s="11">
        <v>250</v>
      </c>
      <c r="D1559">
        <f t="shared" si="97"/>
        <v>250</v>
      </c>
      <c r="E1559">
        <f t="shared" si="98"/>
        <v>250000000</v>
      </c>
      <c r="F1559">
        <f t="shared" si="99"/>
        <v>120000000</v>
      </c>
    </row>
    <row r="1560" ht="13.85" spans="1:6">
      <c r="A1560">
        <f t="shared" si="96"/>
        <v>1559</v>
      </c>
      <c r="B1560" s="11">
        <v>8476965</v>
      </c>
      <c r="C1560" s="11">
        <v>325</v>
      </c>
      <c r="D1560">
        <f t="shared" si="97"/>
        <v>325</v>
      </c>
      <c r="E1560">
        <f t="shared" si="98"/>
        <v>325000000</v>
      </c>
      <c r="F1560">
        <f t="shared" si="99"/>
        <v>156000000</v>
      </c>
    </row>
    <row r="1561" ht="13.85" spans="1:6">
      <c r="A1561">
        <f t="shared" si="96"/>
        <v>1560</v>
      </c>
      <c r="B1561" s="11">
        <v>26218974</v>
      </c>
      <c r="C1561" s="11">
        <v>587</v>
      </c>
      <c r="D1561">
        <f t="shared" si="97"/>
        <v>587</v>
      </c>
      <c r="E1561">
        <f t="shared" si="98"/>
        <v>587000000</v>
      </c>
      <c r="F1561">
        <f t="shared" si="99"/>
        <v>281760000</v>
      </c>
    </row>
    <row r="1562" ht="13.85" spans="1:6">
      <c r="A1562">
        <f t="shared" si="96"/>
        <v>1561</v>
      </c>
      <c r="B1562" s="11">
        <v>2778818</v>
      </c>
      <c r="C1562" s="11">
        <v>40</v>
      </c>
      <c r="D1562">
        <f t="shared" si="97"/>
        <v>40</v>
      </c>
      <c r="E1562">
        <f t="shared" si="98"/>
        <v>40000000</v>
      </c>
      <c r="F1562">
        <f t="shared" si="99"/>
        <v>19200000</v>
      </c>
    </row>
    <row r="1563" ht="13.85" spans="1:6">
      <c r="A1563">
        <f t="shared" si="96"/>
        <v>1562</v>
      </c>
      <c r="B1563" s="11">
        <v>2631290</v>
      </c>
      <c r="C1563" s="11">
        <v>50</v>
      </c>
      <c r="D1563">
        <f t="shared" si="97"/>
        <v>50</v>
      </c>
      <c r="E1563">
        <f t="shared" si="98"/>
        <v>50000000</v>
      </c>
      <c r="F1563">
        <f t="shared" si="99"/>
        <v>24000000</v>
      </c>
    </row>
    <row r="1564" ht="13.85" spans="1:6">
      <c r="A1564">
        <f t="shared" si="96"/>
        <v>1563</v>
      </c>
      <c r="B1564" s="11">
        <v>2730493</v>
      </c>
      <c r="C1564" s="11">
        <v>40</v>
      </c>
      <c r="D1564">
        <f t="shared" si="97"/>
        <v>40</v>
      </c>
      <c r="E1564">
        <f t="shared" si="98"/>
        <v>40000000</v>
      </c>
      <c r="F1564">
        <f t="shared" si="99"/>
        <v>19200000</v>
      </c>
    </row>
    <row r="1565" ht="13.85" spans="1:6">
      <c r="A1565">
        <f t="shared" si="96"/>
        <v>1564</v>
      </c>
      <c r="B1565" s="11">
        <v>2727825</v>
      </c>
      <c r="C1565" s="11">
        <v>50</v>
      </c>
      <c r="D1565">
        <f t="shared" si="97"/>
        <v>50</v>
      </c>
      <c r="E1565">
        <f t="shared" si="98"/>
        <v>50000000</v>
      </c>
      <c r="F1565">
        <f t="shared" si="99"/>
        <v>24000000</v>
      </c>
    </row>
    <row r="1566" ht="13.85" spans="1:6">
      <c r="A1566">
        <f t="shared" si="96"/>
        <v>1565</v>
      </c>
      <c r="B1566" s="11">
        <v>2620228</v>
      </c>
      <c r="C1566" s="11">
        <v>40</v>
      </c>
      <c r="D1566">
        <f t="shared" si="97"/>
        <v>40</v>
      </c>
      <c r="E1566">
        <f t="shared" si="98"/>
        <v>40000000</v>
      </c>
      <c r="F1566">
        <f t="shared" si="99"/>
        <v>19200000</v>
      </c>
    </row>
    <row r="1567" ht="13.85" spans="1:6">
      <c r="A1567">
        <f t="shared" si="96"/>
        <v>1566</v>
      </c>
      <c r="B1567" s="11">
        <v>2481613</v>
      </c>
      <c r="C1567" s="11">
        <v>50</v>
      </c>
      <c r="D1567">
        <f t="shared" si="97"/>
        <v>50</v>
      </c>
      <c r="E1567">
        <f t="shared" si="98"/>
        <v>50000000</v>
      </c>
      <c r="F1567">
        <f t="shared" si="99"/>
        <v>24000000</v>
      </c>
    </row>
    <row r="1568" ht="13.85" spans="1:6">
      <c r="A1568">
        <f t="shared" si="96"/>
        <v>1567</v>
      </c>
      <c r="B1568" s="11">
        <v>2622463</v>
      </c>
      <c r="C1568" s="11">
        <v>40</v>
      </c>
      <c r="D1568">
        <f t="shared" si="97"/>
        <v>40</v>
      </c>
      <c r="E1568">
        <f t="shared" si="98"/>
        <v>40000000</v>
      </c>
      <c r="F1568">
        <f t="shared" si="99"/>
        <v>19200000</v>
      </c>
    </row>
    <row r="1569" ht="13.85" spans="1:6">
      <c r="A1569">
        <f t="shared" si="96"/>
        <v>1568</v>
      </c>
      <c r="B1569" s="11">
        <v>2245675</v>
      </c>
      <c r="C1569" s="11">
        <v>50</v>
      </c>
      <c r="D1569">
        <f t="shared" si="97"/>
        <v>50</v>
      </c>
      <c r="E1569">
        <f t="shared" si="98"/>
        <v>50000000</v>
      </c>
      <c r="F1569">
        <f t="shared" si="99"/>
        <v>24000000</v>
      </c>
    </row>
    <row r="1570" ht="13.85" spans="1:6">
      <c r="A1570">
        <f t="shared" si="96"/>
        <v>1569</v>
      </c>
      <c r="B1570" s="11">
        <v>2505860</v>
      </c>
      <c r="C1570" s="11">
        <v>40</v>
      </c>
      <c r="D1570">
        <f t="shared" si="97"/>
        <v>40</v>
      </c>
      <c r="E1570">
        <f t="shared" si="98"/>
        <v>40000000</v>
      </c>
      <c r="F1570">
        <f t="shared" si="99"/>
        <v>19200000</v>
      </c>
    </row>
    <row r="1571" ht="13.85" spans="1:6">
      <c r="A1571">
        <f t="shared" si="96"/>
        <v>1570</v>
      </c>
      <c r="B1571" s="11">
        <v>2268796</v>
      </c>
      <c r="C1571" s="11">
        <v>50</v>
      </c>
      <c r="D1571">
        <f t="shared" si="97"/>
        <v>50</v>
      </c>
      <c r="E1571">
        <f t="shared" si="98"/>
        <v>50000000</v>
      </c>
      <c r="F1571">
        <f t="shared" si="99"/>
        <v>24000000</v>
      </c>
    </row>
    <row r="1572" ht="13.85" spans="1:6">
      <c r="A1572">
        <f t="shared" si="96"/>
        <v>1571</v>
      </c>
      <c r="B1572" s="11">
        <v>2630800</v>
      </c>
      <c r="C1572" s="11">
        <v>60</v>
      </c>
      <c r="D1572">
        <f t="shared" si="97"/>
        <v>60</v>
      </c>
      <c r="E1572">
        <f t="shared" si="98"/>
        <v>60000000</v>
      </c>
      <c r="F1572">
        <f t="shared" si="99"/>
        <v>28800000</v>
      </c>
    </row>
    <row r="1573" ht="13.85" spans="1:6">
      <c r="A1573">
        <f t="shared" si="96"/>
        <v>1572</v>
      </c>
      <c r="B1573" s="11">
        <v>2451701</v>
      </c>
      <c r="C1573" s="11">
        <v>70</v>
      </c>
      <c r="D1573">
        <f t="shared" si="97"/>
        <v>70</v>
      </c>
      <c r="E1573">
        <f t="shared" si="98"/>
        <v>70000000</v>
      </c>
      <c r="F1573">
        <f t="shared" si="99"/>
        <v>33600000</v>
      </c>
    </row>
    <row r="1574" ht="13.85" spans="1:6">
      <c r="A1574">
        <f t="shared" si="96"/>
        <v>1573</v>
      </c>
      <c r="B1574" s="11">
        <v>2720741</v>
      </c>
      <c r="C1574" s="11">
        <v>80</v>
      </c>
      <c r="D1574">
        <f t="shared" si="97"/>
        <v>80</v>
      </c>
      <c r="E1574">
        <f t="shared" si="98"/>
        <v>80000000</v>
      </c>
      <c r="F1574">
        <f t="shared" si="99"/>
        <v>38400000</v>
      </c>
    </row>
    <row r="1575" ht="13.85" spans="1:6">
      <c r="A1575">
        <f t="shared" si="96"/>
        <v>1574</v>
      </c>
      <c r="B1575" s="11">
        <v>2575177</v>
      </c>
      <c r="C1575" s="11">
        <v>90</v>
      </c>
      <c r="D1575">
        <f t="shared" si="97"/>
        <v>90</v>
      </c>
      <c r="E1575">
        <f t="shared" si="98"/>
        <v>90000000</v>
      </c>
      <c r="F1575">
        <f t="shared" si="99"/>
        <v>43200000</v>
      </c>
    </row>
    <row r="1576" ht="13.85" spans="1:6">
      <c r="A1576">
        <f t="shared" si="96"/>
        <v>1575</v>
      </c>
      <c r="B1576" s="11">
        <v>3249467</v>
      </c>
      <c r="C1576" s="11">
        <v>100</v>
      </c>
      <c r="D1576">
        <f t="shared" si="97"/>
        <v>100</v>
      </c>
      <c r="E1576">
        <f t="shared" si="98"/>
        <v>100000000</v>
      </c>
      <c r="F1576">
        <f t="shared" si="99"/>
        <v>48000000</v>
      </c>
    </row>
    <row r="1577" ht="13.85" spans="1:6">
      <c r="A1577">
        <f t="shared" si="96"/>
        <v>1576</v>
      </c>
      <c r="B1577" s="11">
        <v>2962963</v>
      </c>
      <c r="C1577" s="11">
        <v>110</v>
      </c>
      <c r="D1577">
        <f t="shared" si="97"/>
        <v>110</v>
      </c>
      <c r="E1577">
        <f t="shared" si="98"/>
        <v>110000000</v>
      </c>
      <c r="F1577">
        <f t="shared" si="99"/>
        <v>52800000</v>
      </c>
    </row>
    <row r="1578" ht="13.85" spans="1:6">
      <c r="A1578">
        <f t="shared" si="96"/>
        <v>1577</v>
      </c>
      <c r="B1578" s="11">
        <v>3377508</v>
      </c>
      <c r="C1578" s="11">
        <v>130</v>
      </c>
      <c r="D1578">
        <f t="shared" si="97"/>
        <v>130</v>
      </c>
      <c r="E1578">
        <f t="shared" si="98"/>
        <v>130000000</v>
      </c>
      <c r="F1578">
        <f t="shared" si="99"/>
        <v>62400000</v>
      </c>
    </row>
    <row r="1579" ht="13.85" spans="1:6">
      <c r="A1579">
        <f t="shared" si="96"/>
        <v>1578</v>
      </c>
      <c r="B1579" s="11">
        <v>3433780</v>
      </c>
      <c r="C1579" s="11">
        <v>151</v>
      </c>
      <c r="D1579">
        <f t="shared" si="97"/>
        <v>151</v>
      </c>
      <c r="E1579">
        <f t="shared" si="98"/>
        <v>151000000</v>
      </c>
      <c r="F1579">
        <f t="shared" si="99"/>
        <v>72480000</v>
      </c>
    </row>
    <row r="1580" ht="13.85" spans="1:6">
      <c r="A1580">
        <f t="shared" si="96"/>
        <v>1579</v>
      </c>
      <c r="B1580" s="11">
        <v>4259474</v>
      </c>
      <c r="C1580" s="11">
        <v>176</v>
      </c>
      <c r="D1580">
        <f t="shared" si="97"/>
        <v>176</v>
      </c>
      <c r="E1580">
        <f t="shared" si="98"/>
        <v>176000000</v>
      </c>
      <c r="F1580">
        <f t="shared" si="99"/>
        <v>84480000</v>
      </c>
    </row>
    <row r="1581" ht="13.85" spans="1:6">
      <c r="A1581">
        <f t="shared" si="96"/>
        <v>1580</v>
      </c>
      <c r="B1581" s="11">
        <v>4784631</v>
      </c>
      <c r="C1581" s="11">
        <v>208</v>
      </c>
      <c r="D1581">
        <f t="shared" si="97"/>
        <v>208</v>
      </c>
      <c r="E1581">
        <f t="shared" si="98"/>
        <v>208000000</v>
      </c>
      <c r="F1581">
        <f t="shared" si="99"/>
        <v>99840000</v>
      </c>
    </row>
    <row r="1582" ht="13.85" spans="1:6">
      <c r="A1582">
        <f t="shared" si="96"/>
        <v>1581</v>
      </c>
      <c r="B1582" s="11">
        <v>2601829</v>
      </c>
      <c r="C1582" s="11">
        <v>40</v>
      </c>
      <c r="D1582">
        <f t="shared" si="97"/>
        <v>40</v>
      </c>
      <c r="E1582">
        <f t="shared" si="98"/>
        <v>40000000</v>
      </c>
      <c r="F1582">
        <f t="shared" si="99"/>
        <v>19200000</v>
      </c>
    </row>
    <row r="1583" ht="13.85" spans="1:6">
      <c r="A1583">
        <f t="shared" si="96"/>
        <v>1582</v>
      </c>
      <c r="B1583" s="11">
        <v>2448201</v>
      </c>
      <c r="C1583" s="11">
        <v>50</v>
      </c>
      <c r="D1583">
        <f t="shared" si="97"/>
        <v>50</v>
      </c>
      <c r="E1583">
        <f t="shared" si="98"/>
        <v>50000000</v>
      </c>
      <c r="F1583">
        <f t="shared" si="99"/>
        <v>24000000</v>
      </c>
    </row>
    <row r="1584" ht="13.85" spans="1:6">
      <c r="A1584">
        <f t="shared" si="96"/>
        <v>1583</v>
      </c>
      <c r="B1584" s="11">
        <v>2798123</v>
      </c>
      <c r="C1584" s="11">
        <v>60</v>
      </c>
      <c r="D1584">
        <f t="shared" si="97"/>
        <v>60</v>
      </c>
      <c r="E1584">
        <f t="shared" si="98"/>
        <v>60000000</v>
      </c>
      <c r="F1584">
        <f t="shared" si="99"/>
        <v>28800000</v>
      </c>
    </row>
    <row r="1585" ht="13.85" spans="1:6">
      <c r="A1585">
        <f t="shared" si="96"/>
        <v>1584</v>
      </c>
      <c r="B1585" s="11">
        <v>2596912</v>
      </c>
      <c r="C1585" s="11">
        <v>70</v>
      </c>
      <c r="D1585">
        <f t="shared" si="97"/>
        <v>70</v>
      </c>
      <c r="E1585">
        <f t="shared" si="98"/>
        <v>70000000</v>
      </c>
      <c r="F1585">
        <f t="shared" si="99"/>
        <v>33600000</v>
      </c>
    </row>
    <row r="1586" ht="13.85" spans="1:6">
      <c r="A1586">
        <f t="shared" si="96"/>
        <v>1585</v>
      </c>
      <c r="B1586" s="11">
        <v>2948317</v>
      </c>
      <c r="C1586" s="11">
        <v>80</v>
      </c>
      <c r="D1586">
        <f t="shared" si="97"/>
        <v>80</v>
      </c>
      <c r="E1586">
        <f t="shared" si="98"/>
        <v>80000000</v>
      </c>
      <c r="F1586">
        <f t="shared" si="99"/>
        <v>38400000</v>
      </c>
    </row>
    <row r="1587" ht="13.85" spans="1:6">
      <c r="A1587">
        <f t="shared" si="96"/>
        <v>1586</v>
      </c>
      <c r="B1587" s="11">
        <v>2824897</v>
      </c>
      <c r="C1587" s="11">
        <v>90</v>
      </c>
      <c r="D1587">
        <f t="shared" si="97"/>
        <v>90</v>
      </c>
      <c r="E1587">
        <f t="shared" si="98"/>
        <v>90000000</v>
      </c>
      <c r="F1587">
        <f t="shared" si="99"/>
        <v>43200000</v>
      </c>
    </row>
    <row r="1588" ht="13.85" spans="1:6">
      <c r="A1588">
        <f t="shared" si="96"/>
        <v>1587</v>
      </c>
      <c r="B1588" s="11">
        <v>3618337</v>
      </c>
      <c r="C1588" s="11">
        <v>103</v>
      </c>
      <c r="D1588">
        <f t="shared" si="97"/>
        <v>103</v>
      </c>
      <c r="E1588">
        <f t="shared" si="98"/>
        <v>103000000</v>
      </c>
      <c r="F1588">
        <f t="shared" si="99"/>
        <v>49440000</v>
      </c>
    </row>
    <row r="1589" ht="13.85" spans="1:6">
      <c r="A1589">
        <f t="shared" si="96"/>
        <v>1588</v>
      </c>
      <c r="B1589" s="11">
        <v>3463420</v>
      </c>
      <c r="C1589" s="11">
        <v>123</v>
      </c>
      <c r="D1589">
        <f t="shared" si="97"/>
        <v>123</v>
      </c>
      <c r="E1589">
        <f t="shared" si="98"/>
        <v>123000000</v>
      </c>
      <c r="F1589">
        <f t="shared" si="99"/>
        <v>59040000</v>
      </c>
    </row>
    <row r="1590" ht="13.85" spans="1:6">
      <c r="A1590">
        <f t="shared" si="96"/>
        <v>1589</v>
      </c>
      <c r="B1590" s="11">
        <v>3951156</v>
      </c>
      <c r="C1590" s="11">
        <v>150</v>
      </c>
      <c r="D1590">
        <f t="shared" si="97"/>
        <v>150</v>
      </c>
      <c r="E1590">
        <f t="shared" si="98"/>
        <v>150000000</v>
      </c>
      <c r="F1590">
        <f t="shared" si="99"/>
        <v>72000000</v>
      </c>
    </row>
    <row r="1591" ht="13.85" spans="1:6">
      <c r="A1591">
        <f t="shared" si="96"/>
        <v>1590</v>
      </c>
      <c r="B1591" s="11">
        <v>4144281</v>
      </c>
      <c r="C1591" s="11">
        <v>183</v>
      </c>
      <c r="D1591">
        <f t="shared" si="97"/>
        <v>183</v>
      </c>
      <c r="E1591">
        <f t="shared" si="98"/>
        <v>183000000</v>
      </c>
      <c r="F1591">
        <f t="shared" si="99"/>
        <v>87840000</v>
      </c>
    </row>
    <row r="1592" ht="13.85" spans="1:6">
      <c r="A1592">
        <f t="shared" si="96"/>
        <v>1591</v>
      </c>
      <c r="B1592" s="11">
        <v>5184643</v>
      </c>
      <c r="C1592" s="11">
        <v>216</v>
      </c>
      <c r="D1592">
        <f t="shared" si="97"/>
        <v>216</v>
      </c>
      <c r="E1592">
        <f t="shared" si="98"/>
        <v>216000000</v>
      </c>
      <c r="F1592">
        <f t="shared" si="99"/>
        <v>103680000</v>
      </c>
    </row>
    <row r="1593" ht="13.85" spans="1:6">
      <c r="A1593">
        <f t="shared" si="96"/>
        <v>1592</v>
      </c>
      <c r="B1593" s="11">
        <v>5888307</v>
      </c>
      <c r="C1593" s="11">
        <v>260</v>
      </c>
      <c r="D1593">
        <f t="shared" si="97"/>
        <v>260</v>
      </c>
      <c r="E1593">
        <f t="shared" si="98"/>
        <v>260000000</v>
      </c>
      <c r="F1593">
        <f t="shared" si="99"/>
        <v>124800000</v>
      </c>
    </row>
    <row r="1594" ht="13.85" spans="1:6">
      <c r="A1594">
        <f t="shared" si="96"/>
        <v>1593</v>
      </c>
      <c r="B1594" s="11">
        <v>9764567</v>
      </c>
      <c r="C1594" s="11">
        <v>320</v>
      </c>
      <c r="D1594">
        <f t="shared" si="97"/>
        <v>320</v>
      </c>
      <c r="E1594">
        <f t="shared" si="98"/>
        <v>320000000</v>
      </c>
      <c r="F1594">
        <f t="shared" si="99"/>
        <v>153600000</v>
      </c>
    </row>
    <row r="1595" ht="13.85" spans="1:6">
      <c r="A1595">
        <f t="shared" si="96"/>
        <v>1594</v>
      </c>
      <c r="B1595" s="11">
        <v>2411446</v>
      </c>
      <c r="C1595" s="11">
        <v>40</v>
      </c>
      <c r="D1595">
        <f t="shared" si="97"/>
        <v>40</v>
      </c>
      <c r="E1595">
        <f t="shared" si="98"/>
        <v>40000000</v>
      </c>
      <c r="F1595">
        <f t="shared" si="99"/>
        <v>19200000</v>
      </c>
    </row>
    <row r="1596" ht="13.85" spans="1:6">
      <c r="A1596">
        <f t="shared" si="96"/>
        <v>1595</v>
      </c>
      <c r="B1596" s="11">
        <v>2899175</v>
      </c>
      <c r="C1596" s="11">
        <v>50</v>
      </c>
      <c r="D1596">
        <f t="shared" si="97"/>
        <v>50</v>
      </c>
      <c r="E1596">
        <f t="shared" si="98"/>
        <v>50000000</v>
      </c>
      <c r="F1596">
        <f t="shared" si="99"/>
        <v>24000000</v>
      </c>
    </row>
    <row r="1597" ht="13.85" spans="1:6">
      <c r="A1597">
        <f t="shared" si="96"/>
        <v>1596</v>
      </c>
      <c r="B1597" s="11">
        <v>2552624</v>
      </c>
      <c r="C1597" s="11">
        <v>40</v>
      </c>
      <c r="D1597">
        <f t="shared" si="97"/>
        <v>40</v>
      </c>
      <c r="E1597">
        <f t="shared" si="98"/>
        <v>40000000</v>
      </c>
      <c r="F1597">
        <f t="shared" si="99"/>
        <v>19200000</v>
      </c>
    </row>
    <row r="1598" ht="13.85" spans="1:6">
      <c r="A1598">
        <f t="shared" si="96"/>
        <v>1597</v>
      </c>
      <c r="B1598" s="11">
        <v>2938495</v>
      </c>
      <c r="C1598" s="11">
        <v>50</v>
      </c>
      <c r="D1598">
        <f t="shared" si="97"/>
        <v>50</v>
      </c>
      <c r="E1598">
        <f t="shared" si="98"/>
        <v>50000000</v>
      </c>
      <c r="F1598">
        <f t="shared" si="99"/>
        <v>24000000</v>
      </c>
    </row>
    <row r="1599" ht="13.85" spans="1:6">
      <c r="A1599">
        <f t="shared" si="96"/>
        <v>1598</v>
      </c>
      <c r="B1599" s="11">
        <v>2645424</v>
      </c>
      <c r="C1599" s="11">
        <v>60</v>
      </c>
      <c r="D1599">
        <f t="shared" si="97"/>
        <v>60</v>
      </c>
      <c r="E1599">
        <f t="shared" si="98"/>
        <v>60000000</v>
      </c>
      <c r="F1599">
        <f t="shared" si="99"/>
        <v>28800000</v>
      </c>
    </row>
    <row r="1600" ht="13.85" spans="1:6">
      <c r="A1600">
        <f t="shared" si="96"/>
        <v>1599</v>
      </c>
      <c r="B1600" s="11">
        <v>3034194</v>
      </c>
      <c r="C1600" s="11">
        <v>70</v>
      </c>
      <c r="D1600">
        <f t="shared" si="97"/>
        <v>70</v>
      </c>
      <c r="E1600">
        <f t="shared" si="98"/>
        <v>70000000</v>
      </c>
      <c r="F1600">
        <f t="shared" si="99"/>
        <v>33600000</v>
      </c>
    </row>
    <row r="1601" ht="13.85" spans="1:6">
      <c r="A1601">
        <f t="shared" si="96"/>
        <v>1600</v>
      </c>
      <c r="B1601" s="11">
        <v>2744362</v>
      </c>
      <c r="C1601" s="11">
        <v>80</v>
      </c>
      <c r="D1601">
        <f t="shared" si="97"/>
        <v>80</v>
      </c>
      <c r="E1601">
        <f t="shared" si="98"/>
        <v>80000000</v>
      </c>
      <c r="F1601">
        <f t="shared" si="99"/>
        <v>38400000</v>
      </c>
    </row>
    <row r="1602" ht="13.85" spans="1:6">
      <c r="A1602">
        <f t="shared" ref="A1602:A1665" si="100">ROW()-1</f>
        <v>1601</v>
      </c>
      <c r="B1602" s="11">
        <v>3153258</v>
      </c>
      <c r="C1602" s="11">
        <v>95</v>
      </c>
      <c r="D1602">
        <f t="shared" ref="D1602:D1665" si="101">IF(RIGHT(C1602,1)="B",VALUE(LEFT(C1602,LEN(C1602)-1))*1000,C1602)</f>
        <v>95</v>
      </c>
      <c r="E1602">
        <f t="shared" ref="E1602:E1665" si="102">D1602*1000000</f>
        <v>95000000</v>
      </c>
      <c r="F1602">
        <f t="shared" ref="F1602:F1665" si="103">E1602*0.48</f>
        <v>45600000</v>
      </c>
    </row>
    <row r="1603" ht="13.85" spans="1:6">
      <c r="A1603">
        <f t="shared" si="100"/>
        <v>1602</v>
      </c>
      <c r="B1603" s="11">
        <v>3210194</v>
      </c>
      <c r="C1603" s="11">
        <v>116</v>
      </c>
      <c r="D1603">
        <f t="shared" si="101"/>
        <v>116</v>
      </c>
      <c r="E1603">
        <f t="shared" si="102"/>
        <v>116000000</v>
      </c>
      <c r="F1603">
        <f t="shared" si="103"/>
        <v>55680000</v>
      </c>
    </row>
    <row r="1604" ht="13.85" spans="1:6">
      <c r="A1604">
        <f t="shared" si="100"/>
        <v>1603</v>
      </c>
      <c r="B1604" s="11">
        <v>3678090</v>
      </c>
      <c r="C1604" s="11">
        <v>140</v>
      </c>
      <c r="D1604">
        <f t="shared" si="101"/>
        <v>140</v>
      </c>
      <c r="E1604">
        <f t="shared" si="102"/>
        <v>140000000</v>
      </c>
      <c r="F1604">
        <f t="shared" si="103"/>
        <v>67200000</v>
      </c>
    </row>
    <row r="1605" ht="13.85" spans="1:6">
      <c r="A1605">
        <f t="shared" si="100"/>
        <v>1604</v>
      </c>
      <c r="B1605" s="11">
        <v>3676736</v>
      </c>
      <c r="C1605" s="11">
        <v>165</v>
      </c>
      <c r="D1605">
        <f t="shared" si="101"/>
        <v>165</v>
      </c>
      <c r="E1605">
        <f t="shared" si="102"/>
        <v>165000000</v>
      </c>
      <c r="F1605">
        <f t="shared" si="103"/>
        <v>79200000</v>
      </c>
    </row>
    <row r="1606" ht="13.85" spans="1:6">
      <c r="A1606">
        <f t="shared" si="100"/>
        <v>1605</v>
      </c>
      <c r="B1606" s="11">
        <v>4342782</v>
      </c>
      <c r="C1606" s="11">
        <v>191</v>
      </c>
      <c r="D1606">
        <f t="shared" si="101"/>
        <v>191</v>
      </c>
      <c r="E1606">
        <f t="shared" si="102"/>
        <v>191000000</v>
      </c>
      <c r="F1606">
        <f t="shared" si="103"/>
        <v>91680000</v>
      </c>
    </row>
    <row r="1607" ht="13.85" spans="1:6">
      <c r="A1607">
        <f t="shared" si="100"/>
        <v>1606</v>
      </c>
      <c r="B1607" s="11">
        <v>4869431</v>
      </c>
      <c r="C1607" s="11">
        <v>222</v>
      </c>
      <c r="D1607">
        <f t="shared" si="101"/>
        <v>222</v>
      </c>
      <c r="E1607">
        <f t="shared" si="102"/>
        <v>222000000</v>
      </c>
      <c r="F1607">
        <f t="shared" si="103"/>
        <v>106560000</v>
      </c>
    </row>
    <row r="1608" ht="13.85" spans="1:6">
      <c r="A1608">
        <f t="shared" si="100"/>
        <v>1607</v>
      </c>
      <c r="B1608" s="11">
        <v>5726936</v>
      </c>
      <c r="C1608" s="11">
        <v>270</v>
      </c>
      <c r="D1608">
        <f t="shared" si="101"/>
        <v>270</v>
      </c>
      <c r="E1608">
        <f t="shared" si="102"/>
        <v>270000000</v>
      </c>
      <c r="F1608">
        <f t="shared" si="103"/>
        <v>129600000</v>
      </c>
    </row>
    <row r="1609" ht="13.85" spans="1:6">
      <c r="A1609">
        <f t="shared" si="100"/>
        <v>1608</v>
      </c>
      <c r="B1609" s="11">
        <v>9545738</v>
      </c>
      <c r="C1609" s="11">
        <v>350</v>
      </c>
      <c r="D1609">
        <f t="shared" si="101"/>
        <v>350</v>
      </c>
      <c r="E1609">
        <f t="shared" si="102"/>
        <v>350000000</v>
      </c>
      <c r="F1609">
        <f t="shared" si="103"/>
        <v>168000000</v>
      </c>
    </row>
    <row r="1610" ht="13.85" spans="1:6">
      <c r="A1610">
        <f t="shared" si="100"/>
        <v>1609</v>
      </c>
      <c r="B1610" s="11">
        <v>21597123</v>
      </c>
      <c r="C1610" s="11">
        <v>590.5</v>
      </c>
      <c r="D1610">
        <f t="shared" si="101"/>
        <v>590.5</v>
      </c>
      <c r="E1610">
        <f t="shared" si="102"/>
        <v>590500000</v>
      </c>
      <c r="F1610">
        <f t="shared" si="103"/>
        <v>283440000</v>
      </c>
    </row>
    <row r="1611" ht="13.85" spans="1:6">
      <c r="A1611">
        <f t="shared" si="100"/>
        <v>1610</v>
      </c>
      <c r="B1611" s="11">
        <v>2572437</v>
      </c>
      <c r="C1611" s="11">
        <v>40</v>
      </c>
      <c r="D1611">
        <f t="shared" si="101"/>
        <v>40</v>
      </c>
      <c r="E1611">
        <f t="shared" si="102"/>
        <v>40000000</v>
      </c>
      <c r="F1611">
        <f t="shared" si="103"/>
        <v>19200000</v>
      </c>
    </row>
    <row r="1612" ht="13.85" spans="1:6">
      <c r="A1612">
        <f t="shared" si="100"/>
        <v>1611</v>
      </c>
      <c r="B1612" s="11">
        <v>2875268</v>
      </c>
      <c r="C1612" s="11">
        <v>50</v>
      </c>
      <c r="D1612">
        <f t="shared" si="101"/>
        <v>50</v>
      </c>
      <c r="E1612">
        <f t="shared" si="102"/>
        <v>50000000</v>
      </c>
      <c r="F1612">
        <f t="shared" si="103"/>
        <v>24000000</v>
      </c>
    </row>
    <row r="1613" ht="13.85" spans="1:6">
      <c r="A1613">
        <f t="shared" si="100"/>
        <v>1612</v>
      </c>
      <c r="B1613" s="11">
        <v>2373539</v>
      </c>
      <c r="C1613" s="11">
        <v>40</v>
      </c>
      <c r="D1613">
        <f t="shared" si="101"/>
        <v>40</v>
      </c>
      <c r="E1613">
        <f t="shared" si="102"/>
        <v>40000000</v>
      </c>
      <c r="F1613">
        <f t="shared" si="103"/>
        <v>19200000</v>
      </c>
    </row>
    <row r="1614" ht="13.85" spans="1:6">
      <c r="A1614">
        <f t="shared" si="100"/>
        <v>1613</v>
      </c>
      <c r="B1614" s="11">
        <v>2795764</v>
      </c>
      <c r="C1614" s="11">
        <v>40</v>
      </c>
      <c r="D1614">
        <f t="shared" si="101"/>
        <v>40</v>
      </c>
      <c r="E1614">
        <f t="shared" si="102"/>
        <v>40000000</v>
      </c>
      <c r="F1614">
        <f t="shared" si="103"/>
        <v>19200000</v>
      </c>
    </row>
    <row r="1615" ht="13.85" spans="1:6">
      <c r="A1615">
        <f t="shared" si="100"/>
        <v>1614</v>
      </c>
      <c r="B1615" s="11">
        <v>2507303</v>
      </c>
      <c r="C1615" s="11">
        <v>50</v>
      </c>
      <c r="D1615">
        <f t="shared" si="101"/>
        <v>50</v>
      </c>
      <c r="E1615">
        <f t="shared" si="102"/>
        <v>50000000</v>
      </c>
      <c r="F1615">
        <f t="shared" si="103"/>
        <v>24000000</v>
      </c>
    </row>
    <row r="1616" ht="13.85" spans="1:6">
      <c r="A1616">
        <f t="shared" si="100"/>
        <v>1615</v>
      </c>
      <c r="B1616" s="11">
        <v>2887952</v>
      </c>
      <c r="C1616" s="11">
        <v>60</v>
      </c>
      <c r="D1616">
        <f t="shared" si="101"/>
        <v>60</v>
      </c>
      <c r="E1616">
        <f t="shared" si="102"/>
        <v>60000000</v>
      </c>
      <c r="F1616">
        <f t="shared" si="103"/>
        <v>28800000</v>
      </c>
    </row>
    <row r="1617" ht="13.85" spans="1:6">
      <c r="A1617">
        <f t="shared" si="100"/>
        <v>1616</v>
      </c>
      <c r="B1617" s="11">
        <v>2574325</v>
      </c>
      <c r="C1617" s="11">
        <v>70</v>
      </c>
      <c r="D1617">
        <f t="shared" si="101"/>
        <v>70</v>
      </c>
      <c r="E1617">
        <f t="shared" si="102"/>
        <v>70000000</v>
      </c>
      <c r="F1617">
        <f t="shared" si="103"/>
        <v>33600000</v>
      </c>
    </row>
    <row r="1618" ht="13.85" spans="1:6">
      <c r="A1618">
        <f t="shared" si="100"/>
        <v>1617</v>
      </c>
      <c r="B1618" s="11">
        <v>2978420</v>
      </c>
      <c r="C1618" s="11">
        <v>85</v>
      </c>
      <c r="D1618">
        <f t="shared" si="101"/>
        <v>85</v>
      </c>
      <c r="E1618">
        <f t="shared" si="102"/>
        <v>85000000</v>
      </c>
      <c r="F1618">
        <f t="shared" si="103"/>
        <v>40800000</v>
      </c>
    </row>
    <row r="1619" ht="13.85" spans="1:6">
      <c r="A1619">
        <f t="shared" si="100"/>
        <v>1618</v>
      </c>
      <c r="B1619" s="11">
        <v>2874204</v>
      </c>
      <c r="C1619" s="11">
        <v>105</v>
      </c>
      <c r="D1619">
        <f t="shared" si="101"/>
        <v>105</v>
      </c>
      <c r="E1619">
        <f t="shared" si="102"/>
        <v>105000000</v>
      </c>
      <c r="F1619">
        <f t="shared" si="103"/>
        <v>50400000</v>
      </c>
    </row>
    <row r="1620" ht="13.85" spans="1:6">
      <c r="A1620">
        <f t="shared" si="100"/>
        <v>1619</v>
      </c>
      <c r="B1620" s="11">
        <v>3308904</v>
      </c>
      <c r="C1620" s="11">
        <v>127</v>
      </c>
      <c r="D1620">
        <f t="shared" si="101"/>
        <v>127</v>
      </c>
      <c r="E1620">
        <f t="shared" si="102"/>
        <v>127000000</v>
      </c>
      <c r="F1620">
        <f t="shared" si="103"/>
        <v>60960000</v>
      </c>
    </row>
    <row r="1621" ht="13.85" spans="1:6">
      <c r="A1621">
        <f t="shared" si="100"/>
        <v>1620</v>
      </c>
      <c r="B1621" s="11">
        <v>2291895</v>
      </c>
      <c r="C1621" s="11">
        <v>40</v>
      </c>
      <c r="D1621">
        <f t="shared" si="101"/>
        <v>40</v>
      </c>
      <c r="E1621">
        <f t="shared" si="102"/>
        <v>40000000</v>
      </c>
      <c r="F1621">
        <f t="shared" si="103"/>
        <v>19200000</v>
      </c>
    </row>
    <row r="1622" ht="13.85" spans="1:6">
      <c r="A1622">
        <f t="shared" si="100"/>
        <v>1621</v>
      </c>
      <c r="B1622" s="11">
        <v>2644358</v>
      </c>
      <c r="C1622" s="11">
        <v>50</v>
      </c>
      <c r="D1622">
        <f t="shared" si="101"/>
        <v>50</v>
      </c>
      <c r="E1622">
        <f t="shared" si="102"/>
        <v>50000000</v>
      </c>
      <c r="F1622">
        <f t="shared" si="103"/>
        <v>24000000</v>
      </c>
    </row>
    <row r="1623" ht="13.85" spans="1:6">
      <c r="A1623">
        <f t="shared" si="100"/>
        <v>1622</v>
      </c>
      <c r="B1623" s="11">
        <v>2471720</v>
      </c>
      <c r="C1623" s="11">
        <v>60</v>
      </c>
      <c r="D1623">
        <f t="shared" si="101"/>
        <v>60</v>
      </c>
      <c r="E1623">
        <f t="shared" si="102"/>
        <v>60000000</v>
      </c>
      <c r="F1623">
        <f t="shared" si="103"/>
        <v>28800000</v>
      </c>
    </row>
    <row r="1624" ht="13.85" spans="1:6">
      <c r="A1624">
        <f t="shared" si="100"/>
        <v>1623</v>
      </c>
      <c r="B1624" s="11">
        <v>2647891</v>
      </c>
      <c r="C1624" s="11">
        <v>70</v>
      </c>
      <c r="D1624">
        <f t="shared" si="101"/>
        <v>70</v>
      </c>
      <c r="E1624">
        <f t="shared" si="102"/>
        <v>70000000</v>
      </c>
      <c r="F1624">
        <f t="shared" si="103"/>
        <v>33600000</v>
      </c>
    </row>
    <row r="1625" ht="13.85" spans="1:6">
      <c r="A1625">
        <f t="shared" si="100"/>
        <v>1624</v>
      </c>
      <c r="B1625" s="11">
        <v>2489244</v>
      </c>
      <c r="C1625" s="11">
        <v>80</v>
      </c>
      <c r="D1625">
        <f t="shared" si="101"/>
        <v>80</v>
      </c>
      <c r="E1625">
        <f t="shared" si="102"/>
        <v>80000000</v>
      </c>
      <c r="F1625">
        <f t="shared" si="103"/>
        <v>38400000</v>
      </c>
    </row>
    <row r="1626" ht="13.85" spans="1:6">
      <c r="A1626">
        <f t="shared" si="100"/>
        <v>1625</v>
      </c>
      <c r="B1626" s="11">
        <v>2903099</v>
      </c>
      <c r="C1626" s="11">
        <v>94</v>
      </c>
      <c r="D1626">
        <f t="shared" si="101"/>
        <v>94</v>
      </c>
      <c r="E1626">
        <f t="shared" si="102"/>
        <v>94000000</v>
      </c>
      <c r="F1626">
        <f t="shared" si="103"/>
        <v>45120000</v>
      </c>
    </row>
    <row r="1627" ht="13.85" spans="1:6">
      <c r="A1627">
        <f t="shared" si="100"/>
        <v>1626</v>
      </c>
      <c r="B1627" s="11">
        <v>2877491</v>
      </c>
      <c r="C1627" s="11">
        <v>116</v>
      </c>
      <c r="D1627">
        <f t="shared" si="101"/>
        <v>116</v>
      </c>
      <c r="E1627">
        <f t="shared" si="102"/>
        <v>116000000</v>
      </c>
      <c r="F1627">
        <f t="shared" si="103"/>
        <v>55680000</v>
      </c>
    </row>
    <row r="1628" ht="13.85" spans="1:6">
      <c r="A1628">
        <f t="shared" si="100"/>
        <v>1627</v>
      </c>
      <c r="B1628" s="11">
        <v>3386585</v>
      </c>
      <c r="C1628" s="11">
        <v>141</v>
      </c>
      <c r="D1628">
        <f t="shared" si="101"/>
        <v>141</v>
      </c>
      <c r="E1628">
        <f t="shared" si="102"/>
        <v>141000000</v>
      </c>
      <c r="F1628">
        <f t="shared" si="103"/>
        <v>67680000</v>
      </c>
    </row>
    <row r="1629" ht="13.85" spans="1:6">
      <c r="A1629">
        <f t="shared" si="100"/>
        <v>1628</v>
      </c>
      <c r="B1629" s="11">
        <v>3319233</v>
      </c>
      <c r="C1629" s="11">
        <v>166</v>
      </c>
      <c r="D1629">
        <f t="shared" si="101"/>
        <v>166</v>
      </c>
      <c r="E1629">
        <f t="shared" si="102"/>
        <v>166000000</v>
      </c>
      <c r="F1629">
        <f t="shared" si="103"/>
        <v>79680000</v>
      </c>
    </row>
    <row r="1630" ht="13.85" spans="1:6">
      <c r="A1630">
        <f t="shared" si="100"/>
        <v>1629</v>
      </c>
      <c r="B1630" s="11">
        <v>4102876</v>
      </c>
      <c r="C1630" s="11">
        <v>196</v>
      </c>
      <c r="D1630">
        <f t="shared" si="101"/>
        <v>196</v>
      </c>
      <c r="E1630">
        <f t="shared" si="102"/>
        <v>196000000</v>
      </c>
      <c r="F1630">
        <f t="shared" si="103"/>
        <v>94080000</v>
      </c>
    </row>
    <row r="1631" ht="13.85" spans="1:6">
      <c r="A1631">
        <f t="shared" si="100"/>
        <v>1630</v>
      </c>
      <c r="B1631" s="11">
        <v>4815476</v>
      </c>
      <c r="C1631" s="11">
        <v>235</v>
      </c>
      <c r="D1631">
        <f t="shared" si="101"/>
        <v>235</v>
      </c>
      <c r="E1631">
        <f t="shared" si="102"/>
        <v>235000000</v>
      </c>
      <c r="F1631">
        <f t="shared" si="103"/>
        <v>112800000</v>
      </c>
    </row>
    <row r="1632" ht="13.85" spans="1:6">
      <c r="A1632">
        <f t="shared" si="100"/>
        <v>1631</v>
      </c>
      <c r="B1632" s="11">
        <v>6832065</v>
      </c>
      <c r="C1632" s="11">
        <v>300</v>
      </c>
      <c r="D1632">
        <f t="shared" si="101"/>
        <v>300</v>
      </c>
      <c r="E1632">
        <f t="shared" si="102"/>
        <v>300000000</v>
      </c>
      <c r="F1632">
        <f t="shared" si="103"/>
        <v>144000000</v>
      </c>
    </row>
    <row r="1633" ht="13.85" spans="1:6">
      <c r="A1633">
        <f t="shared" si="100"/>
        <v>1632</v>
      </c>
      <c r="B1633" s="11">
        <v>13395129</v>
      </c>
      <c r="C1633" s="11">
        <v>425</v>
      </c>
      <c r="D1633">
        <f t="shared" si="101"/>
        <v>425</v>
      </c>
      <c r="E1633">
        <f t="shared" si="102"/>
        <v>425000000</v>
      </c>
      <c r="F1633">
        <f t="shared" si="103"/>
        <v>204000000</v>
      </c>
    </row>
    <row r="1634" ht="13.85" spans="1:6">
      <c r="A1634">
        <f t="shared" si="100"/>
        <v>1633</v>
      </c>
      <c r="B1634" s="11">
        <v>2637288</v>
      </c>
      <c r="C1634" s="11">
        <v>40</v>
      </c>
      <c r="D1634">
        <f t="shared" si="101"/>
        <v>40</v>
      </c>
      <c r="E1634">
        <f t="shared" si="102"/>
        <v>40000000</v>
      </c>
      <c r="F1634">
        <f t="shared" si="103"/>
        <v>19200000</v>
      </c>
    </row>
    <row r="1635" ht="13.85" spans="1:6">
      <c r="A1635">
        <f t="shared" si="100"/>
        <v>1634</v>
      </c>
      <c r="B1635" s="11">
        <v>2530104</v>
      </c>
      <c r="C1635" s="11">
        <v>50</v>
      </c>
      <c r="D1635">
        <f t="shared" si="101"/>
        <v>50</v>
      </c>
      <c r="E1635">
        <f t="shared" si="102"/>
        <v>50000000</v>
      </c>
      <c r="F1635">
        <f t="shared" si="103"/>
        <v>24000000</v>
      </c>
    </row>
    <row r="1636" ht="13.85" spans="1:6">
      <c r="A1636">
        <f t="shared" si="100"/>
        <v>1635</v>
      </c>
      <c r="B1636" s="11">
        <v>2909404</v>
      </c>
      <c r="C1636" s="11">
        <v>60</v>
      </c>
      <c r="D1636">
        <f t="shared" si="101"/>
        <v>60</v>
      </c>
      <c r="E1636">
        <f t="shared" si="102"/>
        <v>60000000</v>
      </c>
      <c r="F1636">
        <f t="shared" si="103"/>
        <v>28800000</v>
      </c>
    </row>
    <row r="1637" ht="13.85" spans="1:6">
      <c r="A1637">
        <f t="shared" si="100"/>
        <v>1636</v>
      </c>
      <c r="B1637" s="11">
        <v>2708552</v>
      </c>
      <c r="C1637" s="11">
        <v>70</v>
      </c>
      <c r="D1637">
        <f t="shared" si="101"/>
        <v>70</v>
      </c>
      <c r="E1637">
        <f t="shared" si="102"/>
        <v>70000000</v>
      </c>
      <c r="F1637">
        <f t="shared" si="103"/>
        <v>33600000</v>
      </c>
    </row>
    <row r="1638" ht="13.85" spans="1:6">
      <c r="A1638">
        <f t="shared" si="100"/>
        <v>1637</v>
      </c>
      <c r="B1638" s="11">
        <v>3133849</v>
      </c>
      <c r="C1638" s="11">
        <v>92</v>
      </c>
      <c r="D1638">
        <f t="shared" si="101"/>
        <v>92</v>
      </c>
      <c r="E1638">
        <f t="shared" si="102"/>
        <v>92000000</v>
      </c>
      <c r="F1638">
        <f t="shared" si="103"/>
        <v>44160000</v>
      </c>
    </row>
    <row r="1639" ht="13.85" spans="1:6">
      <c r="A1639">
        <f t="shared" si="100"/>
        <v>1638</v>
      </c>
      <c r="B1639" s="11">
        <v>3122512</v>
      </c>
      <c r="C1639" s="11">
        <v>116</v>
      </c>
      <c r="D1639">
        <f t="shared" si="101"/>
        <v>116</v>
      </c>
      <c r="E1639">
        <f t="shared" si="102"/>
        <v>116000000</v>
      </c>
      <c r="F1639">
        <f t="shared" si="103"/>
        <v>55680000</v>
      </c>
    </row>
    <row r="1640" ht="13.85" spans="1:6">
      <c r="A1640">
        <f t="shared" si="100"/>
        <v>1639</v>
      </c>
      <c r="B1640" s="11">
        <v>3747894</v>
      </c>
      <c r="C1640" s="11">
        <v>142</v>
      </c>
      <c r="D1640">
        <f t="shared" si="101"/>
        <v>142</v>
      </c>
      <c r="E1640">
        <f t="shared" si="102"/>
        <v>142000000</v>
      </c>
      <c r="F1640">
        <f t="shared" si="103"/>
        <v>68160000</v>
      </c>
    </row>
    <row r="1641" ht="13.85" spans="1:6">
      <c r="A1641">
        <f t="shared" si="100"/>
        <v>1640</v>
      </c>
      <c r="B1641" s="11">
        <v>3504101</v>
      </c>
      <c r="C1641" s="11">
        <v>169</v>
      </c>
      <c r="D1641">
        <f t="shared" si="101"/>
        <v>169</v>
      </c>
      <c r="E1641">
        <f t="shared" si="102"/>
        <v>169000000</v>
      </c>
      <c r="F1641">
        <f t="shared" si="103"/>
        <v>81120000</v>
      </c>
    </row>
    <row r="1642" ht="13.85" spans="1:6">
      <c r="A1642">
        <f t="shared" si="100"/>
        <v>1641</v>
      </c>
      <c r="B1642" s="11">
        <v>4406037</v>
      </c>
      <c r="C1642" s="11">
        <v>203</v>
      </c>
      <c r="D1642">
        <f t="shared" si="101"/>
        <v>203</v>
      </c>
      <c r="E1642">
        <f t="shared" si="102"/>
        <v>203000000</v>
      </c>
      <c r="F1642">
        <f t="shared" si="103"/>
        <v>97440000</v>
      </c>
    </row>
    <row r="1643" ht="13.85" spans="1:6">
      <c r="A1643">
        <f t="shared" si="100"/>
        <v>1642</v>
      </c>
      <c r="B1643" s="11">
        <v>4582377</v>
      </c>
      <c r="C1643" s="11">
        <v>245</v>
      </c>
      <c r="D1643">
        <f t="shared" si="101"/>
        <v>245</v>
      </c>
      <c r="E1643">
        <f t="shared" si="102"/>
        <v>245000000</v>
      </c>
      <c r="F1643">
        <f t="shared" si="103"/>
        <v>117600000</v>
      </c>
    </row>
    <row r="1644" ht="13.85" spans="1:6">
      <c r="A1644">
        <f t="shared" si="100"/>
        <v>1643</v>
      </c>
      <c r="B1644" s="11">
        <v>5975893</v>
      </c>
      <c r="C1644" s="11">
        <v>317</v>
      </c>
      <c r="D1644">
        <f t="shared" si="101"/>
        <v>317</v>
      </c>
      <c r="E1644">
        <f t="shared" si="102"/>
        <v>317000000</v>
      </c>
      <c r="F1644">
        <f t="shared" si="103"/>
        <v>152160000</v>
      </c>
    </row>
    <row r="1645" ht="13.85" spans="1:6">
      <c r="A1645">
        <f t="shared" si="100"/>
        <v>1644</v>
      </c>
      <c r="B1645" s="11">
        <v>9376770</v>
      </c>
      <c r="C1645" s="11">
        <v>400</v>
      </c>
      <c r="D1645">
        <f t="shared" si="101"/>
        <v>400</v>
      </c>
      <c r="E1645">
        <f t="shared" si="102"/>
        <v>400000000</v>
      </c>
      <c r="F1645">
        <f t="shared" si="103"/>
        <v>192000000</v>
      </c>
    </row>
    <row r="1646" ht="13.85" spans="1:6">
      <c r="A1646">
        <f t="shared" si="100"/>
        <v>1645</v>
      </c>
      <c r="B1646" s="11">
        <v>2655854</v>
      </c>
      <c r="C1646" s="11">
        <v>40</v>
      </c>
      <c r="D1646">
        <f t="shared" si="101"/>
        <v>40</v>
      </c>
      <c r="E1646">
        <f t="shared" si="102"/>
        <v>40000000</v>
      </c>
      <c r="F1646">
        <f t="shared" si="103"/>
        <v>19200000</v>
      </c>
    </row>
    <row r="1647" ht="13.85" spans="1:6">
      <c r="A1647">
        <f t="shared" si="100"/>
        <v>1646</v>
      </c>
      <c r="B1647" s="11">
        <v>2485531</v>
      </c>
      <c r="C1647" s="11">
        <v>50</v>
      </c>
      <c r="D1647">
        <f t="shared" si="101"/>
        <v>50</v>
      </c>
      <c r="E1647">
        <f t="shared" si="102"/>
        <v>50000000</v>
      </c>
      <c r="F1647">
        <f t="shared" si="103"/>
        <v>24000000</v>
      </c>
    </row>
    <row r="1648" ht="13.85" spans="1:6">
      <c r="A1648">
        <f t="shared" si="100"/>
        <v>1647</v>
      </c>
      <c r="B1648" s="11">
        <v>2782901</v>
      </c>
      <c r="C1648" s="11">
        <v>60</v>
      </c>
      <c r="D1648">
        <f t="shared" si="101"/>
        <v>60</v>
      </c>
      <c r="E1648">
        <f t="shared" si="102"/>
        <v>60000000</v>
      </c>
      <c r="F1648">
        <f t="shared" si="103"/>
        <v>28800000</v>
      </c>
    </row>
    <row r="1649" ht="13.85" spans="1:6">
      <c r="A1649">
        <f t="shared" si="100"/>
        <v>1648</v>
      </c>
      <c r="B1649" s="11">
        <v>2609080</v>
      </c>
      <c r="C1649" s="11">
        <v>70</v>
      </c>
      <c r="D1649">
        <f t="shared" si="101"/>
        <v>70</v>
      </c>
      <c r="E1649">
        <f t="shared" si="102"/>
        <v>70000000</v>
      </c>
      <c r="F1649">
        <f t="shared" si="103"/>
        <v>33600000</v>
      </c>
    </row>
    <row r="1650" ht="13.85" spans="1:6">
      <c r="A1650">
        <f t="shared" si="100"/>
        <v>1649</v>
      </c>
      <c r="B1650" s="11">
        <v>2937071</v>
      </c>
      <c r="C1650" s="11">
        <v>86</v>
      </c>
      <c r="D1650">
        <f t="shared" si="101"/>
        <v>86</v>
      </c>
      <c r="E1650">
        <f t="shared" si="102"/>
        <v>86000000</v>
      </c>
      <c r="F1650">
        <f t="shared" si="103"/>
        <v>41280000</v>
      </c>
    </row>
    <row r="1651" ht="13.85" spans="1:6">
      <c r="A1651">
        <f t="shared" si="100"/>
        <v>1650</v>
      </c>
      <c r="B1651" s="24">
        <v>2951675</v>
      </c>
      <c r="C1651" s="13">
        <v>108</v>
      </c>
      <c r="D1651">
        <f t="shared" si="101"/>
        <v>108</v>
      </c>
      <c r="E1651">
        <f t="shared" si="102"/>
        <v>108000000</v>
      </c>
      <c r="F1651">
        <f t="shared" si="103"/>
        <v>51840000</v>
      </c>
    </row>
    <row r="1652" ht="13.85" spans="1:6">
      <c r="A1652">
        <f t="shared" si="100"/>
        <v>1651</v>
      </c>
      <c r="B1652" s="24">
        <v>3330984</v>
      </c>
      <c r="C1652" s="11">
        <v>133</v>
      </c>
      <c r="D1652">
        <f t="shared" si="101"/>
        <v>133</v>
      </c>
      <c r="E1652">
        <f t="shared" si="102"/>
        <v>133000000</v>
      </c>
      <c r="F1652">
        <f t="shared" si="103"/>
        <v>63840000</v>
      </c>
    </row>
    <row r="1653" ht="13.85" spans="1:6">
      <c r="A1653">
        <f t="shared" si="100"/>
        <v>1652</v>
      </c>
      <c r="B1653" s="24">
        <v>3220735</v>
      </c>
      <c r="C1653" s="11">
        <v>156</v>
      </c>
      <c r="D1653">
        <f t="shared" si="101"/>
        <v>156</v>
      </c>
      <c r="E1653">
        <f t="shared" si="102"/>
        <v>156000000</v>
      </c>
      <c r="F1653">
        <f t="shared" si="103"/>
        <v>74880000</v>
      </c>
    </row>
    <row r="1654" ht="13.85" spans="1:6">
      <c r="A1654">
        <f t="shared" si="100"/>
        <v>1653</v>
      </c>
      <c r="B1654" s="24">
        <v>3629488</v>
      </c>
      <c r="C1654" s="11">
        <v>186</v>
      </c>
      <c r="D1654">
        <f t="shared" si="101"/>
        <v>186</v>
      </c>
      <c r="E1654">
        <f t="shared" si="102"/>
        <v>186000000</v>
      </c>
      <c r="F1654">
        <f t="shared" si="103"/>
        <v>89280000</v>
      </c>
    </row>
    <row r="1655" ht="13.85" spans="1:6">
      <c r="A1655">
        <f t="shared" si="100"/>
        <v>1654</v>
      </c>
      <c r="B1655" s="24">
        <v>3808191</v>
      </c>
      <c r="C1655" s="11">
        <v>216</v>
      </c>
      <c r="D1655">
        <f t="shared" si="101"/>
        <v>216</v>
      </c>
      <c r="E1655">
        <f t="shared" si="102"/>
        <v>216000000</v>
      </c>
      <c r="F1655">
        <f t="shared" si="103"/>
        <v>103680000</v>
      </c>
    </row>
    <row r="1656" ht="13.85" spans="1:6">
      <c r="A1656">
        <f t="shared" si="100"/>
        <v>1655</v>
      </c>
      <c r="B1656" s="24">
        <v>2632295</v>
      </c>
      <c r="C1656" s="11">
        <v>40</v>
      </c>
      <c r="D1656">
        <f t="shared" si="101"/>
        <v>40</v>
      </c>
      <c r="E1656">
        <f t="shared" si="102"/>
        <v>40000000</v>
      </c>
      <c r="F1656">
        <f t="shared" si="103"/>
        <v>19200000</v>
      </c>
    </row>
    <row r="1657" ht="13.85" spans="1:6">
      <c r="A1657">
        <f t="shared" si="100"/>
        <v>1656</v>
      </c>
      <c r="B1657" s="24">
        <v>2325265</v>
      </c>
      <c r="C1657" s="11">
        <v>50</v>
      </c>
      <c r="D1657">
        <f t="shared" si="101"/>
        <v>50</v>
      </c>
      <c r="E1657">
        <f t="shared" si="102"/>
        <v>50000000</v>
      </c>
      <c r="F1657">
        <f t="shared" si="103"/>
        <v>24000000</v>
      </c>
    </row>
    <row r="1658" ht="13.85" spans="1:6">
      <c r="A1658">
        <f t="shared" si="100"/>
        <v>1657</v>
      </c>
      <c r="B1658" s="24">
        <v>2736941</v>
      </c>
      <c r="C1658" s="11">
        <v>60</v>
      </c>
      <c r="D1658">
        <f t="shared" si="101"/>
        <v>60</v>
      </c>
      <c r="E1658">
        <f t="shared" si="102"/>
        <v>60000000</v>
      </c>
      <c r="F1658">
        <f t="shared" si="103"/>
        <v>28800000</v>
      </c>
    </row>
    <row r="1659" ht="13.85" spans="1:6">
      <c r="A1659">
        <f t="shared" si="100"/>
        <v>1658</v>
      </c>
      <c r="B1659" s="24">
        <v>2484306</v>
      </c>
      <c r="C1659" s="11">
        <v>70</v>
      </c>
      <c r="D1659">
        <f t="shared" si="101"/>
        <v>70</v>
      </c>
      <c r="E1659">
        <f t="shared" si="102"/>
        <v>70000000</v>
      </c>
      <c r="F1659">
        <f t="shared" si="103"/>
        <v>33600000</v>
      </c>
    </row>
    <row r="1660" ht="13.85" spans="1:6">
      <c r="A1660">
        <f t="shared" si="100"/>
        <v>1659</v>
      </c>
      <c r="B1660" s="24">
        <v>2788199</v>
      </c>
      <c r="C1660" s="11">
        <v>87</v>
      </c>
      <c r="D1660">
        <f t="shared" si="101"/>
        <v>87</v>
      </c>
      <c r="E1660">
        <f t="shared" si="102"/>
        <v>87000000</v>
      </c>
      <c r="F1660">
        <f t="shared" si="103"/>
        <v>41760000</v>
      </c>
    </row>
    <row r="1661" ht="13.85" spans="1:6">
      <c r="A1661">
        <f t="shared" si="100"/>
        <v>1660</v>
      </c>
      <c r="B1661" s="24">
        <v>2714586</v>
      </c>
      <c r="C1661" s="11">
        <v>110</v>
      </c>
      <c r="D1661">
        <f t="shared" si="101"/>
        <v>110</v>
      </c>
      <c r="E1661">
        <f t="shared" si="102"/>
        <v>110000000</v>
      </c>
      <c r="F1661">
        <f t="shared" si="103"/>
        <v>52800000</v>
      </c>
    </row>
    <row r="1662" ht="13.85" spans="1:6">
      <c r="A1662">
        <f t="shared" si="100"/>
        <v>1661</v>
      </c>
      <c r="B1662" s="24">
        <v>3124671</v>
      </c>
      <c r="C1662" s="11">
        <v>130</v>
      </c>
      <c r="D1662">
        <f t="shared" si="101"/>
        <v>130</v>
      </c>
      <c r="E1662">
        <f t="shared" si="102"/>
        <v>130000000</v>
      </c>
      <c r="F1662">
        <f t="shared" si="103"/>
        <v>62400000</v>
      </c>
    </row>
    <row r="1663" ht="13.85" spans="1:6">
      <c r="A1663">
        <f t="shared" si="100"/>
        <v>1662</v>
      </c>
      <c r="B1663" s="24">
        <v>2223330</v>
      </c>
      <c r="C1663" s="11">
        <v>40</v>
      </c>
      <c r="D1663">
        <f t="shared" si="101"/>
        <v>40</v>
      </c>
      <c r="E1663">
        <f t="shared" si="102"/>
        <v>40000000</v>
      </c>
      <c r="F1663">
        <f t="shared" si="103"/>
        <v>19200000</v>
      </c>
    </row>
    <row r="1664" ht="13.85" spans="1:6">
      <c r="A1664">
        <f t="shared" si="100"/>
        <v>1663</v>
      </c>
      <c r="B1664" s="24">
        <v>2478792</v>
      </c>
      <c r="C1664" s="11">
        <v>50</v>
      </c>
      <c r="D1664">
        <f t="shared" si="101"/>
        <v>50</v>
      </c>
      <c r="E1664">
        <f t="shared" si="102"/>
        <v>50000000</v>
      </c>
      <c r="F1664">
        <f t="shared" si="103"/>
        <v>24000000</v>
      </c>
    </row>
    <row r="1665" ht="13.85" spans="1:6">
      <c r="A1665">
        <f t="shared" si="100"/>
        <v>1664</v>
      </c>
      <c r="B1665" s="24">
        <v>2384200</v>
      </c>
      <c r="C1665" s="11">
        <v>60</v>
      </c>
      <c r="D1665">
        <f t="shared" si="101"/>
        <v>60</v>
      </c>
      <c r="E1665">
        <f t="shared" si="102"/>
        <v>60000000</v>
      </c>
      <c r="F1665">
        <f t="shared" si="103"/>
        <v>28800000</v>
      </c>
    </row>
    <row r="1666" ht="13.85" spans="1:6">
      <c r="A1666">
        <f t="shared" ref="A1666:A1729" si="104">ROW()-1</f>
        <v>1665</v>
      </c>
      <c r="B1666" s="24">
        <v>2511683</v>
      </c>
      <c r="C1666" s="11">
        <v>70</v>
      </c>
      <c r="D1666">
        <f t="shared" ref="D1666:D1729" si="105">IF(RIGHT(C1666,1)="B",VALUE(LEFT(C1666,LEN(C1666)-1))*1000,C1666)</f>
        <v>70</v>
      </c>
      <c r="E1666">
        <f t="shared" ref="E1666:E1729" si="106">D1666*1000000</f>
        <v>70000000</v>
      </c>
      <c r="F1666">
        <f t="shared" ref="F1666:F1729" si="107">E1666*0.48</f>
        <v>33600000</v>
      </c>
    </row>
    <row r="1667" ht="13.85" spans="1:6">
      <c r="A1667">
        <f t="shared" si="104"/>
        <v>1666</v>
      </c>
      <c r="B1667" s="24">
        <v>2480247</v>
      </c>
      <c r="C1667" s="11">
        <v>81</v>
      </c>
      <c r="D1667">
        <f t="shared" si="105"/>
        <v>81</v>
      </c>
      <c r="E1667">
        <f t="shared" si="106"/>
        <v>81000000</v>
      </c>
      <c r="F1667">
        <f t="shared" si="107"/>
        <v>38880000</v>
      </c>
    </row>
    <row r="1668" ht="13.85" spans="1:6">
      <c r="A1668">
        <f t="shared" si="104"/>
        <v>1667</v>
      </c>
      <c r="B1668" s="24">
        <v>2878427</v>
      </c>
      <c r="C1668" s="11">
        <v>100</v>
      </c>
      <c r="D1668">
        <f t="shared" si="105"/>
        <v>100</v>
      </c>
      <c r="E1668">
        <f t="shared" si="106"/>
        <v>100000000</v>
      </c>
      <c r="F1668">
        <f t="shared" si="107"/>
        <v>48000000</v>
      </c>
    </row>
    <row r="1669" ht="13.85" spans="1:6">
      <c r="A1669">
        <f t="shared" si="104"/>
        <v>1668</v>
      </c>
      <c r="B1669" s="24">
        <v>2875506</v>
      </c>
      <c r="C1669" s="11">
        <v>122</v>
      </c>
      <c r="D1669">
        <f t="shared" si="105"/>
        <v>122</v>
      </c>
      <c r="E1669">
        <f t="shared" si="106"/>
        <v>122000000</v>
      </c>
      <c r="F1669">
        <f t="shared" si="107"/>
        <v>58560000</v>
      </c>
    </row>
    <row r="1670" ht="13.85" spans="1:6">
      <c r="A1670">
        <f t="shared" si="104"/>
        <v>1669</v>
      </c>
      <c r="B1670" s="24">
        <v>2821941</v>
      </c>
      <c r="C1670" s="11">
        <v>40</v>
      </c>
      <c r="D1670">
        <f t="shared" si="105"/>
        <v>40</v>
      </c>
      <c r="E1670">
        <f t="shared" si="106"/>
        <v>40000000</v>
      </c>
      <c r="F1670">
        <f t="shared" si="107"/>
        <v>19200000</v>
      </c>
    </row>
    <row r="1671" ht="13.85" spans="1:6">
      <c r="A1671">
        <f t="shared" si="104"/>
        <v>1670</v>
      </c>
      <c r="B1671" s="24">
        <v>2627295</v>
      </c>
      <c r="C1671" s="11">
        <v>50</v>
      </c>
      <c r="D1671">
        <f t="shared" si="105"/>
        <v>50</v>
      </c>
      <c r="E1671">
        <f t="shared" si="106"/>
        <v>50000000</v>
      </c>
      <c r="F1671">
        <f t="shared" si="107"/>
        <v>24000000</v>
      </c>
    </row>
    <row r="1672" ht="13.85" spans="1:6">
      <c r="A1672">
        <f t="shared" si="104"/>
        <v>1671</v>
      </c>
      <c r="B1672" s="24">
        <v>2454016</v>
      </c>
      <c r="C1672" s="11">
        <v>60</v>
      </c>
      <c r="D1672">
        <f t="shared" si="105"/>
        <v>60</v>
      </c>
      <c r="E1672">
        <f t="shared" si="106"/>
        <v>60000000</v>
      </c>
      <c r="F1672">
        <f t="shared" si="107"/>
        <v>28800000</v>
      </c>
    </row>
    <row r="1673" ht="13.85" spans="1:6">
      <c r="A1673">
        <f t="shared" si="104"/>
        <v>1672</v>
      </c>
      <c r="B1673" s="24">
        <v>2180839</v>
      </c>
      <c r="C1673" s="11">
        <v>74</v>
      </c>
      <c r="D1673">
        <f t="shared" si="105"/>
        <v>74</v>
      </c>
      <c r="E1673">
        <f t="shared" si="106"/>
        <v>74000000</v>
      </c>
      <c r="F1673">
        <f t="shared" si="107"/>
        <v>35520000</v>
      </c>
    </row>
    <row r="1674" ht="13.85" spans="1:6">
      <c r="A1674">
        <f t="shared" si="104"/>
        <v>1673</v>
      </c>
      <c r="B1674" s="24">
        <v>2291901</v>
      </c>
      <c r="C1674" s="11">
        <v>40</v>
      </c>
      <c r="D1674">
        <f t="shared" si="105"/>
        <v>40</v>
      </c>
      <c r="E1674">
        <f t="shared" si="106"/>
        <v>40000000</v>
      </c>
      <c r="F1674">
        <f t="shared" si="107"/>
        <v>19200000</v>
      </c>
    </row>
    <row r="1675" ht="13.85" spans="1:6">
      <c r="A1675">
        <f t="shared" si="104"/>
        <v>1674</v>
      </c>
      <c r="B1675" s="24">
        <v>2142589</v>
      </c>
      <c r="C1675" s="11">
        <v>50</v>
      </c>
      <c r="D1675">
        <f t="shared" si="105"/>
        <v>50</v>
      </c>
      <c r="E1675">
        <f t="shared" si="106"/>
        <v>50000000</v>
      </c>
      <c r="F1675">
        <f t="shared" si="107"/>
        <v>24000000</v>
      </c>
    </row>
    <row r="1676" ht="13.85" spans="1:6">
      <c r="A1676">
        <f t="shared" si="104"/>
        <v>1675</v>
      </c>
      <c r="B1676" s="24">
        <v>2424741</v>
      </c>
      <c r="C1676" s="11">
        <v>60</v>
      </c>
      <c r="D1676">
        <f t="shared" si="105"/>
        <v>60</v>
      </c>
      <c r="E1676">
        <f t="shared" si="106"/>
        <v>60000000</v>
      </c>
      <c r="F1676">
        <f t="shared" si="107"/>
        <v>28800000</v>
      </c>
    </row>
    <row r="1677" ht="13.85" spans="1:6">
      <c r="A1677">
        <f t="shared" si="104"/>
        <v>1676</v>
      </c>
      <c r="B1677" s="24">
        <v>2171438</v>
      </c>
      <c r="C1677" s="11">
        <v>70</v>
      </c>
      <c r="D1677">
        <f t="shared" si="105"/>
        <v>70</v>
      </c>
      <c r="E1677">
        <f t="shared" si="106"/>
        <v>70000000</v>
      </c>
      <c r="F1677">
        <f t="shared" si="107"/>
        <v>33600000</v>
      </c>
    </row>
    <row r="1678" ht="13.85" spans="1:6">
      <c r="A1678">
        <f t="shared" si="104"/>
        <v>1677</v>
      </c>
      <c r="B1678" s="24">
        <v>2471203</v>
      </c>
      <c r="C1678" s="11">
        <v>80</v>
      </c>
      <c r="D1678">
        <f t="shared" si="105"/>
        <v>80</v>
      </c>
      <c r="E1678">
        <f t="shared" si="106"/>
        <v>80000000</v>
      </c>
      <c r="F1678">
        <f t="shared" si="107"/>
        <v>38400000</v>
      </c>
    </row>
    <row r="1679" ht="13.85" spans="1:6">
      <c r="A1679">
        <f t="shared" si="104"/>
        <v>1678</v>
      </c>
      <c r="B1679" s="24">
        <v>2379925</v>
      </c>
      <c r="C1679" s="11">
        <v>93</v>
      </c>
      <c r="D1679">
        <f t="shared" si="105"/>
        <v>93</v>
      </c>
      <c r="E1679">
        <f t="shared" si="106"/>
        <v>93000000</v>
      </c>
      <c r="F1679">
        <f t="shared" si="107"/>
        <v>44640000</v>
      </c>
    </row>
    <row r="1680" ht="13.85" spans="1:6">
      <c r="A1680">
        <f t="shared" si="104"/>
        <v>1679</v>
      </c>
      <c r="B1680" s="24">
        <v>2808955</v>
      </c>
      <c r="C1680" s="11">
        <v>113</v>
      </c>
      <c r="D1680">
        <f t="shared" si="105"/>
        <v>113</v>
      </c>
      <c r="E1680">
        <f t="shared" si="106"/>
        <v>113000000</v>
      </c>
      <c r="F1680">
        <f t="shared" si="107"/>
        <v>54240000</v>
      </c>
    </row>
    <row r="1681" ht="13.85" spans="1:6">
      <c r="A1681">
        <f t="shared" si="104"/>
        <v>1680</v>
      </c>
      <c r="B1681" s="24">
        <v>2550358</v>
      </c>
      <c r="C1681" s="11">
        <v>131</v>
      </c>
      <c r="D1681">
        <f t="shared" si="105"/>
        <v>131</v>
      </c>
      <c r="E1681">
        <f t="shared" si="106"/>
        <v>131000000</v>
      </c>
      <c r="F1681">
        <f t="shared" si="107"/>
        <v>62880000</v>
      </c>
    </row>
    <row r="1682" ht="13.85" spans="1:6">
      <c r="A1682">
        <f t="shared" si="104"/>
        <v>1681</v>
      </c>
      <c r="B1682" s="24">
        <v>3024755</v>
      </c>
      <c r="C1682" s="11">
        <v>152</v>
      </c>
      <c r="D1682">
        <f t="shared" si="105"/>
        <v>152</v>
      </c>
      <c r="E1682">
        <f t="shared" si="106"/>
        <v>152000000</v>
      </c>
      <c r="F1682">
        <f t="shared" si="107"/>
        <v>72960000</v>
      </c>
    </row>
    <row r="1683" ht="13.85" spans="1:6">
      <c r="A1683">
        <f t="shared" si="104"/>
        <v>1682</v>
      </c>
      <c r="B1683" s="24">
        <v>2849278</v>
      </c>
      <c r="C1683" s="11">
        <v>171</v>
      </c>
      <c r="D1683">
        <f t="shared" si="105"/>
        <v>171</v>
      </c>
      <c r="E1683">
        <f t="shared" si="106"/>
        <v>171000000</v>
      </c>
      <c r="F1683">
        <f t="shared" si="107"/>
        <v>82080000</v>
      </c>
    </row>
    <row r="1684" ht="13.85" spans="1:6">
      <c r="A1684">
        <f t="shared" si="104"/>
        <v>1683</v>
      </c>
      <c r="B1684" s="24">
        <v>3652635</v>
      </c>
      <c r="C1684" s="11">
        <v>194</v>
      </c>
      <c r="D1684">
        <f t="shared" si="105"/>
        <v>194</v>
      </c>
      <c r="E1684">
        <f t="shared" si="106"/>
        <v>194000000</v>
      </c>
      <c r="F1684">
        <f t="shared" si="107"/>
        <v>93120000</v>
      </c>
    </row>
    <row r="1685" ht="13.85" spans="1:6">
      <c r="A1685">
        <f t="shared" si="104"/>
        <v>1684</v>
      </c>
      <c r="B1685" s="24">
        <v>3513518</v>
      </c>
      <c r="C1685" s="11">
        <v>215</v>
      </c>
      <c r="D1685">
        <f t="shared" si="105"/>
        <v>215</v>
      </c>
      <c r="E1685">
        <f t="shared" si="106"/>
        <v>215000000</v>
      </c>
      <c r="F1685">
        <f t="shared" si="107"/>
        <v>103200000</v>
      </c>
    </row>
    <row r="1686" ht="13.85" spans="1:6">
      <c r="A1686">
        <f t="shared" si="104"/>
        <v>1685</v>
      </c>
      <c r="B1686" s="24">
        <v>4289462</v>
      </c>
      <c r="C1686" s="11">
        <v>247</v>
      </c>
      <c r="D1686">
        <f t="shared" si="105"/>
        <v>247</v>
      </c>
      <c r="E1686">
        <f t="shared" si="106"/>
        <v>247000000</v>
      </c>
      <c r="F1686">
        <f t="shared" si="107"/>
        <v>118560000</v>
      </c>
    </row>
    <row r="1687" ht="13.85" spans="1:6">
      <c r="A1687">
        <f t="shared" si="104"/>
        <v>1686</v>
      </c>
      <c r="B1687" s="24">
        <v>4231343</v>
      </c>
      <c r="C1687" s="11">
        <v>284</v>
      </c>
      <c r="D1687">
        <f t="shared" si="105"/>
        <v>284</v>
      </c>
      <c r="E1687">
        <f t="shared" si="106"/>
        <v>284000000</v>
      </c>
      <c r="F1687">
        <f t="shared" si="107"/>
        <v>136320000</v>
      </c>
    </row>
    <row r="1688" ht="13.85" spans="1:6">
      <c r="A1688">
        <f t="shared" si="104"/>
        <v>1687</v>
      </c>
      <c r="B1688" s="24">
        <v>5371280</v>
      </c>
      <c r="C1688" s="11">
        <v>330</v>
      </c>
      <c r="D1688">
        <f t="shared" si="105"/>
        <v>330</v>
      </c>
      <c r="E1688">
        <f t="shared" si="106"/>
        <v>330000000</v>
      </c>
      <c r="F1688">
        <f t="shared" si="107"/>
        <v>158400000</v>
      </c>
    </row>
    <row r="1689" ht="13.85" spans="1:6">
      <c r="A1689">
        <f t="shared" si="104"/>
        <v>1688</v>
      </c>
      <c r="B1689" s="24">
        <v>9725951</v>
      </c>
      <c r="C1689" s="25">
        <v>425</v>
      </c>
      <c r="D1689">
        <f t="shared" si="105"/>
        <v>425</v>
      </c>
      <c r="E1689">
        <f t="shared" si="106"/>
        <v>425000000</v>
      </c>
      <c r="F1689">
        <f t="shared" si="107"/>
        <v>204000000</v>
      </c>
    </row>
    <row r="1690" ht="13.85" spans="1:6">
      <c r="A1690">
        <f t="shared" si="104"/>
        <v>1689</v>
      </c>
      <c r="B1690" s="24">
        <v>2474524</v>
      </c>
      <c r="C1690" s="11">
        <v>40</v>
      </c>
      <c r="D1690">
        <f t="shared" si="105"/>
        <v>40</v>
      </c>
      <c r="E1690">
        <f t="shared" si="106"/>
        <v>40000000</v>
      </c>
      <c r="F1690">
        <f t="shared" si="107"/>
        <v>19200000</v>
      </c>
    </row>
    <row r="1691" ht="13.85" spans="1:6">
      <c r="A1691">
        <f t="shared" si="104"/>
        <v>1690</v>
      </c>
      <c r="B1691" s="24">
        <v>2311668</v>
      </c>
      <c r="C1691" s="11">
        <v>50</v>
      </c>
      <c r="D1691">
        <f t="shared" si="105"/>
        <v>50</v>
      </c>
      <c r="E1691">
        <f t="shared" si="106"/>
        <v>50000000</v>
      </c>
      <c r="F1691">
        <f t="shared" si="107"/>
        <v>24000000</v>
      </c>
    </row>
    <row r="1692" ht="13.85" spans="1:6">
      <c r="A1692">
        <f t="shared" si="104"/>
        <v>1691</v>
      </c>
      <c r="B1692" s="24">
        <v>2731133</v>
      </c>
      <c r="C1692" s="11">
        <v>60</v>
      </c>
      <c r="D1692">
        <f t="shared" si="105"/>
        <v>60</v>
      </c>
      <c r="E1692">
        <f t="shared" si="106"/>
        <v>60000000</v>
      </c>
      <c r="F1692">
        <f t="shared" si="107"/>
        <v>28800000</v>
      </c>
    </row>
    <row r="1693" ht="13.85" spans="1:6">
      <c r="A1693">
        <f t="shared" si="104"/>
        <v>1692</v>
      </c>
      <c r="B1693" s="24">
        <v>2289628</v>
      </c>
      <c r="C1693" s="11">
        <v>40</v>
      </c>
      <c r="D1693">
        <f t="shared" si="105"/>
        <v>40</v>
      </c>
      <c r="E1693">
        <f t="shared" si="106"/>
        <v>40000000</v>
      </c>
      <c r="F1693">
        <f t="shared" si="107"/>
        <v>19200000</v>
      </c>
    </row>
    <row r="1694" ht="13.85" spans="1:6">
      <c r="A1694">
        <f t="shared" si="104"/>
        <v>1693</v>
      </c>
      <c r="B1694" s="24">
        <v>2560782</v>
      </c>
      <c r="C1694" s="11">
        <v>50</v>
      </c>
      <c r="D1694">
        <f t="shared" si="105"/>
        <v>50</v>
      </c>
      <c r="E1694">
        <f t="shared" si="106"/>
        <v>50000000</v>
      </c>
      <c r="F1694">
        <f t="shared" si="107"/>
        <v>24000000</v>
      </c>
    </row>
    <row r="1695" ht="13.85" spans="1:6">
      <c r="A1695">
        <f t="shared" si="104"/>
        <v>1694</v>
      </c>
      <c r="B1695" s="24">
        <v>2328365</v>
      </c>
      <c r="C1695" s="11">
        <v>60</v>
      </c>
      <c r="D1695">
        <f t="shared" si="105"/>
        <v>60</v>
      </c>
      <c r="E1695">
        <f t="shared" si="106"/>
        <v>60000000</v>
      </c>
      <c r="F1695">
        <f t="shared" si="107"/>
        <v>28800000</v>
      </c>
    </row>
    <row r="1696" ht="13.85" spans="1:6">
      <c r="A1696">
        <f t="shared" si="104"/>
        <v>1695</v>
      </c>
      <c r="B1696" s="24">
        <v>2672628</v>
      </c>
      <c r="C1696" s="11">
        <v>70</v>
      </c>
      <c r="D1696">
        <f t="shared" si="105"/>
        <v>70</v>
      </c>
      <c r="E1696">
        <f t="shared" si="106"/>
        <v>70000000</v>
      </c>
      <c r="F1696">
        <f t="shared" si="107"/>
        <v>33600000</v>
      </c>
    </row>
    <row r="1697" ht="13.85" spans="1:6">
      <c r="A1697">
        <f t="shared" si="104"/>
        <v>1696</v>
      </c>
      <c r="B1697" s="24">
        <v>2521287</v>
      </c>
      <c r="C1697" s="11">
        <v>80</v>
      </c>
      <c r="D1697">
        <f t="shared" si="105"/>
        <v>80</v>
      </c>
      <c r="E1697">
        <f t="shared" si="106"/>
        <v>80000000</v>
      </c>
      <c r="F1697">
        <f t="shared" si="107"/>
        <v>38400000</v>
      </c>
    </row>
    <row r="1698" ht="13.85" spans="1:6">
      <c r="A1698">
        <f t="shared" si="104"/>
        <v>1697</v>
      </c>
      <c r="B1698" s="24">
        <v>2713675</v>
      </c>
      <c r="C1698" s="11">
        <v>96</v>
      </c>
      <c r="D1698">
        <f t="shared" si="105"/>
        <v>96</v>
      </c>
      <c r="E1698">
        <f t="shared" si="106"/>
        <v>96000000</v>
      </c>
      <c r="F1698">
        <f t="shared" si="107"/>
        <v>46080000</v>
      </c>
    </row>
    <row r="1699" ht="13.85" spans="1:6">
      <c r="A1699">
        <f t="shared" si="104"/>
        <v>1698</v>
      </c>
      <c r="B1699" s="24">
        <v>2140502</v>
      </c>
      <c r="C1699" s="11">
        <v>40</v>
      </c>
      <c r="D1699">
        <f t="shared" si="105"/>
        <v>40</v>
      </c>
      <c r="E1699">
        <f t="shared" si="106"/>
        <v>40000000</v>
      </c>
      <c r="F1699">
        <f t="shared" si="107"/>
        <v>19200000</v>
      </c>
    </row>
    <row r="1700" ht="13.85" spans="1:6">
      <c r="A1700">
        <f t="shared" si="104"/>
        <v>1699</v>
      </c>
      <c r="B1700" s="24">
        <v>2418931</v>
      </c>
      <c r="C1700" s="11">
        <v>50</v>
      </c>
      <c r="D1700">
        <f t="shared" si="105"/>
        <v>50</v>
      </c>
      <c r="E1700">
        <f t="shared" si="106"/>
        <v>50000000</v>
      </c>
      <c r="F1700">
        <f t="shared" si="107"/>
        <v>24000000</v>
      </c>
    </row>
    <row r="1701" ht="13.85" spans="1:6">
      <c r="A1701">
        <f t="shared" si="104"/>
        <v>1700</v>
      </c>
      <c r="B1701" s="24">
        <v>2316356</v>
      </c>
      <c r="C1701" s="11">
        <v>60</v>
      </c>
      <c r="D1701">
        <f t="shared" si="105"/>
        <v>60</v>
      </c>
      <c r="E1701">
        <f t="shared" si="106"/>
        <v>60000000</v>
      </c>
      <c r="F1701">
        <f t="shared" si="107"/>
        <v>28800000</v>
      </c>
    </row>
    <row r="1702" ht="13.85" spans="1:6">
      <c r="A1702">
        <f t="shared" si="104"/>
        <v>1701</v>
      </c>
      <c r="B1702" s="24">
        <v>2600808</v>
      </c>
      <c r="C1702" s="11">
        <v>70</v>
      </c>
      <c r="D1702">
        <f t="shared" si="105"/>
        <v>70</v>
      </c>
      <c r="E1702">
        <f t="shared" si="106"/>
        <v>70000000</v>
      </c>
      <c r="F1702">
        <f t="shared" si="107"/>
        <v>33600000</v>
      </c>
    </row>
    <row r="1703" ht="13.85" spans="1:6">
      <c r="A1703">
        <f t="shared" si="104"/>
        <v>1702</v>
      </c>
      <c r="B1703" s="24">
        <v>2403479</v>
      </c>
      <c r="C1703" s="11">
        <v>80</v>
      </c>
      <c r="D1703">
        <f t="shared" si="105"/>
        <v>80</v>
      </c>
      <c r="E1703">
        <f t="shared" si="106"/>
        <v>80000000</v>
      </c>
      <c r="F1703">
        <f t="shared" si="107"/>
        <v>38400000</v>
      </c>
    </row>
    <row r="1704" ht="13.85" spans="1:6">
      <c r="A1704">
        <f t="shared" si="104"/>
        <v>1703</v>
      </c>
      <c r="B1704" s="24">
        <v>2692923</v>
      </c>
      <c r="C1704" s="11">
        <v>94</v>
      </c>
      <c r="D1704">
        <f t="shared" si="105"/>
        <v>94</v>
      </c>
      <c r="E1704">
        <f t="shared" si="106"/>
        <v>94000000</v>
      </c>
      <c r="F1704">
        <f t="shared" si="107"/>
        <v>45120000</v>
      </c>
    </row>
    <row r="1705" ht="13.85" spans="1:6">
      <c r="A1705">
        <f t="shared" si="104"/>
        <v>1704</v>
      </c>
      <c r="B1705" s="24">
        <v>2650126</v>
      </c>
      <c r="C1705" s="11">
        <v>110</v>
      </c>
      <c r="D1705">
        <f t="shared" si="105"/>
        <v>110</v>
      </c>
      <c r="E1705">
        <f t="shared" si="106"/>
        <v>110000000</v>
      </c>
      <c r="F1705">
        <f t="shared" si="107"/>
        <v>52800000</v>
      </c>
    </row>
    <row r="1706" ht="13.85" spans="1:6">
      <c r="A1706">
        <f t="shared" si="104"/>
        <v>1705</v>
      </c>
      <c r="B1706" s="24">
        <v>2977902</v>
      </c>
      <c r="C1706" s="11">
        <v>128</v>
      </c>
      <c r="D1706">
        <f t="shared" si="105"/>
        <v>128</v>
      </c>
      <c r="E1706">
        <f t="shared" si="106"/>
        <v>128000000</v>
      </c>
      <c r="F1706">
        <f t="shared" si="107"/>
        <v>61440000</v>
      </c>
    </row>
    <row r="1707" ht="13.85" spans="1:6">
      <c r="A1707">
        <f t="shared" si="104"/>
        <v>1706</v>
      </c>
      <c r="B1707" s="24">
        <v>2823277</v>
      </c>
      <c r="C1707" s="26">
        <v>148.8</v>
      </c>
      <c r="D1707">
        <f t="shared" si="105"/>
        <v>148.8</v>
      </c>
      <c r="E1707">
        <f t="shared" si="106"/>
        <v>148800000</v>
      </c>
      <c r="F1707">
        <f t="shared" si="107"/>
        <v>71424000</v>
      </c>
    </row>
    <row r="1708" ht="13.85" spans="1:6">
      <c r="A1708">
        <f t="shared" si="104"/>
        <v>1707</v>
      </c>
      <c r="B1708" s="24">
        <v>2331166</v>
      </c>
      <c r="C1708" s="11">
        <v>40</v>
      </c>
      <c r="D1708">
        <f t="shared" si="105"/>
        <v>40</v>
      </c>
      <c r="E1708">
        <f t="shared" si="106"/>
        <v>40000000</v>
      </c>
      <c r="F1708">
        <f t="shared" si="107"/>
        <v>19200000</v>
      </c>
    </row>
    <row r="1709" ht="13.85" spans="1:6">
      <c r="A1709">
        <f t="shared" si="104"/>
        <v>1708</v>
      </c>
      <c r="B1709" s="24">
        <v>2112199</v>
      </c>
      <c r="C1709" s="11">
        <v>50</v>
      </c>
      <c r="D1709">
        <f t="shared" si="105"/>
        <v>50</v>
      </c>
      <c r="E1709">
        <f t="shared" si="106"/>
        <v>50000000</v>
      </c>
      <c r="F1709">
        <f t="shared" si="107"/>
        <v>24000000</v>
      </c>
    </row>
    <row r="1710" ht="13.85" spans="1:6">
      <c r="A1710">
        <f t="shared" si="104"/>
        <v>1709</v>
      </c>
      <c r="B1710" s="24">
        <v>2423560</v>
      </c>
      <c r="C1710" s="11">
        <v>60</v>
      </c>
      <c r="D1710">
        <f t="shared" si="105"/>
        <v>60</v>
      </c>
      <c r="E1710">
        <f t="shared" si="106"/>
        <v>60000000</v>
      </c>
      <c r="F1710">
        <f t="shared" si="107"/>
        <v>28800000</v>
      </c>
    </row>
    <row r="1711" ht="13.85" spans="1:6">
      <c r="A1711">
        <f t="shared" si="104"/>
        <v>1710</v>
      </c>
      <c r="B1711" s="24">
        <v>2193257</v>
      </c>
      <c r="C1711" s="11">
        <v>70</v>
      </c>
      <c r="D1711">
        <f t="shared" si="105"/>
        <v>70</v>
      </c>
      <c r="E1711">
        <f t="shared" si="106"/>
        <v>70000000</v>
      </c>
      <c r="F1711">
        <f t="shared" si="107"/>
        <v>33600000</v>
      </c>
    </row>
    <row r="1712" ht="13.85" spans="1:6">
      <c r="A1712">
        <f t="shared" si="104"/>
        <v>1711</v>
      </c>
      <c r="B1712" s="24">
        <v>2422005</v>
      </c>
      <c r="C1712" s="11">
        <v>80</v>
      </c>
      <c r="D1712">
        <f t="shared" si="105"/>
        <v>80</v>
      </c>
      <c r="E1712">
        <f t="shared" si="106"/>
        <v>80000000</v>
      </c>
      <c r="F1712">
        <f t="shared" si="107"/>
        <v>38400000</v>
      </c>
    </row>
    <row r="1713" ht="13.85" spans="1:6">
      <c r="A1713">
        <f t="shared" si="104"/>
        <v>1712</v>
      </c>
      <c r="B1713" s="24">
        <v>2204662</v>
      </c>
      <c r="C1713" s="11">
        <v>90</v>
      </c>
      <c r="D1713">
        <f t="shared" si="105"/>
        <v>90</v>
      </c>
      <c r="E1713">
        <f t="shared" si="106"/>
        <v>90000000</v>
      </c>
      <c r="F1713">
        <f t="shared" si="107"/>
        <v>43200000</v>
      </c>
    </row>
    <row r="1714" ht="13.85" spans="1:6">
      <c r="A1714">
        <f t="shared" si="104"/>
        <v>1713</v>
      </c>
      <c r="B1714" s="24">
        <v>2641534</v>
      </c>
      <c r="C1714" s="11">
        <v>100</v>
      </c>
      <c r="D1714">
        <f t="shared" si="105"/>
        <v>100</v>
      </c>
      <c r="E1714">
        <f t="shared" si="106"/>
        <v>100000000</v>
      </c>
      <c r="F1714">
        <f t="shared" si="107"/>
        <v>48000000</v>
      </c>
    </row>
    <row r="1715" ht="13.85" spans="1:6">
      <c r="A1715">
        <f t="shared" si="104"/>
        <v>1714</v>
      </c>
      <c r="B1715" s="24">
        <v>2454366</v>
      </c>
      <c r="C1715" s="11">
        <v>114</v>
      </c>
      <c r="D1715">
        <f t="shared" si="105"/>
        <v>114</v>
      </c>
      <c r="E1715">
        <f t="shared" si="106"/>
        <v>114000000</v>
      </c>
      <c r="F1715">
        <f t="shared" si="107"/>
        <v>54720000</v>
      </c>
    </row>
    <row r="1716" ht="13.85" spans="1:6">
      <c r="A1716">
        <f t="shared" si="104"/>
        <v>1715</v>
      </c>
      <c r="B1716" s="24">
        <v>2863167</v>
      </c>
      <c r="C1716" s="11">
        <v>132</v>
      </c>
      <c r="D1716">
        <f t="shared" si="105"/>
        <v>132</v>
      </c>
      <c r="E1716">
        <f t="shared" si="106"/>
        <v>132000000</v>
      </c>
      <c r="F1716">
        <f t="shared" si="107"/>
        <v>63360000</v>
      </c>
    </row>
    <row r="1717" ht="13.85" spans="1:6">
      <c r="A1717">
        <f t="shared" si="104"/>
        <v>1716</v>
      </c>
      <c r="B1717" s="24">
        <v>2680848</v>
      </c>
      <c r="C1717" s="11">
        <v>152</v>
      </c>
      <c r="D1717">
        <f t="shared" si="105"/>
        <v>152</v>
      </c>
      <c r="E1717">
        <f t="shared" si="106"/>
        <v>152000000</v>
      </c>
      <c r="F1717">
        <f t="shared" si="107"/>
        <v>72960000</v>
      </c>
    </row>
    <row r="1718" ht="13.85" spans="1:6">
      <c r="A1718">
        <f t="shared" si="104"/>
        <v>1717</v>
      </c>
      <c r="B1718" s="24">
        <v>3258064</v>
      </c>
      <c r="C1718" s="11">
        <v>173</v>
      </c>
      <c r="D1718">
        <f t="shared" si="105"/>
        <v>173</v>
      </c>
      <c r="E1718">
        <f t="shared" si="106"/>
        <v>173000000</v>
      </c>
      <c r="F1718">
        <f t="shared" si="107"/>
        <v>83040000</v>
      </c>
    </row>
    <row r="1719" ht="13.85" spans="1:6">
      <c r="A1719">
        <f t="shared" si="104"/>
        <v>1718</v>
      </c>
      <c r="B1719" s="24">
        <v>3292970</v>
      </c>
      <c r="C1719" s="11">
        <v>192</v>
      </c>
      <c r="D1719">
        <f t="shared" si="105"/>
        <v>192</v>
      </c>
      <c r="E1719">
        <f t="shared" si="106"/>
        <v>192000000</v>
      </c>
      <c r="F1719">
        <f t="shared" si="107"/>
        <v>92160000</v>
      </c>
    </row>
    <row r="1720" ht="13.85" spans="1:6">
      <c r="A1720">
        <f t="shared" si="104"/>
        <v>1719</v>
      </c>
      <c r="B1720" s="24">
        <v>3933610</v>
      </c>
      <c r="C1720" s="11">
        <v>221</v>
      </c>
      <c r="D1720">
        <f t="shared" si="105"/>
        <v>221</v>
      </c>
      <c r="E1720">
        <f t="shared" si="106"/>
        <v>221000000</v>
      </c>
      <c r="F1720">
        <f t="shared" si="107"/>
        <v>106080000</v>
      </c>
    </row>
    <row r="1721" ht="13.85" spans="1:6">
      <c r="A1721">
        <f t="shared" si="104"/>
        <v>1720</v>
      </c>
      <c r="B1721" s="24">
        <v>4211396</v>
      </c>
      <c r="C1721" s="11">
        <v>257</v>
      </c>
      <c r="D1721">
        <f t="shared" si="105"/>
        <v>257</v>
      </c>
      <c r="E1721">
        <f t="shared" si="106"/>
        <v>257000000</v>
      </c>
      <c r="F1721">
        <f t="shared" si="107"/>
        <v>123360000</v>
      </c>
    </row>
    <row r="1722" ht="13.85" spans="1:6">
      <c r="A1722">
        <f t="shared" si="104"/>
        <v>1721</v>
      </c>
      <c r="B1722" s="24">
        <v>2365631</v>
      </c>
      <c r="C1722" s="11">
        <v>40</v>
      </c>
      <c r="D1722">
        <f t="shared" si="105"/>
        <v>40</v>
      </c>
      <c r="E1722">
        <f t="shared" si="106"/>
        <v>40000000</v>
      </c>
      <c r="F1722">
        <f t="shared" si="107"/>
        <v>19200000</v>
      </c>
    </row>
    <row r="1723" ht="13.85" spans="1:6">
      <c r="A1723">
        <f t="shared" si="104"/>
        <v>1722</v>
      </c>
      <c r="B1723" s="24">
        <v>2092699</v>
      </c>
      <c r="C1723" s="11">
        <v>50</v>
      </c>
      <c r="D1723">
        <f t="shared" si="105"/>
        <v>50</v>
      </c>
      <c r="E1723">
        <f t="shared" si="106"/>
        <v>50000000</v>
      </c>
      <c r="F1723">
        <f t="shared" si="107"/>
        <v>24000000</v>
      </c>
    </row>
    <row r="1724" ht="13.85" spans="1:6">
      <c r="A1724">
        <f t="shared" si="104"/>
        <v>1723</v>
      </c>
      <c r="B1724" s="24">
        <v>2359404</v>
      </c>
      <c r="C1724" s="11">
        <v>60</v>
      </c>
      <c r="D1724">
        <f t="shared" si="105"/>
        <v>60</v>
      </c>
      <c r="E1724">
        <f t="shared" si="106"/>
        <v>60000000</v>
      </c>
      <c r="F1724">
        <f t="shared" si="107"/>
        <v>28800000</v>
      </c>
    </row>
    <row r="1725" ht="13.85" spans="1:6">
      <c r="A1725">
        <f t="shared" si="104"/>
        <v>1724</v>
      </c>
      <c r="B1725" s="24">
        <v>2200713</v>
      </c>
      <c r="C1725" s="11">
        <v>70</v>
      </c>
      <c r="D1725">
        <f t="shared" si="105"/>
        <v>70</v>
      </c>
      <c r="E1725">
        <f t="shared" si="106"/>
        <v>70000000</v>
      </c>
      <c r="F1725">
        <f t="shared" si="107"/>
        <v>33600000</v>
      </c>
    </row>
    <row r="1726" ht="13.85" spans="1:6">
      <c r="A1726">
        <f t="shared" si="104"/>
        <v>1725</v>
      </c>
      <c r="B1726" s="24">
        <v>2466072</v>
      </c>
      <c r="C1726" s="11">
        <v>80</v>
      </c>
      <c r="D1726">
        <f t="shared" si="105"/>
        <v>80</v>
      </c>
      <c r="E1726">
        <f t="shared" si="106"/>
        <v>80000000</v>
      </c>
      <c r="F1726">
        <f t="shared" si="107"/>
        <v>38400000</v>
      </c>
    </row>
    <row r="1727" ht="13.85" spans="1:6">
      <c r="A1727">
        <f t="shared" si="104"/>
        <v>1726</v>
      </c>
      <c r="B1727" s="24">
        <v>2385248</v>
      </c>
      <c r="C1727" s="11">
        <v>90</v>
      </c>
      <c r="D1727">
        <f t="shared" si="105"/>
        <v>90</v>
      </c>
      <c r="E1727">
        <f t="shared" si="106"/>
        <v>90000000</v>
      </c>
      <c r="F1727">
        <f t="shared" si="107"/>
        <v>43200000</v>
      </c>
    </row>
    <row r="1728" ht="13.85" spans="1:6">
      <c r="A1728">
        <f t="shared" si="104"/>
        <v>1727</v>
      </c>
      <c r="B1728" s="24">
        <v>2769116</v>
      </c>
      <c r="C1728" s="11">
        <v>101</v>
      </c>
      <c r="D1728">
        <f t="shared" si="105"/>
        <v>101</v>
      </c>
      <c r="E1728">
        <f t="shared" si="106"/>
        <v>101000000</v>
      </c>
      <c r="F1728">
        <f t="shared" si="107"/>
        <v>48480000</v>
      </c>
    </row>
    <row r="1729" ht="13.85" spans="1:6">
      <c r="A1729">
        <f t="shared" si="104"/>
        <v>1728</v>
      </c>
      <c r="B1729" s="24">
        <v>2764427</v>
      </c>
      <c r="C1729" s="11">
        <v>122</v>
      </c>
      <c r="D1729">
        <f t="shared" si="105"/>
        <v>122</v>
      </c>
      <c r="E1729">
        <f t="shared" si="106"/>
        <v>122000000</v>
      </c>
      <c r="F1729">
        <f t="shared" si="107"/>
        <v>58560000</v>
      </c>
    </row>
    <row r="1730" ht="13.85" spans="1:6">
      <c r="A1730">
        <f t="shared" ref="A1730:A1793" si="108">ROW()-1</f>
        <v>1729</v>
      </c>
      <c r="B1730" s="24">
        <v>2278182</v>
      </c>
      <c r="C1730" s="11">
        <v>40</v>
      </c>
      <c r="D1730">
        <f t="shared" ref="D1730:D1793" si="109">IF(RIGHT(C1730,1)="B",VALUE(LEFT(C1730,LEN(C1730)-1))*1000,C1730)</f>
        <v>40</v>
      </c>
      <c r="E1730">
        <f t="shared" ref="E1730:E1793" si="110">D1730*1000000</f>
        <v>40000000</v>
      </c>
      <c r="F1730">
        <f t="shared" ref="F1730:F1793" si="111">E1730*0.48</f>
        <v>19200000</v>
      </c>
    </row>
    <row r="1731" ht="13.85" spans="1:6">
      <c r="A1731">
        <f t="shared" si="108"/>
        <v>1730</v>
      </c>
      <c r="B1731" s="24">
        <v>2104353</v>
      </c>
      <c r="C1731" s="11">
        <v>50</v>
      </c>
      <c r="D1731">
        <f t="shared" si="109"/>
        <v>50</v>
      </c>
      <c r="E1731">
        <f t="shared" si="110"/>
        <v>50000000</v>
      </c>
      <c r="F1731">
        <f t="shared" si="111"/>
        <v>24000000</v>
      </c>
    </row>
    <row r="1732" ht="13.85" spans="1:6">
      <c r="A1732">
        <f t="shared" si="108"/>
        <v>1731</v>
      </c>
      <c r="B1732" s="24">
        <v>2366938</v>
      </c>
      <c r="C1732" s="11">
        <v>60</v>
      </c>
      <c r="D1732">
        <f t="shared" si="109"/>
        <v>60</v>
      </c>
      <c r="E1732">
        <f t="shared" si="110"/>
        <v>60000000</v>
      </c>
      <c r="F1732">
        <f t="shared" si="111"/>
        <v>28800000</v>
      </c>
    </row>
    <row r="1733" ht="13.85" spans="1:6">
      <c r="A1733">
        <f t="shared" si="108"/>
        <v>1732</v>
      </c>
      <c r="B1733" s="24">
        <v>1981626</v>
      </c>
      <c r="C1733" s="11">
        <v>40</v>
      </c>
      <c r="D1733">
        <f t="shared" si="109"/>
        <v>40</v>
      </c>
      <c r="E1733">
        <f t="shared" si="110"/>
        <v>40000000</v>
      </c>
      <c r="F1733">
        <f t="shared" si="111"/>
        <v>19200000</v>
      </c>
    </row>
    <row r="1734" ht="13.85" spans="1:6">
      <c r="A1734">
        <f t="shared" si="108"/>
        <v>1733</v>
      </c>
      <c r="B1734" s="24">
        <v>2263455</v>
      </c>
      <c r="C1734" s="11">
        <v>50</v>
      </c>
      <c r="D1734">
        <f t="shared" si="109"/>
        <v>50</v>
      </c>
      <c r="E1734">
        <f t="shared" si="110"/>
        <v>50000000</v>
      </c>
      <c r="F1734">
        <f t="shared" si="111"/>
        <v>24000000</v>
      </c>
    </row>
    <row r="1735" ht="13.85" spans="1:6">
      <c r="A1735">
        <f t="shared" si="108"/>
        <v>1734</v>
      </c>
      <c r="B1735" s="24">
        <v>2059604</v>
      </c>
      <c r="C1735" s="11">
        <v>60</v>
      </c>
      <c r="D1735">
        <f t="shared" si="109"/>
        <v>60</v>
      </c>
      <c r="E1735">
        <f t="shared" si="110"/>
        <v>60000000</v>
      </c>
      <c r="F1735">
        <f t="shared" si="111"/>
        <v>28800000</v>
      </c>
    </row>
    <row r="1736" ht="13.85" spans="1:6">
      <c r="A1736">
        <f t="shared" si="108"/>
        <v>1735</v>
      </c>
      <c r="B1736" s="24">
        <v>2474744</v>
      </c>
      <c r="C1736" s="11">
        <v>70</v>
      </c>
      <c r="D1736">
        <f t="shared" si="109"/>
        <v>70</v>
      </c>
      <c r="E1736">
        <f t="shared" si="110"/>
        <v>70000000</v>
      </c>
      <c r="F1736">
        <f t="shared" si="111"/>
        <v>33600000</v>
      </c>
    </row>
    <row r="1737" ht="13.85" spans="1:6">
      <c r="A1737">
        <f t="shared" si="108"/>
        <v>1736</v>
      </c>
      <c r="B1737" s="24">
        <v>2249633</v>
      </c>
      <c r="C1737" s="11">
        <v>80</v>
      </c>
      <c r="D1737">
        <f t="shared" si="109"/>
        <v>80</v>
      </c>
      <c r="E1737">
        <f t="shared" si="110"/>
        <v>80000000</v>
      </c>
      <c r="F1737">
        <f t="shared" si="111"/>
        <v>38400000</v>
      </c>
    </row>
    <row r="1738" ht="13.85" spans="1:6">
      <c r="A1738">
        <f t="shared" si="108"/>
        <v>1737</v>
      </c>
      <c r="B1738" s="24">
        <v>2523068</v>
      </c>
      <c r="C1738" s="11">
        <v>90</v>
      </c>
      <c r="D1738">
        <f t="shared" si="109"/>
        <v>90</v>
      </c>
      <c r="E1738">
        <f t="shared" si="110"/>
        <v>90000000</v>
      </c>
      <c r="F1738">
        <f t="shared" si="111"/>
        <v>43200000</v>
      </c>
    </row>
    <row r="1739" ht="13.85" spans="1:6">
      <c r="A1739">
        <f t="shared" si="108"/>
        <v>1738</v>
      </c>
      <c r="B1739" s="24">
        <v>1954367</v>
      </c>
      <c r="C1739" s="11">
        <v>40</v>
      </c>
      <c r="D1739">
        <f t="shared" si="109"/>
        <v>40</v>
      </c>
      <c r="E1739">
        <f t="shared" si="110"/>
        <v>40000000</v>
      </c>
      <c r="F1739">
        <f t="shared" si="111"/>
        <v>19200000</v>
      </c>
    </row>
    <row r="1740" ht="13.85" spans="1:6">
      <c r="A1740">
        <f t="shared" si="108"/>
        <v>1739</v>
      </c>
      <c r="B1740" s="24">
        <v>2212894</v>
      </c>
      <c r="C1740" s="11">
        <v>50</v>
      </c>
      <c r="D1740">
        <f t="shared" si="109"/>
        <v>50</v>
      </c>
      <c r="E1740">
        <f t="shared" si="110"/>
        <v>50000000</v>
      </c>
      <c r="F1740">
        <f t="shared" si="111"/>
        <v>24000000</v>
      </c>
    </row>
    <row r="1741" ht="13.85" spans="1:6">
      <c r="A1741">
        <f t="shared" si="108"/>
        <v>1740</v>
      </c>
      <c r="B1741" s="24">
        <v>2007032</v>
      </c>
      <c r="C1741" s="11">
        <v>60</v>
      </c>
      <c r="D1741">
        <f t="shared" si="109"/>
        <v>60</v>
      </c>
      <c r="E1741">
        <f t="shared" si="110"/>
        <v>60000000</v>
      </c>
      <c r="F1741">
        <f t="shared" si="111"/>
        <v>28800000</v>
      </c>
    </row>
    <row r="1742" ht="13.85" spans="1:6">
      <c r="A1742">
        <f t="shared" si="108"/>
        <v>1741</v>
      </c>
      <c r="B1742" s="24">
        <v>2286318</v>
      </c>
      <c r="C1742" s="11">
        <v>70</v>
      </c>
      <c r="D1742">
        <f t="shared" si="109"/>
        <v>70</v>
      </c>
      <c r="E1742">
        <f t="shared" si="110"/>
        <v>70000000</v>
      </c>
      <c r="F1742">
        <f t="shared" si="111"/>
        <v>33600000</v>
      </c>
    </row>
    <row r="1743" ht="13.85" spans="1:6">
      <c r="A1743">
        <f t="shared" si="108"/>
        <v>1742</v>
      </c>
      <c r="B1743" s="24">
        <v>2180753</v>
      </c>
      <c r="C1743" s="11">
        <v>80</v>
      </c>
      <c r="D1743">
        <f t="shared" si="109"/>
        <v>80</v>
      </c>
      <c r="E1743">
        <f t="shared" si="110"/>
        <v>80000000</v>
      </c>
      <c r="F1743">
        <f t="shared" si="111"/>
        <v>38400000</v>
      </c>
    </row>
    <row r="1744" ht="13.85" spans="1:6">
      <c r="A1744">
        <f t="shared" si="108"/>
        <v>1743</v>
      </c>
      <c r="B1744" s="24">
        <v>2530882</v>
      </c>
      <c r="C1744" s="11">
        <v>90</v>
      </c>
      <c r="D1744">
        <f t="shared" si="109"/>
        <v>90</v>
      </c>
      <c r="E1744">
        <f t="shared" si="110"/>
        <v>90000000</v>
      </c>
      <c r="F1744">
        <f t="shared" si="111"/>
        <v>43200000</v>
      </c>
    </row>
    <row r="1745" ht="13.85" spans="1:6">
      <c r="A1745">
        <f t="shared" si="108"/>
        <v>1744</v>
      </c>
      <c r="B1745" s="24">
        <v>2552933</v>
      </c>
      <c r="C1745" s="11">
        <v>100</v>
      </c>
      <c r="D1745">
        <f t="shared" si="109"/>
        <v>100</v>
      </c>
      <c r="E1745">
        <f t="shared" si="110"/>
        <v>100000000</v>
      </c>
      <c r="F1745">
        <f t="shared" si="111"/>
        <v>48000000</v>
      </c>
    </row>
    <row r="1746" ht="13.85" spans="1:6">
      <c r="A1746">
        <f t="shared" si="108"/>
        <v>1745</v>
      </c>
      <c r="B1746" s="24">
        <v>2876984</v>
      </c>
      <c r="C1746" s="11">
        <v>110</v>
      </c>
      <c r="D1746">
        <f t="shared" si="109"/>
        <v>110</v>
      </c>
      <c r="E1746">
        <f t="shared" si="110"/>
        <v>110000000</v>
      </c>
      <c r="F1746">
        <f t="shared" si="111"/>
        <v>52800000</v>
      </c>
    </row>
    <row r="1747" ht="13.85" spans="1:6">
      <c r="A1747">
        <f t="shared" si="108"/>
        <v>1746</v>
      </c>
      <c r="B1747" s="24">
        <v>2767681</v>
      </c>
      <c r="C1747" s="11">
        <v>127</v>
      </c>
      <c r="D1747">
        <f t="shared" si="109"/>
        <v>127</v>
      </c>
      <c r="E1747">
        <f t="shared" si="110"/>
        <v>127000000</v>
      </c>
      <c r="F1747">
        <f t="shared" si="111"/>
        <v>60960000</v>
      </c>
    </row>
    <row r="1748" ht="13.85" spans="1:6">
      <c r="A1748">
        <f t="shared" si="108"/>
        <v>1747</v>
      </c>
      <c r="B1748" s="24">
        <v>3154867</v>
      </c>
      <c r="C1748" s="11">
        <v>149</v>
      </c>
      <c r="D1748">
        <f t="shared" si="109"/>
        <v>149</v>
      </c>
      <c r="E1748">
        <f t="shared" si="110"/>
        <v>149000000</v>
      </c>
      <c r="F1748">
        <f t="shared" si="111"/>
        <v>71520000</v>
      </c>
    </row>
    <row r="1749" ht="13.85" spans="1:6">
      <c r="A1749">
        <f t="shared" si="108"/>
        <v>1748</v>
      </c>
      <c r="B1749" s="24">
        <v>3140510</v>
      </c>
      <c r="C1749" s="11">
        <v>171</v>
      </c>
      <c r="D1749">
        <f t="shared" si="109"/>
        <v>171</v>
      </c>
      <c r="E1749">
        <f t="shared" si="110"/>
        <v>171000000</v>
      </c>
      <c r="F1749">
        <f t="shared" si="111"/>
        <v>82080000</v>
      </c>
    </row>
    <row r="1750" ht="13.85" spans="1:6">
      <c r="A1750">
        <f t="shared" si="108"/>
        <v>1749</v>
      </c>
      <c r="B1750" s="24">
        <v>3653219</v>
      </c>
      <c r="C1750" s="11">
        <v>196</v>
      </c>
      <c r="D1750">
        <f t="shared" si="109"/>
        <v>196</v>
      </c>
      <c r="E1750">
        <f t="shared" si="110"/>
        <v>196000000</v>
      </c>
      <c r="F1750">
        <f t="shared" si="111"/>
        <v>94080000</v>
      </c>
    </row>
    <row r="1751" ht="13.85" spans="1:6">
      <c r="A1751">
        <f t="shared" si="108"/>
        <v>1750</v>
      </c>
      <c r="B1751" s="24">
        <v>4031725</v>
      </c>
      <c r="C1751" s="11">
        <v>225</v>
      </c>
      <c r="D1751">
        <f t="shared" si="109"/>
        <v>225</v>
      </c>
      <c r="E1751">
        <f t="shared" si="110"/>
        <v>225000000</v>
      </c>
      <c r="F1751">
        <f t="shared" si="111"/>
        <v>108000000</v>
      </c>
    </row>
    <row r="1752" ht="13.85" spans="1:6">
      <c r="A1752">
        <f t="shared" si="108"/>
        <v>1751</v>
      </c>
      <c r="B1752" s="24">
        <v>2304387</v>
      </c>
      <c r="C1752" s="11">
        <v>40</v>
      </c>
      <c r="D1752">
        <f t="shared" si="109"/>
        <v>40</v>
      </c>
      <c r="E1752">
        <f t="shared" si="110"/>
        <v>40000000</v>
      </c>
      <c r="F1752">
        <f t="shared" si="111"/>
        <v>19200000</v>
      </c>
    </row>
    <row r="1753" ht="13.85" spans="1:6">
      <c r="A1753">
        <f t="shared" si="108"/>
        <v>1752</v>
      </c>
      <c r="B1753" s="24">
        <v>2260232</v>
      </c>
      <c r="C1753" s="11">
        <v>50</v>
      </c>
      <c r="D1753">
        <f t="shared" si="109"/>
        <v>50</v>
      </c>
      <c r="E1753">
        <f t="shared" si="110"/>
        <v>50000000</v>
      </c>
      <c r="F1753">
        <f t="shared" si="111"/>
        <v>24000000</v>
      </c>
    </row>
    <row r="1754" ht="13.85" spans="1:6">
      <c r="A1754">
        <f t="shared" si="108"/>
        <v>1753</v>
      </c>
      <c r="B1754" s="24">
        <v>2513826</v>
      </c>
      <c r="C1754" s="15">
        <v>60</v>
      </c>
      <c r="D1754">
        <f t="shared" si="109"/>
        <v>60</v>
      </c>
      <c r="E1754">
        <f t="shared" si="110"/>
        <v>60000000</v>
      </c>
      <c r="F1754">
        <f t="shared" si="111"/>
        <v>28800000</v>
      </c>
    </row>
    <row r="1755" ht="13.85" spans="1:6">
      <c r="A1755">
        <f t="shared" si="108"/>
        <v>1754</v>
      </c>
      <c r="B1755" s="24">
        <v>2286287</v>
      </c>
      <c r="C1755" s="13">
        <v>70</v>
      </c>
      <c r="D1755">
        <f t="shared" si="109"/>
        <v>70</v>
      </c>
      <c r="E1755">
        <f t="shared" si="110"/>
        <v>70000000</v>
      </c>
      <c r="F1755">
        <f t="shared" si="111"/>
        <v>33600000</v>
      </c>
    </row>
    <row r="1756" ht="13.85" spans="1:6">
      <c r="A1756">
        <f t="shared" si="108"/>
        <v>1755</v>
      </c>
      <c r="B1756" s="24">
        <v>2560793</v>
      </c>
      <c r="C1756" s="11">
        <v>80</v>
      </c>
      <c r="D1756">
        <f t="shared" si="109"/>
        <v>80</v>
      </c>
      <c r="E1756">
        <f t="shared" si="110"/>
        <v>80000000</v>
      </c>
      <c r="F1756">
        <f t="shared" si="111"/>
        <v>38400000</v>
      </c>
    </row>
    <row r="1757" ht="13.85" spans="1:6">
      <c r="A1757">
        <f t="shared" si="108"/>
        <v>1756</v>
      </c>
      <c r="B1757" s="24">
        <v>2349706</v>
      </c>
      <c r="C1757" s="11">
        <v>90</v>
      </c>
      <c r="D1757">
        <f t="shared" si="109"/>
        <v>90</v>
      </c>
      <c r="E1757">
        <f t="shared" si="110"/>
        <v>90000000</v>
      </c>
      <c r="F1757">
        <f t="shared" si="111"/>
        <v>43200000</v>
      </c>
    </row>
    <row r="1758" ht="13.85" spans="1:6">
      <c r="A1758">
        <f t="shared" si="108"/>
        <v>1757</v>
      </c>
      <c r="B1758" s="24">
        <v>2862639</v>
      </c>
      <c r="C1758" s="11">
        <v>100</v>
      </c>
      <c r="D1758">
        <f t="shared" si="109"/>
        <v>100</v>
      </c>
      <c r="E1758">
        <f t="shared" si="110"/>
        <v>100000000</v>
      </c>
      <c r="F1758">
        <f t="shared" si="111"/>
        <v>48000000</v>
      </c>
    </row>
    <row r="1759" ht="13.85" spans="1:6">
      <c r="A1759">
        <f t="shared" si="108"/>
        <v>1758</v>
      </c>
      <c r="B1759" s="24">
        <v>2675412</v>
      </c>
      <c r="C1759" s="11">
        <v>110</v>
      </c>
      <c r="D1759">
        <f t="shared" si="109"/>
        <v>110</v>
      </c>
      <c r="E1759">
        <f t="shared" si="110"/>
        <v>110000000</v>
      </c>
      <c r="F1759">
        <f t="shared" si="111"/>
        <v>52800000</v>
      </c>
    </row>
    <row r="1760" ht="13.85" spans="1:6">
      <c r="A1760">
        <f t="shared" si="108"/>
        <v>1759</v>
      </c>
      <c r="B1760" s="24">
        <v>2999860</v>
      </c>
      <c r="C1760" s="11">
        <v>125</v>
      </c>
      <c r="D1760">
        <f t="shared" si="109"/>
        <v>125</v>
      </c>
      <c r="E1760">
        <f t="shared" si="110"/>
        <v>125000000</v>
      </c>
      <c r="F1760">
        <f t="shared" si="111"/>
        <v>60000000</v>
      </c>
    </row>
    <row r="1761" ht="13.85" spans="1:6">
      <c r="A1761">
        <f t="shared" si="108"/>
        <v>1760</v>
      </c>
      <c r="B1761" s="24">
        <v>2840571</v>
      </c>
      <c r="C1761" s="11">
        <v>142</v>
      </c>
      <c r="D1761">
        <f t="shared" si="109"/>
        <v>142</v>
      </c>
      <c r="E1761">
        <f t="shared" si="110"/>
        <v>142000000</v>
      </c>
      <c r="F1761">
        <f t="shared" si="111"/>
        <v>68160000</v>
      </c>
    </row>
    <row r="1762" ht="13.85" spans="1:6">
      <c r="A1762">
        <f t="shared" si="108"/>
        <v>1761</v>
      </c>
      <c r="B1762" s="24">
        <v>3289309</v>
      </c>
      <c r="C1762" s="11">
        <v>159</v>
      </c>
      <c r="D1762">
        <f t="shared" si="109"/>
        <v>159</v>
      </c>
      <c r="E1762">
        <f t="shared" si="110"/>
        <v>159000000</v>
      </c>
      <c r="F1762">
        <f t="shared" si="111"/>
        <v>76320000</v>
      </c>
    </row>
    <row r="1763" ht="13.85" spans="1:6">
      <c r="A1763">
        <f t="shared" si="108"/>
        <v>1762</v>
      </c>
      <c r="B1763" s="24">
        <v>3227821</v>
      </c>
      <c r="C1763" s="11">
        <v>178</v>
      </c>
      <c r="D1763">
        <f t="shared" si="109"/>
        <v>178</v>
      </c>
      <c r="E1763">
        <f t="shared" si="110"/>
        <v>178000000</v>
      </c>
      <c r="F1763">
        <f t="shared" si="111"/>
        <v>85440000</v>
      </c>
    </row>
    <row r="1764" ht="13.85" spans="1:6">
      <c r="A1764">
        <f t="shared" si="108"/>
        <v>1763</v>
      </c>
      <c r="B1764" s="24">
        <v>3728969</v>
      </c>
      <c r="C1764" s="11">
        <v>203</v>
      </c>
      <c r="D1764">
        <f t="shared" si="109"/>
        <v>203</v>
      </c>
      <c r="E1764">
        <f t="shared" si="110"/>
        <v>203000000</v>
      </c>
      <c r="F1764">
        <f t="shared" si="111"/>
        <v>97440000</v>
      </c>
    </row>
    <row r="1765" ht="13.85" spans="1:6">
      <c r="A1765">
        <f t="shared" si="108"/>
        <v>1764</v>
      </c>
      <c r="B1765" s="24">
        <v>2128350</v>
      </c>
      <c r="C1765" s="11">
        <v>40</v>
      </c>
      <c r="D1765">
        <f t="shared" si="109"/>
        <v>40</v>
      </c>
      <c r="E1765">
        <f t="shared" si="110"/>
        <v>40000000</v>
      </c>
      <c r="F1765">
        <f t="shared" si="111"/>
        <v>19200000</v>
      </c>
    </row>
    <row r="1766" ht="13.85" spans="1:6">
      <c r="A1766">
        <f t="shared" si="108"/>
        <v>1765</v>
      </c>
      <c r="B1766" s="24">
        <v>2414172</v>
      </c>
      <c r="C1766" s="11">
        <v>50</v>
      </c>
      <c r="D1766">
        <f t="shared" si="109"/>
        <v>50</v>
      </c>
      <c r="E1766">
        <f t="shared" si="110"/>
        <v>50000000</v>
      </c>
      <c r="F1766">
        <f t="shared" si="111"/>
        <v>24000000</v>
      </c>
    </row>
    <row r="1767" ht="13.85" spans="1:6">
      <c r="A1767">
        <f t="shared" si="108"/>
        <v>1766</v>
      </c>
      <c r="B1767" s="24">
        <v>2137621</v>
      </c>
      <c r="C1767" s="11">
        <v>60</v>
      </c>
      <c r="D1767">
        <f t="shared" si="109"/>
        <v>60</v>
      </c>
      <c r="E1767">
        <f t="shared" si="110"/>
        <v>60000000</v>
      </c>
      <c r="F1767">
        <f t="shared" si="111"/>
        <v>28800000</v>
      </c>
    </row>
    <row r="1768" ht="13.85" spans="1:6">
      <c r="A1768">
        <f t="shared" si="108"/>
        <v>1767</v>
      </c>
      <c r="B1768" s="24">
        <v>2468558</v>
      </c>
      <c r="C1768" s="11">
        <v>70</v>
      </c>
      <c r="D1768">
        <f t="shared" si="109"/>
        <v>70</v>
      </c>
      <c r="E1768">
        <f t="shared" si="110"/>
        <v>70000000</v>
      </c>
      <c r="F1768">
        <f t="shared" si="111"/>
        <v>33600000</v>
      </c>
    </row>
    <row r="1769" ht="13.85" spans="1:6">
      <c r="A1769">
        <f t="shared" si="108"/>
        <v>1768</v>
      </c>
      <c r="B1769" s="24">
        <v>2359117</v>
      </c>
      <c r="C1769" s="11">
        <v>80</v>
      </c>
      <c r="D1769">
        <f t="shared" si="109"/>
        <v>80</v>
      </c>
      <c r="E1769">
        <f t="shared" si="110"/>
        <v>80000000</v>
      </c>
      <c r="F1769">
        <f t="shared" si="111"/>
        <v>38400000</v>
      </c>
    </row>
    <row r="1770" ht="13.85" spans="1:6">
      <c r="A1770">
        <f t="shared" si="108"/>
        <v>1769</v>
      </c>
      <c r="B1770" s="24">
        <v>2447023</v>
      </c>
      <c r="C1770" s="11">
        <v>90</v>
      </c>
      <c r="D1770">
        <f t="shared" si="109"/>
        <v>90</v>
      </c>
      <c r="E1770">
        <f t="shared" si="110"/>
        <v>90000000</v>
      </c>
      <c r="F1770">
        <f t="shared" si="111"/>
        <v>43200000</v>
      </c>
    </row>
    <row r="1771" ht="13.85" spans="1:6">
      <c r="A1771">
        <f t="shared" si="108"/>
        <v>1770</v>
      </c>
      <c r="B1771" s="24">
        <v>2100954</v>
      </c>
      <c r="C1771" s="11">
        <v>40</v>
      </c>
      <c r="D1771">
        <f t="shared" si="109"/>
        <v>40</v>
      </c>
      <c r="E1771">
        <f t="shared" si="110"/>
        <v>40000000</v>
      </c>
      <c r="F1771">
        <f t="shared" si="111"/>
        <v>19200000</v>
      </c>
    </row>
    <row r="1772" ht="13.85" spans="1:6">
      <c r="A1772">
        <f t="shared" si="108"/>
        <v>1771</v>
      </c>
      <c r="B1772" s="24">
        <v>2361364</v>
      </c>
      <c r="C1772" s="11">
        <v>50</v>
      </c>
      <c r="D1772">
        <f t="shared" si="109"/>
        <v>50</v>
      </c>
      <c r="E1772">
        <f t="shared" si="110"/>
        <v>50000000</v>
      </c>
      <c r="F1772">
        <f t="shared" si="111"/>
        <v>24000000</v>
      </c>
    </row>
    <row r="1773" ht="13.85" spans="1:6">
      <c r="A1773">
        <f t="shared" si="108"/>
        <v>1772</v>
      </c>
      <c r="B1773" s="24">
        <v>2147819</v>
      </c>
      <c r="C1773" s="11">
        <v>60</v>
      </c>
      <c r="D1773">
        <f t="shared" si="109"/>
        <v>60</v>
      </c>
      <c r="E1773">
        <f t="shared" si="110"/>
        <v>60000000</v>
      </c>
      <c r="F1773">
        <f t="shared" si="111"/>
        <v>28800000</v>
      </c>
    </row>
    <row r="1774" ht="13.85" spans="1:6">
      <c r="A1774">
        <f t="shared" si="108"/>
        <v>1773</v>
      </c>
      <c r="B1774" s="24">
        <v>2483276</v>
      </c>
      <c r="C1774" s="11">
        <v>70</v>
      </c>
      <c r="D1774">
        <f t="shared" si="109"/>
        <v>70</v>
      </c>
      <c r="E1774">
        <f t="shared" si="110"/>
        <v>70000000</v>
      </c>
      <c r="F1774">
        <f t="shared" si="111"/>
        <v>33600000</v>
      </c>
    </row>
    <row r="1775" ht="13.85" spans="1:6">
      <c r="A1775">
        <f t="shared" si="108"/>
        <v>1774</v>
      </c>
      <c r="B1775" s="24">
        <v>2238237</v>
      </c>
      <c r="C1775" s="11">
        <v>80</v>
      </c>
      <c r="D1775">
        <f t="shared" si="109"/>
        <v>80</v>
      </c>
      <c r="E1775">
        <f t="shared" si="110"/>
        <v>80000000</v>
      </c>
      <c r="F1775">
        <f t="shared" si="111"/>
        <v>38400000</v>
      </c>
    </row>
    <row r="1776" ht="13.85" spans="1:6">
      <c r="A1776">
        <f t="shared" si="108"/>
        <v>1775</v>
      </c>
      <c r="B1776" s="24">
        <v>2565619</v>
      </c>
      <c r="C1776" s="11">
        <v>90</v>
      </c>
      <c r="D1776">
        <f t="shared" si="109"/>
        <v>90</v>
      </c>
      <c r="E1776">
        <f t="shared" si="110"/>
        <v>90000000</v>
      </c>
      <c r="F1776">
        <f t="shared" si="111"/>
        <v>43200000</v>
      </c>
    </row>
    <row r="1777" ht="13.85" spans="1:6">
      <c r="A1777">
        <f t="shared" si="108"/>
        <v>1776</v>
      </c>
      <c r="B1777" s="24">
        <v>2935614</v>
      </c>
      <c r="C1777" s="11">
        <v>100</v>
      </c>
      <c r="D1777">
        <f t="shared" si="109"/>
        <v>100</v>
      </c>
      <c r="E1777">
        <f t="shared" si="110"/>
        <v>100000000</v>
      </c>
      <c r="F1777">
        <f t="shared" si="111"/>
        <v>48000000</v>
      </c>
    </row>
    <row r="1778" ht="13.85" spans="1:6">
      <c r="A1778">
        <f t="shared" si="108"/>
        <v>1777</v>
      </c>
      <c r="B1778" s="24">
        <v>2634320</v>
      </c>
      <c r="C1778" s="11">
        <v>110</v>
      </c>
      <c r="D1778">
        <f t="shared" si="109"/>
        <v>110</v>
      </c>
      <c r="E1778">
        <f t="shared" si="110"/>
        <v>110000000</v>
      </c>
      <c r="F1778">
        <f t="shared" si="111"/>
        <v>52800000</v>
      </c>
    </row>
    <row r="1779" ht="13.85" spans="1:6">
      <c r="A1779">
        <f t="shared" si="108"/>
        <v>1778</v>
      </c>
      <c r="B1779" s="24">
        <v>3064057</v>
      </c>
      <c r="C1779" s="11">
        <v>120</v>
      </c>
      <c r="D1779">
        <f t="shared" si="109"/>
        <v>120</v>
      </c>
      <c r="E1779">
        <f t="shared" si="110"/>
        <v>120000000</v>
      </c>
      <c r="F1779">
        <f t="shared" si="111"/>
        <v>57600000</v>
      </c>
    </row>
    <row r="1780" ht="13.85" spans="1:6">
      <c r="A1780">
        <f t="shared" si="108"/>
        <v>1779</v>
      </c>
      <c r="B1780" s="24">
        <v>2943548</v>
      </c>
      <c r="C1780" s="11">
        <v>131</v>
      </c>
      <c r="D1780">
        <f t="shared" si="109"/>
        <v>131</v>
      </c>
      <c r="E1780">
        <f t="shared" si="110"/>
        <v>131000000</v>
      </c>
      <c r="F1780">
        <f t="shared" si="111"/>
        <v>62880000</v>
      </c>
    </row>
    <row r="1781" ht="13.85" spans="1:6">
      <c r="A1781">
        <f t="shared" si="108"/>
        <v>1780</v>
      </c>
      <c r="B1781" s="24">
        <v>2774416</v>
      </c>
      <c r="C1781" s="11">
        <v>146</v>
      </c>
      <c r="D1781">
        <f t="shared" si="109"/>
        <v>146</v>
      </c>
      <c r="E1781">
        <f t="shared" si="110"/>
        <v>146000000</v>
      </c>
      <c r="F1781">
        <f t="shared" si="111"/>
        <v>70080000</v>
      </c>
    </row>
    <row r="1782" ht="13.85" spans="1:6">
      <c r="A1782">
        <f t="shared" si="108"/>
        <v>1781</v>
      </c>
      <c r="B1782" s="24">
        <v>3167408</v>
      </c>
      <c r="C1782" s="11">
        <v>162</v>
      </c>
      <c r="D1782">
        <f t="shared" si="109"/>
        <v>162</v>
      </c>
      <c r="E1782">
        <f t="shared" si="110"/>
        <v>162000000</v>
      </c>
      <c r="F1782">
        <f t="shared" si="111"/>
        <v>77760000</v>
      </c>
    </row>
    <row r="1783" ht="13.85" spans="1:6">
      <c r="A1783">
        <f t="shared" si="108"/>
        <v>1782</v>
      </c>
      <c r="B1783" s="24">
        <v>3068252</v>
      </c>
      <c r="C1783" s="11">
        <v>176</v>
      </c>
      <c r="D1783">
        <f t="shared" si="109"/>
        <v>176</v>
      </c>
      <c r="E1783">
        <f t="shared" si="110"/>
        <v>176000000</v>
      </c>
      <c r="F1783">
        <f t="shared" si="111"/>
        <v>84480000</v>
      </c>
    </row>
    <row r="1784" ht="13.85" spans="1:6">
      <c r="A1784">
        <f t="shared" si="108"/>
        <v>1783</v>
      </c>
      <c r="B1784" s="24">
        <v>3609281</v>
      </c>
      <c r="C1784" s="11">
        <v>194</v>
      </c>
      <c r="D1784">
        <f t="shared" si="109"/>
        <v>194</v>
      </c>
      <c r="E1784">
        <f t="shared" si="110"/>
        <v>194000000</v>
      </c>
      <c r="F1784">
        <f t="shared" si="111"/>
        <v>93120000</v>
      </c>
    </row>
    <row r="1785" ht="13.85" spans="1:6">
      <c r="A1785">
        <f t="shared" si="108"/>
        <v>1784</v>
      </c>
      <c r="B1785" s="24">
        <v>3598382</v>
      </c>
      <c r="C1785" s="11">
        <v>208</v>
      </c>
      <c r="D1785">
        <f t="shared" si="109"/>
        <v>208</v>
      </c>
      <c r="E1785">
        <f t="shared" si="110"/>
        <v>208000000</v>
      </c>
      <c r="F1785">
        <f t="shared" si="111"/>
        <v>99840000</v>
      </c>
    </row>
    <row r="1786" ht="13.85" spans="1:6">
      <c r="A1786">
        <f t="shared" si="108"/>
        <v>1785</v>
      </c>
      <c r="B1786" s="24">
        <v>4200267</v>
      </c>
      <c r="C1786" s="11">
        <v>230</v>
      </c>
      <c r="D1786">
        <f t="shared" si="109"/>
        <v>230</v>
      </c>
      <c r="E1786">
        <f t="shared" si="110"/>
        <v>230000000</v>
      </c>
      <c r="F1786">
        <f t="shared" si="111"/>
        <v>110400000</v>
      </c>
    </row>
    <row r="1787" ht="13.85" spans="1:6">
      <c r="A1787">
        <f t="shared" si="108"/>
        <v>1786</v>
      </c>
      <c r="B1787" s="24">
        <v>4207341</v>
      </c>
      <c r="C1787" s="11">
        <v>261</v>
      </c>
      <c r="D1787">
        <f t="shared" si="109"/>
        <v>261</v>
      </c>
      <c r="E1787">
        <f t="shared" si="110"/>
        <v>261000000</v>
      </c>
      <c r="F1787">
        <f t="shared" si="111"/>
        <v>125280000</v>
      </c>
    </row>
    <row r="1788" ht="13.85" spans="1:6">
      <c r="A1788">
        <f t="shared" si="108"/>
        <v>1787</v>
      </c>
      <c r="B1788" s="24">
        <v>5296084</v>
      </c>
      <c r="C1788" s="11">
        <v>289</v>
      </c>
      <c r="D1788">
        <f t="shared" si="109"/>
        <v>289</v>
      </c>
      <c r="E1788">
        <f t="shared" si="110"/>
        <v>289000000</v>
      </c>
      <c r="F1788">
        <f t="shared" si="111"/>
        <v>138720000</v>
      </c>
    </row>
    <row r="1789" ht="13.85" spans="1:6">
      <c r="A1789">
        <f t="shared" si="108"/>
        <v>1788</v>
      </c>
      <c r="B1789" s="24">
        <v>6450926</v>
      </c>
      <c r="C1789" s="11">
        <v>317</v>
      </c>
      <c r="D1789">
        <f t="shared" si="109"/>
        <v>317</v>
      </c>
      <c r="E1789">
        <f t="shared" si="110"/>
        <v>317000000</v>
      </c>
      <c r="F1789">
        <f t="shared" si="111"/>
        <v>152160000</v>
      </c>
    </row>
    <row r="1790" ht="13.85" spans="1:6">
      <c r="A1790">
        <f t="shared" si="108"/>
        <v>1789</v>
      </c>
      <c r="B1790" s="24">
        <v>9096390</v>
      </c>
      <c r="C1790" s="26">
        <v>394.9</v>
      </c>
      <c r="D1790">
        <f t="shared" si="109"/>
        <v>394.9</v>
      </c>
      <c r="E1790">
        <f t="shared" si="110"/>
        <v>394900000</v>
      </c>
      <c r="F1790">
        <f t="shared" si="111"/>
        <v>189552000</v>
      </c>
    </row>
    <row r="1791" ht="13.85" spans="1:6">
      <c r="A1791">
        <f t="shared" si="108"/>
        <v>1790</v>
      </c>
      <c r="B1791" s="24">
        <v>20556575</v>
      </c>
      <c r="C1791" s="11">
        <v>564.1</v>
      </c>
      <c r="D1791">
        <f t="shared" si="109"/>
        <v>564.1</v>
      </c>
      <c r="E1791">
        <f t="shared" si="110"/>
        <v>564100000</v>
      </c>
      <c r="F1791">
        <f t="shared" si="111"/>
        <v>270768000</v>
      </c>
    </row>
    <row r="1792" ht="13.85" spans="1:6">
      <c r="A1792">
        <f t="shared" si="108"/>
        <v>1791</v>
      </c>
      <c r="B1792" s="24">
        <v>2803257</v>
      </c>
      <c r="C1792" s="11">
        <v>40</v>
      </c>
      <c r="D1792">
        <f t="shared" si="109"/>
        <v>40</v>
      </c>
      <c r="E1792">
        <f t="shared" si="110"/>
        <v>40000000</v>
      </c>
      <c r="F1792">
        <f t="shared" si="111"/>
        <v>19200000</v>
      </c>
    </row>
    <row r="1793" ht="13.85" spans="1:6">
      <c r="A1793">
        <f t="shared" si="108"/>
        <v>1792</v>
      </c>
      <c r="B1793" s="24">
        <v>2438531</v>
      </c>
      <c r="C1793" s="11">
        <v>50</v>
      </c>
      <c r="D1793">
        <f t="shared" si="109"/>
        <v>50</v>
      </c>
      <c r="E1793">
        <f t="shared" si="110"/>
        <v>50000000</v>
      </c>
      <c r="F1793">
        <f t="shared" si="111"/>
        <v>24000000</v>
      </c>
    </row>
    <row r="1794" ht="13.85" spans="1:6">
      <c r="A1794">
        <f t="shared" ref="A1794:A1857" si="112">ROW()-1</f>
        <v>1793</v>
      </c>
      <c r="B1794" s="24">
        <v>2759797</v>
      </c>
      <c r="C1794" s="11">
        <v>60</v>
      </c>
      <c r="D1794">
        <f t="shared" ref="D1794:D1857" si="113">IF(RIGHT(C1794,1)="B",VALUE(LEFT(C1794,LEN(C1794)-1))*1000,C1794)</f>
        <v>60</v>
      </c>
      <c r="E1794">
        <f t="shared" ref="E1794:E1857" si="114">D1794*1000000</f>
        <v>60000000</v>
      </c>
      <c r="F1794">
        <f t="shared" ref="F1794:F1857" si="115">E1794*0.48</f>
        <v>28800000</v>
      </c>
    </row>
    <row r="1795" ht="13.85" spans="1:6">
      <c r="A1795">
        <f t="shared" si="112"/>
        <v>1794</v>
      </c>
      <c r="B1795" s="24">
        <v>2610165</v>
      </c>
      <c r="C1795" s="11">
        <v>70</v>
      </c>
      <c r="D1795">
        <f t="shared" si="113"/>
        <v>70</v>
      </c>
      <c r="E1795">
        <f t="shared" si="114"/>
        <v>70000000</v>
      </c>
      <c r="F1795">
        <f t="shared" si="115"/>
        <v>33600000</v>
      </c>
    </row>
    <row r="1796" ht="13.85" spans="1:6">
      <c r="A1796">
        <f t="shared" si="112"/>
        <v>1795</v>
      </c>
      <c r="B1796" s="24">
        <v>2942250</v>
      </c>
      <c r="C1796" s="11">
        <v>80</v>
      </c>
      <c r="D1796">
        <f t="shared" si="113"/>
        <v>80</v>
      </c>
      <c r="E1796">
        <f t="shared" si="114"/>
        <v>80000000</v>
      </c>
      <c r="F1796">
        <f t="shared" si="115"/>
        <v>38400000</v>
      </c>
    </row>
    <row r="1797" ht="13.85" spans="1:6">
      <c r="A1797">
        <f t="shared" si="112"/>
        <v>1796</v>
      </c>
      <c r="B1797" s="24">
        <v>2864060</v>
      </c>
      <c r="C1797" s="11">
        <v>90</v>
      </c>
      <c r="D1797">
        <f t="shared" si="113"/>
        <v>90</v>
      </c>
      <c r="E1797">
        <f t="shared" si="114"/>
        <v>90000000</v>
      </c>
      <c r="F1797">
        <f t="shared" si="115"/>
        <v>43200000</v>
      </c>
    </row>
    <row r="1798" ht="13.85" spans="1:6">
      <c r="A1798">
        <f t="shared" si="112"/>
        <v>1797</v>
      </c>
      <c r="B1798" s="24">
        <v>3300377</v>
      </c>
      <c r="C1798" s="11">
        <v>100</v>
      </c>
      <c r="D1798">
        <f t="shared" si="113"/>
        <v>100</v>
      </c>
      <c r="E1798">
        <f t="shared" si="114"/>
        <v>100000000</v>
      </c>
      <c r="F1798">
        <f t="shared" si="115"/>
        <v>48000000</v>
      </c>
    </row>
    <row r="1799" ht="13.85" spans="1:6">
      <c r="A1799">
        <f t="shared" si="112"/>
        <v>1798</v>
      </c>
      <c r="B1799" s="24">
        <v>3102403</v>
      </c>
      <c r="C1799" s="11">
        <v>119</v>
      </c>
      <c r="D1799">
        <f t="shared" si="113"/>
        <v>119</v>
      </c>
      <c r="E1799">
        <f t="shared" si="114"/>
        <v>119000000</v>
      </c>
      <c r="F1799">
        <f t="shared" si="115"/>
        <v>57120000</v>
      </c>
    </row>
    <row r="1800" ht="13.85" spans="1:6">
      <c r="A1800">
        <f t="shared" si="112"/>
        <v>1799</v>
      </c>
      <c r="B1800" s="24">
        <v>3527630</v>
      </c>
      <c r="C1800" s="11">
        <v>137</v>
      </c>
      <c r="D1800">
        <f t="shared" si="113"/>
        <v>137</v>
      </c>
      <c r="E1800">
        <f t="shared" si="114"/>
        <v>137000000</v>
      </c>
      <c r="F1800">
        <f t="shared" si="115"/>
        <v>65760000</v>
      </c>
    </row>
    <row r="1801" ht="13.85" spans="1:6">
      <c r="A1801">
        <f t="shared" si="112"/>
        <v>1800</v>
      </c>
      <c r="B1801" s="24">
        <v>2436480</v>
      </c>
      <c r="C1801" s="11">
        <v>40</v>
      </c>
      <c r="D1801">
        <f t="shared" si="113"/>
        <v>40</v>
      </c>
      <c r="E1801">
        <f t="shared" si="114"/>
        <v>40000000</v>
      </c>
      <c r="F1801">
        <f t="shared" si="115"/>
        <v>19200000</v>
      </c>
    </row>
    <row r="1802" ht="13.85" spans="1:6">
      <c r="A1802">
        <f t="shared" si="112"/>
        <v>1801</v>
      </c>
      <c r="B1802" s="24">
        <v>2694618</v>
      </c>
      <c r="C1802" s="11">
        <v>50</v>
      </c>
      <c r="D1802">
        <f t="shared" si="113"/>
        <v>50</v>
      </c>
      <c r="E1802">
        <f t="shared" si="114"/>
        <v>50000000</v>
      </c>
      <c r="F1802">
        <f t="shared" si="115"/>
        <v>24000000</v>
      </c>
    </row>
    <row r="1803" ht="13.85" spans="1:6">
      <c r="A1803">
        <f t="shared" si="112"/>
        <v>1802</v>
      </c>
      <c r="B1803" s="24">
        <v>1202876</v>
      </c>
      <c r="C1803" s="11">
        <v>40</v>
      </c>
      <c r="D1803">
        <f t="shared" si="113"/>
        <v>40</v>
      </c>
      <c r="E1803">
        <f t="shared" si="114"/>
        <v>40000000</v>
      </c>
      <c r="F1803">
        <f t="shared" si="115"/>
        <v>19200000</v>
      </c>
    </row>
    <row r="1804" ht="13.85" spans="1:6">
      <c r="A1804">
        <f t="shared" si="112"/>
        <v>1803</v>
      </c>
      <c r="B1804" s="24">
        <v>2584432</v>
      </c>
      <c r="C1804" s="11">
        <v>40</v>
      </c>
      <c r="D1804">
        <f t="shared" si="113"/>
        <v>40</v>
      </c>
      <c r="E1804">
        <f t="shared" si="114"/>
        <v>40000000</v>
      </c>
      <c r="F1804">
        <f t="shared" si="115"/>
        <v>19200000</v>
      </c>
    </row>
    <row r="1805" ht="13.85" spans="1:6">
      <c r="A1805">
        <f t="shared" si="112"/>
        <v>1804</v>
      </c>
      <c r="B1805" s="24">
        <v>2433712</v>
      </c>
      <c r="C1805" s="11">
        <v>50</v>
      </c>
      <c r="D1805">
        <f t="shared" si="113"/>
        <v>50</v>
      </c>
      <c r="E1805">
        <f t="shared" si="114"/>
        <v>50000000</v>
      </c>
      <c r="F1805">
        <f t="shared" si="115"/>
        <v>24000000</v>
      </c>
    </row>
    <row r="1806" ht="13.85" spans="1:6">
      <c r="A1806">
        <f t="shared" si="112"/>
        <v>1805</v>
      </c>
      <c r="B1806" s="24">
        <v>2718966</v>
      </c>
      <c r="C1806" s="11">
        <v>60</v>
      </c>
      <c r="D1806">
        <f t="shared" si="113"/>
        <v>60</v>
      </c>
      <c r="E1806">
        <f t="shared" si="114"/>
        <v>60000000</v>
      </c>
      <c r="F1806">
        <f t="shared" si="115"/>
        <v>28800000</v>
      </c>
    </row>
    <row r="1807" ht="13.85" spans="1:6">
      <c r="A1807">
        <f t="shared" si="112"/>
        <v>1806</v>
      </c>
      <c r="B1807" s="24">
        <v>2500393</v>
      </c>
      <c r="C1807" s="11">
        <v>70</v>
      </c>
      <c r="D1807">
        <f t="shared" si="113"/>
        <v>70</v>
      </c>
      <c r="E1807">
        <f t="shared" si="114"/>
        <v>70000000</v>
      </c>
      <c r="F1807">
        <f t="shared" si="115"/>
        <v>33600000</v>
      </c>
    </row>
    <row r="1808" ht="13.85" spans="1:6">
      <c r="A1808">
        <f t="shared" si="112"/>
        <v>1807</v>
      </c>
      <c r="B1808" s="24">
        <v>2798883</v>
      </c>
      <c r="C1808" s="11">
        <v>80</v>
      </c>
      <c r="D1808">
        <f t="shared" si="113"/>
        <v>80</v>
      </c>
      <c r="E1808">
        <f t="shared" si="114"/>
        <v>80000000</v>
      </c>
      <c r="F1808">
        <f t="shared" si="115"/>
        <v>38400000</v>
      </c>
    </row>
    <row r="1809" ht="13.85" spans="1:6">
      <c r="A1809">
        <f t="shared" si="112"/>
        <v>1808</v>
      </c>
      <c r="B1809" s="24">
        <v>2282400</v>
      </c>
      <c r="C1809" s="11">
        <v>40</v>
      </c>
      <c r="D1809">
        <f t="shared" si="113"/>
        <v>40</v>
      </c>
      <c r="E1809">
        <f t="shared" si="114"/>
        <v>40000000</v>
      </c>
      <c r="F1809">
        <f t="shared" si="115"/>
        <v>19200000</v>
      </c>
    </row>
    <row r="1810" ht="13.85" spans="1:6">
      <c r="A1810">
        <f t="shared" si="112"/>
        <v>1809</v>
      </c>
      <c r="B1810" s="24">
        <v>2565681</v>
      </c>
      <c r="C1810" s="11">
        <v>50</v>
      </c>
      <c r="D1810">
        <f t="shared" si="113"/>
        <v>50</v>
      </c>
      <c r="E1810">
        <f t="shared" si="114"/>
        <v>50000000</v>
      </c>
      <c r="F1810">
        <f t="shared" si="115"/>
        <v>24000000</v>
      </c>
    </row>
    <row r="1811" ht="13.85" spans="1:6">
      <c r="A1811">
        <f t="shared" si="112"/>
        <v>1810</v>
      </c>
      <c r="B1811" s="24">
        <v>2221417</v>
      </c>
      <c r="C1811" s="11">
        <v>40</v>
      </c>
      <c r="D1811">
        <f t="shared" si="113"/>
        <v>40</v>
      </c>
      <c r="E1811">
        <f t="shared" si="114"/>
        <v>40000000</v>
      </c>
      <c r="F1811">
        <f t="shared" si="115"/>
        <v>19200000</v>
      </c>
    </row>
    <row r="1812" ht="13.85" spans="1:6">
      <c r="A1812">
        <f t="shared" si="112"/>
        <v>1811</v>
      </c>
      <c r="B1812" s="24">
        <v>2541675</v>
      </c>
      <c r="C1812" s="11">
        <v>50</v>
      </c>
      <c r="D1812">
        <f t="shared" si="113"/>
        <v>50</v>
      </c>
      <c r="E1812">
        <f t="shared" si="114"/>
        <v>50000000</v>
      </c>
      <c r="F1812">
        <f t="shared" si="115"/>
        <v>24000000</v>
      </c>
    </row>
    <row r="1813" ht="13.85" spans="1:6">
      <c r="A1813">
        <f t="shared" si="112"/>
        <v>1812</v>
      </c>
      <c r="B1813" s="24">
        <v>2299011</v>
      </c>
      <c r="C1813" s="11">
        <v>60</v>
      </c>
      <c r="D1813">
        <f t="shared" si="113"/>
        <v>60</v>
      </c>
      <c r="E1813">
        <f t="shared" si="114"/>
        <v>60000000</v>
      </c>
      <c r="F1813">
        <f t="shared" si="115"/>
        <v>28800000</v>
      </c>
    </row>
    <row r="1814" ht="13.85" spans="1:6">
      <c r="A1814">
        <f t="shared" si="112"/>
        <v>1813</v>
      </c>
      <c r="B1814" s="24">
        <v>2719893</v>
      </c>
      <c r="C1814" s="11">
        <v>70</v>
      </c>
      <c r="D1814">
        <f t="shared" si="113"/>
        <v>70</v>
      </c>
      <c r="E1814">
        <f t="shared" si="114"/>
        <v>70000000</v>
      </c>
      <c r="F1814">
        <f t="shared" si="115"/>
        <v>33600000</v>
      </c>
    </row>
    <row r="1815" ht="13.85" spans="1:6">
      <c r="A1815">
        <f t="shared" si="112"/>
        <v>1814</v>
      </c>
      <c r="B1815" s="24">
        <v>2430169</v>
      </c>
      <c r="C1815" s="11">
        <v>80</v>
      </c>
      <c r="D1815">
        <f t="shared" si="113"/>
        <v>80</v>
      </c>
      <c r="E1815">
        <f t="shared" si="114"/>
        <v>80000000</v>
      </c>
      <c r="F1815">
        <f t="shared" si="115"/>
        <v>38400000</v>
      </c>
    </row>
    <row r="1816" ht="13.85" spans="1:6">
      <c r="A1816">
        <f t="shared" si="112"/>
        <v>1815</v>
      </c>
      <c r="B1816" s="24">
        <v>2778726</v>
      </c>
      <c r="C1816" s="11">
        <v>90</v>
      </c>
      <c r="D1816">
        <f t="shared" si="113"/>
        <v>90</v>
      </c>
      <c r="E1816">
        <f t="shared" si="114"/>
        <v>90000000</v>
      </c>
      <c r="F1816">
        <f t="shared" si="115"/>
        <v>43200000</v>
      </c>
    </row>
    <row r="1817" ht="13.85" spans="1:6">
      <c r="A1817">
        <f t="shared" si="112"/>
        <v>1816</v>
      </c>
      <c r="B1817" s="24">
        <v>2678405</v>
      </c>
      <c r="C1817" s="11">
        <v>100</v>
      </c>
      <c r="D1817">
        <f t="shared" si="113"/>
        <v>100</v>
      </c>
      <c r="E1817">
        <f t="shared" si="114"/>
        <v>100000000</v>
      </c>
      <c r="F1817">
        <f t="shared" si="115"/>
        <v>48000000</v>
      </c>
    </row>
    <row r="1818" ht="13.85" spans="1:6">
      <c r="A1818">
        <f t="shared" si="112"/>
        <v>1817</v>
      </c>
      <c r="B1818" s="24">
        <v>3052200</v>
      </c>
      <c r="C1818" s="11">
        <v>110</v>
      </c>
      <c r="D1818">
        <f t="shared" si="113"/>
        <v>110</v>
      </c>
      <c r="E1818">
        <f t="shared" si="114"/>
        <v>110000000</v>
      </c>
      <c r="F1818">
        <f t="shared" si="115"/>
        <v>52800000</v>
      </c>
    </row>
    <row r="1819" ht="13.85" spans="1:6">
      <c r="A1819">
        <f t="shared" si="112"/>
        <v>1818</v>
      </c>
      <c r="B1819" s="24">
        <v>2863077</v>
      </c>
      <c r="C1819" s="11">
        <v>121</v>
      </c>
      <c r="D1819">
        <f t="shared" si="113"/>
        <v>121</v>
      </c>
      <c r="E1819">
        <f t="shared" si="114"/>
        <v>121000000</v>
      </c>
      <c r="F1819">
        <f t="shared" si="115"/>
        <v>58080000</v>
      </c>
    </row>
    <row r="1820" ht="13.85" spans="1:6">
      <c r="A1820">
        <f t="shared" si="112"/>
        <v>1819</v>
      </c>
      <c r="B1820" s="24">
        <v>3280823</v>
      </c>
      <c r="C1820" s="11">
        <v>138</v>
      </c>
      <c r="D1820">
        <f t="shared" si="113"/>
        <v>138</v>
      </c>
      <c r="E1820">
        <f t="shared" si="114"/>
        <v>138000000</v>
      </c>
      <c r="F1820">
        <f t="shared" si="115"/>
        <v>66240000</v>
      </c>
    </row>
    <row r="1821" ht="13.85" spans="1:6">
      <c r="A1821">
        <f t="shared" si="112"/>
        <v>1820</v>
      </c>
      <c r="B1821" s="24">
        <v>3000390</v>
      </c>
      <c r="C1821" s="11">
        <v>154</v>
      </c>
      <c r="D1821">
        <f t="shared" si="113"/>
        <v>154</v>
      </c>
      <c r="E1821">
        <f t="shared" si="114"/>
        <v>154000000</v>
      </c>
      <c r="F1821">
        <f t="shared" si="115"/>
        <v>73920000</v>
      </c>
    </row>
    <row r="1822" ht="13.85" spans="1:6">
      <c r="A1822">
        <f t="shared" si="112"/>
        <v>1821</v>
      </c>
      <c r="B1822" s="24">
        <v>3582846</v>
      </c>
      <c r="C1822" s="11">
        <v>171</v>
      </c>
      <c r="D1822">
        <f t="shared" si="113"/>
        <v>171</v>
      </c>
      <c r="E1822">
        <f t="shared" si="114"/>
        <v>171000000</v>
      </c>
      <c r="F1822">
        <f t="shared" si="115"/>
        <v>82080000</v>
      </c>
    </row>
    <row r="1823" ht="13.85" spans="1:6">
      <c r="A1823">
        <f t="shared" si="112"/>
        <v>1822</v>
      </c>
      <c r="B1823" s="24">
        <v>3500411</v>
      </c>
      <c r="C1823" s="11">
        <v>188</v>
      </c>
      <c r="D1823">
        <f t="shared" si="113"/>
        <v>188</v>
      </c>
      <c r="E1823">
        <f t="shared" si="114"/>
        <v>188000000</v>
      </c>
      <c r="F1823">
        <f t="shared" si="115"/>
        <v>90240000</v>
      </c>
    </row>
    <row r="1824" ht="13.85" spans="1:6">
      <c r="A1824">
        <f t="shared" si="112"/>
        <v>1823</v>
      </c>
      <c r="B1824" s="24">
        <v>2559181</v>
      </c>
      <c r="C1824" s="11">
        <v>40</v>
      </c>
      <c r="D1824">
        <f t="shared" si="113"/>
        <v>40</v>
      </c>
      <c r="E1824">
        <f t="shared" si="114"/>
        <v>40000000</v>
      </c>
      <c r="F1824">
        <f t="shared" si="115"/>
        <v>19200000</v>
      </c>
    </row>
    <row r="1825" ht="13.85" spans="1:6">
      <c r="A1825">
        <f t="shared" si="112"/>
        <v>1824</v>
      </c>
      <c r="B1825" s="24">
        <v>2290099</v>
      </c>
      <c r="C1825" s="11">
        <v>50</v>
      </c>
      <c r="D1825">
        <f t="shared" si="113"/>
        <v>50</v>
      </c>
      <c r="E1825">
        <f t="shared" si="114"/>
        <v>50000000</v>
      </c>
      <c r="F1825">
        <f t="shared" si="115"/>
        <v>24000000</v>
      </c>
    </row>
    <row r="1826" ht="13.85" spans="1:6">
      <c r="A1826">
        <f t="shared" si="112"/>
        <v>1825</v>
      </c>
      <c r="B1826" s="24">
        <v>2597997</v>
      </c>
      <c r="C1826" s="11">
        <v>60</v>
      </c>
      <c r="D1826">
        <f t="shared" si="113"/>
        <v>60</v>
      </c>
      <c r="E1826">
        <f t="shared" si="114"/>
        <v>60000000</v>
      </c>
      <c r="F1826">
        <f t="shared" si="115"/>
        <v>28800000</v>
      </c>
    </row>
    <row r="1827" ht="13.85" spans="1:6">
      <c r="A1827">
        <f t="shared" si="112"/>
        <v>1826</v>
      </c>
      <c r="B1827" s="24">
        <v>2356631</v>
      </c>
      <c r="C1827" s="11">
        <v>70</v>
      </c>
      <c r="D1827">
        <f t="shared" si="113"/>
        <v>70</v>
      </c>
      <c r="E1827">
        <f t="shared" si="114"/>
        <v>70000000</v>
      </c>
      <c r="F1827">
        <f t="shared" si="115"/>
        <v>33600000</v>
      </c>
    </row>
    <row r="1828" ht="13.85" spans="1:6">
      <c r="A1828">
        <f t="shared" si="112"/>
        <v>1827</v>
      </c>
      <c r="B1828" s="24">
        <v>2675807</v>
      </c>
      <c r="C1828" s="11">
        <v>80</v>
      </c>
      <c r="D1828">
        <f t="shared" si="113"/>
        <v>80</v>
      </c>
      <c r="E1828">
        <f t="shared" si="114"/>
        <v>80000000</v>
      </c>
      <c r="F1828">
        <f t="shared" si="115"/>
        <v>38400000</v>
      </c>
    </row>
    <row r="1829" ht="13.85" spans="1:6">
      <c r="A1829">
        <f t="shared" si="112"/>
        <v>1828</v>
      </c>
      <c r="B1829" s="24">
        <v>2140487</v>
      </c>
      <c r="C1829" s="11">
        <v>40</v>
      </c>
      <c r="D1829">
        <f t="shared" si="113"/>
        <v>40</v>
      </c>
      <c r="E1829">
        <f t="shared" si="114"/>
        <v>40000000</v>
      </c>
      <c r="F1829">
        <f t="shared" si="115"/>
        <v>19200000</v>
      </c>
    </row>
    <row r="1830" ht="13.85" spans="1:6">
      <c r="A1830">
        <f t="shared" si="112"/>
        <v>1829</v>
      </c>
      <c r="B1830" s="24">
        <v>2446148</v>
      </c>
      <c r="C1830" s="11">
        <v>50</v>
      </c>
      <c r="D1830">
        <f t="shared" si="113"/>
        <v>50</v>
      </c>
      <c r="E1830">
        <f t="shared" si="114"/>
        <v>50000000</v>
      </c>
      <c r="F1830">
        <f t="shared" si="115"/>
        <v>24000000</v>
      </c>
    </row>
    <row r="1831" ht="13.85" spans="1:6">
      <c r="A1831">
        <f t="shared" si="112"/>
        <v>1830</v>
      </c>
      <c r="B1831" s="24">
        <v>2267410</v>
      </c>
      <c r="C1831" s="11">
        <v>60</v>
      </c>
      <c r="D1831">
        <f t="shared" si="113"/>
        <v>60</v>
      </c>
      <c r="E1831">
        <f t="shared" si="114"/>
        <v>60000000</v>
      </c>
      <c r="F1831">
        <f t="shared" si="115"/>
        <v>28800000</v>
      </c>
    </row>
    <row r="1832" ht="13.85" spans="1:6">
      <c r="A1832">
        <f t="shared" si="112"/>
        <v>1831</v>
      </c>
      <c r="B1832" s="24">
        <v>2519122</v>
      </c>
      <c r="C1832" s="11">
        <v>70</v>
      </c>
      <c r="D1832">
        <f t="shared" si="113"/>
        <v>70</v>
      </c>
      <c r="E1832">
        <f t="shared" si="114"/>
        <v>70000000</v>
      </c>
      <c r="F1832">
        <f t="shared" si="115"/>
        <v>33600000</v>
      </c>
    </row>
    <row r="1833" ht="13.85" spans="1:6">
      <c r="A1833">
        <f t="shared" si="112"/>
        <v>1832</v>
      </c>
      <c r="B1833" s="24">
        <v>2133924</v>
      </c>
      <c r="C1833" s="11">
        <v>40</v>
      </c>
      <c r="D1833">
        <f t="shared" si="113"/>
        <v>40</v>
      </c>
      <c r="E1833">
        <f t="shared" si="114"/>
        <v>40000000</v>
      </c>
      <c r="F1833">
        <f t="shared" si="115"/>
        <v>19200000</v>
      </c>
    </row>
    <row r="1834" ht="13.85" spans="1:6">
      <c r="A1834">
        <f t="shared" si="112"/>
        <v>1833</v>
      </c>
      <c r="B1834" s="24">
        <v>2407677</v>
      </c>
      <c r="C1834" s="11">
        <v>50</v>
      </c>
      <c r="D1834">
        <f t="shared" si="113"/>
        <v>50</v>
      </c>
      <c r="E1834">
        <f t="shared" si="114"/>
        <v>50000000</v>
      </c>
      <c r="F1834">
        <f t="shared" si="115"/>
        <v>24000000</v>
      </c>
    </row>
    <row r="1835" ht="13.85" spans="1:6">
      <c r="A1835">
        <f t="shared" si="112"/>
        <v>1834</v>
      </c>
      <c r="B1835" s="24">
        <v>2186623</v>
      </c>
      <c r="C1835" s="11">
        <v>60</v>
      </c>
      <c r="D1835">
        <f t="shared" si="113"/>
        <v>60</v>
      </c>
      <c r="E1835">
        <f t="shared" si="114"/>
        <v>60000000</v>
      </c>
      <c r="F1835">
        <f t="shared" si="115"/>
        <v>28800000</v>
      </c>
    </row>
    <row r="1836" ht="13.85" spans="1:6">
      <c r="A1836">
        <f t="shared" si="112"/>
        <v>1835</v>
      </c>
      <c r="B1836" s="24">
        <v>2482183</v>
      </c>
      <c r="C1836" s="11">
        <v>70</v>
      </c>
      <c r="D1836">
        <f t="shared" si="113"/>
        <v>70</v>
      </c>
      <c r="E1836">
        <f t="shared" si="114"/>
        <v>70000000</v>
      </c>
      <c r="F1836">
        <f t="shared" si="115"/>
        <v>33600000</v>
      </c>
    </row>
    <row r="1837" ht="13.85" spans="1:6">
      <c r="A1837">
        <f t="shared" si="112"/>
        <v>1836</v>
      </c>
      <c r="B1837" s="24">
        <v>2267405</v>
      </c>
      <c r="C1837" s="11">
        <v>80</v>
      </c>
      <c r="D1837">
        <f t="shared" si="113"/>
        <v>80</v>
      </c>
      <c r="E1837">
        <f t="shared" si="114"/>
        <v>80000000</v>
      </c>
      <c r="F1837">
        <f t="shared" si="115"/>
        <v>38400000</v>
      </c>
    </row>
    <row r="1838" ht="13.85" spans="1:6">
      <c r="A1838">
        <f t="shared" si="112"/>
        <v>1837</v>
      </c>
      <c r="B1838" s="24">
        <v>2622866</v>
      </c>
      <c r="C1838" s="11">
        <v>90</v>
      </c>
      <c r="D1838">
        <f t="shared" si="113"/>
        <v>90</v>
      </c>
      <c r="E1838">
        <f t="shared" si="114"/>
        <v>90000000</v>
      </c>
      <c r="F1838">
        <f t="shared" si="115"/>
        <v>43200000</v>
      </c>
    </row>
    <row r="1839" ht="13.85" spans="1:6">
      <c r="A1839">
        <f t="shared" si="112"/>
        <v>1838</v>
      </c>
      <c r="B1839" s="24">
        <v>2611097</v>
      </c>
      <c r="C1839" s="11">
        <v>100</v>
      </c>
      <c r="D1839">
        <f t="shared" si="113"/>
        <v>100</v>
      </c>
      <c r="E1839">
        <f t="shared" si="114"/>
        <v>100000000</v>
      </c>
      <c r="F1839">
        <f t="shared" si="115"/>
        <v>48000000</v>
      </c>
    </row>
    <row r="1840" ht="13.85" spans="1:6">
      <c r="A1840">
        <f t="shared" si="112"/>
        <v>1839</v>
      </c>
      <c r="B1840" s="24">
        <v>3086133</v>
      </c>
      <c r="C1840" s="11">
        <v>110</v>
      </c>
      <c r="D1840">
        <f t="shared" si="113"/>
        <v>110</v>
      </c>
      <c r="E1840">
        <f t="shared" si="114"/>
        <v>110000000</v>
      </c>
      <c r="F1840">
        <f t="shared" si="115"/>
        <v>52800000</v>
      </c>
    </row>
    <row r="1841" ht="13.85" spans="1:6">
      <c r="A1841">
        <f t="shared" si="112"/>
        <v>1840</v>
      </c>
      <c r="B1841" s="24">
        <v>2165601</v>
      </c>
      <c r="C1841" s="11">
        <v>40</v>
      </c>
      <c r="D1841">
        <f t="shared" si="113"/>
        <v>40</v>
      </c>
      <c r="E1841">
        <f t="shared" si="114"/>
        <v>40000000</v>
      </c>
      <c r="F1841">
        <f t="shared" si="115"/>
        <v>19200000</v>
      </c>
    </row>
    <row r="1842" ht="13.85" spans="1:6">
      <c r="A1842">
        <f t="shared" si="112"/>
        <v>1841</v>
      </c>
      <c r="B1842" s="24">
        <v>2450246</v>
      </c>
      <c r="C1842" s="11">
        <v>50</v>
      </c>
      <c r="D1842">
        <f t="shared" si="113"/>
        <v>50</v>
      </c>
      <c r="E1842">
        <f t="shared" si="114"/>
        <v>50000000</v>
      </c>
      <c r="F1842">
        <f t="shared" si="115"/>
        <v>24000000</v>
      </c>
    </row>
    <row r="1843" ht="13.85" spans="1:6">
      <c r="A1843">
        <f t="shared" si="112"/>
        <v>1842</v>
      </c>
      <c r="B1843" s="24">
        <v>2229539</v>
      </c>
      <c r="C1843" s="11">
        <v>60</v>
      </c>
      <c r="D1843">
        <f t="shared" si="113"/>
        <v>60</v>
      </c>
      <c r="E1843">
        <f t="shared" si="114"/>
        <v>60000000</v>
      </c>
      <c r="F1843">
        <f t="shared" si="115"/>
        <v>28800000</v>
      </c>
    </row>
    <row r="1844" ht="13.85" spans="1:6">
      <c r="A1844">
        <f t="shared" si="112"/>
        <v>1843</v>
      </c>
      <c r="B1844" s="24">
        <v>2575041</v>
      </c>
      <c r="C1844" s="11">
        <v>70</v>
      </c>
      <c r="D1844">
        <f t="shared" si="113"/>
        <v>70</v>
      </c>
      <c r="E1844">
        <f t="shared" si="114"/>
        <v>70000000</v>
      </c>
      <c r="F1844">
        <f t="shared" si="115"/>
        <v>33600000</v>
      </c>
    </row>
    <row r="1845" ht="13.85" spans="1:6">
      <c r="A1845">
        <f t="shared" si="112"/>
        <v>1844</v>
      </c>
      <c r="B1845" s="24">
        <v>2346269</v>
      </c>
      <c r="C1845" s="11">
        <v>80</v>
      </c>
      <c r="D1845">
        <f t="shared" si="113"/>
        <v>80</v>
      </c>
      <c r="E1845">
        <f t="shared" si="114"/>
        <v>80000000</v>
      </c>
      <c r="F1845">
        <f t="shared" si="115"/>
        <v>38400000</v>
      </c>
    </row>
    <row r="1846" ht="13.85" spans="1:6">
      <c r="A1846">
        <f t="shared" si="112"/>
        <v>1845</v>
      </c>
      <c r="B1846" s="24">
        <v>2702129</v>
      </c>
      <c r="C1846" s="11">
        <v>90</v>
      </c>
      <c r="D1846">
        <f t="shared" si="113"/>
        <v>90</v>
      </c>
      <c r="E1846">
        <f t="shared" si="114"/>
        <v>90000000</v>
      </c>
      <c r="F1846">
        <f t="shared" si="115"/>
        <v>43200000</v>
      </c>
    </row>
    <row r="1847" ht="13.85" spans="1:6">
      <c r="A1847">
        <f t="shared" si="112"/>
        <v>1846</v>
      </c>
      <c r="B1847" s="24">
        <v>2667633</v>
      </c>
      <c r="C1847" s="11">
        <v>100</v>
      </c>
      <c r="D1847">
        <f t="shared" si="113"/>
        <v>100</v>
      </c>
      <c r="E1847">
        <f t="shared" si="114"/>
        <v>100000000</v>
      </c>
      <c r="F1847">
        <f t="shared" si="115"/>
        <v>48000000</v>
      </c>
    </row>
    <row r="1848" ht="13.85" spans="1:6">
      <c r="A1848">
        <f t="shared" si="112"/>
        <v>1847</v>
      </c>
      <c r="B1848" s="24">
        <v>2999555</v>
      </c>
      <c r="C1848" s="11">
        <v>110</v>
      </c>
      <c r="D1848">
        <f t="shared" si="113"/>
        <v>110</v>
      </c>
      <c r="E1848">
        <f t="shared" si="114"/>
        <v>110000000</v>
      </c>
      <c r="F1848">
        <f t="shared" si="115"/>
        <v>52800000</v>
      </c>
    </row>
    <row r="1849" ht="13.85" spans="1:6">
      <c r="A1849">
        <f t="shared" si="112"/>
        <v>1848</v>
      </c>
      <c r="B1849" s="24">
        <v>2871876</v>
      </c>
      <c r="C1849" s="11">
        <v>120</v>
      </c>
      <c r="D1849">
        <f t="shared" si="113"/>
        <v>120</v>
      </c>
      <c r="E1849">
        <f t="shared" si="114"/>
        <v>120000000</v>
      </c>
      <c r="F1849">
        <f t="shared" si="115"/>
        <v>57600000</v>
      </c>
    </row>
    <row r="1850" ht="13.85" spans="1:6">
      <c r="A1850">
        <f t="shared" si="112"/>
        <v>1849</v>
      </c>
      <c r="B1850" s="24">
        <v>3277294</v>
      </c>
      <c r="C1850" s="11">
        <v>133</v>
      </c>
      <c r="D1850">
        <f t="shared" si="113"/>
        <v>133</v>
      </c>
      <c r="E1850">
        <f t="shared" si="114"/>
        <v>133000000</v>
      </c>
      <c r="F1850">
        <f t="shared" si="115"/>
        <v>63840000</v>
      </c>
    </row>
    <row r="1851" ht="13.85" spans="1:6">
      <c r="A1851">
        <f t="shared" si="112"/>
        <v>1850</v>
      </c>
      <c r="B1851" s="24">
        <v>2971895</v>
      </c>
      <c r="C1851" s="11">
        <v>149</v>
      </c>
      <c r="D1851">
        <f t="shared" si="113"/>
        <v>149</v>
      </c>
      <c r="E1851">
        <f t="shared" si="114"/>
        <v>149000000</v>
      </c>
      <c r="F1851">
        <f t="shared" si="115"/>
        <v>71520000</v>
      </c>
    </row>
    <row r="1852" ht="13.85" spans="1:6">
      <c r="A1852">
        <f t="shared" si="112"/>
        <v>1851</v>
      </c>
      <c r="B1852" s="24">
        <v>3490075</v>
      </c>
      <c r="C1852" s="11">
        <v>167</v>
      </c>
      <c r="D1852">
        <f t="shared" si="113"/>
        <v>167</v>
      </c>
      <c r="E1852">
        <f t="shared" si="114"/>
        <v>167000000</v>
      </c>
      <c r="F1852">
        <f t="shared" si="115"/>
        <v>80160000</v>
      </c>
    </row>
    <row r="1853" ht="13.85" spans="1:6">
      <c r="A1853">
        <f t="shared" si="112"/>
        <v>1852</v>
      </c>
      <c r="B1853" s="24">
        <v>3528968</v>
      </c>
      <c r="C1853" s="11">
        <v>185</v>
      </c>
      <c r="D1853">
        <f t="shared" si="113"/>
        <v>185</v>
      </c>
      <c r="E1853">
        <f t="shared" si="114"/>
        <v>185000000</v>
      </c>
      <c r="F1853">
        <f t="shared" si="115"/>
        <v>88800000</v>
      </c>
    </row>
    <row r="1854" ht="13.85" spans="1:6">
      <c r="A1854">
        <f t="shared" si="112"/>
        <v>1853</v>
      </c>
      <c r="B1854" s="24">
        <v>4162664</v>
      </c>
      <c r="C1854" s="11">
        <v>208</v>
      </c>
      <c r="D1854">
        <f t="shared" si="113"/>
        <v>208</v>
      </c>
      <c r="E1854">
        <f t="shared" si="114"/>
        <v>208000000</v>
      </c>
      <c r="F1854">
        <f t="shared" si="115"/>
        <v>99840000</v>
      </c>
    </row>
    <row r="1855" ht="13.85" spans="1:6">
      <c r="A1855">
        <f t="shared" si="112"/>
        <v>1854</v>
      </c>
      <c r="B1855" s="24">
        <v>4371191</v>
      </c>
      <c r="C1855" s="11">
        <v>235</v>
      </c>
      <c r="D1855">
        <f t="shared" si="113"/>
        <v>235</v>
      </c>
      <c r="E1855">
        <f t="shared" si="114"/>
        <v>235000000</v>
      </c>
      <c r="F1855">
        <f t="shared" si="115"/>
        <v>112800000</v>
      </c>
    </row>
    <row r="1856" ht="13.85" spans="1:6">
      <c r="A1856">
        <f t="shared" si="112"/>
        <v>1855</v>
      </c>
      <c r="B1856" s="24">
        <v>4929092</v>
      </c>
      <c r="C1856" s="11">
        <v>267</v>
      </c>
      <c r="D1856">
        <f t="shared" si="113"/>
        <v>267</v>
      </c>
      <c r="E1856">
        <f t="shared" si="114"/>
        <v>267000000</v>
      </c>
      <c r="F1856">
        <f t="shared" si="115"/>
        <v>128160000</v>
      </c>
    </row>
    <row r="1857" ht="13.85" spans="1:6">
      <c r="A1857">
        <f t="shared" si="112"/>
        <v>1856</v>
      </c>
      <c r="B1857" s="24">
        <v>6731485</v>
      </c>
      <c r="C1857" s="26">
        <v>310.5</v>
      </c>
      <c r="D1857">
        <f t="shared" si="113"/>
        <v>310.5</v>
      </c>
      <c r="E1857">
        <f t="shared" si="114"/>
        <v>310500000</v>
      </c>
      <c r="F1857">
        <f t="shared" si="115"/>
        <v>149040000</v>
      </c>
    </row>
    <row r="1858" ht="13.85" spans="1:6">
      <c r="A1858">
        <f t="shared" ref="A1858:A1921" si="116">ROW()-1</f>
        <v>1857</v>
      </c>
      <c r="B1858" s="24">
        <v>2568995</v>
      </c>
      <c r="C1858" s="11">
        <v>40</v>
      </c>
      <c r="D1858">
        <f t="shared" ref="D1858:D1921" si="117">IF(RIGHT(C1858,1)="B",VALUE(LEFT(C1858,LEN(C1858)-1))*1000,C1858)</f>
        <v>40</v>
      </c>
      <c r="E1858">
        <f t="shared" ref="E1858:E1921" si="118">D1858*1000000</f>
        <v>40000000</v>
      </c>
      <c r="F1858">
        <f t="shared" ref="F1858:F1921" si="119">E1858*0.48</f>
        <v>19200000</v>
      </c>
    </row>
    <row r="1859" ht="13.85" spans="1:6">
      <c r="A1859">
        <f t="shared" si="116"/>
        <v>1858</v>
      </c>
      <c r="B1859" s="24">
        <v>2159819</v>
      </c>
      <c r="C1859" s="11">
        <v>50</v>
      </c>
      <c r="D1859">
        <f t="shared" si="117"/>
        <v>50</v>
      </c>
      <c r="E1859">
        <f t="shared" si="118"/>
        <v>50000000</v>
      </c>
      <c r="F1859">
        <f t="shared" si="119"/>
        <v>24000000</v>
      </c>
    </row>
    <row r="1860" ht="13.85" spans="1:6">
      <c r="A1860">
        <f t="shared" si="116"/>
        <v>1859</v>
      </c>
      <c r="B1860" s="24">
        <v>2562917</v>
      </c>
      <c r="C1860" s="13">
        <v>60</v>
      </c>
      <c r="D1860">
        <f t="shared" si="117"/>
        <v>60</v>
      </c>
      <c r="E1860">
        <f t="shared" si="118"/>
        <v>60000000</v>
      </c>
      <c r="F1860">
        <f t="shared" si="119"/>
        <v>28800000</v>
      </c>
    </row>
    <row r="1861" ht="13.85" spans="1:6">
      <c r="A1861">
        <f t="shared" si="116"/>
        <v>1860</v>
      </c>
      <c r="B1861" s="24">
        <v>2380290</v>
      </c>
      <c r="C1861" s="11">
        <v>70</v>
      </c>
      <c r="D1861">
        <f t="shared" si="117"/>
        <v>70</v>
      </c>
      <c r="E1861">
        <f t="shared" si="118"/>
        <v>70000000</v>
      </c>
      <c r="F1861">
        <f t="shared" si="119"/>
        <v>33600000</v>
      </c>
    </row>
    <row r="1862" ht="13.85" spans="1:6">
      <c r="A1862">
        <f t="shared" si="116"/>
        <v>1861</v>
      </c>
      <c r="B1862" s="24">
        <v>2700970</v>
      </c>
      <c r="C1862" s="11">
        <v>80</v>
      </c>
      <c r="D1862">
        <f t="shared" si="117"/>
        <v>80</v>
      </c>
      <c r="E1862">
        <f t="shared" si="118"/>
        <v>80000000</v>
      </c>
      <c r="F1862">
        <f t="shared" si="119"/>
        <v>38400000</v>
      </c>
    </row>
    <row r="1863" ht="13.85" spans="1:6">
      <c r="A1863">
        <f t="shared" si="116"/>
        <v>1862</v>
      </c>
      <c r="B1863" s="24">
        <v>2496709</v>
      </c>
      <c r="C1863" s="11">
        <v>90</v>
      </c>
      <c r="D1863">
        <f t="shared" si="117"/>
        <v>90</v>
      </c>
      <c r="E1863">
        <f t="shared" si="118"/>
        <v>90000000</v>
      </c>
      <c r="F1863">
        <f t="shared" si="119"/>
        <v>43200000</v>
      </c>
    </row>
    <row r="1864" ht="13.85" spans="1:6">
      <c r="A1864">
        <f t="shared" si="116"/>
        <v>1863</v>
      </c>
      <c r="B1864" s="24">
        <v>2955762</v>
      </c>
      <c r="C1864" s="11">
        <v>100</v>
      </c>
      <c r="D1864">
        <f t="shared" si="117"/>
        <v>100</v>
      </c>
      <c r="E1864">
        <f t="shared" si="118"/>
        <v>100000000</v>
      </c>
      <c r="F1864">
        <f t="shared" si="119"/>
        <v>48000000</v>
      </c>
    </row>
    <row r="1865" ht="13.85" spans="1:6">
      <c r="A1865">
        <f t="shared" si="116"/>
        <v>1864</v>
      </c>
      <c r="B1865" s="24">
        <v>2684132</v>
      </c>
      <c r="C1865" s="11">
        <v>110</v>
      </c>
      <c r="D1865">
        <f t="shared" si="117"/>
        <v>110</v>
      </c>
      <c r="E1865">
        <f t="shared" si="118"/>
        <v>110000000</v>
      </c>
      <c r="F1865">
        <f t="shared" si="119"/>
        <v>52800000</v>
      </c>
    </row>
    <row r="1866" ht="13.85" spans="1:6">
      <c r="A1866">
        <f t="shared" si="116"/>
        <v>1865</v>
      </c>
      <c r="B1866" s="24">
        <v>3177738</v>
      </c>
      <c r="C1866" s="11">
        <v>127</v>
      </c>
      <c r="D1866">
        <f t="shared" si="117"/>
        <v>127</v>
      </c>
      <c r="E1866">
        <f t="shared" si="118"/>
        <v>127000000</v>
      </c>
      <c r="F1866">
        <f t="shared" si="119"/>
        <v>60960000</v>
      </c>
    </row>
    <row r="1867" ht="13.85" spans="1:6">
      <c r="A1867">
        <f t="shared" si="116"/>
        <v>1866</v>
      </c>
      <c r="B1867" s="24">
        <v>3049370</v>
      </c>
      <c r="C1867" s="11">
        <v>142</v>
      </c>
      <c r="D1867">
        <f t="shared" si="117"/>
        <v>142</v>
      </c>
      <c r="E1867">
        <f t="shared" si="118"/>
        <v>142000000</v>
      </c>
      <c r="F1867">
        <f t="shared" si="119"/>
        <v>68160000</v>
      </c>
    </row>
    <row r="1868" ht="13.85" spans="1:6">
      <c r="A1868">
        <f t="shared" si="116"/>
        <v>1867</v>
      </c>
      <c r="B1868" s="24">
        <v>2547374</v>
      </c>
      <c r="C1868" s="11">
        <v>40</v>
      </c>
      <c r="D1868">
        <f t="shared" si="117"/>
        <v>40</v>
      </c>
      <c r="E1868">
        <f t="shared" si="118"/>
        <v>40000000</v>
      </c>
      <c r="F1868">
        <f t="shared" si="119"/>
        <v>19200000</v>
      </c>
    </row>
    <row r="1869" ht="13.85" spans="1:6">
      <c r="A1869">
        <f t="shared" si="116"/>
        <v>1868</v>
      </c>
      <c r="B1869" s="24">
        <v>2213546</v>
      </c>
      <c r="C1869" s="11">
        <v>50</v>
      </c>
      <c r="D1869">
        <f t="shared" si="117"/>
        <v>50</v>
      </c>
      <c r="E1869">
        <f t="shared" si="118"/>
        <v>50000000</v>
      </c>
      <c r="F1869">
        <f t="shared" si="119"/>
        <v>24000000</v>
      </c>
    </row>
    <row r="1870" ht="13.85" spans="1:6">
      <c r="A1870">
        <f t="shared" si="116"/>
        <v>1869</v>
      </c>
      <c r="B1870" s="24">
        <v>2585112</v>
      </c>
      <c r="C1870" s="11">
        <v>60</v>
      </c>
      <c r="D1870">
        <f t="shared" si="117"/>
        <v>60</v>
      </c>
      <c r="E1870">
        <f t="shared" si="118"/>
        <v>60000000</v>
      </c>
      <c r="F1870">
        <f t="shared" si="119"/>
        <v>28800000</v>
      </c>
    </row>
    <row r="1871" ht="13.85" spans="1:6">
      <c r="A1871">
        <f t="shared" si="116"/>
        <v>1870</v>
      </c>
      <c r="B1871" s="24">
        <v>2298678</v>
      </c>
      <c r="C1871" s="11">
        <v>70</v>
      </c>
      <c r="D1871">
        <f t="shared" si="117"/>
        <v>70</v>
      </c>
      <c r="E1871">
        <f t="shared" si="118"/>
        <v>70000000</v>
      </c>
      <c r="F1871">
        <f t="shared" si="119"/>
        <v>33600000</v>
      </c>
    </row>
    <row r="1872" ht="13.85" spans="1:6">
      <c r="A1872">
        <f t="shared" si="116"/>
        <v>1871</v>
      </c>
      <c r="B1872" s="24">
        <v>2603070</v>
      </c>
      <c r="C1872" s="11">
        <v>80</v>
      </c>
      <c r="D1872">
        <f t="shared" si="117"/>
        <v>80</v>
      </c>
      <c r="E1872">
        <f t="shared" si="118"/>
        <v>80000000</v>
      </c>
      <c r="F1872">
        <f t="shared" si="119"/>
        <v>38400000</v>
      </c>
    </row>
    <row r="1873" ht="13.85" spans="1:6">
      <c r="A1873">
        <f t="shared" si="116"/>
        <v>1872</v>
      </c>
      <c r="B1873" s="24">
        <v>2602355</v>
      </c>
      <c r="C1873" s="11">
        <v>90</v>
      </c>
      <c r="D1873">
        <f t="shared" si="117"/>
        <v>90</v>
      </c>
      <c r="E1873">
        <f t="shared" si="118"/>
        <v>90000000</v>
      </c>
      <c r="F1873">
        <f t="shared" si="119"/>
        <v>43200000</v>
      </c>
    </row>
    <row r="1874" ht="13.85" spans="1:6">
      <c r="A1874">
        <f t="shared" si="116"/>
        <v>1873</v>
      </c>
      <c r="B1874" s="24">
        <v>2690519</v>
      </c>
      <c r="C1874" s="11">
        <v>100</v>
      </c>
      <c r="D1874">
        <f t="shared" si="117"/>
        <v>100</v>
      </c>
      <c r="E1874">
        <f t="shared" si="118"/>
        <v>100000000</v>
      </c>
      <c r="F1874">
        <f t="shared" si="119"/>
        <v>48000000</v>
      </c>
    </row>
    <row r="1875" ht="13.85" spans="1:6">
      <c r="A1875">
        <f t="shared" si="116"/>
        <v>1874</v>
      </c>
      <c r="B1875" s="24">
        <v>2683235</v>
      </c>
      <c r="C1875" s="11">
        <v>110</v>
      </c>
      <c r="D1875">
        <f t="shared" si="117"/>
        <v>110</v>
      </c>
      <c r="E1875">
        <f t="shared" si="118"/>
        <v>110000000</v>
      </c>
      <c r="F1875">
        <f t="shared" si="119"/>
        <v>52800000</v>
      </c>
    </row>
    <row r="1876" ht="13.85" spans="1:6">
      <c r="A1876">
        <f t="shared" si="116"/>
        <v>1875</v>
      </c>
      <c r="B1876" s="24">
        <v>3077783</v>
      </c>
      <c r="C1876" s="11">
        <v>127</v>
      </c>
      <c r="D1876">
        <f t="shared" si="117"/>
        <v>127</v>
      </c>
      <c r="E1876">
        <f t="shared" si="118"/>
        <v>127000000</v>
      </c>
      <c r="F1876">
        <f t="shared" si="119"/>
        <v>60960000</v>
      </c>
    </row>
    <row r="1877" ht="13.85" spans="1:6">
      <c r="A1877">
        <f t="shared" si="116"/>
        <v>1876</v>
      </c>
      <c r="B1877" s="24">
        <v>2923265</v>
      </c>
      <c r="C1877" s="11">
        <v>145</v>
      </c>
      <c r="D1877">
        <f t="shared" si="117"/>
        <v>145</v>
      </c>
      <c r="E1877">
        <f t="shared" si="118"/>
        <v>145000000</v>
      </c>
      <c r="F1877">
        <f t="shared" si="119"/>
        <v>69600000</v>
      </c>
    </row>
    <row r="1878" ht="13.85" spans="1:6">
      <c r="A1878">
        <f t="shared" si="116"/>
        <v>1877</v>
      </c>
      <c r="B1878" s="24">
        <v>3316183</v>
      </c>
      <c r="C1878" s="11">
        <v>164</v>
      </c>
      <c r="D1878">
        <f t="shared" si="117"/>
        <v>164</v>
      </c>
      <c r="E1878">
        <f t="shared" si="118"/>
        <v>164000000</v>
      </c>
      <c r="F1878">
        <f t="shared" si="119"/>
        <v>78720000</v>
      </c>
    </row>
    <row r="1879" ht="13.85" spans="1:6">
      <c r="A1879">
        <f t="shared" si="116"/>
        <v>1878</v>
      </c>
      <c r="B1879" s="24">
        <v>3191783</v>
      </c>
      <c r="C1879" s="11">
        <v>180</v>
      </c>
      <c r="D1879">
        <f t="shared" si="117"/>
        <v>180</v>
      </c>
      <c r="E1879">
        <f t="shared" si="118"/>
        <v>180000000</v>
      </c>
      <c r="F1879">
        <f t="shared" si="119"/>
        <v>86400000</v>
      </c>
    </row>
    <row r="1880" ht="13.85" spans="1:6">
      <c r="A1880">
        <f t="shared" si="116"/>
        <v>1879</v>
      </c>
      <c r="B1880" s="24">
        <v>3926457</v>
      </c>
      <c r="C1880" s="11">
        <v>202</v>
      </c>
      <c r="D1880">
        <f t="shared" si="117"/>
        <v>202</v>
      </c>
      <c r="E1880">
        <f t="shared" si="118"/>
        <v>202000000</v>
      </c>
      <c r="F1880">
        <f t="shared" si="119"/>
        <v>96960000</v>
      </c>
    </row>
    <row r="1881" ht="13.85" spans="1:6">
      <c r="A1881">
        <f t="shared" si="116"/>
        <v>1880</v>
      </c>
      <c r="B1881" s="24">
        <v>4243966</v>
      </c>
      <c r="C1881" s="11">
        <v>227</v>
      </c>
      <c r="D1881">
        <f t="shared" si="117"/>
        <v>227</v>
      </c>
      <c r="E1881">
        <f t="shared" si="118"/>
        <v>227000000</v>
      </c>
      <c r="F1881">
        <f t="shared" si="119"/>
        <v>108960000</v>
      </c>
    </row>
    <row r="1882" ht="13.85" spans="1:6">
      <c r="A1882">
        <f t="shared" si="116"/>
        <v>1881</v>
      </c>
      <c r="B1882" s="24">
        <v>4172123</v>
      </c>
      <c r="C1882" s="11">
        <v>255</v>
      </c>
      <c r="D1882">
        <f t="shared" si="117"/>
        <v>255</v>
      </c>
      <c r="E1882">
        <f t="shared" si="118"/>
        <v>255000000</v>
      </c>
      <c r="F1882">
        <f t="shared" si="119"/>
        <v>122400000</v>
      </c>
    </row>
    <row r="1883" ht="13.85" spans="1:6">
      <c r="A1883">
        <f t="shared" si="116"/>
        <v>1882</v>
      </c>
      <c r="B1883" s="24">
        <v>5760737</v>
      </c>
      <c r="C1883" s="11">
        <v>300</v>
      </c>
      <c r="D1883">
        <f t="shared" si="117"/>
        <v>300</v>
      </c>
      <c r="E1883">
        <f t="shared" si="118"/>
        <v>300000000</v>
      </c>
      <c r="F1883">
        <f t="shared" si="119"/>
        <v>144000000</v>
      </c>
    </row>
    <row r="1884" ht="13.85" spans="1:6">
      <c r="A1884">
        <f t="shared" si="116"/>
        <v>1883</v>
      </c>
      <c r="B1884" s="24">
        <v>7547996</v>
      </c>
      <c r="C1884" s="11">
        <v>334</v>
      </c>
      <c r="D1884">
        <f t="shared" si="117"/>
        <v>334</v>
      </c>
      <c r="E1884">
        <f t="shared" si="118"/>
        <v>334000000</v>
      </c>
      <c r="F1884">
        <f t="shared" si="119"/>
        <v>160320000</v>
      </c>
    </row>
    <row r="1885" ht="13.85" spans="1:6">
      <c r="A1885">
        <f t="shared" si="116"/>
        <v>1884</v>
      </c>
      <c r="B1885" s="24">
        <v>20349888</v>
      </c>
      <c r="C1885" s="26">
        <v>528.5</v>
      </c>
      <c r="D1885">
        <f t="shared" si="117"/>
        <v>528.5</v>
      </c>
      <c r="E1885">
        <f t="shared" si="118"/>
        <v>528500000</v>
      </c>
      <c r="F1885">
        <f t="shared" si="119"/>
        <v>253680000</v>
      </c>
    </row>
    <row r="1886" ht="13.85" spans="1:6">
      <c r="A1886">
        <f t="shared" si="116"/>
        <v>1885</v>
      </c>
      <c r="B1886" s="24">
        <v>49356071</v>
      </c>
      <c r="C1886" s="11">
        <v>947.9</v>
      </c>
      <c r="D1886">
        <f t="shared" si="117"/>
        <v>947.9</v>
      </c>
      <c r="E1886">
        <f t="shared" si="118"/>
        <v>947900000</v>
      </c>
      <c r="F1886">
        <f t="shared" si="119"/>
        <v>454992000</v>
      </c>
    </row>
    <row r="1887" ht="13.9" spans="1:6">
      <c r="A1887">
        <f t="shared" si="116"/>
        <v>1886</v>
      </c>
      <c r="B1887" s="24">
        <v>73128409</v>
      </c>
      <c r="C1887" s="11" t="s">
        <v>728</v>
      </c>
      <c r="D1887">
        <f t="shared" si="117"/>
        <v>1580</v>
      </c>
      <c r="E1887">
        <f t="shared" si="118"/>
        <v>1580000000</v>
      </c>
      <c r="F1887">
        <f t="shared" si="119"/>
        <v>758400000</v>
      </c>
    </row>
    <row r="1888" ht="13.85" spans="1:6">
      <c r="A1888">
        <f t="shared" si="116"/>
        <v>1887</v>
      </c>
      <c r="B1888" s="24">
        <v>4555607</v>
      </c>
      <c r="C1888" s="11">
        <v>40</v>
      </c>
      <c r="D1888">
        <f t="shared" si="117"/>
        <v>40</v>
      </c>
      <c r="E1888">
        <f t="shared" si="118"/>
        <v>40000000</v>
      </c>
      <c r="F1888">
        <f t="shared" si="119"/>
        <v>19200000</v>
      </c>
    </row>
    <row r="1889" ht="13.85" spans="1:6">
      <c r="A1889">
        <f t="shared" si="116"/>
        <v>1888</v>
      </c>
      <c r="B1889" s="24">
        <v>3498218</v>
      </c>
      <c r="C1889" s="11">
        <v>50</v>
      </c>
      <c r="D1889">
        <f t="shared" si="117"/>
        <v>50</v>
      </c>
      <c r="E1889">
        <f t="shared" si="118"/>
        <v>50000000</v>
      </c>
      <c r="F1889">
        <f t="shared" si="119"/>
        <v>24000000</v>
      </c>
    </row>
    <row r="1890" ht="13.85" spans="1:6">
      <c r="A1890">
        <f t="shared" si="116"/>
        <v>1889</v>
      </c>
      <c r="B1890" s="24">
        <v>3480880</v>
      </c>
      <c r="C1890" s="11">
        <v>60</v>
      </c>
      <c r="D1890">
        <f t="shared" si="117"/>
        <v>60</v>
      </c>
      <c r="E1890">
        <f t="shared" si="118"/>
        <v>60000000</v>
      </c>
      <c r="F1890">
        <f t="shared" si="119"/>
        <v>28800000</v>
      </c>
    </row>
    <row r="1891" ht="13.85" spans="1:6">
      <c r="A1891">
        <f t="shared" si="116"/>
        <v>1890</v>
      </c>
      <c r="B1891" s="24">
        <v>3297846</v>
      </c>
      <c r="C1891" s="11">
        <v>75</v>
      </c>
      <c r="D1891">
        <f t="shared" si="117"/>
        <v>75</v>
      </c>
      <c r="E1891">
        <f t="shared" si="118"/>
        <v>75000000</v>
      </c>
      <c r="F1891">
        <f t="shared" si="119"/>
        <v>36000000</v>
      </c>
    </row>
    <row r="1892" ht="13.85" spans="1:6">
      <c r="A1892">
        <f t="shared" si="116"/>
        <v>1891</v>
      </c>
      <c r="B1892" s="24">
        <v>3692738</v>
      </c>
      <c r="C1892" s="11">
        <v>96</v>
      </c>
      <c r="D1892">
        <f t="shared" si="117"/>
        <v>96</v>
      </c>
      <c r="E1892">
        <f t="shared" si="118"/>
        <v>96000000</v>
      </c>
      <c r="F1892">
        <f t="shared" si="119"/>
        <v>46080000</v>
      </c>
    </row>
    <row r="1893" ht="13.85" spans="1:6">
      <c r="A1893">
        <f t="shared" si="116"/>
        <v>1892</v>
      </c>
      <c r="B1893" s="24">
        <v>3499156</v>
      </c>
      <c r="C1893" s="11">
        <v>112</v>
      </c>
      <c r="D1893">
        <f t="shared" si="117"/>
        <v>112</v>
      </c>
      <c r="E1893">
        <f t="shared" si="118"/>
        <v>112000000</v>
      </c>
      <c r="F1893">
        <f t="shared" si="119"/>
        <v>53760000</v>
      </c>
    </row>
    <row r="1894" ht="13.85" spans="1:6">
      <c r="A1894">
        <f t="shared" si="116"/>
        <v>1893</v>
      </c>
      <c r="B1894" s="24">
        <v>3840645</v>
      </c>
      <c r="C1894" s="11">
        <v>136</v>
      </c>
      <c r="D1894">
        <f t="shared" si="117"/>
        <v>136</v>
      </c>
      <c r="E1894">
        <f t="shared" si="118"/>
        <v>136000000</v>
      </c>
      <c r="F1894">
        <f t="shared" si="119"/>
        <v>65280000</v>
      </c>
    </row>
    <row r="1895" ht="13.85" spans="1:6">
      <c r="A1895">
        <f t="shared" si="116"/>
        <v>1894</v>
      </c>
      <c r="B1895" s="24">
        <v>3458539</v>
      </c>
      <c r="C1895" s="11">
        <v>157</v>
      </c>
      <c r="D1895">
        <f t="shared" si="117"/>
        <v>157</v>
      </c>
      <c r="E1895">
        <f t="shared" si="118"/>
        <v>157000000</v>
      </c>
      <c r="F1895">
        <f t="shared" si="119"/>
        <v>75360000</v>
      </c>
    </row>
    <row r="1896" ht="13.85" spans="1:6">
      <c r="A1896">
        <f t="shared" si="116"/>
        <v>1895</v>
      </c>
      <c r="B1896" s="24">
        <v>3832816</v>
      </c>
      <c r="C1896" s="11">
        <v>171</v>
      </c>
      <c r="D1896">
        <f t="shared" si="117"/>
        <v>171</v>
      </c>
      <c r="E1896">
        <f t="shared" si="118"/>
        <v>171000000</v>
      </c>
      <c r="F1896">
        <f t="shared" si="119"/>
        <v>82080000</v>
      </c>
    </row>
    <row r="1897" ht="13.85" spans="1:6">
      <c r="A1897">
        <f t="shared" si="116"/>
        <v>1896</v>
      </c>
      <c r="B1897" s="24">
        <v>3517675</v>
      </c>
      <c r="C1897" s="11">
        <v>189</v>
      </c>
      <c r="D1897">
        <f t="shared" si="117"/>
        <v>189</v>
      </c>
      <c r="E1897">
        <f t="shared" si="118"/>
        <v>189000000</v>
      </c>
      <c r="F1897">
        <f t="shared" si="119"/>
        <v>90720000</v>
      </c>
    </row>
    <row r="1898" ht="13.85" spans="1:6">
      <c r="A1898">
        <f t="shared" si="116"/>
        <v>1897</v>
      </c>
      <c r="B1898" s="24">
        <v>4171396</v>
      </c>
      <c r="C1898" s="11">
        <v>212</v>
      </c>
      <c r="D1898">
        <f t="shared" si="117"/>
        <v>212</v>
      </c>
      <c r="E1898">
        <f t="shared" si="118"/>
        <v>212000000</v>
      </c>
      <c r="F1898">
        <f t="shared" si="119"/>
        <v>101760000</v>
      </c>
    </row>
    <row r="1899" ht="13.85" spans="1:6">
      <c r="A1899">
        <f t="shared" si="116"/>
        <v>1898</v>
      </c>
      <c r="B1899" s="24">
        <v>4003501</v>
      </c>
      <c r="C1899" s="11">
        <v>236</v>
      </c>
      <c r="D1899">
        <f t="shared" si="117"/>
        <v>236</v>
      </c>
      <c r="E1899">
        <f t="shared" si="118"/>
        <v>236000000</v>
      </c>
      <c r="F1899">
        <f t="shared" si="119"/>
        <v>113280000</v>
      </c>
    </row>
    <row r="1900" ht="13.85" spans="1:6">
      <c r="A1900">
        <f t="shared" si="116"/>
        <v>1899</v>
      </c>
      <c r="B1900" s="24">
        <v>4502871</v>
      </c>
      <c r="C1900" s="11">
        <v>266</v>
      </c>
      <c r="D1900">
        <f t="shared" si="117"/>
        <v>266</v>
      </c>
      <c r="E1900">
        <f t="shared" si="118"/>
        <v>266000000</v>
      </c>
      <c r="F1900">
        <f t="shared" si="119"/>
        <v>127680000</v>
      </c>
    </row>
    <row r="1901" ht="13.85" spans="1:6">
      <c r="A1901">
        <f t="shared" si="116"/>
        <v>1900</v>
      </c>
      <c r="B1901" s="24">
        <v>4409707</v>
      </c>
      <c r="C1901" s="26">
        <v>291.4</v>
      </c>
      <c r="D1901">
        <f t="shared" si="117"/>
        <v>291.4</v>
      </c>
      <c r="E1901">
        <f t="shared" si="118"/>
        <v>291400000</v>
      </c>
      <c r="F1901">
        <f t="shared" si="119"/>
        <v>139872000</v>
      </c>
    </row>
    <row r="1902" ht="13.85" spans="1:6">
      <c r="A1902">
        <f t="shared" si="116"/>
        <v>1901</v>
      </c>
      <c r="B1902" s="24">
        <v>3110256</v>
      </c>
      <c r="C1902" s="11">
        <v>40</v>
      </c>
      <c r="D1902">
        <f t="shared" si="117"/>
        <v>40</v>
      </c>
      <c r="E1902">
        <f t="shared" si="118"/>
        <v>40000000</v>
      </c>
      <c r="F1902">
        <f t="shared" si="119"/>
        <v>19200000</v>
      </c>
    </row>
    <row r="1903" ht="13.85" spans="1:6">
      <c r="A1903">
        <f t="shared" si="116"/>
        <v>1902</v>
      </c>
      <c r="B1903" s="24">
        <v>2679607</v>
      </c>
      <c r="C1903" s="11">
        <v>50</v>
      </c>
      <c r="D1903">
        <f t="shared" si="117"/>
        <v>50</v>
      </c>
      <c r="E1903">
        <f t="shared" si="118"/>
        <v>50000000</v>
      </c>
      <c r="F1903">
        <f t="shared" si="119"/>
        <v>24000000</v>
      </c>
    </row>
    <row r="1904" ht="13.85" spans="1:6">
      <c r="A1904">
        <f t="shared" si="116"/>
        <v>1903</v>
      </c>
      <c r="B1904" s="24">
        <v>2979576</v>
      </c>
      <c r="C1904" s="11">
        <v>60</v>
      </c>
      <c r="D1904">
        <f t="shared" si="117"/>
        <v>60</v>
      </c>
      <c r="E1904">
        <f t="shared" si="118"/>
        <v>60000000</v>
      </c>
      <c r="F1904">
        <f t="shared" si="119"/>
        <v>28800000</v>
      </c>
    </row>
    <row r="1905" ht="13.85" spans="1:6">
      <c r="A1905">
        <f t="shared" si="116"/>
        <v>1904</v>
      </c>
      <c r="B1905" s="24">
        <v>2702203</v>
      </c>
      <c r="C1905" s="11">
        <v>70</v>
      </c>
      <c r="D1905">
        <f t="shared" si="117"/>
        <v>70</v>
      </c>
      <c r="E1905">
        <f t="shared" si="118"/>
        <v>70000000</v>
      </c>
      <c r="F1905">
        <f t="shared" si="119"/>
        <v>33600000</v>
      </c>
    </row>
    <row r="1906" ht="13.85" spans="1:6">
      <c r="A1906">
        <f t="shared" si="116"/>
        <v>1905</v>
      </c>
      <c r="B1906" s="24">
        <v>3012116</v>
      </c>
      <c r="C1906" s="11">
        <v>80</v>
      </c>
      <c r="D1906">
        <f t="shared" si="117"/>
        <v>80</v>
      </c>
      <c r="E1906">
        <f t="shared" si="118"/>
        <v>80000000</v>
      </c>
      <c r="F1906">
        <f t="shared" si="119"/>
        <v>38400000</v>
      </c>
    </row>
    <row r="1907" ht="13.85" spans="1:6">
      <c r="A1907">
        <f t="shared" si="116"/>
        <v>1906</v>
      </c>
      <c r="B1907" s="24">
        <v>2751024</v>
      </c>
      <c r="C1907" s="11">
        <v>90</v>
      </c>
      <c r="D1907">
        <f t="shared" si="117"/>
        <v>90</v>
      </c>
      <c r="E1907">
        <f t="shared" si="118"/>
        <v>90000000</v>
      </c>
      <c r="F1907">
        <f t="shared" si="119"/>
        <v>43200000</v>
      </c>
    </row>
    <row r="1908" ht="13.85" spans="1:6">
      <c r="A1908">
        <f t="shared" si="116"/>
        <v>1907</v>
      </c>
      <c r="B1908" s="24">
        <v>3183362</v>
      </c>
      <c r="C1908" s="11">
        <v>101</v>
      </c>
      <c r="D1908">
        <f t="shared" si="117"/>
        <v>101</v>
      </c>
      <c r="E1908">
        <f t="shared" si="118"/>
        <v>101000000</v>
      </c>
      <c r="F1908">
        <f t="shared" si="119"/>
        <v>48480000</v>
      </c>
    </row>
    <row r="1909" ht="13.85" spans="1:6">
      <c r="A1909">
        <f t="shared" si="116"/>
        <v>1908</v>
      </c>
      <c r="B1909" s="24">
        <v>2952127</v>
      </c>
      <c r="C1909" s="11">
        <v>116</v>
      </c>
      <c r="D1909">
        <f t="shared" si="117"/>
        <v>116</v>
      </c>
      <c r="E1909">
        <f t="shared" si="118"/>
        <v>116000000</v>
      </c>
      <c r="F1909">
        <f t="shared" si="119"/>
        <v>55680000</v>
      </c>
    </row>
    <row r="1910" ht="13.85" spans="1:6">
      <c r="A1910">
        <f t="shared" si="116"/>
        <v>1909</v>
      </c>
      <c r="B1910" s="24">
        <v>3437170</v>
      </c>
      <c r="C1910" s="11">
        <v>135</v>
      </c>
      <c r="D1910">
        <f t="shared" si="117"/>
        <v>135</v>
      </c>
      <c r="E1910">
        <f t="shared" si="118"/>
        <v>135000000</v>
      </c>
      <c r="F1910">
        <f t="shared" si="119"/>
        <v>64800000</v>
      </c>
    </row>
    <row r="1911" ht="13.85" spans="1:6">
      <c r="A1911">
        <f t="shared" si="116"/>
        <v>1910</v>
      </c>
      <c r="B1911" s="24">
        <v>3122114</v>
      </c>
      <c r="C1911" s="11">
        <v>148</v>
      </c>
      <c r="D1911">
        <f t="shared" si="117"/>
        <v>148</v>
      </c>
      <c r="E1911">
        <f t="shared" si="118"/>
        <v>148000000</v>
      </c>
      <c r="F1911">
        <f t="shared" si="119"/>
        <v>71040000</v>
      </c>
    </row>
    <row r="1912" ht="13.85" spans="1:6">
      <c r="A1912">
        <f t="shared" si="116"/>
        <v>1911</v>
      </c>
      <c r="B1912" s="24">
        <v>3454976</v>
      </c>
      <c r="C1912" s="11">
        <v>168</v>
      </c>
      <c r="D1912">
        <f t="shared" si="117"/>
        <v>168</v>
      </c>
      <c r="E1912">
        <f t="shared" si="118"/>
        <v>168000000</v>
      </c>
      <c r="F1912">
        <f t="shared" si="119"/>
        <v>80640000</v>
      </c>
    </row>
    <row r="1913" ht="13.85" spans="1:6">
      <c r="A1913">
        <f t="shared" si="116"/>
        <v>1912</v>
      </c>
      <c r="B1913" s="24">
        <v>3286958</v>
      </c>
      <c r="C1913" s="11">
        <v>184</v>
      </c>
      <c r="D1913">
        <f t="shared" si="117"/>
        <v>184</v>
      </c>
      <c r="E1913">
        <f t="shared" si="118"/>
        <v>184000000</v>
      </c>
      <c r="F1913">
        <f t="shared" si="119"/>
        <v>88320000</v>
      </c>
    </row>
    <row r="1914" ht="13.85" spans="1:6">
      <c r="A1914">
        <f t="shared" si="116"/>
        <v>1913</v>
      </c>
      <c r="B1914" s="24">
        <v>3835937</v>
      </c>
      <c r="C1914" s="11">
        <v>205</v>
      </c>
      <c r="D1914">
        <f t="shared" si="117"/>
        <v>205</v>
      </c>
      <c r="E1914">
        <f t="shared" si="118"/>
        <v>205000000</v>
      </c>
      <c r="F1914">
        <f t="shared" si="119"/>
        <v>98400000</v>
      </c>
    </row>
    <row r="1915" ht="13.85" spans="1:6">
      <c r="A1915">
        <f t="shared" si="116"/>
        <v>1914</v>
      </c>
      <c r="B1915" s="24">
        <v>3680740</v>
      </c>
      <c r="C1915" s="11">
        <v>227</v>
      </c>
      <c r="D1915">
        <f t="shared" si="117"/>
        <v>227</v>
      </c>
      <c r="E1915">
        <f t="shared" si="118"/>
        <v>227000000</v>
      </c>
      <c r="F1915">
        <f t="shared" si="119"/>
        <v>108960000</v>
      </c>
    </row>
    <row r="1916" ht="13.85" spans="1:6">
      <c r="A1916">
        <f t="shared" si="116"/>
        <v>1915</v>
      </c>
      <c r="B1916" s="24">
        <v>4098868</v>
      </c>
      <c r="C1916" s="11">
        <v>251</v>
      </c>
      <c r="D1916">
        <f t="shared" si="117"/>
        <v>251</v>
      </c>
      <c r="E1916">
        <f t="shared" si="118"/>
        <v>251000000</v>
      </c>
      <c r="F1916">
        <f t="shared" si="119"/>
        <v>120480000</v>
      </c>
    </row>
    <row r="1917" ht="13.85" spans="1:6">
      <c r="A1917">
        <f t="shared" si="116"/>
        <v>1916</v>
      </c>
      <c r="B1917" s="24">
        <v>4091488</v>
      </c>
      <c r="C1917" s="11">
        <v>282</v>
      </c>
      <c r="D1917">
        <f t="shared" si="117"/>
        <v>282</v>
      </c>
      <c r="E1917">
        <f t="shared" si="118"/>
        <v>282000000</v>
      </c>
      <c r="F1917">
        <f t="shared" si="119"/>
        <v>135360000</v>
      </c>
    </row>
    <row r="1918" ht="13.85" spans="1:6">
      <c r="A1918">
        <f t="shared" si="116"/>
        <v>1917</v>
      </c>
      <c r="B1918" s="24">
        <v>5059272</v>
      </c>
      <c r="C1918" s="11">
        <v>314</v>
      </c>
      <c r="D1918">
        <f t="shared" si="117"/>
        <v>314</v>
      </c>
      <c r="E1918">
        <f t="shared" si="118"/>
        <v>314000000</v>
      </c>
      <c r="F1918">
        <f t="shared" si="119"/>
        <v>150720000</v>
      </c>
    </row>
    <row r="1919" ht="13.85" spans="1:6">
      <c r="A1919">
        <f t="shared" si="116"/>
        <v>1918</v>
      </c>
      <c r="B1919" s="24">
        <v>654367</v>
      </c>
      <c r="C1919" s="11">
        <v>361</v>
      </c>
      <c r="D1919">
        <f t="shared" si="117"/>
        <v>361</v>
      </c>
      <c r="E1919">
        <f t="shared" si="118"/>
        <v>361000000</v>
      </c>
      <c r="F1919">
        <f t="shared" si="119"/>
        <v>173280000</v>
      </c>
    </row>
    <row r="1920" ht="13.85" spans="1:6">
      <c r="A1920">
        <f t="shared" si="116"/>
        <v>1919</v>
      </c>
      <c r="B1920" s="24">
        <v>10000844</v>
      </c>
      <c r="C1920" s="25">
        <v>429</v>
      </c>
      <c r="D1920">
        <f t="shared" si="117"/>
        <v>429</v>
      </c>
      <c r="E1920">
        <f t="shared" si="118"/>
        <v>429000000</v>
      </c>
      <c r="F1920">
        <f t="shared" si="119"/>
        <v>205920000</v>
      </c>
    </row>
    <row r="1921" ht="13.85" spans="1:6">
      <c r="A1921">
        <f t="shared" si="116"/>
        <v>1920</v>
      </c>
      <c r="B1921" s="24">
        <v>2530420</v>
      </c>
      <c r="C1921" s="11">
        <v>40</v>
      </c>
      <c r="D1921">
        <f t="shared" si="117"/>
        <v>40</v>
      </c>
      <c r="E1921">
        <f t="shared" si="118"/>
        <v>40000000</v>
      </c>
      <c r="F1921">
        <f t="shared" si="119"/>
        <v>19200000</v>
      </c>
    </row>
    <row r="1922" ht="13.85" spans="1:6">
      <c r="A1922">
        <f t="shared" ref="A1922:A1985" si="120">ROW()-1</f>
        <v>1921</v>
      </c>
      <c r="B1922" s="24">
        <v>2848809</v>
      </c>
      <c r="C1922" s="11">
        <v>50</v>
      </c>
      <c r="D1922">
        <f t="shared" ref="D1922:D1985" si="121">IF(RIGHT(C1922,1)="B",VALUE(LEFT(C1922,LEN(C1922)-1))*1000,C1922)</f>
        <v>50</v>
      </c>
      <c r="E1922">
        <f t="shared" ref="E1922:E1985" si="122">D1922*1000000</f>
        <v>50000000</v>
      </c>
      <c r="F1922">
        <f t="shared" ref="F1922:F1985" si="123">E1922*0.48</f>
        <v>24000000</v>
      </c>
    </row>
    <row r="1923" ht="13.85" spans="1:6">
      <c r="A1923">
        <f t="shared" si="120"/>
        <v>1922</v>
      </c>
      <c r="B1923" s="24">
        <v>2599084</v>
      </c>
      <c r="C1923" s="11">
        <v>60</v>
      </c>
      <c r="D1923">
        <f t="shared" si="121"/>
        <v>60</v>
      </c>
      <c r="E1923">
        <f t="shared" si="122"/>
        <v>60000000</v>
      </c>
      <c r="F1923">
        <f t="shared" si="123"/>
        <v>28800000</v>
      </c>
    </row>
    <row r="1924" ht="13.85" spans="1:6">
      <c r="A1924">
        <f t="shared" si="120"/>
        <v>1923</v>
      </c>
      <c r="B1924" s="24">
        <v>2925160</v>
      </c>
      <c r="C1924" s="11">
        <v>70</v>
      </c>
      <c r="D1924">
        <f t="shared" si="121"/>
        <v>70</v>
      </c>
      <c r="E1924">
        <f t="shared" si="122"/>
        <v>70000000</v>
      </c>
      <c r="F1924">
        <f t="shared" si="123"/>
        <v>33600000</v>
      </c>
    </row>
    <row r="1925" ht="13.85" spans="1:6">
      <c r="A1925">
        <f t="shared" si="120"/>
        <v>1924</v>
      </c>
      <c r="B1925" s="24">
        <v>2618702</v>
      </c>
      <c r="C1925" s="11">
        <v>80</v>
      </c>
      <c r="D1925">
        <f t="shared" si="121"/>
        <v>80</v>
      </c>
      <c r="E1925">
        <f t="shared" si="122"/>
        <v>80000000</v>
      </c>
      <c r="F1925">
        <f t="shared" si="123"/>
        <v>38400000</v>
      </c>
    </row>
    <row r="1926" ht="13.85" spans="1:6">
      <c r="A1926">
        <f t="shared" si="120"/>
        <v>1925</v>
      </c>
      <c r="B1926" s="24">
        <v>2970047</v>
      </c>
      <c r="C1926" s="11">
        <v>90</v>
      </c>
      <c r="D1926">
        <f t="shared" si="121"/>
        <v>90</v>
      </c>
      <c r="E1926">
        <f t="shared" si="122"/>
        <v>90000000</v>
      </c>
      <c r="F1926">
        <f t="shared" si="123"/>
        <v>43200000</v>
      </c>
    </row>
    <row r="1927" ht="13.85" spans="1:6">
      <c r="A1927">
        <f t="shared" si="120"/>
        <v>1926</v>
      </c>
      <c r="B1927" s="24">
        <v>2742774</v>
      </c>
      <c r="C1927" s="11">
        <v>100</v>
      </c>
      <c r="D1927">
        <f t="shared" si="121"/>
        <v>100</v>
      </c>
      <c r="E1927">
        <f t="shared" si="122"/>
        <v>100000000</v>
      </c>
      <c r="F1927">
        <f t="shared" si="123"/>
        <v>48000000</v>
      </c>
    </row>
    <row r="1928" ht="13.85" spans="1:6">
      <c r="A1928">
        <f t="shared" si="120"/>
        <v>1927</v>
      </c>
      <c r="B1928" s="24">
        <v>3228115</v>
      </c>
      <c r="C1928" s="11">
        <v>110</v>
      </c>
      <c r="D1928">
        <f t="shared" si="121"/>
        <v>110</v>
      </c>
      <c r="E1928">
        <f t="shared" si="122"/>
        <v>110000000</v>
      </c>
      <c r="F1928">
        <f t="shared" si="123"/>
        <v>52800000</v>
      </c>
    </row>
    <row r="1929" ht="13.85" spans="1:6">
      <c r="A1929">
        <f t="shared" si="120"/>
        <v>1928</v>
      </c>
      <c r="B1929" s="24">
        <v>2898268</v>
      </c>
      <c r="C1929" s="11">
        <v>123</v>
      </c>
      <c r="D1929">
        <f t="shared" si="121"/>
        <v>123</v>
      </c>
      <c r="E1929">
        <f t="shared" si="122"/>
        <v>123000000</v>
      </c>
      <c r="F1929">
        <f t="shared" si="123"/>
        <v>59040000</v>
      </c>
    </row>
    <row r="1930" ht="13.85" spans="1:6">
      <c r="A1930">
        <f t="shared" si="120"/>
        <v>1929</v>
      </c>
      <c r="B1930" s="24">
        <v>3231680</v>
      </c>
      <c r="C1930" s="11">
        <v>141</v>
      </c>
      <c r="D1930">
        <f t="shared" si="121"/>
        <v>141</v>
      </c>
      <c r="E1930">
        <f t="shared" si="122"/>
        <v>141000000</v>
      </c>
      <c r="F1930">
        <f t="shared" si="123"/>
        <v>67680000</v>
      </c>
    </row>
    <row r="1931" ht="13.85" spans="1:6">
      <c r="A1931">
        <f t="shared" si="120"/>
        <v>1930</v>
      </c>
      <c r="B1931" s="24">
        <v>2980922</v>
      </c>
      <c r="C1931" s="11">
        <v>153</v>
      </c>
      <c r="D1931">
        <f t="shared" si="121"/>
        <v>153</v>
      </c>
      <c r="E1931">
        <f t="shared" si="122"/>
        <v>153000000</v>
      </c>
      <c r="F1931">
        <f t="shared" si="123"/>
        <v>73440000</v>
      </c>
    </row>
    <row r="1932" ht="13.85" spans="1:6">
      <c r="A1932">
        <f t="shared" si="120"/>
        <v>1931</v>
      </c>
      <c r="B1932" s="24">
        <v>3378526</v>
      </c>
      <c r="C1932" s="11">
        <v>169</v>
      </c>
      <c r="D1932">
        <f t="shared" si="121"/>
        <v>169</v>
      </c>
      <c r="E1932">
        <f t="shared" si="122"/>
        <v>169000000</v>
      </c>
      <c r="F1932">
        <f t="shared" si="123"/>
        <v>81120000</v>
      </c>
    </row>
    <row r="1933" ht="13.85" spans="1:6">
      <c r="A1933">
        <f t="shared" si="120"/>
        <v>1932</v>
      </c>
      <c r="B1933" s="24">
        <v>3133890</v>
      </c>
      <c r="C1933" s="11">
        <v>184</v>
      </c>
      <c r="D1933">
        <f t="shared" si="121"/>
        <v>184</v>
      </c>
      <c r="E1933">
        <f t="shared" si="122"/>
        <v>184000000</v>
      </c>
      <c r="F1933">
        <f t="shared" si="123"/>
        <v>88320000</v>
      </c>
    </row>
    <row r="1934" ht="13.85" spans="1:6">
      <c r="A1934">
        <f t="shared" si="120"/>
        <v>1933</v>
      </c>
      <c r="B1934" s="24">
        <v>3723221</v>
      </c>
      <c r="C1934" s="11">
        <v>203</v>
      </c>
      <c r="D1934">
        <f t="shared" si="121"/>
        <v>203</v>
      </c>
      <c r="E1934">
        <f t="shared" si="122"/>
        <v>203000000</v>
      </c>
      <c r="F1934">
        <f t="shared" si="123"/>
        <v>97440000</v>
      </c>
    </row>
    <row r="1935" ht="13.85" spans="1:6">
      <c r="A1935">
        <f t="shared" si="120"/>
        <v>1934</v>
      </c>
      <c r="B1935" s="24">
        <v>3581864</v>
      </c>
      <c r="C1935" s="11">
        <v>222</v>
      </c>
      <c r="D1935">
        <f t="shared" si="121"/>
        <v>222</v>
      </c>
      <c r="E1935">
        <f t="shared" si="122"/>
        <v>222000000</v>
      </c>
      <c r="F1935">
        <f t="shared" si="123"/>
        <v>106560000</v>
      </c>
    </row>
    <row r="1936" ht="13.85" spans="1:6">
      <c r="A1936">
        <f t="shared" si="120"/>
        <v>1935</v>
      </c>
      <c r="B1936" s="24">
        <v>4580648</v>
      </c>
      <c r="C1936" s="11">
        <v>243</v>
      </c>
      <c r="D1936">
        <f t="shared" si="121"/>
        <v>243</v>
      </c>
      <c r="E1936">
        <f t="shared" si="122"/>
        <v>243000000</v>
      </c>
      <c r="F1936">
        <f t="shared" si="123"/>
        <v>116640000</v>
      </c>
    </row>
    <row r="1937" ht="13.85" spans="1:6">
      <c r="A1937">
        <f t="shared" si="120"/>
        <v>1936</v>
      </c>
      <c r="B1937" s="24">
        <v>4368361</v>
      </c>
      <c r="C1937" s="11">
        <v>257</v>
      </c>
      <c r="D1937">
        <f t="shared" si="121"/>
        <v>257</v>
      </c>
      <c r="E1937">
        <f t="shared" si="122"/>
        <v>257000000</v>
      </c>
      <c r="F1937">
        <f t="shared" si="123"/>
        <v>123360000</v>
      </c>
    </row>
    <row r="1938" ht="13.85" spans="1:6">
      <c r="A1938">
        <f t="shared" si="120"/>
        <v>1937</v>
      </c>
      <c r="B1938" s="24">
        <v>4869927</v>
      </c>
      <c r="C1938" s="11">
        <v>288</v>
      </c>
      <c r="D1938">
        <f t="shared" si="121"/>
        <v>288</v>
      </c>
      <c r="E1938">
        <f t="shared" si="122"/>
        <v>288000000</v>
      </c>
      <c r="F1938">
        <f t="shared" si="123"/>
        <v>138240000</v>
      </c>
    </row>
    <row r="1939" ht="13.85" spans="1:6">
      <c r="A1939">
        <f t="shared" si="120"/>
        <v>1938</v>
      </c>
      <c r="B1939" s="24">
        <v>4244942</v>
      </c>
      <c r="C1939" s="11">
        <v>311</v>
      </c>
      <c r="D1939">
        <f t="shared" si="121"/>
        <v>311</v>
      </c>
      <c r="E1939">
        <f t="shared" si="122"/>
        <v>311000000</v>
      </c>
      <c r="F1939">
        <f t="shared" si="123"/>
        <v>149280000</v>
      </c>
    </row>
    <row r="1940" ht="13.85" spans="1:6">
      <c r="A1940">
        <f t="shared" si="120"/>
        <v>1939</v>
      </c>
      <c r="B1940" s="24">
        <v>4822969</v>
      </c>
      <c r="C1940" s="11">
        <v>333</v>
      </c>
      <c r="D1940">
        <f t="shared" si="121"/>
        <v>333</v>
      </c>
      <c r="E1940">
        <f t="shared" si="122"/>
        <v>333000000</v>
      </c>
      <c r="F1940">
        <f t="shared" si="123"/>
        <v>159840000</v>
      </c>
    </row>
    <row r="1941" ht="13.85" spans="1:6">
      <c r="A1941">
        <f t="shared" si="120"/>
        <v>1940</v>
      </c>
      <c r="B1941" s="24">
        <v>4648849</v>
      </c>
      <c r="C1941" s="11">
        <v>361</v>
      </c>
      <c r="D1941">
        <f t="shared" si="121"/>
        <v>361</v>
      </c>
      <c r="E1941">
        <f t="shared" si="122"/>
        <v>361000000</v>
      </c>
      <c r="F1941">
        <f t="shared" si="123"/>
        <v>173280000</v>
      </c>
    </row>
    <row r="1942" ht="13.85" spans="1:6">
      <c r="A1942">
        <f t="shared" si="120"/>
        <v>1941</v>
      </c>
      <c r="B1942" s="24">
        <v>5286268</v>
      </c>
      <c r="C1942" s="11">
        <v>390</v>
      </c>
      <c r="D1942">
        <f t="shared" si="121"/>
        <v>390</v>
      </c>
      <c r="E1942">
        <f t="shared" si="122"/>
        <v>390000000</v>
      </c>
      <c r="F1942">
        <f t="shared" si="123"/>
        <v>187200000</v>
      </c>
    </row>
    <row r="1943" ht="13.85" spans="1:6">
      <c r="A1943">
        <f t="shared" si="120"/>
        <v>1942</v>
      </c>
      <c r="B1943" s="24">
        <v>7061377</v>
      </c>
      <c r="C1943" s="11">
        <v>422</v>
      </c>
      <c r="D1943">
        <f t="shared" si="121"/>
        <v>422</v>
      </c>
      <c r="E1943">
        <f t="shared" si="122"/>
        <v>422000000</v>
      </c>
      <c r="F1943">
        <f t="shared" si="123"/>
        <v>202560000</v>
      </c>
    </row>
    <row r="1944" ht="13.85" spans="1:6">
      <c r="A1944">
        <f t="shared" si="120"/>
        <v>1943</v>
      </c>
      <c r="B1944" s="24">
        <v>9400694</v>
      </c>
      <c r="C1944" s="27">
        <v>487</v>
      </c>
      <c r="D1944">
        <f t="shared" si="121"/>
        <v>487</v>
      </c>
      <c r="E1944">
        <f t="shared" si="122"/>
        <v>487000000</v>
      </c>
      <c r="F1944">
        <f t="shared" si="123"/>
        <v>233760000</v>
      </c>
    </row>
    <row r="1945" ht="13.85" spans="1:6">
      <c r="A1945">
        <f t="shared" si="120"/>
        <v>1944</v>
      </c>
      <c r="B1945" s="24">
        <v>2704867</v>
      </c>
      <c r="C1945" s="11">
        <v>40</v>
      </c>
      <c r="D1945">
        <f t="shared" si="121"/>
        <v>40</v>
      </c>
      <c r="E1945">
        <f t="shared" si="122"/>
        <v>40000000</v>
      </c>
      <c r="F1945">
        <f t="shared" si="123"/>
        <v>19200000</v>
      </c>
    </row>
    <row r="1946" ht="13.85" spans="1:6">
      <c r="A1946">
        <f t="shared" si="120"/>
        <v>1945</v>
      </c>
      <c r="B1946" s="24">
        <v>2976605</v>
      </c>
      <c r="C1946" s="11">
        <v>52</v>
      </c>
      <c r="D1946">
        <f t="shared" si="121"/>
        <v>52</v>
      </c>
      <c r="E1946">
        <f t="shared" si="122"/>
        <v>52000000</v>
      </c>
      <c r="F1946">
        <f t="shared" si="123"/>
        <v>24960000</v>
      </c>
    </row>
    <row r="1947" ht="13.85" spans="1:6">
      <c r="A1947">
        <f t="shared" si="120"/>
        <v>1946</v>
      </c>
      <c r="B1947" s="24">
        <v>2665046</v>
      </c>
      <c r="C1947" s="11">
        <v>67</v>
      </c>
      <c r="D1947">
        <f t="shared" si="121"/>
        <v>67</v>
      </c>
      <c r="E1947">
        <f t="shared" si="122"/>
        <v>67000000</v>
      </c>
      <c r="F1947">
        <f t="shared" si="123"/>
        <v>32160000</v>
      </c>
    </row>
    <row r="1948" ht="13.85" spans="1:6">
      <c r="A1948">
        <f t="shared" si="120"/>
        <v>1947</v>
      </c>
      <c r="B1948" s="24">
        <v>3070202</v>
      </c>
      <c r="C1948" s="11">
        <v>82</v>
      </c>
      <c r="D1948">
        <f t="shared" si="121"/>
        <v>82</v>
      </c>
      <c r="E1948">
        <f t="shared" si="122"/>
        <v>82000000</v>
      </c>
      <c r="F1948">
        <f t="shared" si="123"/>
        <v>39360000</v>
      </c>
    </row>
    <row r="1949" ht="13.85" spans="1:6">
      <c r="A1949">
        <f t="shared" si="120"/>
        <v>1948</v>
      </c>
      <c r="B1949" s="24">
        <v>2770792</v>
      </c>
      <c r="C1949" s="11">
        <v>94</v>
      </c>
      <c r="D1949">
        <f t="shared" si="121"/>
        <v>94</v>
      </c>
      <c r="E1949">
        <f t="shared" si="122"/>
        <v>94000000</v>
      </c>
      <c r="F1949">
        <f t="shared" si="123"/>
        <v>45120000</v>
      </c>
    </row>
    <row r="1950" ht="13.85" spans="1:6">
      <c r="A1950">
        <f t="shared" si="120"/>
        <v>1949</v>
      </c>
      <c r="B1950" s="24">
        <v>3233267</v>
      </c>
      <c r="C1950" s="11">
        <v>110</v>
      </c>
      <c r="D1950">
        <f t="shared" si="121"/>
        <v>110</v>
      </c>
      <c r="E1950">
        <f t="shared" si="122"/>
        <v>110000000</v>
      </c>
      <c r="F1950">
        <f t="shared" si="123"/>
        <v>52800000</v>
      </c>
    </row>
    <row r="1951" ht="13.85" spans="1:6">
      <c r="A1951">
        <f t="shared" si="120"/>
        <v>1950</v>
      </c>
      <c r="B1951" s="24">
        <v>2907726</v>
      </c>
      <c r="C1951" s="11">
        <v>127</v>
      </c>
      <c r="D1951">
        <f t="shared" si="121"/>
        <v>127</v>
      </c>
      <c r="E1951">
        <f t="shared" si="122"/>
        <v>127000000</v>
      </c>
      <c r="F1951">
        <f t="shared" si="123"/>
        <v>60960000</v>
      </c>
    </row>
    <row r="1952" ht="13.85" spans="1:6">
      <c r="A1952">
        <f t="shared" si="120"/>
        <v>1951</v>
      </c>
      <c r="B1952" s="24">
        <v>3314556</v>
      </c>
      <c r="C1952" s="11">
        <v>142</v>
      </c>
      <c r="D1952">
        <f t="shared" si="121"/>
        <v>142</v>
      </c>
      <c r="E1952">
        <f t="shared" si="122"/>
        <v>142000000</v>
      </c>
      <c r="F1952">
        <f t="shared" si="123"/>
        <v>68160000</v>
      </c>
    </row>
    <row r="1953" ht="13.85" spans="1:6">
      <c r="A1953">
        <f t="shared" si="120"/>
        <v>1952</v>
      </c>
      <c r="B1953" s="24">
        <v>2993551</v>
      </c>
      <c r="C1953" s="11">
        <v>154</v>
      </c>
      <c r="D1953">
        <f t="shared" si="121"/>
        <v>154</v>
      </c>
      <c r="E1953">
        <f t="shared" si="122"/>
        <v>154000000</v>
      </c>
      <c r="F1953">
        <f t="shared" si="123"/>
        <v>73920000</v>
      </c>
    </row>
    <row r="1954" ht="13.85" spans="1:6">
      <c r="A1954">
        <f t="shared" si="120"/>
        <v>1953</v>
      </c>
      <c r="B1954" s="24">
        <v>3559387</v>
      </c>
      <c r="C1954" s="11">
        <v>170</v>
      </c>
      <c r="D1954">
        <f t="shared" si="121"/>
        <v>170</v>
      </c>
      <c r="E1954">
        <f t="shared" si="122"/>
        <v>170000000</v>
      </c>
      <c r="F1954">
        <f t="shared" si="123"/>
        <v>81600000</v>
      </c>
    </row>
    <row r="1955" ht="13.85" spans="1:6">
      <c r="A1955">
        <f t="shared" si="120"/>
        <v>1954</v>
      </c>
      <c r="B1955" s="24">
        <v>3121924</v>
      </c>
      <c r="C1955" s="11">
        <v>186</v>
      </c>
      <c r="D1955">
        <f t="shared" si="121"/>
        <v>186</v>
      </c>
      <c r="E1955">
        <f t="shared" si="122"/>
        <v>186000000</v>
      </c>
      <c r="F1955">
        <f t="shared" si="123"/>
        <v>89280000</v>
      </c>
    </row>
    <row r="1956" ht="13.85" spans="1:6">
      <c r="A1956">
        <f t="shared" si="120"/>
        <v>1955</v>
      </c>
      <c r="B1956" s="24">
        <v>3724955</v>
      </c>
      <c r="C1956" s="11">
        <v>205</v>
      </c>
      <c r="D1956">
        <f t="shared" si="121"/>
        <v>205</v>
      </c>
      <c r="E1956">
        <f t="shared" si="122"/>
        <v>205000000</v>
      </c>
      <c r="F1956">
        <f t="shared" si="123"/>
        <v>98400000</v>
      </c>
    </row>
    <row r="1957" ht="13.85" spans="1:6">
      <c r="A1957">
        <f t="shared" si="120"/>
        <v>1956</v>
      </c>
      <c r="B1957" s="24">
        <v>3493659</v>
      </c>
      <c r="C1957" s="11">
        <v>222</v>
      </c>
      <c r="D1957">
        <f t="shared" si="121"/>
        <v>222</v>
      </c>
      <c r="E1957">
        <f t="shared" si="122"/>
        <v>222000000</v>
      </c>
      <c r="F1957">
        <f t="shared" si="123"/>
        <v>106560000</v>
      </c>
    </row>
    <row r="1958" ht="13.85" spans="1:6">
      <c r="A1958">
        <f t="shared" si="120"/>
        <v>1957</v>
      </c>
      <c r="B1958" s="24">
        <v>3971731</v>
      </c>
      <c r="C1958" s="11">
        <v>244</v>
      </c>
      <c r="D1958">
        <f t="shared" si="121"/>
        <v>244</v>
      </c>
      <c r="E1958">
        <f t="shared" si="122"/>
        <v>244000000</v>
      </c>
      <c r="F1958">
        <f t="shared" si="123"/>
        <v>117120000</v>
      </c>
    </row>
    <row r="1959" ht="13.85" spans="1:6">
      <c r="A1959">
        <f t="shared" si="120"/>
        <v>1958</v>
      </c>
      <c r="B1959" s="24">
        <v>2311038</v>
      </c>
      <c r="C1959" s="11">
        <v>40</v>
      </c>
      <c r="D1959">
        <f t="shared" si="121"/>
        <v>40</v>
      </c>
      <c r="E1959">
        <f t="shared" si="122"/>
        <v>40000000</v>
      </c>
      <c r="F1959">
        <f t="shared" si="123"/>
        <v>19200000</v>
      </c>
    </row>
    <row r="1960" ht="13.85" spans="1:6">
      <c r="A1960">
        <f t="shared" si="120"/>
        <v>1959</v>
      </c>
      <c r="B1960" s="24">
        <v>2652582</v>
      </c>
      <c r="C1960" s="11">
        <v>50</v>
      </c>
      <c r="D1960">
        <f t="shared" si="121"/>
        <v>50</v>
      </c>
      <c r="E1960">
        <f t="shared" si="122"/>
        <v>50000000</v>
      </c>
      <c r="F1960">
        <f t="shared" si="123"/>
        <v>24000000</v>
      </c>
    </row>
    <row r="1961" ht="13.85" spans="1:6">
      <c r="A1961">
        <f t="shared" si="120"/>
        <v>1960</v>
      </c>
      <c r="B1961" s="24">
        <v>2416779</v>
      </c>
      <c r="C1961" s="11">
        <v>60</v>
      </c>
      <c r="D1961">
        <f t="shared" si="121"/>
        <v>60</v>
      </c>
      <c r="E1961">
        <f t="shared" si="122"/>
        <v>60000000</v>
      </c>
      <c r="F1961">
        <f t="shared" si="123"/>
        <v>28800000</v>
      </c>
    </row>
    <row r="1962" ht="13.85" spans="1:6">
      <c r="A1962">
        <f t="shared" si="120"/>
        <v>1961</v>
      </c>
      <c r="B1962" s="24">
        <v>2883956</v>
      </c>
      <c r="C1962" s="11">
        <v>70</v>
      </c>
      <c r="D1962">
        <f t="shared" si="121"/>
        <v>70</v>
      </c>
      <c r="E1962">
        <f t="shared" si="122"/>
        <v>70000000</v>
      </c>
      <c r="F1962">
        <f t="shared" si="123"/>
        <v>33600000</v>
      </c>
    </row>
    <row r="1963" ht="13.85" spans="1:6">
      <c r="A1963">
        <f t="shared" si="120"/>
        <v>1962</v>
      </c>
      <c r="B1963" s="24">
        <v>2553941</v>
      </c>
      <c r="C1963" s="15">
        <v>80</v>
      </c>
      <c r="D1963">
        <f t="shared" si="121"/>
        <v>80</v>
      </c>
      <c r="E1963">
        <f t="shared" si="122"/>
        <v>80000000</v>
      </c>
      <c r="F1963">
        <f t="shared" si="123"/>
        <v>38400000</v>
      </c>
    </row>
    <row r="1964" ht="13.85" spans="1:6">
      <c r="A1964">
        <f t="shared" si="120"/>
        <v>1963</v>
      </c>
      <c r="B1964" s="24">
        <v>2805904</v>
      </c>
      <c r="C1964" s="13">
        <v>91</v>
      </c>
      <c r="D1964">
        <f t="shared" si="121"/>
        <v>91</v>
      </c>
      <c r="E1964">
        <f t="shared" si="122"/>
        <v>91000000</v>
      </c>
      <c r="F1964">
        <f t="shared" si="123"/>
        <v>43680000</v>
      </c>
    </row>
    <row r="1965" ht="13.85" spans="1:6">
      <c r="A1965">
        <f t="shared" si="120"/>
        <v>1964</v>
      </c>
      <c r="B1965" s="24">
        <v>2658174</v>
      </c>
      <c r="C1965" s="11">
        <v>107</v>
      </c>
      <c r="D1965">
        <f t="shared" si="121"/>
        <v>107</v>
      </c>
      <c r="E1965">
        <f t="shared" si="122"/>
        <v>107000000</v>
      </c>
      <c r="F1965">
        <f t="shared" si="123"/>
        <v>51360000</v>
      </c>
    </row>
    <row r="1966" ht="13.85" spans="1:6">
      <c r="A1966">
        <f t="shared" si="120"/>
        <v>1965</v>
      </c>
      <c r="B1966" s="24">
        <v>3066567</v>
      </c>
      <c r="C1966" s="11">
        <v>122</v>
      </c>
      <c r="D1966">
        <f t="shared" si="121"/>
        <v>122</v>
      </c>
      <c r="E1966">
        <f t="shared" si="122"/>
        <v>122000000</v>
      </c>
      <c r="F1966">
        <f t="shared" si="123"/>
        <v>58560000</v>
      </c>
    </row>
    <row r="1967" ht="13.85" spans="1:6">
      <c r="A1967">
        <f t="shared" si="120"/>
        <v>1966</v>
      </c>
      <c r="B1967" s="24">
        <v>2770496</v>
      </c>
      <c r="C1967" s="11">
        <v>136</v>
      </c>
      <c r="D1967">
        <f t="shared" si="121"/>
        <v>136</v>
      </c>
      <c r="E1967">
        <f t="shared" si="122"/>
        <v>136000000</v>
      </c>
      <c r="F1967">
        <f t="shared" si="123"/>
        <v>65280000</v>
      </c>
    </row>
    <row r="1968" ht="13.85" spans="1:6">
      <c r="A1968">
        <f t="shared" si="120"/>
        <v>1967</v>
      </c>
      <c r="B1968" s="24">
        <v>3173518</v>
      </c>
      <c r="C1968" s="11">
        <v>151</v>
      </c>
      <c r="D1968">
        <f t="shared" si="121"/>
        <v>151</v>
      </c>
      <c r="E1968">
        <f t="shared" si="122"/>
        <v>151000000</v>
      </c>
      <c r="F1968">
        <f t="shared" si="123"/>
        <v>72480000</v>
      </c>
    </row>
    <row r="1969" ht="13.85" spans="1:6">
      <c r="A1969">
        <f t="shared" si="120"/>
        <v>1968</v>
      </c>
      <c r="B1969" s="24">
        <v>2900486</v>
      </c>
      <c r="C1969" s="11">
        <v>164</v>
      </c>
      <c r="D1969">
        <f t="shared" si="121"/>
        <v>164</v>
      </c>
      <c r="E1969">
        <f t="shared" si="122"/>
        <v>164000000</v>
      </c>
      <c r="F1969">
        <f t="shared" si="123"/>
        <v>78720000</v>
      </c>
    </row>
    <row r="1970" ht="13.85" spans="1:6">
      <c r="A1970">
        <f t="shared" si="120"/>
        <v>1969</v>
      </c>
      <c r="B1970" s="24">
        <v>3310695</v>
      </c>
      <c r="C1970" s="11">
        <v>180</v>
      </c>
      <c r="D1970">
        <f t="shared" si="121"/>
        <v>180</v>
      </c>
      <c r="E1970">
        <f t="shared" si="122"/>
        <v>180000000</v>
      </c>
      <c r="F1970">
        <f t="shared" si="123"/>
        <v>86400000</v>
      </c>
    </row>
    <row r="1971" ht="13.85" spans="1:6">
      <c r="A1971">
        <f t="shared" si="120"/>
        <v>1970</v>
      </c>
      <c r="B1971" s="24">
        <v>3228429</v>
      </c>
      <c r="C1971" s="11">
        <v>198</v>
      </c>
      <c r="D1971">
        <f t="shared" si="121"/>
        <v>198</v>
      </c>
      <c r="E1971">
        <f t="shared" si="122"/>
        <v>198000000</v>
      </c>
      <c r="F1971">
        <f t="shared" si="123"/>
        <v>95040000</v>
      </c>
    </row>
    <row r="1972" ht="13.85" spans="1:6">
      <c r="A1972">
        <f t="shared" si="120"/>
        <v>1971</v>
      </c>
      <c r="B1972" s="24">
        <v>3802515</v>
      </c>
      <c r="C1972" s="11">
        <v>217</v>
      </c>
      <c r="D1972">
        <f t="shared" si="121"/>
        <v>217</v>
      </c>
      <c r="E1972">
        <f t="shared" si="122"/>
        <v>217000000</v>
      </c>
      <c r="F1972">
        <f t="shared" si="123"/>
        <v>104160000</v>
      </c>
    </row>
    <row r="1973" ht="13.85" spans="1:6">
      <c r="A1973">
        <f t="shared" si="120"/>
        <v>1972</v>
      </c>
      <c r="B1973" s="24">
        <v>3502988</v>
      </c>
      <c r="C1973" s="11">
        <v>236</v>
      </c>
      <c r="D1973">
        <f t="shared" si="121"/>
        <v>236</v>
      </c>
      <c r="E1973">
        <f t="shared" si="122"/>
        <v>236000000</v>
      </c>
      <c r="F1973">
        <f t="shared" si="123"/>
        <v>113280000</v>
      </c>
    </row>
    <row r="1974" ht="13.85" spans="1:6">
      <c r="A1974">
        <f t="shared" si="120"/>
        <v>1973</v>
      </c>
      <c r="B1974" s="24">
        <v>4013756</v>
      </c>
      <c r="C1974" s="11">
        <v>258</v>
      </c>
      <c r="D1974">
        <f t="shared" si="121"/>
        <v>258</v>
      </c>
      <c r="E1974">
        <f t="shared" si="122"/>
        <v>258000000</v>
      </c>
      <c r="F1974">
        <f t="shared" si="123"/>
        <v>123840000</v>
      </c>
    </row>
    <row r="1975" ht="13.85" spans="1:6">
      <c r="A1975">
        <f t="shared" si="120"/>
        <v>1974</v>
      </c>
      <c r="B1975" s="24">
        <v>4017932</v>
      </c>
      <c r="C1975" s="11">
        <v>293</v>
      </c>
      <c r="D1975">
        <f t="shared" si="121"/>
        <v>293</v>
      </c>
      <c r="E1975">
        <f t="shared" si="122"/>
        <v>293000000</v>
      </c>
      <c r="F1975">
        <f t="shared" si="123"/>
        <v>140640000</v>
      </c>
    </row>
    <row r="1976" ht="13.85" spans="1:6">
      <c r="A1976">
        <f t="shared" si="120"/>
        <v>1975</v>
      </c>
      <c r="B1976" s="24">
        <v>4818669</v>
      </c>
      <c r="C1976" s="11">
        <v>320</v>
      </c>
      <c r="D1976">
        <f t="shared" si="121"/>
        <v>320</v>
      </c>
      <c r="E1976">
        <f t="shared" si="122"/>
        <v>320000000</v>
      </c>
      <c r="F1976">
        <f t="shared" si="123"/>
        <v>153600000</v>
      </c>
    </row>
    <row r="1977" ht="13.85" spans="1:6">
      <c r="A1977">
        <f t="shared" si="120"/>
        <v>1976</v>
      </c>
      <c r="B1977" s="24">
        <v>5500368</v>
      </c>
      <c r="C1977" s="11">
        <v>359</v>
      </c>
      <c r="D1977">
        <f t="shared" si="121"/>
        <v>359</v>
      </c>
      <c r="E1977">
        <f t="shared" si="122"/>
        <v>359000000</v>
      </c>
      <c r="F1977">
        <f t="shared" si="123"/>
        <v>172320000</v>
      </c>
    </row>
    <row r="1978" ht="13.85" spans="1:6">
      <c r="A1978">
        <f t="shared" si="120"/>
        <v>1977</v>
      </c>
      <c r="B1978" s="24">
        <v>6840650</v>
      </c>
      <c r="C1978" s="11">
        <v>420.9</v>
      </c>
      <c r="D1978">
        <f t="shared" si="121"/>
        <v>420.9</v>
      </c>
      <c r="E1978">
        <f t="shared" si="122"/>
        <v>420900000</v>
      </c>
      <c r="F1978">
        <f t="shared" si="123"/>
        <v>202032000</v>
      </c>
    </row>
    <row r="1979" ht="13.85" spans="1:6">
      <c r="A1979">
        <f t="shared" si="120"/>
        <v>1978</v>
      </c>
      <c r="B1979" s="24">
        <v>2351607</v>
      </c>
      <c r="C1979" s="11">
        <v>40</v>
      </c>
      <c r="D1979">
        <f t="shared" si="121"/>
        <v>40</v>
      </c>
      <c r="E1979">
        <f t="shared" si="122"/>
        <v>40000000</v>
      </c>
      <c r="F1979">
        <f t="shared" si="123"/>
        <v>19200000</v>
      </c>
    </row>
    <row r="1980" ht="13.85" spans="1:6">
      <c r="A1980">
        <f t="shared" si="120"/>
        <v>1979</v>
      </c>
      <c r="B1980" s="24">
        <v>2793293</v>
      </c>
      <c r="C1980" s="11">
        <v>54</v>
      </c>
      <c r="D1980">
        <f t="shared" si="121"/>
        <v>54</v>
      </c>
      <c r="E1980">
        <f t="shared" si="122"/>
        <v>54000000</v>
      </c>
      <c r="F1980">
        <f t="shared" si="123"/>
        <v>25920000</v>
      </c>
    </row>
    <row r="1981" ht="13.85" spans="1:6">
      <c r="A1981">
        <f t="shared" si="120"/>
        <v>1980</v>
      </c>
      <c r="B1981" s="24">
        <v>2499693</v>
      </c>
      <c r="C1981" s="11">
        <v>67</v>
      </c>
      <c r="D1981">
        <f t="shared" si="121"/>
        <v>67</v>
      </c>
      <c r="E1981">
        <f t="shared" si="122"/>
        <v>67000000</v>
      </c>
      <c r="F1981">
        <f t="shared" si="123"/>
        <v>32160000</v>
      </c>
    </row>
    <row r="1982" ht="13.85" spans="1:6">
      <c r="A1982">
        <f t="shared" si="120"/>
        <v>1981</v>
      </c>
      <c r="B1982" s="24">
        <v>2860048</v>
      </c>
      <c r="C1982" s="11">
        <v>85</v>
      </c>
      <c r="D1982">
        <f t="shared" si="121"/>
        <v>85</v>
      </c>
      <c r="E1982">
        <f t="shared" si="122"/>
        <v>85000000</v>
      </c>
      <c r="F1982">
        <f t="shared" si="123"/>
        <v>40800000</v>
      </c>
    </row>
    <row r="1983" ht="13.85" spans="1:6">
      <c r="A1983">
        <f t="shared" si="120"/>
        <v>1982</v>
      </c>
      <c r="B1983" s="24">
        <v>2804505</v>
      </c>
      <c r="C1983" s="11">
        <v>100</v>
      </c>
      <c r="D1983">
        <f t="shared" si="121"/>
        <v>100</v>
      </c>
      <c r="E1983">
        <f t="shared" si="122"/>
        <v>100000000</v>
      </c>
      <c r="F1983">
        <f t="shared" si="123"/>
        <v>48000000</v>
      </c>
    </row>
    <row r="1984" ht="13.85" spans="1:6">
      <c r="A1984">
        <f t="shared" si="120"/>
        <v>1983</v>
      </c>
      <c r="B1984" s="24">
        <v>3126813</v>
      </c>
      <c r="C1984" s="11">
        <v>121.6</v>
      </c>
      <c r="D1984">
        <f t="shared" si="121"/>
        <v>121.6</v>
      </c>
      <c r="E1984">
        <f t="shared" si="122"/>
        <v>121600000</v>
      </c>
      <c r="F1984">
        <f t="shared" si="123"/>
        <v>58368000</v>
      </c>
    </row>
    <row r="1985" ht="13.85" spans="1:6">
      <c r="A1985">
        <f t="shared" si="120"/>
        <v>1984</v>
      </c>
      <c r="B1985" s="24">
        <v>2373591</v>
      </c>
      <c r="C1985" s="11">
        <v>40</v>
      </c>
      <c r="D1985">
        <f t="shared" si="121"/>
        <v>40</v>
      </c>
      <c r="E1985">
        <f t="shared" si="122"/>
        <v>40000000</v>
      </c>
      <c r="F1985">
        <f t="shared" si="123"/>
        <v>19200000</v>
      </c>
    </row>
    <row r="1986" ht="13.85" spans="1:6">
      <c r="A1986">
        <f t="shared" ref="A1986:A2049" si="124">ROW()-1</f>
        <v>1985</v>
      </c>
      <c r="B1986" s="24">
        <v>3015772</v>
      </c>
      <c r="C1986" s="11">
        <v>50</v>
      </c>
      <c r="D1986">
        <f t="shared" ref="D1986:D2049" si="125">IF(RIGHT(C1986,1)="B",VALUE(LEFT(C1986,LEN(C1986)-1))*1000,C1986)</f>
        <v>50</v>
      </c>
      <c r="E1986">
        <f t="shared" ref="E1986:E2049" si="126">D1986*1000000</f>
        <v>50000000</v>
      </c>
      <c r="F1986">
        <f t="shared" ref="F1986:F2049" si="127">E1986*0.48</f>
        <v>24000000</v>
      </c>
    </row>
    <row r="1987" ht="13.85" spans="1:6">
      <c r="A1987">
        <f t="shared" si="124"/>
        <v>1986</v>
      </c>
      <c r="B1987" s="24">
        <v>2370877</v>
      </c>
      <c r="C1987" s="11">
        <v>60</v>
      </c>
      <c r="D1987">
        <f t="shared" si="125"/>
        <v>60</v>
      </c>
      <c r="E1987">
        <f t="shared" si="126"/>
        <v>60000000</v>
      </c>
      <c r="F1987">
        <f t="shared" si="127"/>
        <v>28800000</v>
      </c>
    </row>
    <row r="1988" ht="13.85" spans="1:6">
      <c r="A1988">
        <f t="shared" si="124"/>
        <v>1987</v>
      </c>
      <c r="B1988" s="24">
        <v>3258262</v>
      </c>
      <c r="C1988" s="11">
        <v>70</v>
      </c>
      <c r="D1988">
        <f t="shared" si="125"/>
        <v>70</v>
      </c>
      <c r="E1988">
        <f t="shared" si="126"/>
        <v>70000000</v>
      </c>
      <c r="F1988">
        <f t="shared" si="127"/>
        <v>33600000</v>
      </c>
    </row>
    <row r="1989" ht="13.85" spans="1:6">
      <c r="A1989">
        <f t="shared" si="124"/>
        <v>1988</v>
      </c>
      <c r="B1989" s="24">
        <v>2473928</v>
      </c>
      <c r="C1989" s="11">
        <v>80</v>
      </c>
      <c r="D1989">
        <f t="shared" si="125"/>
        <v>80</v>
      </c>
      <c r="E1989">
        <f t="shared" si="126"/>
        <v>80000000</v>
      </c>
      <c r="F1989">
        <f t="shared" si="127"/>
        <v>38400000</v>
      </c>
    </row>
    <row r="1990" ht="13.85" spans="1:6">
      <c r="A1990">
        <f t="shared" si="124"/>
        <v>1989</v>
      </c>
      <c r="B1990" s="24">
        <v>2702423</v>
      </c>
      <c r="C1990" s="11">
        <v>94</v>
      </c>
      <c r="D1990">
        <f t="shared" si="125"/>
        <v>94</v>
      </c>
      <c r="E1990">
        <f t="shared" si="126"/>
        <v>94000000</v>
      </c>
      <c r="F1990">
        <f t="shared" si="127"/>
        <v>45120000</v>
      </c>
    </row>
    <row r="1991" ht="13.85" spans="1:6">
      <c r="A1991">
        <f t="shared" si="124"/>
        <v>1990</v>
      </c>
      <c r="B1991" s="24">
        <v>2645418</v>
      </c>
      <c r="C1991" s="11">
        <v>106</v>
      </c>
      <c r="D1991">
        <f t="shared" si="125"/>
        <v>106</v>
      </c>
      <c r="E1991">
        <f t="shared" si="126"/>
        <v>106000000</v>
      </c>
      <c r="F1991">
        <f t="shared" si="127"/>
        <v>50880000</v>
      </c>
    </row>
    <row r="1992" ht="13.85" spans="1:6">
      <c r="A1992">
        <f t="shared" si="124"/>
        <v>1991</v>
      </c>
      <c r="B1992" s="24">
        <v>3175470</v>
      </c>
      <c r="C1992" s="11">
        <v>121</v>
      </c>
      <c r="D1992">
        <f t="shared" si="125"/>
        <v>121</v>
      </c>
      <c r="E1992">
        <f t="shared" si="126"/>
        <v>121000000</v>
      </c>
      <c r="F1992">
        <f t="shared" si="127"/>
        <v>58080000</v>
      </c>
    </row>
    <row r="1993" ht="13.85" spans="1:6">
      <c r="A1993">
        <f t="shared" si="124"/>
        <v>1992</v>
      </c>
      <c r="B1993" s="24">
        <v>2800057</v>
      </c>
      <c r="C1993" s="11">
        <v>135</v>
      </c>
      <c r="D1993">
        <f t="shared" si="125"/>
        <v>135</v>
      </c>
      <c r="E1993">
        <f t="shared" si="126"/>
        <v>135000000</v>
      </c>
      <c r="F1993">
        <f t="shared" si="127"/>
        <v>64800000</v>
      </c>
    </row>
    <row r="1994" ht="13.85" spans="1:6">
      <c r="A1994">
        <f t="shared" si="124"/>
        <v>1993</v>
      </c>
      <c r="B1994" s="24">
        <v>3238280</v>
      </c>
      <c r="C1994" s="11">
        <v>153</v>
      </c>
      <c r="D1994">
        <f t="shared" si="125"/>
        <v>153</v>
      </c>
      <c r="E1994">
        <f t="shared" si="126"/>
        <v>153000000</v>
      </c>
      <c r="F1994">
        <f t="shared" si="127"/>
        <v>73440000</v>
      </c>
    </row>
    <row r="1995" ht="13.85" spans="1:6">
      <c r="A1995">
        <f t="shared" si="124"/>
        <v>1994</v>
      </c>
      <c r="B1995" s="24">
        <v>2962730</v>
      </c>
      <c r="C1995" s="11">
        <v>170</v>
      </c>
      <c r="D1995">
        <f t="shared" si="125"/>
        <v>170</v>
      </c>
      <c r="E1995">
        <f t="shared" si="126"/>
        <v>170000000</v>
      </c>
      <c r="F1995">
        <f t="shared" si="127"/>
        <v>81600000</v>
      </c>
    </row>
    <row r="1996" ht="13.85" spans="1:6">
      <c r="A1996">
        <f t="shared" si="124"/>
        <v>1995</v>
      </c>
      <c r="B1996" s="24">
        <v>3484916</v>
      </c>
      <c r="C1996" s="11">
        <v>187</v>
      </c>
      <c r="D1996">
        <f t="shared" si="125"/>
        <v>187</v>
      </c>
      <c r="E1996">
        <f t="shared" si="126"/>
        <v>187000000</v>
      </c>
      <c r="F1996">
        <f t="shared" si="127"/>
        <v>89760000</v>
      </c>
    </row>
    <row r="1997" ht="13.85" spans="1:6">
      <c r="A1997">
        <f t="shared" si="124"/>
        <v>1996</v>
      </c>
      <c r="B1997" s="24">
        <v>3529639</v>
      </c>
      <c r="C1997" s="11">
        <v>206</v>
      </c>
      <c r="D1997">
        <f t="shared" si="125"/>
        <v>206</v>
      </c>
      <c r="E1997">
        <f t="shared" si="126"/>
        <v>206000000</v>
      </c>
      <c r="F1997">
        <f t="shared" si="127"/>
        <v>98880000</v>
      </c>
    </row>
    <row r="1998" ht="13.85" spans="1:6">
      <c r="A1998">
        <f t="shared" si="124"/>
        <v>1997</v>
      </c>
      <c r="B1998" s="24">
        <v>4201107</v>
      </c>
      <c r="C1998" s="11">
        <v>229</v>
      </c>
      <c r="D1998">
        <f t="shared" si="125"/>
        <v>229</v>
      </c>
      <c r="E1998">
        <f t="shared" si="126"/>
        <v>229000000</v>
      </c>
      <c r="F1998">
        <f t="shared" si="127"/>
        <v>109920000</v>
      </c>
    </row>
    <row r="1999" ht="13.85" spans="1:6">
      <c r="A1999">
        <f t="shared" si="124"/>
        <v>1998</v>
      </c>
      <c r="B1999" s="24">
        <v>4066235</v>
      </c>
      <c r="C1999" s="11">
        <v>255</v>
      </c>
      <c r="D1999">
        <f t="shared" si="125"/>
        <v>255</v>
      </c>
      <c r="E1999">
        <f t="shared" si="126"/>
        <v>255000000</v>
      </c>
      <c r="F1999">
        <f t="shared" si="127"/>
        <v>122400000</v>
      </c>
    </row>
    <row r="2000" ht="13.85" spans="1:6">
      <c r="A2000">
        <f t="shared" si="124"/>
        <v>1999</v>
      </c>
      <c r="B2000" s="24">
        <v>4652739</v>
      </c>
      <c r="C2000" s="11">
        <v>285</v>
      </c>
      <c r="D2000">
        <f t="shared" si="125"/>
        <v>285</v>
      </c>
      <c r="E2000">
        <f t="shared" si="126"/>
        <v>285000000</v>
      </c>
      <c r="F2000">
        <f t="shared" si="127"/>
        <v>136800000</v>
      </c>
    </row>
    <row r="2001" ht="13.85" spans="1:6">
      <c r="A2001">
        <f t="shared" si="124"/>
        <v>2000</v>
      </c>
      <c r="B2001" s="24">
        <v>5153428</v>
      </c>
      <c r="C2001" s="11">
        <v>310</v>
      </c>
      <c r="D2001">
        <f t="shared" si="125"/>
        <v>310</v>
      </c>
      <c r="E2001">
        <f t="shared" si="126"/>
        <v>310000000</v>
      </c>
      <c r="F2001">
        <f t="shared" si="127"/>
        <v>148800000</v>
      </c>
    </row>
    <row r="2002" ht="13.85" spans="1:6">
      <c r="A2002">
        <f t="shared" si="124"/>
        <v>2001</v>
      </c>
      <c r="B2002" s="24">
        <v>6274039</v>
      </c>
      <c r="C2002" s="11">
        <v>349</v>
      </c>
      <c r="D2002">
        <f t="shared" si="125"/>
        <v>349</v>
      </c>
      <c r="E2002">
        <f t="shared" si="126"/>
        <v>349000000</v>
      </c>
      <c r="F2002">
        <f t="shared" si="127"/>
        <v>167520000</v>
      </c>
    </row>
    <row r="2003" ht="13.85" spans="1:6">
      <c r="A2003">
        <f t="shared" si="124"/>
        <v>2002</v>
      </c>
      <c r="B2003" s="24">
        <v>10185004</v>
      </c>
      <c r="C2003" s="27">
        <v>435.3</v>
      </c>
      <c r="D2003">
        <f t="shared" si="125"/>
        <v>435.3</v>
      </c>
      <c r="E2003">
        <f t="shared" si="126"/>
        <v>435300000</v>
      </c>
      <c r="F2003">
        <f t="shared" si="127"/>
        <v>208944000</v>
      </c>
    </row>
    <row r="2004" ht="13.85" spans="1:6">
      <c r="A2004">
        <f t="shared" si="124"/>
        <v>2003</v>
      </c>
      <c r="B2004" s="24">
        <v>2910938</v>
      </c>
      <c r="C2004" s="11">
        <v>40</v>
      </c>
      <c r="D2004">
        <f t="shared" si="125"/>
        <v>40</v>
      </c>
      <c r="E2004">
        <f t="shared" si="126"/>
        <v>40000000</v>
      </c>
      <c r="F2004">
        <f t="shared" si="127"/>
        <v>19200000</v>
      </c>
    </row>
    <row r="2005" ht="13.85" spans="1:6">
      <c r="A2005">
        <f t="shared" si="124"/>
        <v>2004</v>
      </c>
      <c r="B2005" s="24">
        <v>2648030</v>
      </c>
      <c r="C2005" s="11">
        <v>53</v>
      </c>
      <c r="D2005">
        <f t="shared" si="125"/>
        <v>53</v>
      </c>
      <c r="E2005">
        <f t="shared" si="126"/>
        <v>53000000</v>
      </c>
      <c r="F2005">
        <f t="shared" si="127"/>
        <v>25440000</v>
      </c>
    </row>
    <row r="2006" ht="13.85" spans="1:6">
      <c r="A2006">
        <f t="shared" si="124"/>
        <v>2005</v>
      </c>
      <c r="B2006" s="24">
        <v>3154145</v>
      </c>
      <c r="C2006" s="11">
        <v>68</v>
      </c>
      <c r="D2006">
        <f t="shared" si="125"/>
        <v>68</v>
      </c>
      <c r="E2006">
        <f t="shared" si="126"/>
        <v>68000000</v>
      </c>
      <c r="F2006">
        <f t="shared" si="127"/>
        <v>32640000</v>
      </c>
    </row>
    <row r="2007" ht="13.85" spans="1:6">
      <c r="A2007">
        <f t="shared" si="124"/>
        <v>2006</v>
      </c>
      <c r="B2007" s="24">
        <v>2847616</v>
      </c>
      <c r="C2007" s="11">
        <v>85</v>
      </c>
      <c r="D2007">
        <f t="shared" si="125"/>
        <v>85</v>
      </c>
      <c r="E2007">
        <f t="shared" si="126"/>
        <v>85000000</v>
      </c>
      <c r="F2007">
        <f t="shared" si="127"/>
        <v>40800000</v>
      </c>
    </row>
    <row r="2008" ht="13.85" spans="1:6">
      <c r="A2008">
        <f t="shared" si="124"/>
        <v>2007</v>
      </c>
      <c r="B2008" s="24">
        <v>3344208</v>
      </c>
      <c r="C2008" s="11">
        <v>104</v>
      </c>
      <c r="D2008">
        <f t="shared" si="125"/>
        <v>104</v>
      </c>
      <c r="E2008">
        <f t="shared" si="126"/>
        <v>104000000</v>
      </c>
      <c r="F2008">
        <f t="shared" si="127"/>
        <v>49920000</v>
      </c>
    </row>
    <row r="2009" ht="13.85" spans="1:6">
      <c r="A2009">
        <f t="shared" si="124"/>
        <v>2008</v>
      </c>
      <c r="B2009" s="24">
        <v>2995984</v>
      </c>
      <c r="C2009" s="11">
        <v>123</v>
      </c>
      <c r="D2009">
        <f t="shared" si="125"/>
        <v>123</v>
      </c>
      <c r="E2009">
        <f t="shared" si="126"/>
        <v>123000000</v>
      </c>
      <c r="F2009">
        <f t="shared" si="127"/>
        <v>59040000</v>
      </c>
    </row>
    <row r="2010" ht="13.85" spans="1:6">
      <c r="A2010">
        <f t="shared" si="124"/>
        <v>2009</v>
      </c>
      <c r="B2010" s="24">
        <v>3486217</v>
      </c>
      <c r="C2010" s="11">
        <v>141</v>
      </c>
      <c r="D2010">
        <f t="shared" si="125"/>
        <v>141</v>
      </c>
      <c r="E2010">
        <f t="shared" si="126"/>
        <v>141000000</v>
      </c>
      <c r="F2010">
        <f t="shared" si="127"/>
        <v>67680000</v>
      </c>
    </row>
    <row r="2011" ht="13.85" spans="1:6">
      <c r="A2011">
        <f t="shared" si="124"/>
        <v>2010</v>
      </c>
      <c r="B2011" s="24">
        <v>3161182</v>
      </c>
      <c r="C2011" s="11">
        <v>155</v>
      </c>
      <c r="D2011">
        <f t="shared" si="125"/>
        <v>155</v>
      </c>
      <c r="E2011">
        <f t="shared" si="126"/>
        <v>155000000</v>
      </c>
      <c r="F2011">
        <f t="shared" si="127"/>
        <v>74400000</v>
      </c>
    </row>
    <row r="2012" ht="13.85" spans="1:6">
      <c r="A2012">
        <f t="shared" si="124"/>
        <v>2011</v>
      </c>
      <c r="B2012" s="24">
        <v>2775694</v>
      </c>
      <c r="C2012" s="11">
        <v>40</v>
      </c>
      <c r="D2012">
        <f t="shared" si="125"/>
        <v>40</v>
      </c>
      <c r="E2012">
        <f t="shared" si="126"/>
        <v>40000000</v>
      </c>
      <c r="F2012">
        <f t="shared" si="127"/>
        <v>19200000</v>
      </c>
    </row>
    <row r="2013" ht="13.85" spans="1:6">
      <c r="A2013">
        <f t="shared" si="124"/>
        <v>2012</v>
      </c>
      <c r="B2013" s="24">
        <v>2421512</v>
      </c>
      <c r="C2013" s="11">
        <v>50</v>
      </c>
      <c r="D2013">
        <f t="shared" si="125"/>
        <v>50</v>
      </c>
      <c r="E2013">
        <f t="shared" si="126"/>
        <v>50000000</v>
      </c>
      <c r="F2013">
        <f t="shared" si="127"/>
        <v>24000000</v>
      </c>
    </row>
    <row r="2014" ht="13.85" spans="1:6">
      <c r="A2014">
        <f t="shared" si="124"/>
        <v>2013</v>
      </c>
      <c r="B2014" s="24">
        <v>2840504</v>
      </c>
      <c r="C2014" s="11">
        <v>60</v>
      </c>
      <c r="D2014">
        <f t="shared" si="125"/>
        <v>60</v>
      </c>
      <c r="E2014">
        <f t="shared" si="126"/>
        <v>60000000</v>
      </c>
      <c r="F2014">
        <f t="shared" si="127"/>
        <v>28800000</v>
      </c>
    </row>
    <row r="2015" ht="13.85" spans="1:6">
      <c r="A2015">
        <f t="shared" si="124"/>
        <v>2014</v>
      </c>
      <c r="B2015" s="24">
        <v>2379140</v>
      </c>
      <c r="C2015" s="11">
        <v>40</v>
      </c>
      <c r="D2015">
        <f t="shared" si="125"/>
        <v>40</v>
      </c>
      <c r="E2015">
        <f t="shared" si="126"/>
        <v>40000000</v>
      </c>
      <c r="F2015">
        <f t="shared" si="127"/>
        <v>19200000</v>
      </c>
    </row>
    <row r="2016" ht="13.85" spans="1:6">
      <c r="A2016">
        <f t="shared" si="124"/>
        <v>2015</v>
      </c>
      <c r="B2016" s="24">
        <v>2703745</v>
      </c>
      <c r="C2016" s="11">
        <v>50</v>
      </c>
      <c r="D2016">
        <f t="shared" si="125"/>
        <v>50</v>
      </c>
      <c r="E2016">
        <f t="shared" si="126"/>
        <v>50000000</v>
      </c>
      <c r="F2016">
        <f t="shared" si="127"/>
        <v>24000000</v>
      </c>
    </row>
    <row r="2017" ht="13.85" spans="1:6">
      <c r="A2017">
        <f t="shared" si="124"/>
        <v>2016</v>
      </c>
      <c r="B2017" s="24">
        <v>2440268</v>
      </c>
      <c r="C2017" s="11">
        <v>60</v>
      </c>
      <c r="D2017">
        <f t="shared" si="125"/>
        <v>60</v>
      </c>
      <c r="E2017">
        <f t="shared" si="126"/>
        <v>60000000</v>
      </c>
      <c r="F2017">
        <f t="shared" si="127"/>
        <v>28800000</v>
      </c>
    </row>
    <row r="2018" ht="13.85" spans="1:6">
      <c r="A2018">
        <f t="shared" si="124"/>
        <v>2017</v>
      </c>
      <c r="B2018" s="24">
        <v>2771396</v>
      </c>
      <c r="C2018" s="11">
        <v>70</v>
      </c>
      <c r="D2018">
        <f t="shared" si="125"/>
        <v>70</v>
      </c>
      <c r="E2018">
        <f t="shared" si="126"/>
        <v>70000000</v>
      </c>
      <c r="F2018">
        <f t="shared" si="127"/>
        <v>33600000</v>
      </c>
    </row>
    <row r="2019" ht="13.85" spans="1:6">
      <c r="A2019">
        <f t="shared" si="124"/>
        <v>2018</v>
      </c>
      <c r="B2019" s="24">
        <v>2514027</v>
      </c>
      <c r="C2019" s="11">
        <v>80</v>
      </c>
      <c r="D2019">
        <f t="shared" si="125"/>
        <v>80</v>
      </c>
      <c r="E2019">
        <f t="shared" si="126"/>
        <v>80000000</v>
      </c>
      <c r="F2019">
        <f t="shared" si="127"/>
        <v>38400000</v>
      </c>
    </row>
    <row r="2020" ht="13.85" spans="1:6">
      <c r="A2020">
        <f t="shared" si="124"/>
        <v>2019</v>
      </c>
      <c r="B2020" s="24">
        <v>2909522</v>
      </c>
      <c r="C2020" s="11">
        <v>90</v>
      </c>
      <c r="D2020">
        <f t="shared" si="125"/>
        <v>90</v>
      </c>
      <c r="E2020">
        <f t="shared" si="126"/>
        <v>90000000</v>
      </c>
      <c r="F2020">
        <f t="shared" si="127"/>
        <v>43200000</v>
      </c>
    </row>
    <row r="2021" ht="13.85" spans="1:6">
      <c r="A2021">
        <f t="shared" si="124"/>
        <v>2020</v>
      </c>
      <c r="B2021" s="24">
        <v>2782692</v>
      </c>
      <c r="C2021" s="11">
        <v>100</v>
      </c>
      <c r="D2021">
        <f t="shared" si="125"/>
        <v>100</v>
      </c>
      <c r="E2021">
        <f t="shared" si="126"/>
        <v>100000000</v>
      </c>
      <c r="F2021">
        <f t="shared" si="127"/>
        <v>48000000</v>
      </c>
    </row>
    <row r="2022" ht="13.85" spans="1:6">
      <c r="A2022">
        <f t="shared" si="124"/>
        <v>2021</v>
      </c>
      <c r="B2022" s="24">
        <v>3192494</v>
      </c>
      <c r="C2022" s="11">
        <v>113</v>
      </c>
      <c r="D2022">
        <f t="shared" si="125"/>
        <v>113</v>
      </c>
      <c r="E2022">
        <f t="shared" si="126"/>
        <v>113000000</v>
      </c>
      <c r="F2022">
        <f t="shared" si="127"/>
        <v>54240000</v>
      </c>
    </row>
    <row r="2023" ht="13.85" spans="1:6">
      <c r="A2023">
        <f t="shared" si="124"/>
        <v>2022</v>
      </c>
      <c r="B2023" s="24">
        <v>2991480</v>
      </c>
      <c r="C2023" s="11">
        <v>130</v>
      </c>
      <c r="D2023">
        <f t="shared" si="125"/>
        <v>130</v>
      </c>
      <c r="E2023">
        <f t="shared" si="126"/>
        <v>130000000</v>
      </c>
      <c r="F2023">
        <f t="shared" si="127"/>
        <v>62400000</v>
      </c>
    </row>
    <row r="2024" ht="13.85" spans="1:6">
      <c r="A2024">
        <f t="shared" si="124"/>
        <v>2023</v>
      </c>
      <c r="B2024" s="24">
        <v>3368587</v>
      </c>
      <c r="C2024" s="11">
        <v>147</v>
      </c>
      <c r="D2024">
        <f t="shared" si="125"/>
        <v>147</v>
      </c>
      <c r="E2024">
        <f t="shared" si="126"/>
        <v>147000000</v>
      </c>
      <c r="F2024">
        <f t="shared" si="127"/>
        <v>70560000</v>
      </c>
    </row>
    <row r="2025" ht="13.85" spans="1:6">
      <c r="A2025">
        <f t="shared" si="124"/>
        <v>2024</v>
      </c>
      <c r="B2025" s="24">
        <v>3149523</v>
      </c>
      <c r="C2025" s="11">
        <v>165</v>
      </c>
      <c r="D2025">
        <f t="shared" si="125"/>
        <v>165</v>
      </c>
      <c r="E2025">
        <f t="shared" si="126"/>
        <v>165000000</v>
      </c>
      <c r="F2025">
        <f t="shared" si="127"/>
        <v>79200000</v>
      </c>
    </row>
    <row r="2026" ht="13.85" spans="1:6">
      <c r="A2026">
        <f t="shared" si="124"/>
        <v>2025</v>
      </c>
      <c r="B2026" s="24">
        <v>3574279</v>
      </c>
      <c r="C2026" s="11">
        <v>184</v>
      </c>
      <c r="D2026">
        <f t="shared" si="125"/>
        <v>184</v>
      </c>
      <c r="E2026">
        <f t="shared" si="126"/>
        <v>184000000</v>
      </c>
      <c r="F2026">
        <f t="shared" si="127"/>
        <v>88320000</v>
      </c>
    </row>
    <row r="2027" ht="13.85" spans="1:6">
      <c r="A2027">
        <f t="shared" si="124"/>
        <v>2026</v>
      </c>
      <c r="B2027" s="24">
        <v>3594560</v>
      </c>
      <c r="C2027" s="11">
        <v>204</v>
      </c>
      <c r="D2027">
        <f t="shared" si="125"/>
        <v>204</v>
      </c>
      <c r="E2027">
        <f t="shared" si="126"/>
        <v>204000000</v>
      </c>
      <c r="F2027">
        <f t="shared" si="127"/>
        <v>97920000</v>
      </c>
    </row>
    <row r="2028" ht="13.85" spans="1:6">
      <c r="A2028">
        <f t="shared" si="124"/>
        <v>2027</v>
      </c>
      <c r="B2028" s="24">
        <v>4058813</v>
      </c>
      <c r="C2028" s="11">
        <v>228</v>
      </c>
      <c r="D2028">
        <f t="shared" si="125"/>
        <v>228</v>
      </c>
      <c r="E2028">
        <f t="shared" si="126"/>
        <v>228000000</v>
      </c>
      <c r="F2028">
        <f t="shared" si="127"/>
        <v>109440000</v>
      </c>
    </row>
    <row r="2029" ht="13.85" spans="1:6">
      <c r="A2029">
        <f t="shared" si="124"/>
        <v>2028</v>
      </c>
      <c r="B2029" s="24">
        <v>3873175</v>
      </c>
      <c r="C2029" s="11">
        <v>250</v>
      </c>
      <c r="D2029">
        <f t="shared" si="125"/>
        <v>250</v>
      </c>
      <c r="E2029">
        <f t="shared" si="126"/>
        <v>250000000</v>
      </c>
      <c r="F2029">
        <f t="shared" si="127"/>
        <v>120000000</v>
      </c>
    </row>
    <row r="2030" ht="13.85" spans="1:6">
      <c r="A2030">
        <f t="shared" si="124"/>
        <v>2029</v>
      </c>
      <c r="B2030" s="24">
        <v>4468048</v>
      </c>
      <c r="C2030" s="11">
        <v>275</v>
      </c>
      <c r="D2030">
        <f t="shared" si="125"/>
        <v>275</v>
      </c>
      <c r="E2030">
        <f t="shared" si="126"/>
        <v>275000000</v>
      </c>
      <c r="F2030">
        <f t="shared" si="127"/>
        <v>132000000</v>
      </c>
    </row>
    <row r="2031" ht="13.85" spans="1:6">
      <c r="A2031">
        <f t="shared" si="124"/>
        <v>2030</v>
      </c>
      <c r="B2031" s="24">
        <v>4780775</v>
      </c>
      <c r="C2031" s="11">
        <v>302</v>
      </c>
      <c r="D2031">
        <f t="shared" si="125"/>
        <v>302</v>
      </c>
      <c r="E2031">
        <f t="shared" si="126"/>
        <v>302000000</v>
      </c>
      <c r="F2031">
        <f t="shared" si="127"/>
        <v>144960000</v>
      </c>
    </row>
    <row r="2032" ht="13.85" spans="1:6">
      <c r="A2032">
        <f t="shared" si="124"/>
        <v>2031</v>
      </c>
      <c r="B2032" s="24">
        <v>6005951</v>
      </c>
      <c r="C2032" s="11">
        <v>337</v>
      </c>
      <c r="D2032">
        <f t="shared" si="125"/>
        <v>337</v>
      </c>
      <c r="E2032">
        <f t="shared" si="126"/>
        <v>337000000</v>
      </c>
      <c r="F2032">
        <f t="shared" si="127"/>
        <v>161760000</v>
      </c>
    </row>
    <row r="2033" ht="13.85" spans="1:6">
      <c r="A2033">
        <f t="shared" si="124"/>
        <v>2032</v>
      </c>
      <c r="B2033" s="24">
        <v>6474800</v>
      </c>
      <c r="C2033" s="11">
        <v>375</v>
      </c>
      <c r="D2033">
        <f t="shared" si="125"/>
        <v>375</v>
      </c>
      <c r="E2033">
        <f t="shared" si="126"/>
        <v>375000000</v>
      </c>
      <c r="F2033">
        <f t="shared" si="127"/>
        <v>180000000</v>
      </c>
    </row>
    <row r="2034" ht="13.85" spans="1:6">
      <c r="A2034">
        <f t="shared" si="124"/>
        <v>2033</v>
      </c>
      <c r="B2034" s="24">
        <v>9453046</v>
      </c>
      <c r="C2034" s="11">
        <v>448.7</v>
      </c>
      <c r="D2034">
        <f t="shared" si="125"/>
        <v>448.7</v>
      </c>
      <c r="E2034">
        <f t="shared" si="126"/>
        <v>448700000</v>
      </c>
      <c r="F2034">
        <f t="shared" si="127"/>
        <v>215376000</v>
      </c>
    </row>
    <row r="2035" ht="13.85" spans="1:6">
      <c r="A2035">
        <f t="shared" si="124"/>
        <v>2034</v>
      </c>
      <c r="B2035" s="24">
        <v>2426778</v>
      </c>
      <c r="C2035" s="11">
        <v>40</v>
      </c>
      <c r="D2035">
        <f t="shared" si="125"/>
        <v>40</v>
      </c>
      <c r="E2035">
        <f t="shared" si="126"/>
        <v>40000000</v>
      </c>
      <c r="F2035">
        <f t="shared" si="127"/>
        <v>19200000</v>
      </c>
    </row>
    <row r="2036" ht="13.85" spans="1:6">
      <c r="A2036">
        <f t="shared" si="124"/>
        <v>2035</v>
      </c>
      <c r="B2036" s="24">
        <v>2770104</v>
      </c>
      <c r="C2036" s="11">
        <v>52</v>
      </c>
      <c r="D2036">
        <f t="shared" si="125"/>
        <v>52</v>
      </c>
      <c r="E2036">
        <f t="shared" si="126"/>
        <v>52000000</v>
      </c>
      <c r="F2036">
        <f t="shared" si="127"/>
        <v>24960000</v>
      </c>
    </row>
    <row r="2037" ht="13.85" spans="1:6">
      <c r="A2037">
        <f t="shared" si="124"/>
        <v>2036</v>
      </c>
      <c r="B2037" s="24">
        <v>2461796</v>
      </c>
      <c r="C2037" s="11">
        <v>64</v>
      </c>
      <c r="D2037">
        <f t="shared" si="125"/>
        <v>64</v>
      </c>
      <c r="E2037">
        <f t="shared" si="126"/>
        <v>64000000</v>
      </c>
      <c r="F2037">
        <f t="shared" si="127"/>
        <v>30720000</v>
      </c>
    </row>
    <row r="2038" ht="13.85" spans="1:6">
      <c r="A2038">
        <f t="shared" si="124"/>
        <v>2037</v>
      </c>
      <c r="B2038" s="24">
        <v>2811853</v>
      </c>
      <c r="C2038" s="11">
        <v>79</v>
      </c>
      <c r="D2038">
        <f t="shared" si="125"/>
        <v>79</v>
      </c>
      <c r="E2038">
        <f t="shared" si="126"/>
        <v>79000000</v>
      </c>
      <c r="F2038">
        <f t="shared" si="127"/>
        <v>37920000</v>
      </c>
    </row>
    <row r="2039" ht="13.85" spans="1:6">
      <c r="A2039">
        <f t="shared" si="124"/>
        <v>2038</v>
      </c>
      <c r="B2039" s="24">
        <v>2584623</v>
      </c>
      <c r="C2039" s="11">
        <v>92</v>
      </c>
      <c r="D2039">
        <f t="shared" si="125"/>
        <v>92</v>
      </c>
      <c r="E2039">
        <f t="shared" si="126"/>
        <v>92000000</v>
      </c>
      <c r="F2039">
        <f t="shared" si="127"/>
        <v>44160000</v>
      </c>
    </row>
    <row r="2040" ht="13.85" spans="1:6">
      <c r="A2040">
        <f t="shared" si="124"/>
        <v>2039</v>
      </c>
      <c r="B2040" s="24">
        <v>3097862</v>
      </c>
      <c r="C2040" s="11">
        <v>106</v>
      </c>
      <c r="D2040">
        <f t="shared" si="125"/>
        <v>106</v>
      </c>
      <c r="E2040">
        <f t="shared" si="126"/>
        <v>106000000</v>
      </c>
      <c r="F2040">
        <f t="shared" si="127"/>
        <v>50880000</v>
      </c>
    </row>
    <row r="2041" ht="13.85" spans="1:6">
      <c r="A2041">
        <f t="shared" si="124"/>
        <v>2040</v>
      </c>
      <c r="B2041" s="24">
        <v>2649109</v>
      </c>
      <c r="C2041" s="11">
        <v>121</v>
      </c>
      <c r="D2041">
        <f t="shared" si="125"/>
        <v>121</v>
      </c>
      <c r="E2041">
        <f t="shared" si="126"/>
        <v>121000000</v>
      </c>
      <c r="F2041">
        <f t="shared" si="127"/>
        <v>58080000</v>
      </c>
    </row>
    <row r="2042" ht="13.85" spans="1:6">
      <c r="A2042">
        <f t="shared" si="124"/>
        <v>2041</v>
      </c>
      <c r="B2042" s="24">
        <v>3200108</v>
      </c>
      <c r="C2042" s="11">
        <v>140</v>
      </c>
      <c r="D2042">
        <f t="shared" si="125"/>
        <v>140</v>
      </c>
      <c r="E2042">
        <f t="shared" si="126"/>
        <v>140000000</v>
      </c>
      <c r="F2042">
        <f t="shared" si="127"/>
        <v>67200000</v>
      </c>
    </row>
    <row r="2043" ht="13.85" spans="1:6">
      <c r="A2043">
        <f t="shared" si="124"/>
        <v>2042</v>
      </c>
      <c r="B2043" s="24">
        <v>2936813</v>
      </c>
      <c r="C2043" s="11">
        <v>155</v>
      </c>
      <c r="D2043">
        <f t="shared" si="125"/>
        <v>155</v>
      </c>
      <c r="E2043">
        <f t="shared" si="126"/>
        <v>155000000</v>
      </c>
      <c r="F2043">
        <f t="shared" si="127"/>
        <v>74400000</v>
      </c>
    </row>
    <row r="2044" ht="13.85" spans="1:6">
      <c r="A2044">
        <f t="shared" si="124"/>
        <v>2043</v>
      </c>
      <c r="B2044" s="24">
        <v>3374244</v>
      </c>
      <c r="C2044" s="11">
        <v>172</v>
      </c>
      <c r="D2044">
        <f t="shared" si="125"/>
        <v>172</v>
      </c>
      <c r="E2044">
        <f t="shared" si="126"/>
        <v>172000000</v>
      </c>
      <c r="F2044">
        <f t="shared" si="127"/>
        <v>82560000</v>
      </c>
    </row>
    <row r="2045" ht="13.85" spans="1:6">
      <c r="A2045">
        <f t="shared" si="124"/>
        <v>2044</v>
      </c>
      <c r="B2045" s="24">
        <v>3092938</v>
      </c>
      <c r="C2045" s="11">
        <v>187</v>
      </c>
      <c r="D2045">
        <f t="shared" si="125"/>
        <v>187</v>
      </c>
      <c r="E2045">
        <f t="shared" si="126"/>
        <v>187000000</v>
      </c>
      <c r="F2045">
        <f t="shared" si="127"/>
        <v>89760000</v>
      </c>
    </row>
    <row r="2046" ht="13.85" spans="1:6">
      <c r="A2046">
        <f t="shared" si="124"/>
        <v>2045</v>
      </c>
      <c r="B2046" s="24">
        <v>3615234</v>
      </c>
      <c r="C2046" s="11">
        <v>205</v>
      </c>
      <c r="D2046">
        <f t="shared" si="125"/>
        <v>205</v>
      </c>
      <c r="E2046">
        <f t="shared" si="126"/>
        <v>205000000</v>
      </c>
      <c r="F2046">
        <f t="shared" si="127"/>
        <v>98400000</v>
      </c>
    </row>
    <row r="2047" ht="13.85" spans="1:6">
      <c r="A2047">
        <f t="shared" si="124"/>
        <v>2046</v>
      </c>
      <c r="B2047" s="24">
        <v>3375550</v>
      </c>
      <c r="C2047" s="11">
        <v>220</v>
      </c>
      <c r="D2047">
        <f t="shared" si="125"/>
        <v>220</v>
      </c>
      <c r="E2047">
        <f t="shared" si="126"/>
        <v>220000000</v>
      </c>
      <c r="F2047">
        <f t="shared" si="127"/>
        <v>105600000</v>
      </c>
    </row>
    <row r="2048" ht="13.85" spans="1:6">
      <c r="A2048">
        <f t="shared" si="124"/>
        <v>2047</v>
      </c>
      <c r="B2048" s="24">
        <v>3952777</v>
      </c>
      <c r="C2048" s="11">
        <v>239</v>
      </c>
      <c r="D2048">
        <f t="shared" si="125"/>
        <v>239</v>
      </c>
      <c r="E2048">
        <f t="shared" si="126"/>
        <v>239000000</v>
      </c>
      <c r="F2048">
        <f t="shared" si="127"/>
        <v>114720000</v>
      </c>
    </row>
    <row r="2049" ht="13.85" spans="1:6">
      <c r="A2049">
        <f t="shared" si="124"/>
        <v>2048</v>
      </c>
      <c r="B2049" s="24">
        <v>3778100</v>
      </c>
      <c r="C2049" s="11">
        <v>261</v>
      </c>
      <c r="D2049">
        <f t="shared" si="125"/>
        <v>261</v>
      </c>
      <c r="E2049">
        <f t="shared" si="126"/>
        <v>261000000</v>
      </c>
      <c r="F2049">
        <f t="shared" si="127"/>
        <v>125280000</v>
      </c>
    </row>
    <row r="2050" ht="13.85" spans="1:6">
      <c r="A2050">
        <f t="shared" ref="A2050:A2113" si="128">ROW()-1</f>
        <v>2049</v>
      </c>
      <c r="B2050" s="24">
        <v>5000291</v>
      </c>
      <c r="C2050" s="11">
        <v>286</v>
      </c>
      <c r="D2050">
        <f t="shared" ref="D2050:D2113" si="129">IF(RIGHT(C2050,1)="B",VALUE(LEFT(C2050,LEN(C2050)-1))*1000,C2050)</f>
        <v>286</v>
      </c>
      <c r="E2050">
        <f t="shared" ref="E2050:E2113" si="130">D2050*1000000</f>
        <v>286000000</v>
      </c>
      <c r="F2050">
        <f t="shared" ref="F2050:F2113" si="131">E2050*0.48</f>
        <v>137280000</v>
      </c>
    </row>
    <row r="2051" ht="13.85" spans="1:6">
      <c r="A2051">
        <f t="shared" si="128"/>
        <v>2050</v>
      </c>
      <c r="B2051" s="24">
        <v>5964993</v>
      </c>
      <c r="C2051" s="11">
        <v>307</v>
      </c>
      <c r="D2051">
        <f t="shared" si="129"/>
        <v>307</v>
      </c>
      <c r="E2051">
        <f t="shared" si="130"/>
        <v>307000000</v>
      </c>
      <c r="F2051">
        <f t="shared" si="131"/>
        <v>147360000</v>
      </c>
    </row>
    <row r="2052" ht="13.85" spans="1:6">
      <c r="A2052">
        <f t="shared" si="128"/>
        <v>2051</v>
      </c>
      <c r="B2052" s="24">
        <v>8149617</v>
      </c>
      <c r="C2052" s="11">
        <v>356</v>
      </c>
      <c r="D2052">
        <f t="shared" si="129"/>
        <v>356</v>
      </c>
      <c r="E2052">
        <f t="shared" si="130"/>
        <v>356000000</v>
      </c>
      <c r="F2052">
        <f t="shared" si="131"/>
        <v>170880000</v>
      </c>
    </row>
    <row r="2053" ht="13.85" spans="1:6">
      <c r="A2053">
        <f t="shared" si="128"/>
        <v>2052</v>
      </c>
      <c r="B2053" s="24">
        <v>9255981</v>
      </c>
      <c r="C2053" s="11">
        <v>430</v>
      </c>
      <c r="D2053">
        <f t="shared" si="129"/>
        <v>430</v>
      </c>
      <c r="E2053">
        <f t="shared" si="130"/>
        <v>430000000</v>
      </c>
      <c r="F2053">
        <f t="shared" si="131"/>
        <v>206400000</v>
      </c>
    </row>
    <row r="2054" ht="13.85" spans="1:6">
      <c r="A2054">
        <f t="shared" si="128"/>
        <v>2053</v>
      </c>
      <c r="B2054" s="24">
        <v>15519003</v>
      </c>
      <c r="C2054" s="11">
        <v>535</v>
      </c>
      <c r="D2054">
        <f t="shared" si="129"/>
        <v>535</v>
      </c>
      <c r="E2054">
        <f t="shared" si="130"/>
        <v>535000000</v>
      </c>
      <c r="F2054">
        <f t="shared" si="131"/>
        <v>256800000</v>
      </c>
    </row>
    <row r="2055" ht="13.85" spans="1:6">
      <c r="A2055">
        <f t="shared" si="128"/>
        <v>2054</v>
      </c>
      <c r="B2055" s="24">
        <v>29827564</v>
      </c>
      <c r="C2055" s="11">
        <v>758.7</v>
      </c>
      <c r="D2055">
        <f t="shared" si="129"/>
        <v>758.7</v>
      </c>
      <c r="E2055">
        <f t="shared" si="130"/>
        <v>758700000</v>
      </c>
      <c r="F2055">
        <f t="shared" si="131"/>
        <v>364176000</v>
      </c>
    </row>
    <row r="2056" ht="13.85" spans="1:6">
      <c r="A2056">
        <f t="shared" si="128"/>
        <v>2055</v>
      </c>
      <c r="B2056" s="24">
        <v>3293831</v>
      </c>
      <c r="C2056" s="11">
        <v>40</v>
      </c>
      <c r="D2056">
        <f t="shared" si="129"/>
        <v>40</v>
      </c>
      <c r="E2056">
        <f t="shared" si="130"/>
        <v>40000000</v>
      </c>
      <c r="F2056">
        <f t="shared" si="131"/>
        <v>19200000</v>
      </c>
    </row>
    <row r="2057" ht="13.85" spans="1:6">
      <c r="A2057">
        <f t="shared" si="128"/>
        <v>2056</v>
      </c>
      <c r="B2057" s="24">
        <v>2842126</v>
      </c>
      <c r="C2057" s="11">
        <v>53</v>
      </c>
      <c r="D2057">
        <f t="shared" si="129"/>
        <v>53</v>
      </c>
      <c r="E2057">
        <f t="shared" si="130"/>
        <v>53000000</v>
      </c>
      <c r="F2057">
        <f t="shared" si="131"/>
        <v>25440000</v>
      </c>
    </row>
    <row r="2058" ht="13.85" spans="1:6">
      <c r="A2058">
        <f t="shared" si="128"/>
        <v>2057</v>
      </c>
      <c r="B2058" s="24">
        <v>3324657</v>
      </c>
      <c r="C2058" s="11">
        <v>68</v>
      </c>
      <c r="D2058">
        <f t="shared" si="129"/>
        <v>68</v>
      </c>
      <c r="E2058">
        <f t="shared" si="130"/>
        <v>68000000</v>
      </c>
      <c r="F2058">
        <f t="shared" si="131"/>
        <v>32640000</v>
      </c>
    </row>
    <row r="2059" ht="13.85" spans="1:6">
      <c r="A2059">
        <f t="shared" si="128"/>
        <v>2058</v>
      </c>
      <c r="B2059" s="24">
        <v>2717247</v>
      </c>
      <c r="C2059" s="11">
        <v>83</v>
      </c>
      <c r="D2059">
        <f t="shared" si="129"/>
        <v>83</v>
      </c>
      <c r="E2059">
        <f t="shared" si="130"/>
        <v>83000000</v>
      </c>
      <c r="F2059">
        <f t="shared" si="131"/>
        <v>39840000</v>
      </c>
    </row>
    <row r="2060" ht="13.85" spans="1:6">
      <c r="A2060">
        <f t="shared" si="128"/>
        <v>2059</v>
      </c>
      <c r="B2060" s="24">
        <v>3176666</v>
      </c>
      <c r="C2060" s="11">
        <v>102</v>
      </c>
      <c r="D2060">
        <f t="shared" si="129"/>
        <v>102</v>
      </c>
      <c r="E2060">
        <f t="shared" si="130"/>
        <v>102000000</v>
      </c>
      <c r="F2060">
        <f t="shared" si="131"/>
        <v>48960000</v>
      </c>
    </row>
    <row r="2061" ht="13.85" spans="1:6">
      <c r="A2061">
        <f t="shared" si="128"/>
        <v>2060</v>
      </c>
      <c r="B2061" s="24">
        <v>2894781</v>
      </c>
      <c r="C2061" s="11">
        <v>115</v>
      </c>
      <c r="D2061">
        <f t="shared" si="129"/>
        <v>115</v>
      </c>
      <c r="E2061">
        <f t="shared" si="130"/>
        <v>115000000</v>
      </c>
      <c r="F2061">
        <f t="shared" si="131"/>
        <v>55200000</v>
      </c>
    </row>
    <row r="2062" ht="13.85" spans="1:6">
      <c r="A2062">
        <f t="shared" si="128"/>
        <v>2061</v>
      </c>
      <c r="B2062" s="24">
        <v>3344676</v>
      </c>
      <c r="C2062" s="11">
        <v>132</v>
      </c>
      <c r="D2062">
        <f t="shared" si="129"/>
        <v>132</v>
      </c>
      <c r="E2062">
        <f t="shared" si="130"/>
        <v>132000000</v>
      </c>
      <c r="F2062">
        <f t="shared" si="131"/>
        <v>63360000</v>
      </c>
    </row>
    <row r="2063" ht="13.85" spans="1:6">
      <c r="A2063">
        <f t="shared" si="128"/>
        <v>2062</v>
      </c>
      <c r="B2063" s="24">
        <v>2604402</v>
      </c>
      <c r="C2063" s="11">
        <v>40</v>
      </c>
      <c r="D2063">
        <f t="shared" si="129"/>
        <v>40</v>
      </c>
      <c r="E2063">
        <f t="shared" si="130"/>
        <v>40000000</v>
      </c>
      <c r="F2063">
        <f t="shared" si="131"/>
        <v>19200000</v>
      </c>
    </row>
    <row r="2064" ht="13.85" spans="1:6">
      <c r="A2064">
        <f t="shared" si="128"/>
        <v>2063</v>
      </c>
      <c r="B2064" s="24">
        <v>2572387</v>
      </c>
      <c r="C2064" s="11">
        <v>53</v>
      </c>
      <c r="D2064">
        <f t="shared" si="129"/>
        <v>53</v>
      </c>
      <c r="E2064">
        <f t="shared" si="130"/>
        <v>53000000</v>
      </c>
      <c r="F2064">
        <f t="shared" si="131"/>
        <v>25440000</v>
      </c>
    </row>
    <row r="2065" ht="13.85" spans="1:6">
      <c r="A2065">
        <f t="shared" si="128"/>
        <v>2064</v>
      </c>
      <c r="B2065" s="24">
        <v>2348361</v>
      </c>
      <c r="C2065" s="11">
        <v>66</v>
      </c>
      <c r="D2065">
        <f t="shared" si="129"/>
        <v>66</v>
      </c>
      <c r="E2065">
        <f t="shared" si="130"/>
        <v>66000000</v>
      </c>
      <c r="F2065">
        <f t="shared" si="131"/>
        <v>31680000</v>
      </c>
    </row>
    <row r="2066" ht="13.85" spans="1:6">
      <c r="A2066">
        <f t="shared" si="128"/>
        <v>2065</v>
      </c>
      <c r="B2066" s="24">
        <v>2723829</v>
      </c>
      <c r="C2066" s="11">
        <v>80</v>
      </c>
      <c r="D2066">
        <f t="shared" si="129"/>
        <v>80</v>
      </c>
      <c r="E2066">
        <f t="shared" si="130"/>
        <v>80000000</v>
      </c>
      <c r="F2066">
        <f t="shared" si="131"/>
        <v>38400000</v>
      </c>
    </row>
    <row r="2067" ht="13.85" spans="1:6">
      <c r="A2067">
        <f t="shared" si="128"/>
        <v>2066</v>
      </c>
      <c r="B2067" s="24">
        <v>2553726</v>
      </c>
      <c r="C2067" s="15">
        <v>94</v>
      </c>
      <c r="D2067">
        <f t="shared" si="129"/>
        <v>94</v>
      </c>
      <c r="E2067">
        <f t="shared" si="130"/>
        <v>94000000</v>
      </c>
      <c r="F2067">
        <f t="shared" si="131"/>
        <v>45120000</v>
      </c>
    </row>
    <row r="2068" ht="13.85" spans="1:6">
      <c r="A2068">
        <f t="shared" si="128"/>
        <v>2067</v>
      </c>
      <c r="B2068" s="24">
        <v>2919885</v>
      </c>
      <c r="C2068" s="13">
        <v>112</v>
      </c>
      <c r="D2068">
        <f t="shared" si="129"/>
        <v>112</v>
      </c>
      <c r="E2068">
        <f t="shared" si="130"/>
        <v>112000000</v>
      </c>
      <c r="F2068">
        <f t="shared" si="131"/>
        <v>53760000</v>
      </c>
    </row>
    <row r="2069" ht="13.85" spans="1:6">
      <c r="A2069">
        <f t="shared" si="128"/>
        <v>2068</v>
      </c>
      <c r="B2069" s="24">
        <v>2686743</v>
      </c>
      <c r="C2069" s="11">
        <v>128</v>
      </c>
      <c r="D2069">
        <f t="shared" si="129"/>
        <v>128</v>
      </c>
      <c r="E2069">
        <f t="shared" si="130"/>
        <v>128000000</v>
      </c>
      <c r="F2069">
        <f t="shared" si="131"/>
        <v>61440000</v>
      </c>
    </row>
    <row r="2070" ht="13.85" spans="1:6">
      <c r="A2070">
        <f t="shared" si="128"/>
        <v>2069</v>
      </c>
      <c r="B2070" s="24">
        <v>3061935</v>
      </c>
      <c r="C2070" s="11">
        <v>143</v>
      </c>
      <c r="D2070">
        <f t="shared" si="129"/>
        <v>143</v>
      </c>
      <c r="E2070">
        <f t="shared" si="130"/>
        <v>143000000</v>
      </c>
      <c r="F2070">
        <f t="shared" si="131"/>
        <v>68640000</v>
      </c>
    </row>
    <row r="2071" ht="13.85" spans="1:6">
      <c r="A2071">
        <f t="shared" si="128"/>
        <v>2070</v>
      </c>
      <c r="B2071" s="24">
        <v>2859066</v>
      </c>
      <c r="C2071" s="11">
        <v>156</v>
      </c>
      <c r="D2071">
        <f t="shared" si="129"/>
        <v>156</v>
      </c>
      <c r="E2071">
        <f t="shared" si="130"/>
        <v>156000000</v>
      </c>
      <c r="F2071">
        <f t="shared" si="131"/>
        <v>74880000</v>
      </c>
    </row>
    <row r="2072" ht="13.85" spans="1:6">
      <c r="A2072">
        <f t="shared" si="128"/>
        <v>2071</v>
      </c>
      <c r="B2072" s="24">
        <v>3233638</v>
      </c>
      <c r="C2072" s="11">
        <v>173</v>
      </c>
      <c r="D2072">
        <f t="shared" si="129"/>
        <v>173</v>
      </c>
      <c r="E2072">
        <f t="shared" si="130"/>
        <v>173000000</v>
      </c>
      <c r="F2072">
        <f t="shared" si="131"/>
        <v>83040000</v>
      </c>
    </row>
    <row r="2073" ht="13.85" spans="1:6">
      <c r="A2073">
        <f t="shared" si="128"/>
        <v>2072</v>
      </c>
      <c r="B2073" s="24">
        <v>3045883</v>
      </c>
      <c r="C2073" s="11">
        <v>191</v>
      </c>
      <c r="D2073">
        <f t="shared" si="129"/>
        <v>191</v>
      </c>
      <c r="E2073">
        <f t="shared" si="130"/>
        <v>191000000</v>
      </c>
      <c r="F2073">
        <f t="shared" si="131"/>
        <v>91680000</v>
      </c>
    </row>
    <row r="2074" ht="13.85" spans="1:6">
      <c r="A2074">
        <f t="shared" si="128"/>
        <v>2073</v>
      </c>
      <c r="B2074" s="24">
        <v>2465682</v>
      </c>
      <c r="C2074" s="11">
        <v>40</v>
      </c>
      <c r="D2074">
        <f t="shared" si="129"/>
        <v>40</v>
      </c>
      <c r="E2074">
        <f t="shared" si="130"/>
        <v>40000000</v>
      </c>
      <c r="F2074">
        <f t="shared" si="131"/>
        <v>19200000</v>
      </c>
    </row>
    <row r="2075" ht="13.85" spans="1:6">
      <c r="A2075">
        <f t="shared" si="128"/>
        <v>2074</v>
      </c>
      <c r="B2075" s="24">
        <v>2255609</v>
      </c>
      <c r="C2075" s="11">
        <v>52</v>
      </c>
      <c r="D2075">
        <f t="shared" si="129"/>
        <v>52</v>
      </c>
      <c r="E2075">
        <f t="shared" si="130"/>
        <v>52000000</v>
      </c>
      <c r="F2075">
        <f t="shared" si="131"/>
        <v>24960000</v>
      </c>
    </row>
    <row r="2076" ht="13.85" spans="1:6">
      <c r="A2076">
        <f t="shared" si="128"/>
        <v>2075</v>
      </c>
      <c r="B2076" s="24">
        <v>2584601</v>
      </c>
      <c r="C2076" s="11">
        <v>64</v>
      </c>
      <c r="D2076">
        <f t="shared" si="129"/>
        <v>64</v>
      </c>
      <c r="E2076">
        <f t="shared" si="130"/>
        <v>64000000</v>
      </c>
      <c r="F2076">
        <f t="shared" si="131"/>
        <v>30720000</v>
      </c>
    </row>
    <row r="2077" ht="13.85" spans="1:6">
      <c r="A2077">
        <f t="shared" si="128"/>
        <v>2076</v>
      </c>
      <c r="B2077" s="24">
        <v>2337920</v>
      </c>
      <c r="C2077" s="11">
        <v>75</v>
      </c>
      <c r="D2077">
        <f t="shared" si="129"/>
        <v>75</v>
      </c>
      <c r="E2077">
        <f t="shared" si="130"/>
        <v>75000000</v>
      </c>
      <c r="F2077">
        <f t="shared" si="131"/>
        <v>36000000</v>
      </c>
    </row>
    <row r="2078" ht="13.85" spans="1:6">
      <c r="A2078">
        <f t="shared" si="128"/>
        <v>2077</v>
      </c>
      <c r="B2078" s="24">
        <v>2627599</v>
      </c>
      <c r="C2078" s="11">
        <v>90</v>
      </c>
      <c r="D2078">
        <f t="shared" si="129"/>
        <v>90</v>
      </c>
      <c r="E2078">
        <f t="shared" si="130"/>
        <v>90000000</v>
      </c>
      <c r="F2078">
        <f t="shared" si="131"/>
        <v>43200000</v>
      </c>
    </row>
    <row r="2079" ht="13.85" spans="1:6">
      <c r="A2079">
        <f t="shared" si="128"/>
        <v>2078</v>
      </c>
      <c r="B2079" s="24">
        <v>2502567</v>
      </c>
      <c r="C2079" s="11">
        <v>103</v>
      </c>
      <c r="D2079">
        <f t="shared" si="129"/>
        <v>103</v>
      </c>
      <c r="E2079">
        <f t="shared" si="130"/>
        <v>103000000</v>
      </c>
      <c r="F2079">
        <f t="shared" si="131"/>
        <v>49440000</v>
      </c>
    </row>
    <row r="2080" ht="13.85" spans="1:6">
      <c r="A2080">
        <f t="shared" si="128"/>
        <v>2079</v>
      </c>
      <c r="B2080" s="24">
        <v>2807194</v>
      </c>
      <c r="C2080" s="11">
        <v>119</v>
      </c>
      <c r="D2080">
        <f t="shared" si="129"/>
        <v>119</v>
      </c>
      <c r="E2080">
        <f t="shared" si="130"/>
        <v>119000000</v>
      </c>
      <c r="F2080">
        <f t="shared" si="131"/>
        <v>57120000</v>
      </c>
    </row>
    <row r="2081" ht="13.85" spans="1:6">
      <c r="A2081">
        <f t="shared" si="128"/>
        <v>2080</v>
      </c>
      <c r="B2081" s="24">
        <v>2767370</v>
      </c>
      <c r="C2081" s="11">
        <v>134</v>
      </c>
      <c r="D2081">
        <f t="shared" si="129"/>
        <v>134</v>
      </c>
      <c r="E2081">
        <f t="shared" si="130"/>
        <v>134000000</v>
      </c>
      <c r="F2081">
        <f t="shared" si="131"/>
        <v>64320000</v>
      </c>
    </row>
    <row r="2082" ht="13.85" spans="1:6">
      <c r="A2082">
        <f t="shared" si="128"/>
        <v>2081</v>
      </c>
      <c r="B2082" s="24">
        <v>2721992</v>
      </c>
      <c r="C2082" s="11">
        <v>149</v>
      </c>
      <c r="D2082">
        <f t="shared" si="129"/>
        <v>149</v>
      </c>
      <c r="E2082">
        <f t="shared" si="130"/>
        <v>149000000</v>
      </c>
      <c r="F2082">
        <f t="shared" si="131"/>
        <v>71520000</v>
      </c>
    </row>
    <row r="2083" ht="13.85" spans="1:6">
      <c r="A2083">
        <f t="shared" si="128"/>
        <v>2082</v>
      </c>
      <c r="B2083" s="24">
        <v>2662866</v>
      </c>
      <c r="C2083" s="11">
        <v>163</v>
      </c>
      <c r="D2083">
        <f t="shared" si="129"/>
        <v>163</v>
      </c>
      <c r="E2083">
        <f t="shared" si="130"/>
        <v>163000000</v>
      </c>
      <c r="F2083">
        <f t="shared" si="131"/>
        <v>78240000</v>
      </c>
    </row>
    <row r="2084" ht="13.85" spans="1:6">
      <c r="A2084">
        <f t="shared" si="128"/>
        <v>2083</v>
      </c>
      <c r="B2084" s="24">
        <v>3144938</v>
      </c>
      <c r="C2084" s="11">
        <v>177</v>
      </c>
      <c r="D2084">
        <f t="shared" si="129"/>
        <v>177</v>
      </c>
      <c r="E2084">
        <f t="shared" si="130"/>
        <v>177000000</v>
      </c>
      <c r="F2084">
        <f t="shared" si="131"/>
        <v>84960000</v>
      </c>
    </row>
    <row r="2085" ht="13.85" spans="1:6">
      <c r="A2085">
        <f t="shared" si="128"/>
        <v>2084</v>
      </c>
      <c r="B2085" s="24">
        <v>3105536</v>
      </c>
      <c r="C2085" s="11">
        <v>193</v>
      </c>
      <c r="D2085">
        <f t="shared" si="129"/>
        <v>193</v>
      </c>
      <c r="E2085">
        <f t="shared" si="130"/>
        <v>193000000</v>
      </c>
      <c r="F2085">
        <f t="shared" si="131"/>
        <v>92640000</v>
      </c>
    </row>
    <row r="2086" ht="13.85" spans="1:6">
      <c r="A2086">
        <f t="shared" si="128"/>
        <v>2085</v>
      </c>
      <c r="B2086" s="24">
        <v>3510504</v>
      </c>
      <c r="C2086" s="11">
        <v>212</v>
      </c>
      <c r="D2086">
        <f t="shared" si="129"/>
        <v>212</v>
      </c>
      <c r="E2086">
        <f t="shared" si="130"/>
        <v>212000000</v>
      </c>
      <c r="F2086">
        <f t="shared" si="131"/>
        <v>101760000</v>
      </c>
    </row>
    <row r="2087" ht="13.85" spans="1:6">
      <c r="A2087">
        <f t="shared" si="128"/>
        <v>2086</v>
      </c>
      <c r="B2087" s="24">
        <v>3441040</v>
      </c>
      <c r="C2087" s="11">
        <v>229</v>
      </c>
      <c r="D2087">
        <f t="shared" si="129"/>
        <v>229</v>
      </c>
      <c r="E2087">
        <f t="shared" si="130"/>
        <v>229000000</v>
      </c>
      <c r="F2087">
        <f t="shared" si="131"/>
        <v>109920000</v>
      </c>
    </row>
    <row r="2088" ht="13.85" spans="1:6">
      <c r="A2088">
        <f t="shared" si="128"/>
        <v>2087</v>
      </c>
      <c r="B2088" s="24">
        <v>4039509</v>
      </c>
      <c r="C2088" s="11">
        <v>250</v>
      </c>
      <c r="D2088">
        <f t="shared" si="129"/>
        <v>250</v>
      </c>
      <c r="E2088">
        <f t="shared" si="130"/>
        <v>250000000</v>
      </c>
      <c r="F2088">
        <f t="shared" si="131"/>
        <v>120000000</v>
      </c>
    </row>
    <row r="2089" ht="13.85" spans="1:6">
      <c r="A2089">
        <f t="shared" si="128"/>
        <v>2088</v>
      </c>
      <c r="B2089" s="24">
        <v>4109136</v>
      </c>
      <c r="C2089" s="11">
        <v>269</v>
      </c>
      <c r="D2089">
        <f t="shared" si="129"/>
        <v>269</v>
      </c>
      <c r="E2089">
        <f t="shared" si="130"/>
        <v>269000000</v>
      </c>
      <c r="F2089">
        <f t="shared" si="131"/>
        <v>129120000</v>
      </c>
    </row>
    <row r="2090" ht="13.85" spans="1:6">
      <c r="A2090">
        <f t="shared" si="128"/>
        <v>2089</v>
      </c>
      <c r="B2090" s="24">
        <v>5417829</v>
      </c>
      <c r="C2090" s="11">
        <v>300</v>
      </c>
      <c r="D2090">
        <f t="shared" si="129"/>
        <v>300</v>
      </c>
      <c r="E2090">
        <f t="shared" si="130"/>
        <v>300000000</v>
      </c>
      <c r="F2090">
        <f t="shared" si="131"/>
        <v>144000000</v>
      </c>
    </row>
    <row r="2091" ht="13.85" spans="1:6">
      <c r="A2091">
        <f t="shared" si="128"/>
        <v>2090</v>
      </c>
      <c r="B2091" s="24">
        <v>5052494</v>
      </c>
      <c r="C2091" s="11">
        <v>337</v>
      </c>
      <c r="D2091">
        <f t="shared" si="129"/>
        <v>337</v>
      </c>
      <c r="E2091">
        <f t="shared" si="130"/>
        <v>337000000</v>
      </c>
      <c r="F2091">
        <f t="shared" si="131"/>
        <v>161760000</v>
      </c>
    </row>
    <row r="2092" ht="13.85" spans="1:6">
      <c r="A2092">
        <f t="shared" si="128"/>
        <v>2091</v>
      </c>
      <c r="B2092" s="24">
        <v>8661334</v>
      </c>
      <c r="C2092" s="11">
        <v>384</v>
      </c>
      <c r="D2092">
        <f t="shared" si="129"/>
        <v>384</v>
      </c>
      <c r="E2092">
        <f t="shared" si="130"/>
        <v>384000000</v>
      </c>
      <c r="F2092">
        <f t="shared" si="131"/>
        <v>184320000</v>
      </c>
    </row>
    <row r="2093" ht="13.85" spans="1:6">
      <c r="A2093">
        <f t="shared" si="128"/>
        <v>2092</v>
      </c>
      <c r="B2093" s="24">
        <v>10399717</v>
      </c>
      <c r="C2093" s="27">
        <v>460</v>
      </c>
      <c r="D2093">
        <f t="shared" si="129"/>
        <v>460</v>
      </c>
      <c r="E2093">
        <f t="shared" si="130"/>
        <v>460000000</v>
      </c>
      <c r="F2093">
        <f t="shared" si="131"/>
        <v>220800000</v>
      </c>
    </row>
    <row r="2094" ht="13.85" spans="1:6">
      <c r="A2094">
        <f t="shared" si="128"/>
        <v>2093</v>
      </c>
      <c r="B2094" s="24">
        <v>14415080</v>
      </c>
      <c r="C2094" s="27">
        <v>559.7</v>
      </c>
      <c r="D2094">
        <f t="shared" si="129"/>
        <v>559.7</v>
      </c>
      <c r="E2094">
        <f t="shared" si="130"/>
        <v>559700000</v>
      </c>
      <c r="F2094">
        <f t="shared" si="131"/>
        <v>268656000</v>
      </c>
    </row>
    <row r="2095" ht="13.85" spans="1:6">
      <c r="A2095">
        <f t="shared" si="128"/>
        <v>2094</v>
      </c>
      <c r="B2095" s="24">
        <v>2788211</v>
      </c>
      <c r="C2095" s="11">
        <v>40</v>
      </c>
      <c r="D2095">
        <f t="shared" si="129"/>
        <v>40</v>
      </c>
      <c r="E2095">
        <f t="shared" si="130"/>
        <v>40000000</v>
      </c>
      <c r="F2095">
        <f t="shared" si="131"/>
        <v>19200000</v>
      </c>
    </row>
    <row r="2096" ht="13.85" spans="1:6">
      <c r="A2096">
        <f t="shared" si="128"/>
        <v>2095</v>
      </c>
      <c r="B2096" s="24">
        <v>3029208</v>
      </c>
      <c r="C2096" s="11">
        <v>50</v>
      </c>
      <c r="D2096">
        <f t="shared" si="129"/>
        <v>50</v>
      </c>
      <c r="E2096">
        <f t="shared" si="130"/>
        <v>50000000</v>
      </c>
      <c r="F2096">
        <f t="shared" si="131"/>
        <v>24000000</v>
      </c>
    </row>
    <row r="2097" ht="13.85" spans="1:6">
      <c r="A2097">
        <f t="shared" si="128"/>
        <v>2096</v>
      </c>
      <c r="B2097" s="24">
        <v>2560890</v>
      </c>
      <c r="C2097" s="11">
        <v>62</v>
      </c>
      <c r="D2097">
        <f t="shared" si="129"/>
        <v>62</v>
      </c>
      <c r="E2097">
        <f t="shared" si="130"/>
        <v>62000000</v>
      </c>
      <c r="F2097">
        <f t="shared" si="131"/>
        <v>29760000</v>
      </c>
    </row>
    <row r="2098" ht="13.85" spans="1:6">
      <c r="A2098">
        <f t="shared" si="128"/>
        <v>2097</v>
      </c>
      <c r="B2098" s="24">
        <v>3123436</v>
      </c>
      <c r="C2098" s="11">
        <v>78</v>
      </c>
      <c r="D2098">
        <f t="shared" si="129"/>
        <v>78</v>
      </c>
      <c r="E2098">
        <f t="shared" si="130"/>
        <v>78000000</v>
      </c>
      <c r="F2098">
        <f t="shared" si="131"/>
        <v>37440000</v>
      </c>
    </row>
    <row r="2099" ht="13.85" spans="1:6">
      <c r="A2099">
        <f t="shared" si="128"/>
        <v>2098</v>
      </c>
      <c r="B2099" s="24">
        <v>2780001</v>
      </c>
      <c r="C2099" s="11">
        <v>92</v>
      </c>
      <c r="D2099">
        <f t="shared" si="129"/>
        <v>92</v>
      </c>
      <c r="E2099">
        <f t="shared" si="130"/>
        <v>92000000</v>
      </c>
      <c r="F2099">
        <f t="shared" si="131"/>
        <v>44160000</v>
      </c>
    </row>
    <row r="2100" ht="13.85" spans="1:6">
      <c r="A2100">
        <f t="shared" si="128"/>
        <v>2099</v>
      </c>
      <c r="B2100" s="24">
        <v>3351034</v>
      </c>
      <c r="C2100" s="11">
        <v>112</v>
      </c>
      <c r="D2100">
        <f t="shared" si="129"/>
        <v>112</v>
      </c>
      <c r="E2100">
        <f t="shared" si="130"/>
        <v>112000000</v>
      </c>
      <c r="F2100">
        <f t="shared" si="131"/>
        <v>53760000</v>
      </c>
    </row>
    <row r="2101" ht="13.85" spans="1:6">
      <c r="A2101">
        <f t="shared" si="128"/>
        <v>2100</v>
      </c>
      <c r="B2101" s="24">
        <v>2988579</v>
      </c>
      <c r="C2101" s="11">
        <v>127</v>
      </c>
      <c r="D2101">
        <f t="shared" si="129"/>
        <v>127</v>
      </c>
      <c r="E2101">
        <f t="shared" si="130"/>
        <v>127000000</v>
      </c>
      <c r="F2101">
        <f t="shared" si="131"/>
        <v>60960000</v>
      </c>
    </row>
    <row r="2102" ht="13.85" spans="1:6">
      <c r="A2102">
        <f t="shared" si="128"/>
        <v>2101</v>
      </c>
      <c r="B2102" s="24">
        <v>3673128</v>
      </c>
      <c r="C2102" s="11">
        <v>145</v>
      </c>
      <c r="D2102">
        <f t="shared" si="129"/>
        <v>145</v>
      </c>
      <c r="E2102">
        <f t="shared" si="130"/>
        <v>145000000</v>
      </c>
      <c r="F2102">
        <f t="shared" si="131"/>
        <v>69600000</v>
      </c>
    </row>
    <row r="2103" ht="13.85" spans="1:6">
      <c r="A2103">
        <f t="shared" si="128"/>
        <v>2102</v>
      </c>
      <c r="B2103" s="24">
        <v>3082689</v>
      </c>
      <c r="C2103" s="11">
        <v>165</v>
      </c>
      <c r="D2103">
        <f t="shared" si="129"/>
        <v>165</v>
      </c>
      <c r="E2103">
        <f t="shared" si="130"/>
        <v>165000000</v>
      </c>
      <c r="F2103">
        <f t="shared" si="131"/>
        <v>79200000</v>
      </c>
    </row>
    <row r="2104" ht="13.85" spans="1:6">
      <c r="A2104">
        <f t="shared" si="128"/>
        <v>2103</v>
      </c>
      <c r="B2104" s="24">
        <v>3588581</v>
      </c>
      <c r="C2104" s="11">
        <v>184</v>
      </c>
      <c r="D2104">
        <f t="shared" si="129"/>
        <v>184</v>
      </c>
      <c r="E2104">
        <f t="shared" si="130"/>
        <v>184000000</v>
      </c>
      <c r="F2104">
        <f t="shared" si="131"/>
        <v>88320000</v>
      </c>
    </row>
    <row r="2105" ht="13.85" spans="1:6">
      <c r="A2105">
        <f t="shared" si="128"/>
        <v>2104</v>
      </c>
      <c r="B2105" s="24">
        <v>3460453</v>
      </c>
      <c r="C2105" s="11">
        <v>203</v>
      </c>
      <c r="D2105">
        <f t="shared" si="129"/>
        <v>203</v>
      </c>
      <c r="E2105">
        <f t="shared" si="130"/>
        <v>203000000</v>
      </c>
      <c r="F2105">
        <f t="shared" si="131"/>
        <v>97440000</v>
      </c>
    </row>
    <row r="2106" ht="13.85" spans="1:6">
      <c r="A2106">
        <f t="shared" si="128"/>
        <v>2105</v>
      </c>
      <c r="B2106" s="24">
        <v>3943518</v>
      </c>
      <c r="C2106" s="11">
        <v>223</v>
      </c>
      <c r="D2106">
        <f t="shared" si="129"/>
        <v>223</v>
      </c>
      <c r="E2106">
        <f t="shared" si="130"/>
        <v>223000000</v>
      </c>
      <c r="F2106">
        <f t="shared" si="131"/>
        <v>107040000</v>
      </c>
    </row>
    <row r="2107" ht="13.85" spans="1:6">
      <c r="A2107">
        <f t="shared" si="128"/>
        <v>2106</v>
      </c>
      <c r="B2107" s="24">
        <v>3553199</v>
      </c>
      <c r="C2107" s="11">
        <v>246</v>
      </c>
      <c r="D2107">
        <f t="shared" si="129"/>
        <v>246</v>
      </c>
      <c r="E2107">
        <f t="shared" si="130"/>
        <v>246000000</v>
      </c>
      <c r="F2107">
        <f t="shared" si="131"/>
        <v>118080000</v>
      </c>
    </row>
    <row r="2108" ht="13.85" spans="1:6">
      <c r="A2108">
        <f t="shared" si="128"/>
        <v>2107</v>
      </c>
      <c r="B2108" s="24">
        <v>4236231</v>
      </c>
      <c r="C2108" s="11">
        <v>269</v>
      </c>
      <c r="D2108">
        <f t="shared" si="129"/>
        <v>269</v>
      </c>
      <c r="E2108">
        <f t="shared" si="130"/>
        <v>269000000</v>
      </c>
      <c r="F2108">
        <f t="shared" si="131"/>
        <v>129120000</v>
      </c>
    </row>
    <row r="2109" ht="13.85" spans="1:6">
      <c r="A2109">
        <f t="shared" si="128"/>
        <v>2108</v>
      </c>
      <c r="B2109" s="24">
        <v>4036180</v>
      </c>
      <c r="C2109" s="11">
        <v>293</v>
      </c>
      <c r="D2109">
        <f t="shared" si="129"/>
        <v>293</v>
      </c>
      <c r="E2109">
        <f t="shared" si="130"/>
        <v>293000000</v>
      </c>
      <c r="F2109">
        <f t="shared" si="131"/>
        <v>140640000</v>
      </c>
    </row>
    <row r="2110" ht="13.85" spans="1:6">
      <c r="A2110">
        <f t="shared" si="128"/>
        <v>2109</v>
      </c>
      <c r="B2110" s="24">
        <v>4990306</v>
      </c>
      <c r="C2110" s="11">
        <v>321</v>
      </c>
      <c r="D2110">
        <f t="shared" si="129"/>
        <v>321</v>
      </c>
      <c r="E2110">
        <f t="shared" si="130"/>
        <v>321000000</v>
      </c>
      <c r="F2110">
        <f t="shared" si="131"/>
        <v>154080000</v>
      </c>
    </row>
    <row r="2111" ht="13.85" spans="1:6">
      <c r="A2111">
        <f t="shared" si="128"/>
        <v>2110</v>
      </c>
      <c r="B2111" s="24">
        <v>4684704</v>
      </c>
      <c r="C2111" s="11">
        <v>348</v>
      </c>
      <c r="D2111">
        <f t="shared" si="129"/>
        <v>348</v>
      </c>
      <c r="E2111">
        <f t="shared" si="130"/>
        <v>348000000</v>
      </c>
      <c r="F2111">
        <f t="shared" si="131"/>
        <v>167040000</v>
      </c>
    </row>
    <row r="2112" ht="13.85" spans="1:6">
      <c r="A2112">
        <f t="shared" si="128"/>
        <v>2111</v>
      </c>
      <c r="B2112" s="24">
        <v>5400940</v>
      </c>
      <c r="C2112" s="11">
        <v>385</v>
      </c>
      <c r="D2112">
        <f t="shared" si="129"/>
        <v>385</v>
      </c>
      <c r="E2112">
        <f t="shared" si="130"/>
        <v>385000000</v>
      </c>
      <c r="F2112">
        <f t="shared" si="131"/>
        <v>184800000</v>
      </c>
    </row>
    <row r="2113" ht="13.85" spans="1:6">
      <c r="A2113">
        <f t="shared" si="128"/>
        <v>2112</v>
      </c>
      <c r="B2113" s="24">
        <v>5791371</v>
      </c>
      <c r="C2113" s="11">
        <v>420</v>
      </c>
      <c r="D2113">
        <f t="shared" si="129"/>
        <v>420</v>
      </c>
      <c r="E2113">
        <f t="shared" si="130"/>
        <v>420000000</v>
      </c>
      <c r="F2113">
        <f t="shared" si="131"/>
        <v>201600000</v>
      </c>
    </row>
    <row r="2114" ht="13.85" spans="1:6">
      <c r="A2114">
        <f t="shared" ref="A2114:A2177" si="132">ROW()-1</f>
        <v>2113</v>
      </c>
      <c r="B2114" s="24">
        <v>7167254</v>
      </c>
      <c r="C2114" s="27">
        <v>456.7</v>
      </c>
      <c r="D2114">
        <f t="shared" ref="D2114:D2177" si="133">IF(RIGHT(C2114,1)="B",VALUE(LEFT(C2114,LEN(C2114)-1))*1000,C2114)</f>
        <v>456.7</v>
      </c>
      <c r="E2114">
        <f t="shared" ref="E2114:E2177" si="134">D2114*1000000</f>
        <v>456700000</v>
      </c>
      <c r="F2114">
        <f t="shared" ref="F2114:F2177" si="135">E2114*0.48</f>
        <v>219216000</v>
      </c>
    </row>
    <row r="2115" ht="13.85" spans="1:6">
      <c r="A2115">
        <f t="shared" si="132"/>
        <v>2114</v>
      </c>
      <c r="B2115" s="24">
        <v>2643891</v>
      </c>
      <c r="C2115" s="11">
        <v>40</v>
      </c>
      <c r="D2115">
        <f t="shared" si="133"/>
        <v>40</v>
      </c>
      <c r="E2115">
        <f t="shared" si="134"/>
        <v>40000000</v>
      </c>
      <c r="F2115">
        <f t="shared" si="135"/>
        <v>19200000</v>
      </c>
    </row>
    <row r="2116" ht="13.85" spans="1:6">
      <c r="A2116">
        <f t="shared" si="132"/>
        <v>2115</v>
      </c>
      <c r="B2116" s="24">
        <v>3042449</v>
      </c>
      <c r="C2116" s="11">
        <v>55.9</v>
      </c>
      <c r="D2116">
        <f t="shared" si="133"/>
        <v>55.9</v>
      </c>
      <c r="E2116">
        <f t="shared" si="134"/>
        <v>55900000</v>
      </c>
      <c r="F2116">
        <f t="shared" si="135"/>
        <v>26832000</v>
      </c>
    </row>
    <row r="2117" ht="13.85" spans="1:6">
      <c r="A2117">
        <f t="shared" si="132"/>
        <v>2116</v>
      </c>
      <c r="B2117" s="24">
        <v>2658286</v>
      </c>
      <c r="C2117" s="11">
        <v>40</v>
      </c>
      <c r="D2117">
        <f t="shared" si="133"/>
        <v>40</v>
      </c>
      <c r="E2117">
        <f t="shared" si="134"/>
        <v>40000000</v>
      </c>
      <c r="F2117">
        <f t="shared" si="135"/>
        <v>19200000</v>
      </c>
    </row>
    <row r="2118" ht="13.85" spans="1:6">
      <c r="A2118">
        <f t="shared" si="132"/>
        <v>2117</v>
      </c>
      <c r="B2118" s="24">
        <v>3267697</v>
      </c>
      <c r="C2118" s="11">
        <v>50</v>
      </c>
      <c r="D2118">
        <f t="shared" si="133"/>
        <v>50</v>
      </c>
      <c r="E2118">
        <f t="shared" si="134"/>
        <v>50000000</v>
      </c>
      <c r="F2118">
        <f t="shared" si="135"/>
        <v>24000000</v>
      </c>
    </row>
    <row r="2119" ht="13.85" spans="1:6">
      <c r="A2119">
        <f t="shared" si="132"/>
        <v>2118</v>
      </c>
      <c r="B2119" s="24">
        <v>2582584</v>
      </c>
      <c r="C2119" s="11">
        <v>60</v>
      </c>
      <c r="D2119">
        <f t="shared" si="133"/>
        <v>60</v>
      </c>
      <c r="E2119">
        <f t="shared" si="134"/>
        <v>60000000</v>
      </c>
      <c r="F2119">
        <f t="shared" si="135"/>
        <v>28800000</v>
      </c>
    </row>
    <row r="2120" ht="13.85" spans="1:6">
      <c r="A2120">
        <f t="shared" si="132"/>
        <v>2119</v>
      </c>
      <c r="B2120" s="24">
        <v>3073768</v>
      </c>
      <c r="C2120" s="11">
        <v>74</v>
      </c>
      <c r="D2120">
        <f t="shared" si="133"/>
        <v>74</v>
      </c>
      <c r="E2120">
        <f t="shared" si="134"/>
        <v>74000000</v>
      </c>
      <c r="F2120">
        <f t="shared" si="135"/>
        <v>35520000</v>
      </c>
    </row>
    <row r="2121" ht="13.85" spans="1:6">
      <c r="A2121">
        <f t="shared" si="132"/>
        <v>2120</v>
      </c>
      <c r="B2121" s="24">
        <v>2740192</v>
      </c>
      <c r="C2121" s="11">
        <v>89</v>
      </c>
      <c r="D2121">
        <f t="shared" si="133"/>
        <v>89</v>
      </c>
      <c r="E2121">
        <f t="shared" si="134"/>
        <v>89000000</v>
      </c>
      <c r="F2121">
        <f t="shared" si="135"/>
        <v>42720000</v>
      </c>
    </row>
    <row r="2122" ht="13.85" spans="1:6">
      <c r="A2122">
        <f t="shared" si="132"/>
        <v>2121</v>
      </c>
      <c r="B2122" s="24">
        <v>3329395</v>
      </c>
      <c r="C2122" s="11">
        <v>106</v>
      </c>
      <c r="D2122">
        <f t="shared" si="133"/>
        <v>106</v>
      </c>
      <c r="E2122">
        <f t="shared" si="134"/>
        <v>106000000</v>
      </c>
      <c r="F2122">
        <f t="shared" si="135"/>
        <v>50880000</v>
      </c>
    </row>
    <row r="2123" ht="13.85" spans="1:6">
      <c r="A2123">
        <f t="shared" si="132"/>
        <v>2122</v>
      </c>
      <c r="B2123" s="24">
        <v>2914882</v>
      </c>
      <c r="C2123" s="11">
        <v>122</v>
      </c>
      <c r="D2123">
        <f t="shared" si="133"/>
        <v>122</v>
      </c>
      <c r="E2123">
        <f t="shared" si="134"/>
        <v>122000000</v>
      </c>
      <c r="F2123">
        <f t="shared" si="135"/>
        <v>58560000</v>
      </c>
    </row>
    <row r="2124" ht="13.85" spans="1:6">
      <c r="A2124">
        <f t="shared" si="132"/>
        <v>2123</v>
      </c>
      <c r="B2124" s="24">
        <v>3438946</v>
      </c>
      <c r="C2124" s="11">
        <v>142</v>
      </c>
      <c r="D2124">
        <f t="shared" si="133"/>
        <v>142</v>
      </c>
      <c r="E2124">
        <f t="shared" si="134"/>
        <v>142000000</v>
      </c>
      <c r="F2124">
        <f t="shared" si="135"/>
        <v>68160000</v>
      </c>
    </row>
    <row r="2125" ht="13.85" spans="1:6">
      <c r="A2125">
        <f t="shared" si="132"/>
        <v>2124</v>
      </c>
      <c r="B2125" s="24">
        <v>3078550</v>
      </c>
      <c r="C2125" s="11">
        <v>158</v>
      </c>
      <c r="D2125">
        <f t="shared" si="133"/>
        <v>158</v>
      </c>
      <c r="E2125">
        <f t="shared" si="134"/>
        <v>158000000</v>
      </c>
      <c r="F2125">
        <f t="shared" si="135"/>
        <v>75840000</v>
      </c>
    </row>
    <row r="2126" ht="13.85" spans="1:6">
      <c r="A2126">
        <f t="shared" si="132"/>
        <v>2125</v>
      </c>
      <c r="B2126" s="24">
        <v>3514071</v>
      </c>
      <c r="C2126" s="11">
        <v>177</v>
      </c>
      <c r="D2126">
        <f t="shared" si="133"/>
        <v>177</v>
      </c>
      <c r="E2126">
        <f t="shared" si="134"/>
        <v>177000000</v>
      </c>
      <c r="F2126">
        <f t="shared" si="135"/>
        <v>84960000</v>
      </c>
    </row>
    <row r="2127" ht="13.85" spans="1:6">
      <c r="A2127">
        <f t="shared" si="132"/>
        <v>2126</v>
      </c>
      <c r="B2127" s="24">
        <v>3277430</v>
      </c>
      <c r="C2127" s="11">
        <v>195</v>
      </c>
      <c r="D2127">
        <f t="shared" si="133"/>
        <v>195</v>
      </c>
      <c r="E2127">
        <f t="shared" si="134"/>
        <v>195000000</v>
      </c>
      <c r="F2127">
        <f t="shared" si="135"/>
        <v>93600000</v>
      </c>
    </row>
    <row r="2128" ht="13.85" spans="1:6">
      <c r="A2128">
        <f t="shared" si="132"/>
        <v>2127</v>
      </c>
      <c r="B2128" s="24">
        <v>3846314</v>
      </c>
      <c r="C2128" s="11">
        <v>215</v>
      </c>
      <c r="D2128">
        <f t="shared" si="133"/>
        <v>215</v>
      </c>
      <c r="E2128">
        <f t="shared" si="134"/>
        <v>215000000</v>
      </c>
      <c r="F2128">
        <f t="shared" si="135"/>
        <v>103200000</v>
      </c>
    </row>
    <row r="2129" ht="13.85" spans="1:6">
      <c r="A2129">
        <f t="shared" si="132"/>
        <v>2128</v>
      </c>
      <c r="B2129" s="24">
        <v>3667166</v>
      </c>
      <c r="C2129" s="11">
        <v>233</v>
      </c>
      <c r="D2129">
        <f t="shared" si="133"/>
        <v>233</v>
      </c>
      <c r="E2129">
        <f t="shared" si="134"/>
        <v>233000000</v>
      </c>
      <c r="F2129">
        <f t="shared" si="135"/>
        <v>111840000</v>
      </c>
    </row>
    <row r="2130" ht="13.85" spans="1:6">
      <c r="A2130">
        <f t="shared" si="132"/>
        <v>2129</v>
      </c>
      <c r="B2130" s="24">
        <v>4164623</v>
      </c>
      <c r="C2130" s="11">
        <v>257</v>
      </c>
      <c r="D2130">
        <f t="shared" si="133"/>
        <v>257</v>
      </c>
      <c r="E2130">
        <f t="shared" si="134"/>
        <v>257000000</v>
      </c>
      <c r="F2130">
        <f t="shared" si="135"/>
        <v>123360000</v>
      </c>
    </row>
    <row r="2131" ht="13.85" spans="1:6">
      <c r="A2131">
        <f t="shared" si="132"/>
        <v>2130</v>
      </c>
      <c r="B2131" s="24">
        <v>3859160</v>
      </c>
      <c r="C2131" s="11">
        <v>280</v>
      </c>
      <c r="D2131">
        <f t="shared" si="133"/>
        <v>280</v>
      </c>
      <c r="E2131">
        <f t="shared" si="134"/>
        <v>280000000</v>
      </c>
      <c r="F2131">
        <f t="shared" si="135"/>
        <v>134400000</v>
      </c>
    </row>
    <row r="2132" ht="13.85" spans="1:6">
      <c r="A2132">
        <f t="shared" si="132"/>
        <v>2131</v>
      </c>
      <c r="B2132" s="24">
        <v>4714367</v>
      </c>
      <c r="C2132" s="27">
        <v>315</v>
      </c>
      <c r="D2132">
        <f t="shared" si="133"/>
        <v>315</v>
      </c>
      <c r="E2132">
        <f t="shared" si="134"/>
        <v>315000000</v>
      </c>
      <c r="F2132">
        <f t="shared" si="135"/>
        <v>151200000</v>
      </c>
    </row>
    <row r="2133" ht="13.85" spans="1:6">
      <c r="A2133">
        <f t="shared" si="132"/>
        <v>2132</v>
      </c>
      <c r="B2133" s="24">
        <v>2512406</v>
      </c>
      <c r="C2133" s="11">
        <v>40</v>
      </c>
      <c r="D2133">
        <f t="shared" si="133"/>
        <v>40</v>
      </c>
      <c r="E2133">
        <f t="shared" si="134"/>
        <v>40000000</v>
      </c>
      <c r="F2133">
        <f t="shared" si="135"/>
        <v>19200000</v>
      </c>
    </row>
    <row r="2134" ht="13.85" spans="1:6">
      <c r="A2134">
        <f t="shared" si="132"/>
        <v>2133</v>
      </c>
      <c r="B2134" s="24">
        <v>2872889</v>
      </c>
      <c r="C2134" s="11">
        <v>50</v>
      </c>
      <c r="D2134">
        <f t="shared" si="133"/>
        <v>50</v>
      </c>
      <c r="E2134">
        <f t="shared" si="134"/>
        <v>50000000</v>
      </c>
      <c r="F2134">
        <f t="shared" si="135"/>
        <v>24000000</v>
      </c>
    </row>
    <row r="2135" ht="13.85" spans="1:6">
      <c r="A2135">
        <f t="shared" si="132"/>
        <v>2134</v>
      </c>
      <c r="B2135" s="24">
        <v>2449870</v>
      </c>
      <c r="C2135" s="11">
        <v>60</v>
      </c>
      <c r="D2135">
        <f t="shared" si="133"/>
        <v>60</v>
      </c>
      <c r="E2135">
        <f t="shared" si="134"/>
        <v>60000000</v>
      </c>
      <c r="F2135">
        <f t="shared" si="135"/>
        <v>28800000</v>
      </c>
    </row>
    <row r="2136" ht="13.85" spans="1:6">
      <c r="A2136">
        <f t="shared" si="132"/>
        <v>2135</v>
      </c>
      <c r="B2136" s="24">
        <v>3038277</v>
      </c>
      <c r="C2136" s="11">
        <v>74</v>
      </c>
      <c r="D2136">
        <f t="shared" si="133"/>
        <v>74</v>
      </c>
      <c r="E2136">
        <f t="shared" si="134"/>
        <v>74000000</v>
      </c>
      <c r="F2136">
        <f t="shared" si="135"/>
        <v>35520000</v>
      </c>
    </row>
    <row r="2137" ht="13.85" spans="1:6">
      <c r="A2137">
        <f t="shared" si="132"/>
        <v>2136</v>
      </c>
      <c r="B2137" s="24">
        <v>2653442</v>
      </c>
      <c r="C2137" s="11">
        <v>87</v>
      </c>
      <c r="D2137">
        <f t="shared" si="133"/>
        <v>87</v>
      </c>
      <c r="E2137">
        <f t="shared" si="134"/>
        <v>87000000</v>
      </c>
      <c r="F2137">
        <f t="shared" si="135"/>
        <v>41760000</v>
      </c>
    </row>
    <row r="2138" ht="13.85" spans="1:6">
      <c r="A2138">
        <f t="shared" si="132"/>
        <v>2137</v>
      </c>
      <c r="B2138" s="24">
        <v>3110713</v>
      </c>
      <c r="C2138" s="11">
        <v>105</v>
      </c>
      <c r="D2138">
        <f t="shared" si="133"/>
        <v>105</v>
      </c>
      <c r="E2138">
        <f t="shared" si="134"/>
        <v>105000000</v>
      </c>
      <c r="F2138">
        <f t="shared" si="135"/>
        <v>50400000</v>
      </c>
    </row>
    <row r="2139" ht="13.85" spans="1:6">
      <c r="A2139">
        <f t="shared" si="132"/>
        <v>2138</v>
      </c>
      <c r="B2139" s="24">
        <v>2827372</v>
      </c>
      <c r="C2139" s="11">
        <v>121</v>
      </c>
      <c r="D2139">
        <f t="shared" si="133"/>
        <v>121</v>
      </c>
      <c r="E2139">
        <f t="shared" si="134"/>
        <v>121000000</v>
      </c>
      <c r="F2139">
        <f t="shared" si="135"/>
        <v>58080000</v>
      </c>
    </row>
    <row r="2140" ht="13.85" spans="1:6">
      <c r="A2140">
        <f t="shared" si="132"/>
        <v>2139</v>
      </c>
      <c r="B2140" s="24">
        <v>3254532</v>
      </c>
      <c r="C2140" s="11">
        <v>137</v>
      </c>
      <c r="D2140">
        <f t="shared" si="133"/>
        <v>137</v>
      </c>
      <c r="E2140">
        <f t="shared" si="134"/>
        <v>137000000</v>
      </c>
      <c r="F2140">
        <f t="shared" si="135"/>
        <v>65760000</v>
      </c>
    </row>
    <row r="2141" ht="13.85" spans="1:6">
      <c r="A2141">
        <f t="shared" si="132"/>
        <v>2140</v>
      </c>
      <c r="B2141" s="24">
        <v>2895375</v>
      </c>
      <c r="C2141" s="11">
        <v>150.4</v>
      </c>
      <c r="D2141">
        <f t="shared" si="133"/>
        <v>150.4</v>
      </c>
      <c r="E2141">
        <f t="shared" si="134"/>
        <v>150400000</v>
      </c>
      <c r="F2141">
        <f t="shared" si="135"/>
        <v>72192000</v>
      </c>
    </row>
    <row r="2142" ht="13.85" spans="1:6">
      <c r="A2142">
        <f t="shared" si="132"/>
        <v>2141</v>
      </c>
      <c r="B2142" s="24">
        <v>2675090</v>
      </c>
      <c r="C2142" s="11">
        <v>40</v>
      </c>
      <c r="D2142">
        <f t="shared" si="133"/>
        <v>40</v>
      </c>
      <c r="E2142">
        <f t="shared" si="134"/>
        <v>40000000</v>
      </c>
      <c r="F2142">
        <f t="shared" si="135"/>
        <v>19200000</v>
      </c>
    </row>
    <row r="2143" ht="13.85" spans="1:6">
      <c r="A2143">
        <f t="shared" si="132"/>
        <v>2142</v>
      </c>
      <c r="B2143" s="24">
        <v>2318905</v>
      </c>
      <c r="C2143" s="11">
        <v>50</v>
      </c>
      <c r="D2143">
        <f t="shared" si="133"/>
        <v>50</v>
      </c>
      <c r="E2143">
        <f t="shared" si="134"/>
        <v>50000000</v>
      </c>
      <c r="F2143">
        <f t="shared" si="135"/>
        <v>24000000</v>
      </c>
    </row>
    <row r="2144" ht="13.85" spans="1:6">
      <c r="A2144">
        <f t="shared" si="132"/>
        <v>2143</v>
      </c>
      <c r="B2144" s="24">
        <v>2751152</v>
      </c>
      <c r="C2144" s="11">
        <v>60</v>
      </c>
      <c r="D2144">
        <f t="shared" si="133"/>
        <v>60</v>
      </c>
      <c r="E2144">
        <f t="shared" si="134"/>
        <v>60000000</v>
      </c>
      <c r="F2144">
        <f t="shared" si="135"/>
        <v>28800000</v>
      </c>
    </row>
    <row r="2145" ht="13.85" spans="1:6">
      <c r="A2145">
        <f t="shared" si="132"/>
        <v>2144</v>
      </c>
      <c r="B2145" s="24">
        <v>2337861</v>
      </c>
      <c r="C2145" s="11">
        <v>70</v>
      </c>
      <c r="D2145">
        <f t="shared" si="133"/>
        <v>70</v>
      </c>
      <c r="E2145">
        <f t="shared" si="134"/>
        <v>70000000</v>
      </c>
      <c r="F2145">
        <f t="shared" si="135"/>
        <v>33600000</v>
      </c>
    </row>
    <row r="2146" ht="13.85" spans="1:6">
      <c r="A2146">
        <f t="shared" si="132"/>
        <v>2145</v>
      </c>
      <c r="B2146" s="24">
        <v>2764361</v>
      </c>
      <c r="C2146" s="11">
        <v>80</v>
      </c>
      <c r="D2146">
        <f t="shared" si="133"/>
        <v>80</v>
      </c>
      <c r="E2146">
        <f t="shared" si="134"/>
        <v>80000000</v>
      </c>
      <c r="F2146">
        <f t="shared" si="135"/>
        <v>38400000</v>
      </c>
    </row>
    <row r="2147" ht="13.85" spans="1:6">
      <c r="A2147">
        <f t="shared" si="132"/>
        <v>2146</v>
      </c>
      <c r="B2147" s="24">
        <v>2511499</v>
      </c>
      <c r="C2147" s="11">
        <v>90</v>
      </c>
      <c r="D2147">
        <f t="shared" si="133"/>
        <v>90</v>
      </c>
      <c r="E2147">
        <f t="shared" si="134"/>
        <v>90000000</v>
      </c>
      <c r="F2147">
        <f t="shared" si="135"/>
        <v>43200000</v>
      </c>
    </row>
    <row r="2148" ht="13.85" spans="1:6">
      <c r="A2148">
        <f t="shared" si="132"/>
        <v>2147</v>
      </c>
      <c r="B2148" s="24">
        <v>3130854</v>
      </c>
      <c r="C2148" s="11">
        <v>100</v>
      </c>
      <c r="D2148">
        <f t="shared" si="133"/>
        <v>100</v>
      </c>
      <c r="E2148">
        <f t="shared" si="134"/>
        <v>100000000</v>
      </c>
      <c r="F2148">
        <f t="shared" si="135"/>
        <v>48000000</v>
      </c>
    </row>
    <row r="2149" ht="13.85" spans="1:6">
      <c r="A2149">
        <f t="shared" si="132"/>
        <v>2148</v>
      </c>
      <c r="B2149" s="24">
        <v>2837254</v>
      </c>
      <c r="C2149" s="11">
        <v>110</v>
      </c>
      <c r="D2149">
        <f t="shared" si="133"/>
        <v>110</v>
      </c>
      <c r="E2149">
        <f t="shared" si="134"/>
        <v>110000000</v>
      </c>
      <c r="F2149">
        <f t="shared" si="135"/>
        <v>52800000</v>
      </c>
    </row>
    <row r="2150" ht="13.85" spans="1:6">
      <c r="A2150">
        <f t="shared" si="132"/>
        <v>2149</v>
      </c>
      <c r="B2150" s="24">
        <v>3449971</v>
      </c>
      <c r="C2150" s="11">
        <v>130</v>
      </c>
      <c r="D2150">
        <f t="shared" si="133"/>
        <v>130</v>
      </c>
      <c r="E2150">
        <f t="shared" si="134"/>
        <v>130000000</v>
      </c>
      <c r="F2150">
        <f t="shared" si="135"/>
        <v>62400000</v>
      </c>
    </row>
    <row r="2151" ht="13.85" spans="1:6">
      <c r="A2151">
        <f t="shared" si="132"/>
        <v>2150</v>
      </c>
      <c r="B2151" s="24">
        <v>3352231</v>
      </c>
      <c r="C2151" s="11">
        <v>147</v>
      </c>
      <c r="D2151">
        <f t="shared" si="133"/>
        <v>147</v>
      </c>
      <c r="E2151">
        <f t="shared" si="134"/>
        <v>147000000</v>
      </c>
      <c r="F2151">
        <f t="shared" si="135"/>
        <v>70560000</v>
      </c>
    </row>
    <row r="2152" ht="13.85" spans="1:6">
      <c r="A2152">
        <f t="shared" si="132"/>
        <v>2151</v>
      </c>
      <c r="B2152" s="24">
        <v>3328817</v>
      </c>
      <c r="C2152" s="11">
        <v>168</v>
      </c>
      <c r="D2152">
        <f t="shared" si="133"/>
        <v>168</v>
      </c>
      <c r="E2152">
        <f t="shared" si="134"/>
        <v>168000000</v>
      </c>
      <c r="F2152">
        <f t="shared" si="135"/>
        <v>80640000</v>
      </c>
    </row>
    <row r="2153" ht="13.85" spans="1:6">
      <c r="A2153">
        <f t="shared" si="132"/>
        <v>2152</v>
      </c>
      <c r="B2153" s="24">
        <v>3129202</v>
      </c>
      <c r="C2153" s="11">
        <v>187</v>
      </c>
      <c r="D2153">
        <f t="shared" si="133"/>
        <v>187</v>
      </c>
      <c r="E2153">
        <f t="shared" si="134"/>
        <v>187000000</v>
      </c>
      <c r="F2153">
        <f t="shared" si="135"/>
        <v>89760000</v>
      </c>
    </row>
    <row r="2154" ht="13.85" spans="1:6">
      <c r="A2154">
        <f t="shared" si="132"/>
        <v>2153</v>
      </c>
      <c r="B2154" s="24">
        <v>3768385</v>
      </c>
      <c r="C2154" s="11">
        <v>203</v>
      </c>
      <c r="D2154">
        <f t="shared" si="133"/>
        <v>203</v>
      </c>
      <c r="E2154">
        <f t="shared" si="134"/>
        <v>203000000</v>
      </c>
      <c r="F2154">
        <f t="shared" si="135"/>
        <v>97440000</v>
      </c>
    </row>
    <row r="2155" ht="13.85" spans="1:6">
      <c r="A2155">
        <f t="shared" si="132"/>
        <v>2154</v>
      </c>
      <c r="B2155" s="24">
        <v>3620810</v>
      </c>
      <c r="C2155" s="11">
        <v>223</v>
      </c>
      <c r="D2155">
        <f t="shared" si="133"/>
        <v>223</v>
      </c>
      <c r="E2155">
        <f t="shared" si="134"/>
        <v>223000000</v>
      </c>
      <c r="F2155">
        <f t="shared" si="135"/>
        <v>107040000</v>
      </c>
    </row>
    <row r="2156" ht="13.85" spans="1:6">
      <c r="A2156">
        <f t="shared" si="132"/>
        <v>2155</v>
      </c>
      <c r="B2156" s="24">
        <v>4054189</v>
      </c>
      <c r="C2156" s="27">
        <v>245.6</v>
      </c>
      <c r="D2156">
        <f t="shared" si="133"/>
        <v>245.6</v>
      </c>
      <c r="E2156">
        <f t="shared" si="134"/>
        <v>245600000</v>
      </c>
      <c r="F2156">
        <f t="shared" si="135"/>
        <v>117888000</v>
      </c>
    </row>
    <row r="2157" ht="13.85" spans="1:6">
      <c r="A2157">
        <f t="shared" si="132"/>
        <v>2156</v>
      </c>
      <c r="B2157" s="24">
        <v>2356079</v>
      </c>
      <c r="C2157" s="11">
        <v>40</v>
      </c>
      <c r="D2157">
        <f t="shared" si="133"/>
        <v>40</v>
      </c>
      <c r="E2157">
        <f t="shared" si="134"/>
        <v>40000000</v>
      </c>
      <c r="F2157">
        <f t="shared" si="135"/>
        <v>19200000</v>
      </c>
    </row>
    <row r="2158" ht="13.85" spans="1:6">
      <c r="A2158">
        <f t="shared" si="132"/>
        <v>2157</v>
      </c>
      <c r="B2158" s="24">
        <v>2683160</v>
      </c>
      <c r="C2158" s="11">
        <v>50</v>
      </c>
      <c r="D2158">
        <f t="shared" si="133"/>
        <v>50</v>
      </c>
      <c r="E2158">
        <f t="shared" si="134"/>
        <v>50000000</v>
      </c>
      <c r="F2158">
        <f t="shared" si="135"/>
        <v>24000000</v>
      </c>
    </row>
    <row r="2159" ht="13.85" spans="1:6">
      <c r="A2159">
        <f t="shared" si="132"/>
        <v>2158</v>
      </c>
      <c r="B2159" s="24">
        <v>2366192</v>
      </c>
      <c r="C2159" s="11">
        <v>60</v>
      </c>
      <c r="D2159">
        <f t="shared" si="133"/>
        <v>60</v>
      </c>
      <c r="E2159">
        <f t="shared" si="134"/>
        <v>60000000</v>
      </c>
      <c r="F2159">
        <f t="shared" si="135"/>
        <v>28800000</v>
      </c>
    </row>
    <row r="2160" ht="13.85" spans="1:6">
      <c r="A2160">
        <f t="shared" si="132"/>
        <v>2159</v>
      </c>
      <c r="B2160" s="24">
        <v>2729994</v>
      </c>
      <c r="C2160" s="11">
        <v>70</v>
      </c>
      <c r="D2160">
        <f t="shared" si="133"/>
        <v>70</v>
      </c>
      <c r="E2160">
        <f t="shared" si="134"/>
        <v>70000000</v>
      </c>
      <c r="F2160">
        <f t="shared" si="135"/>
        <v>33600000</v>
      </c>
    </row>
    <row r="2161" ht="13.85" spans="1:6">
      <c r="A2161">
        <f t="shared" si="132"/>
        <v>2160</v>
      </c>
      <c r="B2161" s="24">
        <v>2368323</v>
      </c>
      <c r="C2161" s="11">
        <v>80</v>
      </c>
      <c r="D2161">
        <f t="shared" si="133"/>
        <v>80</v>
      </c>
      <c r="E2161">
        <f t="shared" si="134"/>
        <v>80000000</v>
      </c>
      <c r="F2161">
        <f t="shared" si="135"/>
        <v>38400000</v>
      </c>
    </row>
    <row r="2162" ht="13.85" spans="1:6">
      <c r="A2162">
        <f t="shared" si="132"/>
        <v>2161</v>
      </c>
      <c r="B2162" s="24">
        <v>2878473</v>
      </c>
      <c r="C2162" s="11">
        <v>90</v>
      </c>
      <c r="D2162">
        <f t="shared" si="133"/>
        <v>90</v>
      </c>
      <c r="E2162">
        <f t="shared" si="134"/>
        <v>90000000</v>
      </c>
      <c r="F2162">
        <f t="shared" si="135"/>
        <v>43200000</v>
      </c>
    </row>
    <row r="2163" ht="13.85" spans="1:6">
      <c r="A2163">
        <f t="shared" si="132"/>
        <v>2162</v>
      </c>
      <c r="B2163" s="24">
        <v>2567574</v>
      </c>
      <c r="C2163" s="11">
        <v>100</v>
      </c>
      <c r="D2163">
        <f t="shared" si="133"/>
        <v>100</v>
      </c>
      <c r="E2163">
        <f t="shared" si="134"/>
        <v>100000000</v>
      </c>
      <c r="F2163">
        <f t="shared" si="135"/>
        <v>48000000</v>
      </c>
    </row>
    <row r="2164" ht="13.85" spans="1:6">
      <c r="A2164">
        <f t="shared" si="132"/>
        <v>2163</v>
      </c>
      <c r="B2164" s="24">
        <v>3014676</v>
      </c>
      <c r="C2164" s="11">
        <v>114</v>
      </c>
      <c r="D2164">
        <f t="shared" si="133"/>
        <v>114</v>
      </c>
      <c r="E2164">
        <f t="shared" si="134"/>
        <v>114000000</v>
      </c>
      <c r="F2164">
        <f t="shared" si="135"/>
        <v>54720000</v>
      </c>
    </row>
    <row r="2165" ht="13.85" spans="1:6">
      <c r="A2165">
        <f t="shared" si="132"/>
        <v>2164</v>
      </c>
      <c r="B2165" s="24">
        <v>2707503</v>
      </c>
      <c r="C2165" s="11">
        <v>132</v>
      </c>
      <c r="D2165">
        <f t="shared" si="133"/>
        <v>132</v>
      </c>
      <c r="E2165">
        <f t="shared" si="134"/>
        <v>132000000</v>
      </c>
      <c r="F2165">
        <f t="shared" si="135"/>
        <v>63360000</v>
      </c>
    </row>
    <row r="2166" ht="13.85" spans="1:6">
      <c r="A2166">
        <f t="shared" si="132"/>
        <v>2165</v>
      </c>
      <c r="B2166" s="24">
        <v>3059648</v>
      </c>
      <c r="C2166" s="11">
        <v>147</v>
      </c>
      <c r="D2166">
        <f t="shared" si="133"/>
        <v>147</v>
      </c>
      <c r="E2166">
        <f t="shared" si="134"/>
        <v>147000000</v>
      </c>
      <c r="F2166">
        <f t="shared" si="135"/>
        <v>70560000</v>
      </c>
    </row>
    <row r="2167" ht="13.85" spans="1:6">
      <c r="A2167">
        <f t="shared" si="132"/>
        <v>2166</v>
      </c>
      <c r="B2167" s="24">
        <v>2781752</v>
      </c>
      <c r="C2167" s="11">
        <v>163</v>
      </c>
      <c r="D2167">
        <f t="shared" si="133"/>
        <v>163</v>
      </c>
      <c r="E2167">
        <f t="shared" si="134"/>
        <v>163000000</v>
      </c>
      <c r="F2167">
        <f t="shared" si="135"/>
        <v>78240000</v>
      </c>
    </row>
    <row r="2168" ht="13.85" spans="1:6">
      <c r="A2168">
        <f t="shared" si="132"/>
        <v>2167</v>
      </c>
      <c r="B2168" s="24">
        <v>3233931</v>
      </c>
      <c r="C2168" s="11">
        <v>178</v>
      </c>
      <c r="D2168">
        <f t="shared" si="133"/>
        <v>178</v>
      </c>
      <c r="E2168">
        <f t="shared" si="134"/>
        <v>178000000</v>
      </c>
      <c r="F2168">
        <f t="shared" si="135"/>
        <v>85440000</v>
      </c>
    </row>
    <row r="2169" ht="13.85" spans="1:6">
      <c r="A2169">
        <f t="shared" si="132"/>
        <v>2168</v>
      </c>
      <c r="B2169" s="24">
        <v>3007942</v>
      </c>
      <c r="C2169" s="11">
        <v>193</v>
      </c>
      <c r="D2169">
        <f t="shared" si="133"/>
        <v>193</v>
      </c>
      <c r="E2169">
        <f t="shared" si="134"/>
        <v>193000000</v>
      </c>
      <c r="F2169">
        <f t="shared" si="135"/>
        <v>92640000</v>
      </c>
    </row>
    <row r="2170" ht="13.85" spans="1:6">
      <c r="A2170">
        <f t="shared" si="132"/>
        <v>2169</v>
      </c>
      <c r="B2170" s="24">
        <v>3668523</v>
      </c>
      <c r="C2170" s="11">
        <v>213</v>
      </c>
      <c r="D2170">
        <f t="shared" si="133"/>
        <v>213</v>
      </c>
      <c r="E2170">
        <f t="shared" si="134"/>
        <v>213000000</v>
      </c>
      <c r="F2170">
        <f t="shared" si="135"/>
        <v>102240000</v>
      </c>
    </row>
    <row r="2171" ht="13.85" spans="1:6">
      <c r="A2171">
        <f t="shared" si="132"/>
        <v>2170</v>
      </c>
      <c r="B2171" s="24">
        <v>3523069</v>
      </c>
      <c r="C2171" s="11">
        <v>229</v>
      </c>
      <c r="D2171">
        <f t="shared" si="133"/>
        <v>229</v>
      </c>
      <c r="E2171">
        <f t="shared" si="134"/>
        <v>229000000</v>
      </c>
      <c r="F2171">
        <f t="shared" si="135"/>
        <v>109920000</v>
      </c>
    </row>
    <row r="2172" ht="13.85" spans="1:6">
      <c r="A2172">
        <f t="shared" si="132"/>
        <v>2171</v>
      </c>
      <c r="B2172" s="24">
        <v>4216248</v>
      </c>
      <c r="C2172" s="15">
        <v>253</v>
      </c>
      <c r="D2172">
        <f t="shared" si="133"/>
        <v>253</v>
      </c>
      <c r="E2172">
        <f t="shared" si="134"/>
        <v>253000000</v>
      </c>
      <c r="F2172">
        <f t="shared" si="135"/>
        <v>121440000</v>
      </c>
    </row>
    <row r="2173" ht="13.85" spans="1:6">
      <c r="A2173">
        <f t="shared" si="132"/>
        <v>2172</v>
      </c>
      <c r="B2173" s="24">
        <v>4174657</v>
      </c>
      <c r="C2173" s="13">
        <v>282</v>
      </c>
      <c r="D2173">
        <f t="shared" si="133"/>
        <v>282</v>
      </c>
      <c r="E2173">
        <f t="shared" si="134"/>
        <v>282000000</v>
      </c>
      <c r="F2173">
        <f t="shared" si="135"/>
        <v>135360000</v>
      </c>
    </row>
    <row r="2174" ht="13.85" spans="1:6">
      <c r="A2174">
        <f t="shared" si="132"/>
        <v>2173</v>
      </c>
      <c r="B2174" s="24">
        <v>5684268</v>
      </c>
      <c r="C2174" s="11">
        <v>314</v>
      </c>
      <c r="D2174">
        <f t="shared" si="133"/>
        <v>314</v>
      </c>
      <c r="E2174">
        <f t="shared" si="134"/>
        <v>314000000</v>
      </c>
      <c r="F2174">
        <f t="shared" si="135"/>
        <v>150720000</v>
      </c>
    </row>
    <row r="2175" ht="13.85" spans="1:6">
      <c r="A2175">
        <f t="shared" si="132"/>
        <v>2174</v>
      </c>
      <c r="B2175" s="24">
        <v>8361372</v>
      </c>
      <c r="C2175" s="11">
        <v>345</v>
      </c>
      <c r="D2175">
        <f t="shared" si="133"/>
        <v>345</v>
      </c>
      <c r="E2175">
        <f t="shared" si="134"/>
        <v>345000000</v>
      </c>
      <c r="F2175">
        <f t="shared" si="135"/>
        <v>165600000</v>
      </c>
    </row>
    <row r="2176" ht="13.85" spans="1:6">
      <c r="A2176">
        <f t="shared" si="132"/>
        <v>2175</v>
      </c>
      <c r="B2176" s="24">
        <v>13130011</v>
      </c>
      <c r="C2176" s="11">
        <v>430</v>
      </c>
      <c r="D2176">
        <f t="shared" si="133"/>
        <v>430</v>
      </c>
      <c r="E2176">
        <f t="shared" si="134"/>
        <v>430000000</v>
      </c>
      <c r="F2176">
        <f t="shared" si="135"/>
        <v>206400000</v>
      </c>
    </row>
    <row r="2177" ht="13.85" spans="1:6">
      <c r="A2177">
        <f t="shared" si="132"/>
        <v>2176</v>
      </c>
      <c r="B2177" s="24">
        <v>16498213</v>
      </c>
      <c r="C2177" s="11">
        <v>620</v>
      </c>
      <c r="D2177">
        <f t="shared" si="133"/>
        <v>620</v>
      </c>
      <c r="E2177">
        <f t="shared" si="134"/>
        <v>620000000</v>
      </c>
      <c r="F2177">
        <f t="shared" si="135"/>
        <v>297600000</v>
      </c>
    </row>
    <row r="2178" ht="13.85" spans="1:6">
      <c r="A2178">
        <f t="shared" ref="A2178:A2241" si="136">ROW()-1</f>
        <v>2177</v>
      </c>
      <c r="B2178" s="24">
        <v>12960191</v>
      </c>
      <c r="C2178" s="11">
        <v>687.8</v>
      </c>
      <c r="D2178">
        <f t="shared" ref="D2178:D2241" si="137">IF(RIGHT(C2178,1)="B",VALUE(LEFT(C2178,LEN(C2178)-1))*1000,C2178)</f>
        <v>687.8</v>
      </c>
      <c r="E2178">
        <f t="shared" ref="E2178:E2241" si="138">D2178*1000000</f>
        <v>687800000</v>
      </c>
      <c r="F2178">
        <f t="shared" ref="F2178:F2241" si="139">E2178*0.48</f>
        <v>330144000</v>
      </c>
    </row>
    <row r="2179" ht="13.85" spans="1:6">
      <c r="A2179">
        <f t="shared" si="136"/>
        <v>2178</v>
      </c>
      <c r="B2179" s="24">
        <v>2973968</v>
      </c>
      <c r="C2179" s="11">
        <v>40</v>
      </c>
      <c r="D2179">
        <f t="shared" si="137"/>
        <v>40</v>
      </c>
      <c r="E2179">
        <f t="shared" si="138"/>
        <v>40000000</v>
      </c>
      <c r="F2179">
        <f t="shared" si="139"/>
        <v>19200000</v>
      </c>
    </row>
    <row r="2180" ht="13.85" spans="1:6">
      <c r="A2180">
        <f t="shared" si="136"/>
        <v>2179</v>
      </c>
      <c r="B2180" s="24">
        <v>3274431</v>
      </c>
      <c r="C2180" s="11">
        <v>53</v>
      </c>
      <c r="D2180">
        <f t="shared" si="137"/>
        <v>53</v>
      </c>
      <c r="E2180">
        <f t="shared" si="138"/>
        <v>53000000</v>
      </c>
      <c r="F2180">
        <f t="shared" si="139"/>
        <v>25440000</v>
      </c>
    </row>
    <row r="2181" ht="13.85" spans="1:6">
      <c r="A2181">
        <f t="shared" si="136"/>
        <v>2180</v>
      </c>
      <c r="B2181" s="24">
        <v>2779857</v>
      </c>
      <c r="C2181" s="11">
        <v>71</v>
      </c>
      <c r="D2181">
        <f t="shared" si="137"/>
        <v>71</v>
      </c>
      <c r="E2181">
        <f t="shared" si="138"/>
        <v>71000000</v>
      </c>
      <c r="F2181">
        <f t="shared" si="139"/>
        <v>34080000</v>
      </c>
    </row>
    <row r="2182" ht="13.85" spans="1:6">
      <c r="A2182">
        <f t="shared" si="136"/>
        <v>2181</v>
      </c>
      <c r="B2182" s="24">
        <v>3142387</v>
      </c>
      <c r="C2182" s="11">
        <v>92</v>
      </c>
      <c r="D2182">
        <f t="shared" si="137"/>
        <v>92</v>
      </c>
      <c r="E2182">
        <f t="shared" si="138"/>
        <v>92000000</v>
      </c>
      <c r="F2182">
        <f t="shared" si="139"/>
        <v>44160000</v>
      </c>
    </row>
    <row r="2183" ht="13.85" spans="1:6">
      <c r="A2183">
        <f t="shared" si="136"/>
        <v>2182</v>
      </c>
      <c r="B2183" s="24">
        <v>2822472</v>
      </c>
      <c r="C2183" s="11">
        <v>107</v>
      </c>
      <c r="D2183">
        <f t="shared" si="137"/>
        <v>107</v>
      </c>
      <c r="E2183">
        <f t="shared" si="138"/>
        <v>107000000</v>
      </c>
      <c r="F2183">
        <f t="shared" si="139"/>
        <v>51360000</v>
      </c>
    </row>
    <row r="2184" ht="13.85" spans="1:6">
      <c r="A2184">
        <f t="shared" si="136"/>
        <v>2183</v>
      </c>
      <c r="B2184" s="24">
        <v>3265669</v>
      </c>
      <c r="C2184" s="11">
        <v>124</v>
      </c>
      <c r="D2184">
        <f t="shared" si="137"/>
        <v>124</v>
      </c>
      <c r="E2184">
        <f t="shared" si="138"/>
        <v>124000000</v>
      </c>
      <c r="F2184">
        <f t="shared" si="139"/>
        <v>59520000</v>
      </c>
    </row>
    <row r="2185" ht="13.85" spans="1:6">
      <c r="A2185">
        <f t="shared" si="136"/>
        <v>2184</v>
      </c>
      <c r="B2185" s="24">
        <v>3111758</v>
      </c>
      <c r="C2185" s="11">
        <v>139</v>
      </c>
      <c r="D2185">
        <f t="shared" si="137"/>
        <v>139</v>
      </c>
      <c r="E2185">
        <f t="shared" si="138"/>
        <v>139000000</v>
      </c>
      <c r="F2185">
        <f t="shared" si="139"/>
        <v>66720000</v>
      </c>
    </row>
    <row r="2186" ht="13.85" spans="1:6">
      <c r="A2186">
        <f t="shared" si="136"/>
        <v>2185</v>
      </c>
      <c r="B2186" s="24">
        <v>3053742</v>
      </c>
      <c r="C2186" s="11">
        <v>155</v>
      </c>
      <c r="D2186">
        <f t="shared" si="137"/>
        <v>155</v>
      </c>
      <c r="E2186">
        <f t="shared" si="138"/>
        <v>155000000</v>
      </c>
      <c r="F2186">
        <f t="shared" si="139"/>
        <v>74400000</v>
      </c>
    </row>
    <row r="2187" ht="13.85" spans="1:6">
      <c r="A2187">
        <f t="shared" si="136"/>
        <v>2186</v>
      </c>
      <c r="B2187" s="24">
        <v>2899590</v>
      </c>
      <c r="C2187" s="11">
        <v>171</v>
      </c>
      <c r="D2187">
        <f t="shared" si="137"/>
        <v>171</v>
      </c>
      <c r="E2187">
        <f t="shared" si="138"/>
        <v>171000000</v>
      </c>
      <c r="F2187">
        <f t="shared" si="139"/>
        <v>82080000</v>
      </c>
    </row>
    <row r="2188" ht="13.85" spans="1:6">
      <c r="A2188">
        <f t="shared" si="136"/>
        <v>2187</v>
      </c>
      <c r="B2188" s="24">
        <v>3360984</v>
      </c>
      <c r="C2188" s="11">
        <v>183</v>
      </c>
      <c r="D2188">
        <f t="shared" si="137"/>
        <v>183</v>
      </c>
      <c r="E2188">
        <f t="shared" si="138"/>
        <v>183000000</v>
      </c>
      <c r="F2188">
        <f t="shared" si="139"/>
        <v>87840000</v>
      </c>
    </row>
    <row r="2189" ht="13.85" spans="1:6">
      <c r="A2189">
        <f t="shared" si="136"/>
        <v>2188</v>
      </c>
      <c r="B2189" s="24">
        <v>3096346</v>
      </c>
      <c r="C2189" s="11">
        <v>200</v>
      </c>
      <c r="D2189">
        <f t="shared" si="137"/>
        <v>200</v>
      </c>
      <c r="E2189">
        <f t="shared" si="138"/>
        <v>200000000</v>
      </c>
      <c r="F2189">
        <f t="shared" si="139"/>
        <v>96000000</v>
      </c>
    </row>
    <row r="2190" ht="13.85" spans="1:6">
      <c r="A2190">
        <f t="shared" si="136"/>
        <v>2189</v>
      </c>
      <c r="B2190" s="24">
        <v>3480604</v>
      </c>
      <c r="C2190" s="11">
        <v>217</v>
      </c>
      <c r="D2190">
        <f t="shared" si="137"/>
        <v>217</v>
      </c>
      <c r="E2190">
        <f t="shared" si="138"/>
        <v>217000000</v>
      </c>
      <c r="F2190">
        <f t="shared" si="139"/>
        <v>104160000</v>
      </c>
    </row>
    <row r="2191" ht="13.85" spans="1:6">
      <c r="A2191">
        <f t="shared" si="136"/>
        <v>2190</v>
      </c>
      <c r="B2191" s="24">
        <v>3148165</v>
      </c>
      <c r="C2191" s="11">
        <v>230</v>
      </c>
      <c r="D2191">
        <f t="shared" si="137"/>
        <v>230</v>
      </c>
      <c r="E2191">
        <f t="shared" si="138"/>
        <v>230000000</v>
      </c>
      <c r="F2191">
        <f t="shared" si="139"/>
        <v>110400000</v>
      </c>
    </row>
    <row r="2192" ht="13.85" spans="1:6">
      <c r="A2192">
        <f t="shared" si="136"/>
        <v>2191</v>
      </c>
      <c r="B2192" s="24">
        <v>3590342</v>
      </c>
      <c r="C2192" s="11">
        <v>246</v>
      </c>
      <c r="D2192">
        <f t="shared" si="137"/>
        <v>246</v>
      </c>
      <c r="E2192">
        <f t="shared" si="138"/>
        <v>246000000</v>
      </c>
      <c r="F2192">
        <f t="shared" si="139"/>
        <v>118080000</v>
      </c>
    </row>
    <row r="2193" ht="13.85" spans="1:6">
      <c r="A2193">
        <f t="shared" si="136"/>
        <v>2192</v>
      </c>
      <c r="B2193" s="24">
        <v>3286082</v>
      </c>
      <c r="C2193" s="11">
        <v>262</v>
      </c>
      <c r="D2193">
        <f t="shared" si="137"/>
        <v>262</v>
      </c>
      <c r="E2193">
        <f t="shared" si="138"/>
        <v>262000000</v>
      </c>
      <c r="F2193">
        <f t="shared" si="139"/>
        <v>125760000</v>
      </c>
    </row>
    <row r="2194" ht="13.85" spans="1:6">
      <c r="A2194">
        <f t="shared" si="136"/>
        <v>2193</v>
      </c>
      <c r="B2194" s="24">
        <v>3801620</v>
      </c>
      <c r="C2194" s="11">
        <v>281</v>
      </c>
      <c r="D2194">
        <f t="shared" si="137"/>
        <v>281</v>
      </c>
      <c r="E2194">
        <f t="shared" si="138"/>
        <v>281000000</v>
      </c>
      <c r="F2194">
        <f t="shared" si="139"/>
        <v>134880000</v>
      </c>
    </row>
    <row r="2195" ht="13.85" spans="1:6">
      <c r="A2195">
        <f t="shared" si="136"/>
        <v>2194</v>
      </c>
      <c r="B2195" s="24">
        <v>3908164</v>
      </c>
      <c r="C2195" s="27">
        <v>298.3</v>
      </c>
      <c r="D2195">
        <f t="shared" si="137"/>
        <v>298.3</v>
      </c>
      <c r="E2195">
        <f t="shared" si="138"/>
        <v>298300000</v>
      </c>
      <c r="F2195">
        <f t="shared" si="139"/>
        <v>143184000</v>
      </c>
    </row>
    <row r="2196" ht="13.85" spans="1:6">
      <c r="A2196">
        <f t="shared" si="136"/>
        <v>2195</v>
      </c>
      <c r="B2196" s="24">
        <v>3069411</v>
      </c>
      <c r="C2196" s="11">
        <v>40</v>
      </c>
      <c r="D2196">
        <f t="shared" si="137"/>
        <v>40</v>
      </c>
      <c r="E2196">
        <f t="shared" si="138"/>
        <v>40000000</v>
      </c>
      <c r="F2196">
        <f t="shared" si="139"/>
        <v>19200000</v>
      </c>
    </row>
    <row r="2197" ht="13.85" spans="1:6">
      <c r="A2197">
        <f t="shared" si="136"/>
        <v>2196</v>
      </c>
      <c r="B2197" s="24">
        <v>2687385</v>
      </c>
      <c r="C2197" s="11">
        <v>53</v>
      </c>
      <c r="D2197">
        <f t="shared" si="137"/>
        <v>53</v>
      </c>
      <c r="E2197">
        <f t="shared" si="138"/>
        <v>53000000</v>
      </c>
      <c r="F2197">
        <f t="shared" si="139"/>
        <v>25440000</v>
      </c>
    </row>
    <row r="2198" ht="13.85" spans="1:6">
      <c r="A2198">
        <f t="shared" si="136"/>
        <v>2197</v>
      </c>
      <c r="B2198" s="24">
        <v>2872279</v>
      </c>
      <c r="C2198" s="11">
        <v>69</v>
      </c>
      <c r="D2198">
        <f t="shared" si="137"/>
        <v>69</v>
      </c>
      <c r="E2198">
        <f t="shared" si="138"/>
        <v>69000000</v>
      </c>
      <c r="F2198">
        <f t="shared" si="139"/>
        <v>33120000</v>
      </c>
    </row>
    <row r="2199" ht="13.85" spans="1:6">
      <c r="A2199">
        <f t="shared" si="136"/>
        <v>2198</v>
      </c>
      <c r="B2199" s="24">
        <v>2580772</v>
      </c>
      <c r="C2199" s="11">
        <v>82</v>
      </c>
      <c r="D2199">
        <f t="shared" si="137"/>
        <v>82</v>
      </c>
      <c r="E2199">
        <f t="shared" si="138"/>
        <v>82000000</v>
      </c>
      <c r="F2199">
        <f t="shared" si="139"/>
        <v>39360000</v>
      </c>
    </row>
    <row r="2200" ht="13.85" spans="1:6">
      <c r="A2200">
        <f t="shared" si="136"/>
        <v>2199</v>
      </c>
      <c r="B2200" s="24">
        <v>3012201</v>
      </c>
      <c r="C2200" s="11">
        <v>96</v>
      </c>
      <c r="D2200">
        <f t="shared" si="137"/>
        <v>96</v>
      </c>
      <c r="E2200">
        <f t="shared" si="138"/>
        <v>96000000</v>
      </c>
      <c r="F2200">
        <f t="shared" si="139"/>
        <v>46080000</v>
      </c>
    </row>
    <row r="2201" ht="13.85" spans="1:6">
      <c r="A2201">
        <f t="shared" si="136"/>
        <v>2200</v>
      </c>
      <c r="B2201" s="24">
        <v>2808251</v>
      </c>
      <c r="C2201" s="11">
        <v>112</v>
      </c>
      <c r="D2201">
        <f t="shared" si="137"/>
        <v>112</v>
      </c>
      <c r="E2201">
        <f t="shared" si="138"/>
        <v>112000000</v>
      </c>
      <c r="F2201">
        <f t="shared" si="139"/>
        <v>53760000</v>
      </c>
    </row>
    <row r="2202" ht="13.85" spans="1:6">
      <c r="A2202">
        <f t="shared" si="136"/>
        <v>2201</v>
      </c>
      <c r="B2202" s="24">
        <v>3221219</v>
      </c>
      <c r="C2202" s="11">
        <v>129</v>
      </c>
      <c r="D2202">
        <f t="shared" si="137"/>
        <v>129</v>
      </c>
      <c r="E2202">
        <f t="shared" si="138"/>
        <v>129000000</v>
      </c>
      <c r="F2202">
        <f t="shared" si="139"/>
        <v>61920000</v>
      </c>
    </row>
    <row r="2203" ht="13.85" spans="1:6">
      <c r="A2203">
        <f t="shared" si="136"/>
        <v>2202</v>
      </c>
      <c r="B2203" s="24">
        <v>3210300</v>
      </c>
      <c r="C2203" s="11">
        <v>144</v>
      </c>
      <c r="D2203">
        <f t="shared" si="137"/>
        <v>144</v>
      </c>
      <c r="E2203">
        <f t="shared" si="138"/>
        <v>144000000</v>
      </c>
      <c r="F2203">
        <f t="shared" si="139"/>
        <v>69120000</v>
      </c>
    </row>
    <row r="2204" ht="13.85" spans="1:6">
      <c r="A2204">
        <f t="shared" si="136"/>
        <v>2203</v>
      </c>
      <c r="B2204" s="24">
        <v>3288600</v>
      </c>
      <c r="C2204" s="11">
        <v>161</v>
      </c>
      <c r="D2204">
        <f t="shared" si="137"/>
        <v>161</v>
      </c>
      <c r="E2204">
        <f t="shared" si="138"/>
        <v>161000000</v>
      </c>
      <c r="F2204">
        <f t="shared" si="139"/>
        <v>77280000</v>
      </c>
    </row>
    <row r="2205" ht="13.85" spans="1:6">
      <c r="A2205">
        <f t="shared" si="136"/>
        <v>2204</v>
      </c>
      <c r="B2205" s="24">
        <v>2900720</v>
      </c>
      <c r="C2205" s="11">
        <v>174</v>
      </c>
      <c r="D2205">
        <f t="shared" si="137"/>
        <v>174</v>
      </c>
      <c r="E2205">
        <f t="shared" si="138"/>
        <v>174000000</v>
      </c>
      <c r="F2205">
        <f t="shared" si="139"/>
        <v>83520000</v>
      </c>
    </row>
    <row r="2206" ht="13.85" spans="1:6">
      <c r="A2206">
        <f t="shared" si="136"/>
        <v>2205</v>
      </c>
      <c r="B2206" s="24">
        <v>3554156</v>
      </c>
      <c r="C2206" s="11">
        <v>191</v>
      </c>
      <c r="D2206">
        <f t="shared" si="137"/>
        <v>191</v>
      </c>
      <c r="E2206">
        <f t="shared" si="138"/>
        <v>191000000</v>
      </c>
      <c r="F2206">
        <f t="shared" si="139"/>
        <v>91680000</v>
      </c>
    </row>
    <row r="2207" ht="13.85" spans="1:6">
      <c r="A2207">
        <f t="shared" si="136"/>
        <v>2206</v>
      </c>
      <c r="B2207" s="24">
        <v>3222982</v>
      </c>
      <c r="C2207" s="11">
        <v>204</v>
      </c>
      <c r="D2207">
        <f t="shared" si="137"/>
        <v>204</v>
      </c>
      <c r="E2207">
        <f t="shared" si="138"/>
        <v>204000000</v>
      </c>
      <c r="F2207">
        <f t="shared" si="139"/>
        <v>97920000</v>
      </c>
    </row>
    <row r="2208" ht="13.85" spans="1:6">
      <c r="A2208">
        <f t="shared" si="136"/>
        <v>2207</v>
      </c>
      <c r="B2208" s="24">
        <v>3685449</v>
      </c>
      <c r="C2208" s="11">
        <v>224</v>
      </c>
      <c r="D2208">
        <f t="shared" si="137"/>
        <v>224</v>
      </c>
      <c r="E2208">
        <f t="shared" si="138"/>
        <v>224000000</v>
      </c>
      <c r="F2208">
        <f t="shared" si="139"/>
        <v>107520000</v>
      </c>
    </row>
    <row r="2209" ht="13.85" spans="1:6">
      <c r="A2209">
        <f t="shared" si="136"/>
        <v>2208</v>
      </c>
      <c r="B2209" s="24">
        <v>3341850</v>
      </c>
      <c r="C2209" s="11">
        <v>242</v>
      </c>
      <c r="D2209">
        <f t="shared" si="137"/>
        <v>242</v>
      </c>
      <c r="E2209">
        <f t="shared" si="138"/>
        <v>242000000</v>
      </c>
      <c r="F2209">
        <f t="shared" si="139"/>
        <v>116160000</v>
      </c>
    </row>
    <row r="2210" ht="13.85" spans="1:6">
      <c r="A2210">
        <f t="shared" si="136"/>
        <v>2209</v>
      </c>
      <c r="B2210" s="24">
        <v>3860406</v>
      </c>
      <c r="C2210" s="11">
        <v>260</v>
      </c>
      <c r="D2210">
        <f t="shared" si="137"/>
        <v>260</v>
      </c>
      <c r="E2210">
        <f t="shared" si="138"/>
        <v>260000000</v>
      </c>
      <c r="F2210">
        <f t="shared" si="139"/>
        <v>124800000</v>
      </c>
    </row>
    <row r="2211" ht="13.85" spans="1:6">
      <c r="A2211">
        <f t="shared" si="136"/>
        <v>2210</v>
      </c>
      <c r="B2211" s="24">
        <v>3464733</v>
      </c>
      <c r="C2211" s="11">
        <v>282</v>
      </c>
      <c r="D2211">
        <f t="shared" si="137"/>
        <v>282</v>
      </c>
      <c r="E2211">
        <f t="shared" si="138"/>
        <v>282000000</v>
      </c>
      <c r="F2211">
        <f t="shared" si="139"/>
        <v>135360000</v>
      </c>
    </row>
    <row r="2212" ht="13.85" spans="1:6">
      <c r="A2212">
        <f t="shared" si="136"/>
        <v>2211</v>
      </c>
      <c r="B2212" s="24">
        <v>4304748</v>
      </c>
      <c r="C2212" s="11">
        <v>304</v>
      </c>
      <c r="D2212">
        <f t="shared" si="137"/>
        <v>304</v>
      </c>
      <c r="E2212">
        <f t="shared" si="138"/>
        <v>304000000</v>
      </c>
      <c r="F2212">
        <f t="shared" si="139"/>
        <v>145920000</v>
      </c>
    </row>
    <row r="2213" ht="13.85" spans="1:6">
      <c r="A2213">
        <f t="shared" si="136"/>
        <v>2212</v>
      </c>
      <c r="B2213" s="24">
        <v>4069603</v>
      </c>
      <c r="C2213" s="11">
        <v>322</v>
      </c>
      <c r="D2213">
        <f t="shared" si="137"/>
        <v>322</v>
      </c>
      <c r="E2213">
        <f t="shared" si="138"/>
        <v>322000000</v>
      </c>
      <c r="F2213">
        <f t="shared" si="139"/>
        <v>154560000</v>
      </c>
    </row>
    <row r="2214" ht="13.85" spans="1:6">
      <c r="A2214">
        <f t="shared" si="136"/>
        <v>2213</v>
      </c>
      <c r="B2214" s="24">
        <v>4935034</v>
      </c>
      <c r="C2214" s="11">
        <v>348</v>
      </c>
      <c r="D2214">
        <f t="shared" si="137"/>
        <v>348</v>
      </c>
      <c r="E2214">
        <f t="shared" si="138"/>
        <v>348000000</v>
      </c>
      <c r="F2214">
        <f t="shared" si="139"/>
        <v>167040000</v>
      </c>
    </row>
    <row r="2215" ht="13.85" spans="1:6">
      <c r="A2215">
        <f t="shared" si="136"/>
        <v>2214</v>
      </c>
      <c r="B2215" s="24">
        <v>4703458</v>
      </c>
      <c r="C2215" s="11">
        <v>381</v>
      </c>
      <c r="D2215">
        <f t="shared" si="137"/>
        <v>381</v>
      </c>
      <c r="E2215">
        <f t="shared" si="138"/>
        <v>381000000</v>
      </c>
      <c r="F2215">
        <f t="shared" si="139"/>
        <v>182880000</v>
      </c>
    </row>
    <row r="2216" ht="13.85" spans="1:6">
      <c r="A2216">
        <f t="shared" si="136"/>
        <v>2215</v>
      </c>
      <c r="B2216" s="24">
        <v>6031686</v>
      </c>
      <c r="C2216" s="11">
        <v>414</v>
      </c>
      <c r="D2216">
        <f t="shared" si="137"/>
        <v>414</v>
      </c>
      <c r="E2216">
        <f t="shared" si="138"/>
        <v>414000000</v>
      </c>
      <c r="F2216">
        <f t="shared" si="139"/>
        <v>198720000</v>
      </c>
    </row>
    <row r="2217" ht="13.85" spans="1:6">
      <c r="A2217">
        <f t="shared" si="136"/>
        <v>2216</v>
      </c>
      <c r="B2217" s="24">
        <v>6187631</v>
      </c>
      <c r="C2217" s="11">
        <v>448</v>
      </c>
      <c r="D2217">
        <f t="shared" si="137"/>
        <v>448</v>
      </c>
      <c r="E2217">
        <f t="shared" si="138"/>
        <v>448000000</v>
      </c>
      <c r="F2217">
        <f t="shared" si="139"/>
        <v>215040000</v>
      </c>
    </row>
    <row r="2218" ht="13.85" spans="1:6">
      <c r="A2218">
        <f t="shared" si="136"/>
        <v>2217</v>
      </c>
      <c r="B2218" s="24">
        <v>7622979</v>
      </c>
      <c r="C2218" s="11">
        <v>495</v>
      </c>
      <c r="D2218">
        <f t="shared" si="137"/>
        <v>495</v>
      </c>
      <c r="E2218">
        <f t="shared" si="138"/>
        <v>495000000</v>
      </c>
      <c r="F2218">
        <f t="shared" si="139"/>
        <v>237600000</v>
      </c>
    </row>
    <row r="2219" ht="13.85" spans="1:6">
      <c r="A2219">
        <f t="shared" si="136"/>
        <v>2218</v>
      </c>
      <c r="B2219" s="24">
        <v>10659299</v>
      </c>
      <c r="C2219" s="11">
        <v>550</v>
      </c>
      <c r="D2219">
        <f t="shared" si="137"/>
        <v>550</v>
      </c>
      <c r="E2219">
        <f t="shared" si="138"/>
        <v>550000000</v>
      </c>
      <c r="F2219">
        <f t="shared" si="139"/>
        <v>264000000</v>
      </c>
    </row>
    <row r="2220" ht="13.85" spans="1:6">
      <c r="A2220">
        <f t="shared" si="136"/>
        <v>2219</v>
      </c>
      <c r="B2220" s="24">
        <v>13655216</v>
      </c>
      <c r="C2220" s="11">
        <v>625</v>
      </c>
      <c r="D2220">
        <f t="shared" si="137"/>
        <v>625</v>
      </c>
      <c r="E2220">
        <f t="shared" si="138"/>
        <v>625000000</v>
      </c>
      <c r="F2220">
        <f t="shared" si="139"/>
        <v>300000000</v>
      </c>
    </row>
    <row r="2221" ht="13.85" spans="1:6">
      <c r="A2221">
        <f t="shared" si="136"/>
        <v>2220</v>
      </c>
      <c r="B2221" s="24">
        <v>19510057</v>
      </c>
      <c r="C2221" s="27">
        <v>768.4</v>
      </c>
      <c r="D2221">
        <f t="shared" si="137"/>
        <v>768.4</v>
      </c>
      <c r="E2221">
        <f t="shared" si="138"/>
        <v>768400000</v>
      </c>
      <c r="F2221">
        <f t="shared" si="139"/>
        <v>368832000</v>
      </c>
    </row>
    <row r="2222" ht="13.85" spans="1:6">
      <c r="A2222">
        <f t="shared" si="136"/>
        <v>2221</v>
      </c>
      <c r="B2222" s="24">
        <v>3383737</v>
      </c>
      <c r="C2222" s="11">
        <v>40</v>
      </c>
      <c r="D2222">
        <f t="shared" si="137"/>
        <v>40</v>
      </c>
      <c r="E2222">
        <f t="shared" si="138"/>
        <v>40000000</v>
      </c>
      <c r="F2222">
        <f t="shared" si="139"/>
        <v>19200000</v>
      </c>
    </row>
    <row r="2223" ht="13.85" spans="1:6">
      <c r="A2223">
        <f t="shared" si="136"/>
        <v>2222</v>
      </c>
      <c r="B2223" s="24">
        <v>3006024</v>
      </c>
      <c r="C2223" s="11">
        <v>54</v>
      </c>
      <c r="D2223">
        <f t="shared" si="137"/>
        <v>54</v>
      </c>
      <c r="E2223">
        <f t="shared" si="138"/>
        <v>54000000</v>
      </c>
      <c r="F2223">
        <f t="shared" si="139"/>
        <v>25920000</v>
      </c>
    </row>
    <row r="2224" ht="13.85" spans="1:6">
      <c r="A2224">
        <f t="shared" si="136"/>
        <v>2223</v>
      </c>
      <c r="B2224" s="24">
        <v>3321871</v>
      </c>
      <c r="C2224" s="11">
        <v>68</v>
      </c>
      <c r="D2224">
        <f t="shared" si="137"/>
        <v>68</v>
      </c>
      <c r="E2224">
        <f t="shared" si="138"/>
        <v>68000000</v>
      </c>
      <c r="F2224">
        <f t="shared" si="139"/>
        <v>32640000</v>
      </c>
    </row>
    <row r="2225" ht="13.85" spans="1:6">
      <c r="A2225">
        <f t="shared" si="136"/>
        <v>2224</v>
      </c>
      <c r="B2225" s="24">
        <v>2976932</v>
      </c>
      <c r="C2225" s="11">
        <v>84</v>
      </c>
      <c r="D2225">
        <f t="shared" si="137"/>
        <v>84</v>
      </c>
      <c r="E2225">
        <f t="shared" si="138"/>
        <v>84000000</v>
      </c>
      <c r="F2225">
        <f t="shared" si="139"/>
        <v>40320000</v>
      </c>
    </row>
    <row r="2226" ht="13.85" spans="1:6">
      <c r="A2226">
        <f t="shared" si="136"/>
        <v>2225</v>
      </c>
      <c r="B2226" s="24">
        <v>3464933</v>
      </c>
      <c r="C2226" s="11">
        <v>101</v>
      </c>
      <c r="D2226">
        <f t="shared" si="137"/>
        <v>101</v>
      </c>
      <c r="E2226">
        <f t="shared" si="138"/>
        <v>101000000</v>
      </c>
      <c r="F2226">
        <f t="shared" si="139"/>
        <v>48480000</v>
      </c>
    </row>
    <row r="2227" ht="13.85" spans="1:6">
      <c r="A2227">
        <f t="shared" si="136"/>
        <v>2226</v>
      </c>
      <c r="B2227" s="24">
        <v>3136346</v>
      </c>
      <c r="C2227" s="11">
        <v>118</v>
      </c>
      <c r="D2227">
        <f t="shared" si="137"/>
        <v>118</v>
      </c>
      <c r="E2227">
        <f t="shared" si="138"/>
        <v>118000000</v>
      </c>
      <c r="F2227">
        <f t="shared" si="139"/>
        <v>56640000</v>
      </c>
    </row>
    <row r="2228" ht="13.85" spans="1:6">
      <c r="A2228">
        <f t="shared" si="136"/>
        <v>2227</v>
      </c>
      <c r="B2228" s="24">
        <v>3504766</v>
      </c>
      <c r="C2228" s="11">
        <v>136</v>
      </c>
      <c r="D2228">
        <f t="shared" si="137"/>
        <v>136</v>
      </c>
      <c r="E2228">
        <f t="shared" si="138"/>
        <v>136000000</v>
      </c>
      <c r="F2228">
        <f t="shared" si="139"/>
        <v>65280000</v>
      </c>
    </row>
    <row r="2229" ht="13.85" spans="1:6">
      <c r="A2229">
        <f t="shared" si="136"/>
        <v>2228</v>
      </c>
      <c r="B2229" s="24">
        <v>3201082</v>
      </c>
      <c r="C2229" s="11">
        <v>150</v>
      </c>
      <c r="D2229">
        <f t="shared" si="137"/>
        <v>150</v>
      </c>
      <c r="E2229">
        <f t="shared" si="138"/>
        <v>150000000</v>
      </c>
      <c r="F2229">
        <f t="shared" si="139"/>
        <v>72000000</v>
      </c>
    </row>
    <row r="2230" ht="13.85" spans="1:6">
      <c r="A2230">
        <f t="shared" si="136"/>
        <v>2229</v>
      </c>
      <c r="B2230" s="24">
        <v>3670207</v>
      </c>
      <c r="C2230" s="11">
        <v>166</v>
      </c>
      <c r="D2230">
        <f t="shared" si="137"/>
        <v>166</v>
      </c>
      <c r="E2230">
        <f t="shared" si="138"/>
        <v>166000000</v>
      </c>
      <c r="F2230">
        <f t="shared" si="139"/>
        <v>79680000</v>
      </c>
    </row>
    <row r="2231" ht="13.85" spans="1:6">
      <c r="A2231">
        <f t="shared" si="136"/>
        <v>2230</v>
      </c>
      <c r="B2231" s="24">
        <v>3367527</v>
      </c>
      <c r="C2231" s="11">
        <v>181</v>
      </c>
      <c r="D2231">
        <f t="shared" si="137"/>
        <v>181</v>
      </c>
      <c r="E2231">
        <f t="shared" si="138"/>
        <v>181000000</v>
      </c>
      <c r="F2231">
        <f t="shared" si="139"/>
        <v>86880000</v>
      </c>
    </row>
    <row r="2232" ht="13.85" spans="1:6">
      <c r="A2232">
        <f t="shared" si="136"/>
        <v>2231</v>
      </c>
      <c r="B2232" s="24">
        <v>3869994</v>
      </c>
      <c r="C2232" s="11">
        <v>199</v>
      </c>
      <c r="D2232">
        <f t="shared" si="137"/>
        <v>199</v>
      </c>
      <c r="E2232">
        <f t="shared" si="138"/>
        <v>199000000</v>
      </c>
      <c r="F2232">
        <f t="shared" si="139"/>
        <v>95520000</v>
      </c>
    </row>
    <row r="2233" ht="13.85" spans="1:6">
      <c r="A2233">
        <f t="shared" si="136"/>
        <v>2232</v>
      </c>
      <c r="B2233" s="24">
        <v>3506821</v>
      </c>
      <c r="C2233" s="11">
        <v>215</v>
      </c>
      <c r="D2233">
        <f t="shared" si="137"/>
        <v>215</v>
      </c>
      <c r="E2233">
        <f t="shared" si="138"/>
        <v>215000000</v>
      </c>
      <c r="F2233">
        <f t="shared" si="139"/>
        <v>103200000</v>
      </c>
    </row>
    <row r="2234" ht="13.85" spans="1:6">
      <c r="A2234">
        <f t="shared" si="136"/>
        <v>2233</v>
      </c>
      <c r="B2234" s="24">
        <v>4002658</v>
      </c>
      <c r="C2234" s="11">
        <v>235</v>
      </c>
      <c r="D2234">
        <f t="shared" si="137"/>
        <v>235</v>
      </c>
      <c r="E2234">
        <f t="shared" si="138"/>
        <v>235000000</v>
      </c>
      <c r="F2234">
        <f t="shared" si="139"/>
        <v>112800000</v>
      </c>
    </row>
    <row r="2235" ht="13.85" spans="1:6">
      <c r="A2235">
        <f t="shared" si="136"/>
        <v>2234</v>
      </c>
      <c r="B2235" s="24">
        <v>3635695</v>
      </c>
      <c r="C2235" s="11">
        <v>250</v>
      </c>
      <c r="D2235">
        <f t="shared" si="137"/>
        <v>250</v>
      </c>
      <c r="E2235">
        <f t="shared" si="138"/>
        <v>250000000</v>
      </c>
      <c r="F2235">
        <f t="shared" si="139"/>
        <v>120000000</v>
      </c>
    </row>
    <row r="2236" ht="13.85" spans="1:6">
      <c r="A2236">
        <f t="shared" si="136"/>
        <v>2235</v>
      </c>
      <c r="B2236" s="24">
        <v>4068341</v>
      </c>
      <c r="C2236" s="11">
        <v>270</v>
      </c>
      <c r="D2236">
        <f t="shared" si="137"/>
        <v>270</v>
      </c>
      <c r="E2236">
        <f t="shared" si="138"/>
        <v>270000000</v>
      </c>
      <c r="F2236">
        <f t="shared" si="139"/>
        <v>129600000</v>
      </c>
    </row>
    <row r="2237" ht="13.85" spans="1:6">
      <c r="A2237">
        <f t="shared" si="136"/>
        <v>2236</v>
      </c>
      <c r="B2237" s="24">
        <v>3804077</v>
      </c>
      <c r="C2237" s="11">
        <v>288</v>
      </c>
      <c r="D2237">
        <f t="shared" si="137"/>
        <v>288</v>
      </c>
      <c r="E2237">
        <f t="shared" si="138"/>
        <v>288000000</v>
      </c>
      <c r="F2237">
        <f t="shared" si="139"/>
        <v>138240000</v>
      </c>
    </row>
    <row r="2238" ht="13.85" spans="1:6">
      <c r="A2238">
        <f t="shared" si="136"/>
        <v>2237</v>
      </c>
      <c r="B2238" s="24">
        <v>4406287</v>
      </c>
      <c r="C2238" s="11">
        <v>308</v>
      </c>
      <c r="D2238">
        <f t="shared" si="137"/>
        <v>308</v>
      </c>
      <c r="E2238">
        <f t="shared" si="138"/>
        <v>308000000</v>
      </c>
      <c r="F2238">
        <f t="shared" si="139"/>
        <v>147840000</v>
      </c>
    </row>
    <row r="2239" ht="13.85" spans="1:6">
      <c r="A2239">
        <f t="shared" si="136"/>
        <v>2238</v>
      </c>
      <c r="B2239" s="24">
        <v>4067647</v>
      </c>
      <c r="C2239" s="11">
        <v>325</v>
      </c>
      <c r="D2239">
        <f t="shared" si="137"/>
        <v>325</v>
      </c>
      <c r="E2239">
        <f t="shared" si="138"/>
        <v>325000000</v>
      </c>
      <c r="F2239">
        <f t="shared" si="139"/>
        <v>156000000</v>
      </c>
    </row>
    <row r="2240" ht="13.85" spans="1:6">
      <c r="A2240">
        <f t="shared" si="136"/>
        <v>2239</v>
      </c>
      <c r="B2240" s="24">
        <v>5215420</v>
      </c>
      <c r="C2240" s="27">
        <v>344.6</v>
      </c>
      <c r="D2240">
        <f t="shared" si="137"/>
        <v>344.6</v>
      </c>
      <c r="E2240">
        <f t="shared" si="138"/>
        <v>344600000</v>
      </c>
      <c r="F2240">
        <f t="shared" si="139"/>
        <v>165408000</v>
      </c>
    </row>
    <row r="2241" ht="13.85" spans="1:6">
      <c r="A2241">
        <f t="shared" si="136"/>
        <v>2240</v>
      </c>
      <c r="B2241" s="24">
        <v>2784438</v>
      </c>
      <c r="C2241" s="11">
        <v>40</v>
      </c>
      <c r="D2241">
        <f t="shared" si="137"/>
        <v>40</v>
      </c>
      <c r="E2241">
        <f t="shared" si="138"/>
        <v>40000000</v>
      </c>
      <c r="F2241">
        <f t="shared" si="139"/>
        <v>19200000</v>
      </c>
    </row>
    <row r="2242" ht="13.85" spans="1:6">
      <c r="A2242">
        <f t="shared" ref="A2242:A2305" si="140">ROW()-1</f>
        <v>2241</v>
      </c>
      <c r="B2242" s="24">
        <v>3042365</v>
      </c>
      <c r="C2242" s="11">
        <v>53</v>
      </c>
      <c r="D2242">
        <f t="shared" ref="D2242:D2305" si="141">IF(RIGHT(C2242,1)="B",VALUE(LEFT(C2242,LEN(C2242)-1))*1000,C2242)</f>
        <v>53</v>
      </c>
      <c r="E2242">
        <f t="shared" ref="E2242:E2305" si="142">D2242*1000000</f>
        <v>53000000</v>
      </c>
      <c r="F2242">
        <f t="shared" ref="F2242:F2305" si="143">E2242*0.48</f>
        <v>25440000</v>
      </c>
    </row>
    <row r="2243" ht="13.85" spans="1:6">
      <c r="A2243">
        <f t="shared" si="140"/>
        <v>2242</v>
      </c>
      <c r="B2243" s="24">
        <v>2625177</v>
      </c>
      <c r="C2243" s="11">
        <v>66</v>
      </c>
      <c r="D2243">
        <f t="shared" si="141"/>
        <v>66</v>
      </c>
      <c r="E2243">
        <f t="shared" si="142"/>
        <v>66000000</v>
      </c>
      <c r="F2243">
        <f t="shared" si="143"/>
        <v>31680000</v>
      </c>
    </row>
    <row r="2244" ht="13.85" spans="1:6">
      <c r="A2244">
        <f t="shared" si="140"/>
        <v>2243</v>
      </c>
      <c r="B2244" s="24">
        <v>3065530</v>
      </c>
      <c r="C2244" s="11">
        <v>79</v>
      </c>
      <c r="D2244">
        <f t="shared" si="141"/>
        <v>79</v>
      </c>
      <c r="E2244">
        <f t="shared" si="142"/>
        <v>79000000</v>
      </c>
      <c r="F2244">
        <f t="shared" si="143"/>
        <v>37920000</v>
      </c>
    </row>
    <row r="2245" ht="13.85" spans="1:6">
      <c r="A2245">
        <f t="shared" si="140"/>
        <v>2244</v>
      </c>
      <c r="B2245" s="24">
        <v>2813748</v>
      </c>
      <c r="C2245" s="11">
        <v>92</v>
      </c>
      <c r="D2245">
        <f t="shared" si="141"/>
        <v>92</v>
      </c>
      <c r="E2245">
        <f t="shared" si="142"/>
        <v>92000000</v>
      </c>
      <c r="F2245">
        <f t="shared" si="143"/>
        <v>44160000</v>
      </c>
    </row>
    <row r="2246" ht="13.85" spans="1:6">
      <c r="A2246">
        <f t="shared" si="140"/>
        <v>2245</v>
      </c>
      <c r="B2246" s="24">
        <v>3304004</v>
      </c>
      <c r="C2246" s="11">
        <v>108</v>
      </c>
      <c r="D2246">
        <f t="shared" si="141"/>
        <v>108</v>
      </c>
      <c r="E2246">
        <f t="shared" si="142"/>
        <v>108000000</v>
      </c>
      <c r="F2246">
        <f t="shared" si="143"/>
        <v>51840000</v>
      </c>
    </row>
    <row r="2247" ht="13.85" spans="1:6">
      <c r="A2247">
        <f t="shared" si="140"/>
        <v>2246</v>
      </c>
      <c r="B2247" s="24">
        <v>3026419</v>
      </c>
      <c r="C2247" s="11">
        <v>122</v>
      </c>
      <c r="D2247">
        <f t="shared" si="141"/>
        <v>122</v>
      </c>
      <c r="E2247">
        <f t="shared" si="142"/>
        <v>122000000</v>
      </c>
      <c r="F2247">
        <f t="shared" si="143"/>
        <v>58560000</v>
      </c>
    </row>
    <row r="2248" ht="13.85" spans="1:6">
      <c r="A2248">
        <f t="shared" si="140"/>
        <v>2247</v>
      </c>
      <c r="B2248" s="24">
        <v>3467787</v>
      </c>
      <c r="C2248" s="11">
        <v>137</v>
      </c>
      <c r="D2248">
        <f t="shared" si="141"/>
        <v>137</v>
      </c>
      <c r="E2248">
        <f t="shared" si="142"/>
        <v>137000000</v>
      </c>
      <c r="F2248">
        <f t="shared" si="143"/>
        <v>65760000</v>
      </c>
    </row>
    <row r="2249" ht="13.85" spans="1:6">
      <c r="A2249">
        <f t="shared" si="140"/>
        <v>2248</v>
      </c>
      <c r="B2249" s="24">
        <v>3154417</v>
      </c>
      <c r="C2249" s="11">
        <v>150</v>
      </c>
      <c r="D2249">
        <f t="shared" si="141"/>
        <v>150</v>
      </c>
      <c r="E2249">
        <f t="shared" si="142"/>
        <v>150000000</v>
      </c>
      <c r="F2249">
        <f t="shared" si="143"/>
        <v>72000000</v>
      </c>
    </row>
    <row r="2250" ht="13.85" spans="1:6">
      <c r="A2250">
        <f t="shared" si="140"/>
        <v>2249</v>
      </c>
      <c r="B2250" s="24">
        <v>3312066</v>
      </c>
      <c r="C2250" s="11">
        <v>165</v>
      </c>
      <c r="D2250">
        <f t="shared" si="141"/>
        <v>165</v>
      </c>
      <c r="E2250">
        <f t="shared" si="142"/>
        <v>165000000</v>
      </c>
      <c r="F2250">
        <f t="shared" si="143"/>
        <v>79200000</v>
      </c>
    </row>
    <row r="2251" ht="13.85" spans="1:6">
      <c r="A2251">
        <f t="shared" si="140"/>
        <v>2250</v>
      </c>
      <c r="B2251" s="24">
        <v>3078453</v>
      </c>
      <c r="C2251" s="11">
        <v>180</v>
      </c>
      <c r="D2251">
        <f t="shared" si="141"/>
        <v>180</v>
      </c>
      <c r="E2251">
        <f t="shared" si="142"/>
        <v>180000000</v>
      </c>
      <c r="F2251">
        <f t="shared" si="143"/>
        <v>86400000</v>
      </c>
    </row>
    <row r="2252" ht="13.85" spans="1:6">
      <c r="A2252">
        <f t="shared" si="140"/>
        <v>2251</v>
      </c>
      <c r="B2252" s="24">
        <v>3509212</v>
      </c>
      <c r="C2252" s="11">
        <v>198</v>
      </c>
      <c r="D2252">
        <f t="shared" si="141"/>
        <v>198</v>
      </c>
      <c r="E2252">
        <f t="shared" si="142"/>
        <v>198000000</v>
      </c>
      <c r="F2252">
        <f t="shared" si="143"/>
        <v>95040000</v>
      </c>
    </row>
    <row r="2253" ht="13.85" spans="1:6">
      <c r="A2253">
        <f t="shared" si="140"/>
        <v>2252</v>
      </c>
      <c r="B2253" s="24">
        <v>2374917</v>
      </c>
      <c r="C2253" s="11">
        <v>40</v>
      </c>
      <c r="D2253">
        <f t="shared" si="141"/>
        <v>40</v>
      </c>
      <c r="E2253">
        <f t="shared" si="142"/>
        <v>40000000</v>
      </c>
      <c r="F2253">
        <f t="shared" si="143"/>
        <v>19200000</v>
      </c>
    </row>
    <row r="2254" ht="13.85" spans="1:6">
      <c r="A2254">
        <f t="shared" si="140"/>
        <v>2253</v>
      </c>
      <c r="B2254" s="24">
        <v>2698261</v>
      </c>
      <c r="C2254" s="11">
        <v>53</v>
      </c>
      <c r="D2254">
        <f t="shared" si="141"/>
        <v>53</v>
      </c>
      <c r="E2254">
        <f t="shared" si="142"/>
        <v>53000000</v>
      </c>
      <c r="F2254">
        <f t="shared" si="143"/>
        <v>25440000</v>
      </c>
    </row>
    <row r="2255" ht="13.85" spans="1:6">
      <c r="A2255">
        <f t="shared" si="140"/>
        <v>2254</v>
      </c>
      <c r="B2255" s="24">
        <v>2390399</v>
      </c>
      <c r="C2255" s="11">
        <v>63</v>
      </c>
      <c r="D2255">
        <f t="shared" si="141"/>
        <v>63</v>
      </c>
      <c r="E2255">
        <f t="shared" si="142"/>
        <v>63000000</v>
      </c>
      <c r="F2255">
        <f t="shared" si="143"/>
        <v>30240000</v>
      </c>
    </row>
    <row r="2256" ht="13.85" spans="1:6">
      <c r="A2256">
        <f t="shared" si="140"/>
        <v>2255</v>
      </c>
      <c r="B2256" s="24">
        <v>2797164</v>
      </c>
      <c r="C2256" s="11">
        <v>75</v>
      </c>
      <c r="D2256">
        <f t="shared" si="141"/>
        <v>75</v>
      </c>
      <c r="E2256">
        <f t="shared" si="142"/>
        <v>75000000</v>
      </c>
      <c r="F2256">
        <f t="shared" si="143"/>
        <v>36000000</v>
      </c>
    </row>
    <row r="2257" ht="13.85" spans="1:6">
      <c r="A2257">
        <f t="shared" si="140"/>
        <v>2256</v>
      </c>
      <c r="B2257" s="24">
        <v>2539963</v>
      </c>
      <c r="C2257" s="11">
        <v>88</v>
      </c>
      <c r="D2257">
        <f t="shared" si="141"/>
        <v>88</v>
      </c>
      <c r="E2257">
        <f t="shared" si="142"/>
        <v>88000000</v>
      </c>
      <c r="F2257">
        <f t="shared" si="143"/>
        <v>42240000</v>
      </c>
    </row>
    <row r="2258" ht="13.85" spans="1:6">
      <c r="A2258">
        <f t="shared" si="140"/>
        <v>2257</v>
      </c>
      <c r="B2258" s="24">
        <v>3129483</v>
      </c>
      <c r="C2258" s="11">
        <v>102</v>
      </c>
      <c r="D2258">
        <f t="shared" si="141"/>
        <v>102</v>
      </c>
      <c r="E2258">
        <f t="shared" si="142"/>
        <v>102000000</v>
      </c>
      <c r="F2258">
        <f t="shared" si="143"/>
        <v>48960000</v>
      </c>
    </row>
    <row r="2259" ht="13.85" spans="1:6">
      <c r="A2259">
        <f t="shared" si="140"/>
        <v>2258</v>
      </c>
      <c r="B2259" s="24">
        <v>2752755</v>
      </c>
      <c r="C2259" s="11">
        <v>112</v>
      </c>
      <c r="D2259">
        <f t="shared" si="141"/>
        <v>112</v>
      </c>
      <c r="E2259">
        <f t="shared" si="142"/>
        <v>112000000</v>
      </c>
      <c r="F2259">
        <f t="shared" si="143"/>
        <v>53760000</v>
      </c>
    </row>
    <row r="2260" ht="13.85" spans="1:6">
      <c r="A2260">
        <f t="shared" si="140"/>
        <v>2259</v>
      </c>
      <c r="B2260" s="24">
        <v>3169513</v>
      </c>
      <c r="C2260" s="11">
        <v>128</v>
      </c>
      <c r="D2260">
        <f t="shared" si="141"/>
        <v>128</v>
      </c>
      <c r="E2260">
        <f t="shared" si="142"/>
        <v>128000000</v>
      </c>
      <c r="F2260">
        <f t="shared" si="143"/>
        <v>61440000</v>
      </c>
    </row>
    <row r="2261" ht="13.85" spans="1:6">
      <c r="A2261">
        <f t="shared" si="140"/>
        <v>2260</v>
      </c>
      <c r="B2261" s="24">
        <v>2866914</v>
      </c>
      <c r="C2261" s="11">
        <v>138</v>
      </c>
      <c r="D2261">
        <f t="shared" si="141"/>
        <v>138</v>
      </c>
      <c r="E2261">
        <f t="shared" si="142"/>
        <v>138000000</v>
      </c>
      <c r="F2261">
        <f t="shared" si="143"/>
        <v>66240000</v>
      </c>
    </row>
    <row r="2262" ht="13.85" spans="1:6">
      <c r="A2262">
        <f t="shared" si="140"/>
        <v>2261</v>
      </c>
      <c r="B2262" s="24">
        <v>3261848</v>
      </c>
      <c r="C2262" s="25">
        <v>148</v>
      </c>
      <c r="D2262">
        <f t="shared" si="141"/>
        <v>148</v>
      </c>
      <c r="E2262">
        <f t="shared" si="142"/>
        <v>148000000</v>
      </c>
      <c r="F2262">
        <f t="shared" si="143"/>
        <v>71040000</v>
      </c>
    </row>
    <row r="2263" ht="13.85" spans="1:6">
      <c r="A2263">
        <f t="shared" si="140"/>
        <v>2262</v>
      </c>
      <c r="B2263" s="24">
        <v>2312613</v>
      </c>
      <c r="C2263" s="11">
        <v>40</v>
      </c>
      <c r="D2263">
        <f t="shared" si="141"/>
        <v>40</v>
      </c>
      <c r="E2263">
        <f t="shared" si="142"/>
        <v>40000000</v>
      </c>
      <c r="F2263">
        <f t="shared" si="143"/>
        <v>19200000</v>
      </c>
    </row>
    <row r="2264" ht="13.85" spans="1:6">
      <c r="A2264">
        <f t="shared" si="140"/>
        <v>2263</v>
      </c>
      <c r="B2264" s="24">
        <v>2670976</v>
      </c>
      <c r="C2264" s="11">
        <v>50</v>
      </c>
      <c r="D2264">
        <f t="shared" si="141"/>
        <v>50</v>
      </c>
      <c r="E2264">
        <f t="shared" si="142"/>
        <v>50000000</v>
      </c>
      <c r="F2264">
        <f t="shared" si="143"/>
        <v>24000000</v>
      </c>
    </row>
    <row r="2265" ht="13.85" spans="1:6">
      <c r="A2265">
        <f t="shared" si="140"/>
        <v>2264</v>
      </c>
      <c r="B2265" s="24">
        <v>2272500</v>
      </c>
      <c r="C2265" s="11">
        <v>60</v>
      </c>
      <c r="D2265">
        <f t="shared" si="141"/>
        <v>60</v>
      </c>
      <c r="E2265">
        <f t="shared" si="142"/>
        <v>60000000</v>
      </c>
      <c r="F2265">
        <f t="shared" si="143"/>
        <v>28800000</v>
      </c>
    </row>
    <row r="2266" ht="13.85" spans="1:6">
      <c r="A2266">
        <f t="shared" si="140"/>
        <v>2265</v>
      </c>
      <c r="B2266" s="24">
        <v>2878043</v>
      </c>
      <c r="C2266" s="11">
        <v>70</v>
      </c>
      <c r="D2266">
        <f t="shared" si="141"/>
        <v>70</v>
      </c>
      <c r="E2266">
        <f t="shared" si="142"/>
        <v>70000000</v>
      </c>
      <c r="F2266">
        <f t="shared" si="143"/>
        <v>33600000</v>
      </c>
    </row>
    <row r="2267" ht="13.85" spans="1:6">
      <c r="A2267">
        <f t="shared" si="140"/>
        <v>2266</v>
      </c>
      <c r="B2267" s="24">
        <v>2472759</v>
      </c>
      <c r="C2267" s="11">
        <v>80</v>
      </c>
      <c r="D2267">
        <f t="shared" si="141"/>
        <v>80</v>
      </c>
      <c r="E2267">
        <f t="shared" si="142"/>
        <v>80000000</v>
      </c>
      <c r="F2267">
        <f t="shared" si="143"/>
        <v>38400000</v>
      </c>
    </row>
    <row r="2268" ht="13.85" spans="1:6">
      <c r="A2268">
        <f t="shared" si="140"/>
        <v>2267</v>
      </c>
      <c r="B2268" s="24">
        <v>2678235</v>
      </c>
      <c r="C2268" s="11">
        <v>40</v>
      </c>
      <c r="D2268">
        <f t="shared" si="141"/>
        <v>40</v>
      </c>
      <c r="E2268">
        <f t="shared" si="142"/>
        <v>40000000</v>
      </c>
      <c r="F2268">
        <f t="shared" si="143"/>
        <v>19200000</v>
      </c>
    </row>
    <row r="2269" ht="13.85" spans="1:6">
      <c r="A2269">
        <f t="shared" si="140"/>
        <v>2268</v>
      </c>
      <c r="B2269" s="24">
        <v>2352009</v>
      </c>
      <c r="C2269" s="11">
        <v>50</v>
      </c>
      <c r="D2269">
        <f t="shared" si="141"/>
        <v>50</v>
      </c>
      <c r="E2269">
        <f t="shared" si="142"/>
        <v>50000000</v>
      </c>
      <c r="F2269">
        <f t="shared" si="143"/>
        <v>24000000</v>
      </c>
    </row>
    <row r="2270" ht="13.85" spans="1:6">
      <c r="A2270">
        <f t="shared" si="140"/>
        <v>2269</v>
      </c>
      <c r="B2270" s="24">
        <v>2757584</v>
      </c>
      <c r="C2270" s="11">
        <v>60</v>
      </c>
      <c r="D2270">
        <f t="shared" si="141"/>
        <v>60</v>
      </c>
      <c r="E2270">
        <f t="shared" si="142"/>
        <v>60000000</v>
      </c>
      <c r="F2270">
        <f t="shared" si="143"/>
        <v>28800000</v>
      </c>
    </row>
    <row r="2271" ht="13.85" spans="1:6">
      <c r="A2271">
        <f t="shared" si="140"/>
        <v>2270</v>
      </c>
      <c r="B2271" s="24">
        <v>2399361</v>
      </c>
      <c r="C2271" s="11">
        <v>70</v>
      </c>
      <c r="D2271">
        <f t="shared" si="141"/>
        <v>70</v>
      </c>
      <c r="E2271">
        <f t="shared" si="142"/>
        <v>70000000</v>
      </c>
      <c r="F2271">
        <f t="shared" si="143"/>
        <v>33600000</v>
      </c>
    </row>
    <row r="2272" ht="13.85" spans="1:6">
      <c r="A2272">
        <f t="shared" si="140"/>
        <v>2271</v>
      </c>
      <c r="B2272" s="24">
        <v>2769928</v>
      </c>
      <c r="C2272" s="11">
        <v>80</v>
      </c>
      <c r="D2272">
        <f t="shared" si="141"/>
        <v>80</v>
      </c>
      <c r="E2272">
        <f t="shared" si="142"/>
        <v>80000000</v>
      </c>
      <c r="F2272">
        <f t="shared" si="143"/>
        <v>38400000</v>
      </c>
    </row>
    <row r="2273" ht="13.85" spans="1:6">
      <c r="A2273">
        <f t="shared" si="140"/>
        <v>2272</v>
      </c>
      <c r="B2273" s="24">
        <v>2221767</v>
      </c>
      <c r="C2273" s="11">
        <v>40</v>
      </c>
      <c r="D2273">
        <f t="shared" si="141"/>
        <v>40</v>
      </c>
      <c r="E2273">
        <f t="shared" si="142"/>
        <v>40000000</v>
      </c>
      <c r="F2273">
        <f t="shared" si="143"/>
        <v>19200000</v>
      </c>
    </row>
    <row r="2274" ht="13.85" spans="1:6">
      <c r="A2274">
        <f t="shared" si="140"/>
        <v>2273</v>
      </c>
      <c r="B2274" s="24">
        <v>2599179</v>
      </c>
      <c r="C2274" s="11">
        <v>50</v>
      </c>
      <c r="D2274">
        <f t="shared" si="141"/>
        <v>50</v>
      </c>
      <c r="E2274">
        <f t="shared" si="142"/>
        <v>50000000</v>
      </c>
      <c r="F2274">
        <f t="shared" si="143"/>
        <v>24000000</v>
      </c>
    </row>
    <row r="2275" ht="13.85" spans="1:6">
      <c r="A2275">
        <f t="shared" si="140"/>
        <v>2274</v>
      </c>
      <c r="B2275" s="24">
        <v>2363235</v>
      </c>
      <c r="C2275" s="11">
        <v>60</v>
      </c>
      <c r="D2275">
        <f t="shared" si="141"/>
        <v>60</v>
      </c>
      <c r="E2275">
        <f t="shared" si="142"/>
        <v>60000000</v>
      </c>
      <c r="F2275">
        <f t="shared" si="143"/>
        <v>28800000</v>
      </c>
    </row>
    <row r="2276" ht="13.85" spans="1:6">
      <c r="A2276">
        <f t="shared" si="140"/>
        <v>2275</v>
      </c>
      <c r="B2276" s="24">
        <v>2768723</v>
      </c>
      <c r="C2276" s="15">
        <v>70</v>
      </c>
      <c r="D2276">
        <f t="shared" si="141"/>
        <v>70</v>
      </c>
      <c r="E2276">
        <f t="shared" si="142"/>
        <v>70000000</v>
      </c>
      <c r="F2276">
        <f t="shared" si="143"/>
        <v>33600000</v>
      </c>
    </row>
    <row r="2277" ht="13.85" spans="1:6">
      <c r="A2277">
        <f t="shared" si="140"/>
        <v>2276</v>
      </c>
      <c r="B2277" s="24">
        <v>2457902</v>
      </c>
      <c r="C2277" s="13">
        <v>80</v>
      </c>
      <c r="D2277">
        <f t="shared" si="141"/>
        <v>80</v>
      </c>
      <c r="E2277">
        <f t="shared" si="142"/>
        <v>80000000</v>
      </c>
      <c r="F2277">
        <f t="shared" si="143"/>
        <v>38400000</v>
      </c>
    </row>
    <row r="2278" ht="13.85" spans="1:6">
      <c r="A2278">
        <f t="shared" si="140"/>
        <v>2277</v>
      </c>
      <c r="B2278" s="24">
        <v>2832655</v>
      </c>
      <c r="C2278" s="11">
        <v>90</v>
      </c>
      <c r="D2278">
        <f t="shared" si="141"/>
        <v>90</v>
      </c>
      <c r="E2278">
        <f t="shared" si="142"/>
        <v>90000000</v>
      </c>
      <c r="F2278">
        <f t="shared" si="143"/>
        <v>43200000</v>
      </c>
    </row>
    <row r="2279" ht="13.85" spans="1:6">
      <c r="A2279">
        <f t="shared" si="140"/>
        <v>2278</v>
      </c>
      <c r="B2279" s="24">
        <v>2681941</v>
      </c>
      <c r="C2279" s="11">
        <v>100</v>
      </c>
      <c r="D2279">
        <f t="shared" si="141"/>
        <v>100</v>
      </c>
      <c r="E2279">
        <f t="shared" si="142"/>
        <v>100000000</v>
      </c>
      <c r="F2279">
        <f t="shared" si="143"/>
        <v>48000000</v>
      </c>
    </row>
    <row r="2280" ht="13.85" spans="1:6">
      <c r="A2280">
        <f t="shared" si="140"/>
        <v>2279</v>
      </c>
      <c r="B2280" s="24">
        <v>3036881</v>
      </c>
      <c r="C2280" s="11">
        <v>110</v>
      </c>
      <c r="D2280">
        <f t="shared" si="141"/>
        <v>110</v>
      </c>
      <c r="E2280">
        <f t="shared" si="142"/>
        <v>110000000</v>
      </c>
      <c r="F2280">
        <f t="shared" si="143"/>
        <v>52800000</v>
      </c>
    </row>
    <row r="2281" ht="13.85" spans="1:6">
      <c r="A2281">
        <f t="shared" si="140"/>
        <v>2280</v>
      </c>
      <c r="B2281" s="24">
        <v>2739366</v>
      </c>
      <c r="C2281" s="11">
        <v>120</v>
      </c>
      <c r="D2281">
        <f t="shared" si="141"/>
        <v>120</v>
      </c>
      <c r="E2281">
        <f t="shared" si="142"/>
        <v>120000000</v>
      </c>
      <c r="F2281">
        <f t="shared" si="143"/>
        <v>57600000</v>
      </c>
    </row>
    <row r="2282" ht="13.85" spans="1:6">
      <c r="A2282">
        <f t="shared" si="140"/>
        <v>2281</v>
      </c>
      <c r="B2282" s="24">
        <v>3087294</v>
      </c>
      <c r="C2282" s="11">
        <v>130</v>
      </c>
      <c r="D2282">
        <f t="shared" si="141"/>
        <v>130</v>
      </c>
      <c r="E2282">
        <f t="shared" si="142"/>
        <v>130000000</v>
      </c>
      <c r="F2282">
        <f t="shared" si="143"/>
        <v>62400000</v>
      </c>
    </row>
    <row r="2283" ht="13.85" spans="1:6">
      <c r="A2283">
        <f t="shared" si="140"/>
        <v>2282</v>
      </c>
      <c r="B2283" s="24">
        <v>2782875</v>
      </c>
      <c r="C2283" s="11">
        <v>140</v>
      </c>
      <c r="D2283">
        <f t="shared" si="141"/>
        <v>140</v>
      </c>
      <c r="E2283">
        <f t="shared" si="142"/>
        <v>140000000</v>
      </c>
      <c r="F2283">
        <f t="shared" si="143"/>
        <v>67200000</v>
      </c>
    </row>
    <row r="2284" ht="13.85" spans="1:6">
      <c r="A2284">
        <f t="shared" si="140"/>
        <v>2283</v>
      </c>
      <c r="B2284" s="24">
        <v>3306780</v>
      </c>
      <c r="C2284" s="11">
        <v>150</v>
      </c>
      <c r="D2284">
        <f t="shared" si="141"/>
        <v>150</v>
      </c>
      <c r="E2284">
        <f t="shared" si="142"/>
        <v>150000000</v>
      </c>
      <c r="F2284">
        <f t="shared" si="143"/>
        <v>72000000</v>
      </c>
    </row>
    <row r="2285" ht="13.85" spans="1:6">
      <c r="A2285">
        <f t="shared" si="140"/>
        <v>2284</v>
      </c>
      <c r="B2285" s="24">
        <v>2264365</v>
      </c>
      <c r="C2285" s="11">
        <v>40</v>
      </c>
      <c r="D2285">
        <f t="shared" si="141"/>
        <v>40</v>
      </c>
      <c r="E2285">
        <f t="shared" si="142"/>
        <v>40000000</v>
      </c>
      <c r="F2285">
        <f t="shared" si="143"/>
        <v>19200000</v>
      </c>
    </row>
    <row r="2286" ht="13.85" spans="1:6">
      <c r="A2286">
        <f t="shared" si="140"/>
        <v>2285</v>
      </c>
      <c r="B2286" s="24">
        <v>2559431</v>
      </c>
      <c r="C2286" s="11">
        <v>50</v>
      </c>
      <c r="D2286">
        <f t="shared" si="141"/>
        <v>50</v>
      </c>
      <c r="E2286">
        <f t="shared" si="142"/>
        <v>50000000</v>
      </c>
      <c r="F2286">
        <f t="shared" si="143"/>
        <v>24000000</v>
      </c>
    </row>
    <row r="2287" ht="13.85" spans="1:6">
      <c r="A2287">
        <f t="shared" si="140"/>
        <v>2286</v>
      </c>
      <c r="B2287" s="24">
        <v>2211032</v>
      </c>
      <c r="C2287" s="11">
        <v>60</v>
      </c>
      <c r="D2287">
        <f t="shared" si="141"/>
        <v>60</v>
      </c>
      <c r="E2287">
        <f t="shared" si="142"/>
        <v>60000000</v>
      </c>
      <c r="F2287">
        <f t="shared" si="143"/>
        <v>28800000</v>
      </c>
    </row>
    <row r="2288" ht="13.85" spans="1:6">
      <c r="A2288">
        <f t="shared" si="140"/>
        <v>2287</v>
      </c>
      <c r="B2288" s="24">
        <v>2637514</v>
      </c>
      <c r="C2288" s="11">
        <v>70</v>
      </c>
      <c r="D2288">
        <f t="shared" si="141"/>
        <v>70</v>
      </c>
      <c r="E2288">
        <f t="shared" si="142"/>
        <v>70000000</v>
      </c>
      <c r="F2288">
        <f t="shared" si="143"/>
        <v>33600000</v>
      </c>
    </row>
    <row r="2289" ht="13.85" spans="1:6">
      <c r="A2289">
        <f t="shared" si="140"/>
        <v>2288</v>
      </c>
      <c r="B2289" s="24">
        <v>2350671</v>
      </c>
      <c r="C2289" s="11">
        <v>80</v>
      </c>
      <c r="D2289">
        <f t="shared" si="141"/>
        <v>80</v>
      </c>
      <c r="E2289">
        <f t="shared" si="142"/>
        <v>80000000</v>
      </c>
      <c r="F2289">
        <f t="shared" si="143"/>
        <v>38400000</v>
      </c>
    </row>
    <row r="2290" ht="13.85" spans="1:6">
      <c r="A2290">
        <f t="shared" si="140"/>
        <v>2289</v>
      </c>
      <c r="B2290" s="24">
        <v>2736263</v>
      </c>
      <c r="C2290" s="11">
        <v>90</v>
      </c>
      <c r="D2290">
        <f t="shared" si="141"/>
        <v>90</v>
      </c>
      <c r="E2290">
        <f t="shared" si="142"/>
        <v>90000000</v>
      </c>
      <c r="F2290">
        <f t="shared" si="143"/>
        <v>43200000</v>
      </c>
    </row>
    <row r="2291" ht="13.85" spans="1:6">
      <c r="A2291">
        <f t="shared" si="140"/>
        <v>2290</v>
      </c>
      <c r="B2291" s="24">
        <v>2782131</v>
      </c>
      <c r="C2291" s="11">
        <v>100</v>
      </c>
      <c r="D2291">
        <f t="shared" si="141"/>
        <v>100</v>
      </c>
      <c r="E2291">
        <f t="shared" si="142"/>
        <v>100000000</v>
      </c>
      <c r="F2291">
        <f t="shared" si="143"/>
        <v>48000000</v>
      </c>
    </row>
    <row r="2292" ht="13.85" spans="1:6">
      <c r="A2292">
        <f t="shared" si="140"/>
        <v>2291</v>
      </c>
      <c r="B2292" s="24">
        <v>2836372</v>
      </c>
      <c r="C2292" s="11">
        <v>110</v>
      </c>
      <c r="D2292">
        <f t="shared" si="141"/>
        <v>110</v>
      </c>
      <c r="E2292">
        <f t="shared" si="142"/>
        <v>110000000</v>
      </c>
      <c r="F2292">
        <f t="shared" si="143"/>
        <v>52800000</v>
      </c>
    </row>
    <row r="2293" ht="13.85" spans="1:6">
      <c r="A2293">
        <f t="shared" si="140"/>
        <v>2292</v>
      </c>
      <c r="B2293" s="24">
        <v>2706478</v>
      </c>
      <c r="C2293" s="11">
        <v>120</v>
      </c>
      <c r="D2293">
        <f t="shared" si="141"/>
        <v>120</v>
      </c>
      <c r="E2293">
        <f t="shared" si="142"/>
        <v>120000000</v>
      </c>
      <c r="F2293">
        <f t="shared" si="143"/>
        <v>57600000</v>
      </c>
    </row>
    <row r="2294" ht="13.85" spans="1:6">
      <c r="A2294">
        <f t="shared" si="140"/>
        <v>2293</v>
      </c>
      <c r="B2294" s="24">
        <v>3088239</v>
      </c>
      <c r="C2294" s="11">
        <v>130</v>
      </c>
      <c r="D2294">
        <f t="shared" si="141"/>
        <v>130</v>
      </c>
      <c r="E2294">
        <f t="shared" si="142"/>
        <v>130000000</v>
      </c>
      <c r="F2294">
        <f t="shared" si="143"/>
        <v>62400000</v>
      </c>
    </row>
    <row r="2295" ht="13.85" spans="1:6">
      <c r="A2295">
        <f t="shared" si="140"/>
        <v>2294</v>
      </c>
      <c r="B2295" s="24">
        <v>2793720</v>
      </c>
      <c r="C2295" s="11">
        <v>140</v>
      </c>
      <c r="D2295">
        <f t="shared" si="141"/>
        <v>140</v>
      </c>
      <c r="E2295">
        <f t="shared" si="142"/>
        <v>140000000</v>
      </c>
      <c r="F2295">
        <f t="shared" si="143"/>
        <v>67200000</v>
      </c>
    </row>
    <row r="2296" ht="13.85" spans="1:6">
      <c r="A2296">
        <f t="shared" si="140"/>
        <v>2295</v>
      </c>
      <c r="B2296" s="24">
        <v>3277822</v>
      </c>
      <c r="C2296" s="11">
        <v>150</v>
      </c>
      <c r="D2296">
        <f t="shared" si="141"/>
        <v>150</v>
      </c>
      <c r="E2296">
        <f t="shared" si="142"/>
        <v>150000000</v>
      </c>
      <c r="F2296">
        <f t="shared" si="143"/>
        <v>72000000</v>
      </c>
    </row>
    <row r="2297" ht="13.85" spans="1:6">
      <c r="A2297">
        <f t="shared" si="140"/>
        <v>2296</v>
      </c>
      <c r="B2297" s="24">
        <v>2932910</v>
      </c>
      <c r="C2297" s="11">
        <v>160</v>
      </c>
      <c r="D2297">
        <f t="shared" si="141"/>
        <v>160</v>
      </c>
      <c r="E2297">
        <f t="shared" si="142"/>
        <v>160000000</v>
      </c>
      <c r="F2297">
        <f t="shared" si="143"/>
        <v>76800000</v>
      </c>
    </row>
    <row r="2298" ht="13.85" spans="1:6">
      <c r="A2298">
        <f t="shared" si="140"/>
        <v>2297</v>
      </c>
      <c r="B2298" s="24">
        <v>3385967</v>
      </c>
      <c r="C2298" s="11">
        <v>171</v>
      </c>
      <c r="D2298">
        <f t="shared" si="141"/>
        <v>171</v>
      </c>
      <c r="E2298">
        <f t="shared" si="142"/>
        <v>171000000</v>
      </c>
      <c r="F2298">
        <f t="shared" si="143"/>
        <v>82080000</v>
      </c>
    </row>
    <row r="2299" ht="13.85" spans="1:6">
      <c r="A2299">
        <f t="shared" si="140"/>
        <v>2298</v>
      </c>
      <c r="B2299" s="24">
        <v>3186666</v>
      </c>
      <c r="C2299" s="11">
        <v>183</v>
      </c>
      <c r="D2299">
        <f t="shared" si="141"/>
        <v>183</v>
      </c>
      <c r="E2299">
        <f t="shared" si="142"/>
        <v>183000000</v>
      </c>
      <c r="F2299">
        <f t="shared" si="143"/>
        <v>87840000</v>
      </c>
    </row>
    <row r="2300" ht="13.85" spans="1:6">
      <c r="A2300">
        <f t="shared" si="140"/>
        <v>2299</v>
      </c>
      <c r="B2300" s="24">
        <v>3757053</v>
      </c>
      <c r="C2300" s="11">
        <v>200</v>
      </c>
      <c r="D2300">
        <f t="shared" si="141"/>
        <v>200</v>
      </c>
      <c r="E2300">
        <f t="shared" si="142"/>
        <v>200000000</v>
      </c>
      <c r="F2300">
        <f t="shared" si="143"/>
        <v>96000000</v>
      </c>
    </row>
    <row r="2301" ht="13.85" spans="1:6">
      <c r="A2301">
        <f t="shared" si="140"/>
        <v>2300</v>
      </c>
      <c r="B2301" s="24">
        <v>3717629</v>
      </c>
      <c r="C2301" s="11">
        <v>220</v>
      </c>
      <c r="D2301">
        <f t="shared" si="141"/>
        <v>220</v>
      </c>
      <c r="E2301">
        <f t="shared" si="142"/>
        <v>220000000</v>
      </c>
      <c r="F2301">
        <f t="shared" si="143"/>
        <v>105600000</v>
      </c>
    </row>
    <row r="2302" ht="13.85" spans="1:6">
      <c r="A2302">
        <f t="shared" si="140"/>
        <v>2301</v>
      </c>
      <c r="B2302" s="24">
        <v>4114959</v>
      </c>
      <c r="C2302" s="11">
        <v>237</v>
      </c>
      <c r="D2302">
        <f t="shared" si="141"/>
        <v>237</v>
      </c>
      <c r="E2302">
        <f t="shared" si="142"/>
        <v>237000000</v>
      </c>
      <c r="F2302">
        <f t="shared" si="143"/>
        <v>113760000</v>
      </c>
    </row>
    <row r="2303" ht="13.85" spans="1:6">
      <c r="A2303">
        <f t="shared" si="140"/>
        <v>2302</v>
      </c>
      <c r="B2303" s="24">
        <v>3741201</v>
      </c>
      <c r="C2303" s="11">
        <v>258</v>
      </c>
      <c r="D2303">
        <f t="shared" si="141"/>
        <v>258</v>
      </c>
      <c r="E2303">
        <f t="shared" si="142"/>
        <v>258000000</v>
      </c>
      <c r="F2303">
        <f t="shared" si="143"/>
        <v>123840000</v>
      </c>
    </row>
    <row r="2304" ht="13.85" spans="1:6">
      <c r="A2304">
        <f t="shared" si="140"/>
        <v>2303</v>
      </c>
      <c r="B2304" s="24">
        <v>4260126</v>
      </c>
      <c r="C2304" s="11">
        <v>277</v>
      </c>
      <c r="D2304">
        <f t="shared" si="141"/>
        <v>277</v>
      </c>
      <c r="E2304">
        <f t="shared" si="142"/>
        <v>277000000</v>
      </c>
      <c r="F2304">
        <f t="shared" si="143"/>
        <v>132960000</v>
      </c>
    </row>
    <row r="2305" ht="13.85" spans="1:6">
      <c r="A2305">
        <f t="shared" si="140"/>
        <v>2304</v>
      </c>
      <c r="B2305" s="24">
        <v>4182862</v>
      </c>
      <c r="C2305" s="11">
        <v>296</v>
      </c>
      <c r="D2305">
        <f t="shared" si="141"/>
        <v>296</v>
      </c>
      <c r="E2305">
        <f t="shared" si="142"/>
        <v>296000000</v>
      </c>
      <c r="F2305">
        <f t="shared" si="143"/>
        <v>142080000</v>
      </c>
    </row>
    <row r="2306" ht="13.85" spans="1:6">
      <c r="A2306">
        <f t="shared" ref="A2306:A2369" si="144">ROW()-1</f>
        <v>2305</v>
      </c>
      <c r="B2306" s="24">
        <v>4894455</v>
      </c>
      <c r="C2306" s="11">
        <v>321</v>
      </c>
      <c r="D2306">
        <f t="shared" ref="D2306:D2369" si="145">IF(RIGHT(C2306,1)="B",VALUE(LEFT(C2306,LEN(C2306)-1))*1000,C2306)</f>
        <v>321</v>
      </c>
      <c r="E2306">
        <f t="shared" ref="E2306:E2329" si="146">D2306*1000000</f>
        <v>321000000</v>
      </c>
      <c r="F2306">
        <f t="shared" ref="F2306:F2369" si="147">E2306*0.48</f>
        <v>154080000</v>
      </c>
    </row>
    <row r="2307" ht="13.85" spans="1:6">
      <c r="A2307">
        <f t="shared" si="144"/>
        <v>2306</v>
      </c>
      <c r="B2307" s="24">
        <v>4818147</v>
      </c>
      <c r="C2307" s="11">
        <v>343</v>
      </c>
      <c r="D2307">
        <f t="shared" si="145"/>
        <v>343</v>
      </c>
      <c r="E2307">
        <f t="shared" si="146"/>
        <v>343000000</v>
      </c>
      <c r="F2307">
        <f t="shared" si="147"/>
        <v>164640000</v>
      </c>
    </row>
    <row r="2308" ht="13.85" spans="1:6">
      <c r="A2308">
        <f t="shared" si="144"/>
        <v>2307</v>
      </c>
      <c r="B2308" s="24">
        <v>5709535</v>
      </c>
      <c r="C2308" s="11">
        <v>373</v>
      </c>
      <c r="D2308">
        <f t="shared" si="145"/>
        <v>373</v>
      </c>
      <c r="E2308">
        <f t="shared" si="146"/>
        <v>373000000</v>
      </c>
      <c r="F2308">
        <f t="shared" si="147"/>
        <v>179040000</v>
      </c>
    </row>
    <row r="2309" ht="13.85" spans="1:6">
      <c r="A2309">
        <f t="shared" si="144"/>
        <v>2308</v>
      </c>
      <c r="B2309" s="24">
        <v>5927113</v>
      </c>
      <c r="C2309" s="27">
        <v>396.9</v>
      </c>
      <c r="D2309">
        <f t="shared" si="145"/>
        <v>396.9</v>
      </c>
      <c r="E2309">
        <f t="shared" si="146"/>
        <v>396900000</v>
      </c>
      <c r="F2309">
        <f t="shared" si="147"/>
        <v>190512000</v>
      </c>
    </row>
    <row r="2310" ht="13.85" spans="1:6">
      <c r="A2310">
        <f t="shared" si="144"/>
        <v>2309</v>
      </c>
      <c r="B2310" s="28">
        <v>3054540</v>
      </c>
      <c r="C2310" s="17">
        <v>40</v>
      </c>
      <c r="D2310" s="18">
        <f t="shared" si="145"/>
        <v>40</v>
      </c>
      <c r="E2310" s="18">
        <f t="shared" si="146"/>
        <v>40000000</v>
      </c>
      <c r="F2310">
        <f t="shared" si="147"/>
        <v>19200000</v>
      </c>
    </row>
    <row r="2311" ht="13.85" spans="1:6">
      <c r="A2311">
        <f t="shared" si="144"/>
        <v>2310</v>
      </c>
      <c r="B2311" s="24">
        <v>2516466</v>
      </c>
      <c r="C2311" s="11">
        <v>50</v>
      </c>
      <c r="D2311">
        <f t="shared" si="145"/>
        <v>50</v>
      </c>
      <c r="E2311">
        <f t="shared" si="146"/>
        <v>50000000</v>
      </c>
      <c r="F2311">
        <f t="shared" si="147"/>
        <v>24000000</v>
      </c>
    </row>
    <row r="2312" ht="13.85" spans="1:6">
      <c r="A2312">
        <f t="shared" si="144"/>
        <v>2311</v>
      </c>
      <c r="B2312" s="24">
        <v>2859020</v>
      </c>
      <c r="C2312" s="11">
        <v>60</v>
      </c>
      <c r="D2312">
        <f t="shared" si="145"/>
        <v>60</v>
      </c>
      <c r="E2312">
        <f t="shared" si="146"/>
        <v>60000000</v>
      </c>
      <c r="F2312">
        <f t="shared" si="147"/>
        <v>28800000</v>
      </c>
    </row>
    <row r="2313" ht="13.85" spans="1:6">
      <c r="A2313">
        <f t="shared" si="144"/>
        <v>2312</v>
      </c>
      <c r="B2313" s="24">
        <v>2543277</v>
      </c>
      <c r="C2313" s="11">
        <v>70</v>
      </c>
      <c r="D2313">
        <f t="shared" si="145"/>
        <v>70</v>
      </c>
      <c r="E2313">
        <f t="shared" si="146"/>
        <v>70000000</v>
      </c>
      <c r="F2313">
        <f t="shared" si="147"/>
        <v>33600000</v>
      </c>
    </row>
    <row r="2314" ht="13.85" spans="1:6">
      <c r="A2314">
        <f t="shared" si="144"/>
        <v>2313</v>
      </c>
      <c r="B2314" s="24">
        <v>2703665</v>
      </c>
      <c r="C2314" s="11">
        <v>40</v>
      </c>
      <c r="D2314">
        <f t="shared" si="145"/>
        <v>40</v>
      </c>
      <c r="E2314">
        <f t="shared" si="146"/>
        <v>40000000</v>
      </c>
      <c r="F2314">
        <f t="shared" si="147"/>
        <v>19200000</v>
      </c>
    </row>
    <row r="2315" ht="13.85" spans="1:6">
      <c r="A2315">
        <f t="shared" si="144"/>
        <v>2314</v>
      </c>
      <c r="B2315" s="24">
        <v>2440474</v>
      </c>
      <c r="C2315" s="11">
        <v>50</v>
      </c>
      <c r="D2315">
        <f t="shared" si="145"/>
        <v>50</v>
      </c>
      <c r="E2315">
        <f t="shared" si="146"/>
        <v>50000000</v>
      </c>
      <c r="F2315">
        <f t="shared" si="147"/>
        <v>24000000</v>
      </c>
    </row>
    <row r="2316" ht="13.85" spans="1:6">
      <c r="A2316">
        <f t="shared" si="144"/>
        <v>2315</v>
      </c>
      <c r="B2316" s="24">
        <v>2861620</v>
      </c>
      <c r="C2316" s="11">
        <v>60</v>
      </c>
      <c r="D2316">
        <f t="shared" si="145"/>
        <v>60</v>
      </c>
      <c r="E2316">
        <f t="shared" si="146"/>
        <v>60000000</v>
      </c>
      <c r="F2316">
        <f t="shared" si="147"/>
        <v>28800000</v>
      </c>
    </row>
    <row r="2317" ht="13.85" spans="1:6">
      <c r="A2317">
        <f t="shared" si="144"/>
        <v>2316</v>
      </c>
      <c r="B2317" s="24">
        <v>2587932</v>
      </c>
      <c r="C2317" s="11">
        <v>70</v>
      </c>
      <c r="D2317">
        <f t="shared" si="145"/>
        <v>70</v>
      </c>
      <c r="E2317">
        <f t="shared" si="146"/>
        <v>70000000</v>
      </c>
      <c r="F2317">
        <f t="shared" si="147"/>
        <v>33600000</v>
      </c>
    </row>
    <row r="2318" ht="13.85" spans="1:6">
      <c r="A2318">
        <f t="shared" si="144"/>
        <v>2317</v>
      </c>
      <c r="B2318" s="24">
        <v>3090263</v>
      </c>
      <c r="C2318" s="11">
        <v>80</v>
      </c>
      <c r="D2318">
        <f t="shared" si="145"/>
        <v>80</v>
      </c>
      <c r="E2318">
        <f t="shared" si="146"/>
        <v>80000000</v>
      </c>
      <c r="F2318">
        <f t="shared" si="147"/>
        <v>38400000</v>
      </c>
    </row>
    <row r="2319" ht="13.85" spans="1:6">
      <c r="A2319">
        <f t="shared" si="144"/>
        <v>2318</v>
      </c>
      <c r="B2319" s="24">
        <v>2798960</v>
      </c>
      <c r="C2319" s="11">
        <v>90</v>
      </c>
      <c r="D2319">
        <f t="shared" si="145"/>
        <v>90</v>
      </c>
      <c r="E2319">
        <f t="shared" si="146"/>
        <v>90000000</v>
      </c>
      <c r="F2319">
        <f t="shared" si="147"/>
        <v>43200000</v>
      </c>
    </row>
    <row r="2320" ht="13.85" spans="1:6">
      <c r="A2320">
        <f t="shared" si="144"/>
        <v>2319</v>
      </c>
      <c r="B2320" s="24">
        <v>3268245</v>
      </c>
      <c r="C2320" s="11">
        <v>100</v>
      </c>
      <c r="D2320">
        <f t="shared" si="145"/>
        <v>100</v>
      </c>
      <c r="E2320">
        <f t="shared" si="146"/>
        <v>100000000</v>
      </c>
      <c r="F2320">
        <f t="shared" si="147"/>
        <v>48000000</v>
      </c>
    </row>
    <row r="2321" ht="13.85" spans="1:6">
      <c r="A2321">
        <f t="shared" si="144"/>
        <v>2320</v>
      </c>
      <c r="B2321" s="24">
        <v>2882973</v>
      </c>
      <c r="C2321" s="11">
        <v>110</v>
      </c>
      <c r="D2321">
        <f t="shared" si="145"/>
        <v>110</v>
      </c>
      <c r="E2321">
        <f t="shared" si="146"/>
        <v>110000000</v>
      </c>
      <c r="F2321">
        <f t="shared" si="147"/>
        <v>52800000</v>
      </c>
    </row>
    <row r="2322" ht="13.85" spans="1:6">
      <c r="A2322">
        <f t="shared" si="144"/>
        <v>2321</v>
      </c>
      <c r="B2322" s="24">
        <v>3221134</v>
      </c>
      <c r="C2322" s="11">
        <v>120</v>
      </c>
      <c r="D2322">
        <f t="shared" si="145"/>
        <v>120</v>
      </c>
      <c r="E2322">
        <f t="shared" si="146"/>
        <v>120000000</v>
      </c>
      <c r="F2322">
        <f t="shared" si="147"/>
        <v>57600000</v>
      </c>
    </row>
    <row r="2323" ht="13.85" spans="1:6">
      <c r="A2323">
        <f t="shared" si="144"/>
        <v>2322</v>
      </c>
      <c r="B2323" s="24">
        <v>2525740</v>
      </c>
      <c r="C2323" s="11">
        <v>130</v>
      </c>
      <c r="D2323">
        <f t="shared" si="145"/>
        <v>130</v>
      </c>
      <c r="E2323">
        <f t="shared" si="146"/>
        <v>130000000</v>
      </c>
      <c r="F2323">
        <f t="shared" si="147"/>
        <v>62400000</v>
      </c>
    </row>
    <row r="2324" ht="13.85" spans="1:6">
      <c r="A2324">
        <f t="shared" si="144"/>
        <v>2323</v>
      </c>
      <c r="B2324" s="24">
        <v>2665230</v>
      </c>
      <c r="C2324" s="11">
        <v>140</v>
      </c>
      <c r="D2324">
        <f t="shared" si="145"/>
        <v>140</v>
      </c>
      <c r="E2324">
        <f t="shared" si="146"/>
        <v>140000000</v>
      </c>
      <c r="F2324">
        <f t="shared" si="147"/>
        <v>67200000</v>
      </c>
    </row>
    <row r="2325" ht="13.85" spans="1:6">
      <c r="A2325">
        <f t="shared" si="144"/>
        <v>2324</v>
      </c>
      <c r="B2325" s="24">
        <v>2324527</v>
      </c>
      <c r="C2325" s="11">
        <v>150</v>
      </c>
      <c r="D2325">
        <f t="shared" si="145"/>
        <v>150</v>
      </c>
      <c r="E2325">
        <f t="shared" si="146"/>
        <v>150000000</v>
      </c>
      <c r="F2325">
        <f t="shared" si="147"/>
        <v>72000000</v>
      </c>
    </row>
    <row r="2326" ht="13.85" spans="1:6">
      <c r="A2326">
        <f t="shared" si="144"/>
        <v>2325</v>
      </c>
      <c r="B2326" s="24">
        <v>2571251</v>
      </c>
      <c r="C2326" s="11">
        <v>160</v>
      </c>
      <c r="D2326">
        <f t="shared" si="145"/>
        <v>160</v>
      </c>
      <c r="E2326">
        <f t="shared" si="146"/>
        <v>160000000</v>
      </c>
      <c r="F2326">
        <f t="shared" si="147"/>
        <v>76800000</v>
      </c>
    </row>
    <row r="2327" ht="13.85" spans="1:6">
      <c r="A2327">
        <f t="shared" si="144"/>
        <v>2326</v>
      </c>
      <c r="B2327" s="24">
        <v>2355143</v>
      </c>
      <c r="C2327" s="11">
        <v>170</v>
      </c>
      <c r="D2327">
        <f t="shared" si="145"/>
        <v>170</v>
      </c>
      <c r="E2327">
        <f t="shared" si="146"/>
        <v>170000000</v>
      </c>
      <c r="F2327">
        <f t="shared" si="147"/>
        <v>81600000</v>
      </c>
    </row>
    <row r="2328" ht="13.85" spans="1:6">
      <c r="A2328">
        <f t="shared" si="144"/>
        <v>2327</v>
      </c>
      <c r="B2328" s="24">
        <v>2582559</v>
      </c>
      <c r="C2328" s="11">
        <v>180</v>
      </c>
      <c r="D2328">
        <f t="shared" si="145"/>
        <v>180</v>
      </c>
      <c r="E2328">
        <f t="shared" si="146"/>
        <v>180000000</v>
      </c>
      <c r="F2328">
        <f t="shared" si="147"/>
        <v>86400000</v>
      </c>
    </row>
    <row r="2329" ht="13.85" spans="1:6">
      <c r="A2329">
        <f t="shared" si="144"/>
        <v>2328</v>
      </c>
      <c r="B2329" s="24">
        <v>2371551</v>
      </c>
      <c r="C2329" s="11">
        <v>190</v>
      </c>
      <c r="D2329">
        <f t="shared" si="145"/>
        <v>190</v>
      </c>
      <c r="E2329">
        <f t="shared" si="146"/>
        <v>190000000</v>
      </c>
      <c r="F2329">
        <f t="shared" si="147"/>
        <v>91200000</v>
      </c>
    </row>
    <row r="2330" ht="13.85" spans="1:6">
      <c r="A2330">
        <f t="shared" si="144"/>
        <v>2329</v>
      </c>
      <c r="B2330" s="29">
        <v>2054676</v>
      </c>
      <c r="C2330" s="20">
        <v>20</v>
      </c>
      <c r="D2330" s="9">
        <f t="shared" si="145"/>
        <v>20</v>
      </c>
      <c r="E2330" s="9">
        <f t="shared" ref="E2330:E2393" si="148">D2330*100</f>
        <v>2000</v>
      </c>
      <c r="F2330" s="9">
        <f t="shared" si="147"/>
        <v>960</v>
      </c>
    </row>
    <row r="2331" ht="13.85" spans="1:6">
      <c r="A2331">
        <f t="shared" si="144"/>
        <v>2330</v>
      </c>
      <c r="B2331" s="24">
        <v>1863800</v>
      </c>
      <c r="C2331" s="11">
        <v>22</v>
      </c>
      <c r="D2331">
        <f t="shared" si="145"/>
        <v>22</v>
      </c>
      <c r="E2331">
        <f t="shared" si="148"/>
        <v>2200</v>
      </c>
      <c r="F2331">
        <f t="shared" si="147"/>
        <v>1056</v>
      </c>
    </row>
    <row r="2332" ht="13.85" spans="1:6">
      <c r="A2332">
        <f t="shared" si="144"/>
        <v>2331</v>
      </c>
      <c r="B2332" s="24">
        <v>2153219</v>
      </c>
      <c r="C2332" s="11">
        <v>24</v>
      </c>
      <c r="D2332">
        <f t="shared" si="145"/>
        <v>24</v>
      </c>
      <c r="E2332">
        <f t="shared" si="148"/>
        <v>2400</v>
      </c>
      <c r="F2332">
        <f t="shared" si="147"/>
        <v>1152</v>
      </c>
    </row>
    <row r="2333" ht="13.85" spans="1:6">
      <c r="A2333">
        <f t="shared" si="144"/>
        <v>2332</v>
      </c>
      <c r="B2333" s="24">
        <v>1930814</v>
      </c>
      <c r="C2333" s="11">
        <v>29</v>
      </c>
      <c r="D2333">
        <f t="shared" si="145"/>
        <v>29</v>
      </c>
      <c r="E2333">
        <f t="shared" si="148"/>
        <v>2900</v>
      </c>
      <c r="F2333">
        <f t="shared" si="147"/>
        <v>1392</v>
      </c>
    </row>
    <row r="2334" ht="13.85" spans="1:6">
      <c r="A2334">
        <f t="shared" si="144"/>
        <v>2333</v>
      </c>
      <c r="B2334" s="24">
        <v>2199573</v>
      </c>
      <c r="C2334" s="11">
        <v>37</v>
      </c>
      <c r="D2334">
        <f t="shared" si="145"/>
        <v>37</v>
      </c>
      <c r="E2334">
        <f t="shared" si="148"/>
        <v>3700</v>
      </c>
      <c r="F2334">
        <f t="shared" si="147"/>
        <v>1776</v>
      </c>
    </row>
    <row r="2335" ht="13.85" spans="1:6">
      <c r="A2335">
        <f t="shared" si="144"/>
        <v>2334</v>
      </c>
      <c r="B2335" s="24">
        <v>2040544</v>
      </c>
      <c r="C2335" s="11">
        <v>43</v>
      </c>
      <c r="D2335">
        <f t="shared" si="145"/>
        <v>43</v>
      </c>
      <c r="E2335">
        <f t="shared" si="148"/>
        <v>4300</v>
      </c>
      <c r="F2335">
        <f t="shared" si="147"/>
        <v>2064</v>
      </c>
    </row>
    <row r="2336" ht="13.85" spans="1:6">
      <c r="A2336">
        <f t="shared" si="144"/>
        <v>2335</v>
      </c>
      <c r="B2336" s="24">
        <v>2418817</v>
      </c>
      <c r="C2336" s="11">
        <v>51</v>
      </c>
      <c r="D2336">
        <f t="shared" si="145"/>
        <v>51</v>
      </c>
      <c r="E2336">
        <f t="shared" si="148"/>
        <v>5100</v>
      </c>
      <c r="F2336">
        <f t="shared" si="147"/>
        <v>2448</v>
      </c>
    </row>
    <row r="2337" ht="13.85" spans="1:6">
      <c r="A2337">
        <f t="shared" si="144"/>
        <v>2336</v>
      </c>
      <c r="B2337" s="24">
        <v>2180324</v>
      </c>
      <c r="C2337" s="11">
        <v>59</v>
      </c>
      <c r="D2337">
        <f t="shared" si="145"/>
        <v>59</v>
      </c>
      <c r="E2337">
        <f t="shared" si="148"/>
        <v>5900</v>
      </c>
      <c r="F2337">
        <f t="shared" si="147"/>
        <v>2832</v>
      </c>
    </row>
    <row r="2338" ht="13.85" spans="1:6">
      <c r="A2338">
        <f t="shared" si="144"/>
        <v>2337</v>
      </c>
      <c r="B2338" s="24">
        <v>2499199</v>
      </c>
      <c r="C2338" s="11">
        <v>68</v>
      </c>
      <c r="D2338">
        <f t="shared" si="145"/>
        <v>68</v>
      </c>
      <c r="E2338">
        <f t="shared" si="148"/>
        <v>6800</v>
      </c>
      <c r="F2338">
        <f t="shared" si="147"/>
        <v>3264</v>
      </c>
    </row>
    <row r="2339" ht="13.85" spans="1:6">
      <c r="A2339">
        <f t="shared" si="144"/>
        <v>2338</v>
      </c>
      <c r="B2339" s="24">
        <v>2306234</v>
      </c>
      <c r="C2339" s="11">
        <v>77</v>
      </c>
      <c r="D2339">
        <f t="shared" si="145"/>
        <v>77</v>
      </c>
      <c r="E2339">
        <f t="shared" si="148"/>
        <v>7700</v>
      </c>
      <c r="F2339">
        <f t="shared" si="147"/>
        <v>3696</v>
      </c>
    </row>
    <row r="2340" ht="13.85" spans="1:6">
      <c r="A2340">
        <f t="shared" si="144"/>
        <v>2339</v>
      </c>
      <c r="B2340" s="24">
        <v>2617108</v>
      </c>
      <c r="C2340" s="11">
        <v>86</v>
      </c>
      <c r="D2340">
        <f t="shared" si="145"/>
        <v>86</v>
      </c>
      <c r="E2340">
        <f t="shared" si="148"/>
        <v>8600</v>
      </c>
      <c r="F2340">
        <f t="shared" si="147"/>
        <v>4128</v>
      </c>
    </row>
    <row r="2341" ht="13.85" spans="1:6">
      <c r="A2341">
        <f t="shared" si="144"/>
        <v>2340</v>
      </c>
      <c r="B2341" s="24">
        <v>2385903</v>
      </c>
      <c r="C2341" s="11">
        <v>95</v>
      </c>
      <c r="D2341">
        <f t="shared" si="145"/>
        <v>95</v>
      </c>
      <c r="E2341">
        <f t="shared" si="148"/>
        <v>9500</v>
      </c>
      <c r="F2341">
        <f t="shared" si="147"/>
        <v>4560</v>
      </c>
    </row>
    <row r="2342" ht="13.85" spans="1:6">
      <c r="A2342">
        <f t="shared" si="144"/>
        <v>2341</v>
      </c>
      <c r="B2342" s="24">
        <v>2803976</v>
      </c>
      <c r="C2342" s="11">
        <v>104</v>
      </c>
      <c r="D2342">
        <f t="shared" si="145"/>
        <v>104</v>
      </c>
      <c r="E2342">
        <f t="shared" si="148"/>
        <v>10400</v>
      </c>
      <c r="F2342">
        <f t="shared" si="147"/>
        <v>4992</v>
      </c>
    </row>
    <row r="2343" ht="13.85" spans="1:6">
      <c r="A2343">
        <f t="shared" si="144"/>
        <v>2342</v>
      </c>
      <c r="B2343" s="24">
        <v>2637479</v>
      </c>
      <c r="C2343" s="11">
        <v>114</v>
      </c>
      <c r="D2343">
        <f t="shared" si="145"/>
        <v>114</v>
      </c>
      <c r="E2343">
        <f t="shared" si="148"/>
        <v>11400</v>
      </c>
      <c r="F2343">
        <f t="shared" si="147"/>
        <v>5472</v>
      </c>
    </row>
    <row r="2344" ht="13.85" spans="1:6">
      <c r="A2344">
        <f t="shared" si="144"/>
        <v>2343</v>
      </c>
      <c r="B2344" s="24">
        <v>3118428</v>
      </c>
      <c r="C2344" s="11">
        <v>125</v>
      </c>
      <c r="D2344">
        <f t="shared" si="145"/>
        <v>125</v>
      </c>
      <c r="E2344">
        <f t="shared" si="148"/>
        <v>12500</v>
      </c>
      <c r="F2344">
        <f t="shared" si="147"/>
        <v>6000</v>
      </c>
    </row>
    <row r="2345" ht="13.85" spans="1:6">
      <c r="A2345">
        <f t="shared" si="144"/>
        <v>2344</v>
      </c>
      <c r="B2345" s="24">
        <v>2869470</v>
      </c>
      <c r="C2345" s="26">
        <v>136.4</v>
      </c>
      <c r="D2345">
        <f t="shared" si="145"/>
        <v>136.4</v>
      </c>
      <c r="E2345">
        <f t="shared" si="148"/>
        <v>13640</v>
      </c>
      <c r="F2345">
        <f t="shared" si="147"/>
        <v>6547.2</v>
      </c>
    </row>
    <row r="2346" ht="13.85" spans="1:6">
      <c r="A2346">
        <f t="shared" si="144"/>
        <v>2345</v>
      </c>
      <c r="B2346" s="24">
        <v>2683881</v>
      </c>
      <c r="C2346" s="11">
        <v>20</v>
      </c>
      <c r="D2346">
        <f t="shared" si="145"/>
        <v>20</v>
      </c>
      <c r="E2346">
        <f t="shared" si="148"/>
        <v>2000</v>
      </c>
      <c r="F2346">
        <f t="shared" si="147"/>
        <v>960</v>
      </c>
    </row>
    <row r="2347" ht="13.85" spans="1:6">
      <c r="A2347">
        <f t="shared" si="144"/>
        <v>2346</v>
      </c>
      <c r="B2347" s="24">
        <v>2394843</v>
      </c>
      <c r="C2347" s="11">
        <v>22</v>
      </c>
      <c r="D2347">
        <f t="shared" si="145"/>
        <v>22</v>
      </c>
      <c r="E2347">
        <f t="shared" si="148"/>
        <v>2200</v>
      </c>
      <c r="F2347">
        <f t="shared" si="147"/>
        <v>1056</v>
      </c>
    </row>
    <row r="2348" ht="13.85" spans="1:6">
      <c r="A2348">
        <f t="shared" si="144"/>
        <v>2347</v>
      </c>
      <c r="B2348" s="24">
        <v>2567607</v>
      </c>
      <c r="C2348" s="11">
        <v>20</v>
      </c>
      <c r="D2348">
        <f t="shared" si="145"/>
        <v>20</v>
      </c>
      <c r="E2348">
        <f t="shared" si="148"/>
        <v>2000</v>
      </c>
      <c r="F2348">
        <f t="shared" si="147"/>
        <v>960</v>
      </c>
    </row>
    <row r="2349" ht="13.85" spans="1:6">
      <c r="A2349">
        <f t="shared" si="144"/>
        <v>2348</v>
      </c>
      <c r="B2349" s="24">
        <v>2357707</v>
      </c>
      <c r="C2349" s="11">
        <v>22</v>
      </c>
      <c r="D2349">
        <f t="shared" si="145"/>
        <v>22</v>
      </c>
      <c r="E2349">
        <f t="shared" si="148"/>
        <v>2200</v>
      </c>
      <c r="F2349">
        <f t="shared" si="147"/>
        <v>1056</v>
      </c>
    </row>
    <row r="2350" ht="13.85" spans="1:6">
      <c r="A2350">
        <f t="shared" si="144"/>
        <v>2349</v>
      </c>
      <c r="B2350" s="24">
        <v>2678995</v>
      </c>
      <c r="C2350" s="11">
        <v>25</v>
      </c>
      <c r="D2350">
        <f t="shared" si="145"/>
        <v>25</v>
      </c>
      <c r="E2350">
        <f t="shared" si="148"/>
        <v>2500</v>
      </c>
      <c r="F2350">
        <f t="shared" si="147"/>
        <v>1200</v>
      </c>
    </row>
    <row r="2351" ht="13.85" spans="1:6">
      <c r="A2351">
        <f t="shared" si="144"/>
        <v>2350</v>
      </c>
      <c r="B2351" s="24">
        <v>2415001</v>
      </c>
      <c r="C2351" s="11">
        <v>33</v>
      </c>
      <c r="D2351">
        <f t="shared" si="145"/>
        <v>33</v>
      </c>
      <c r="E2351">
        <f t="shared" si="148"/>
        <v>3300</v>
      </c>
      <c r="F2351">
        <f t="shared" si="147"/>
        <v>1584</v>
      </c>
    </row>
    <row r="2352" ht="13.85" spans="1:6">
      <c r="A2352">
        <f t="shared" si="144"/>
        <v>2351</v>
      </c>
      <c r="B2352" s="24">
        <v>2754651</v>
      </c>
      <c r="C2352" s="11">
        <v>42</v>
      </c>
      <c r="D2352">
        <f t="shared" si="145"/>
        <v>42</v>
      </c>
      <c r="E2352">
        <f t="shared" si="148"/>
        <v>4200</v>
      </c>
      <c r="F2352">
        <f t="shared" si="147"/>
        <v>2016</v>
      </c>
    </row>
    <row r="2353" ht="13.85" spans="1:6">
      <c r="A2353">
        <f t="shared" si="144"/>
        <v>2352</v>
      </c>
      <c r="B2353" s="24">
        <v>2491376</v>
      </c>
      <c r="C2353" s="11">
        <v>51</v>
      </c>
      <c r="D2353">
        <f t="shared" si="145"/>
        <v>51</v>
      </c>
      <c r="E2353">
        <f t="shared" si="148"/>
        <v>5100</v>
      </c>
      <c r="F2353">
        <f t="shared" si="147"/>
        <v>2448</v>
      </c>
    </row>
    <row r="2354" ht="13.85" spans="1:6">
      <c r="A2354">
        <f t="shared" si="144"/>
        <v>2353</v>
      </c>
      <c r="B2354" s="24">
        <v>2771641</v>
      </c>
      <c r="C2354" s="11">
        <v>60</v>
      </c>
      <c r="D2354">
        <f t="shared" si="145"/>
        <v>60</v>
      </c>
      <c r="E2354">
        <f t="shared" si="148"/>
        <v>6000</v>
      </c>
      <c r="F2354">
        <f t="shared" si="147"/>
        <v>2880</v>
      </c>
    </row>
    <row r="2355" ht="13.85" spans="1:6">
      <c r="A2355">
        <f t="shared" si="144"/>
        <v>2354</v>
      </c>
      <c r="B2355" s="24">
        <v>2526988</v>
      </c>
      <c r="C2355" s="11">
        <v>69</v>
      </c>
      <c r="D2355">
        <f t="shared" si="145"/>
        <v>69</v>
      </c>
      <c r="E2355">
        <f t="shared" si="148"/>
        <v>6900</v>
      </c>
      <c r="F2355">
        <f t="shared" si="147"/>
        <v>3312</v>
      </c>
    </row>
    <row r="2356" ht="13.85" spans="1:6">
      <c r="A2356">
        <f t="shared" si="144"/>
        <v>2355</v>
      </c>
      <c r="B2356" s="24">
        <v>2930762</v>
      </c>
      <c r="C2356" s="11">
        <v>79</v>
      </c>
      <c r="D2356">
        <f t="shared" si="145"/>
        <v>79</v>
      </c>
      <c r="E2356">
        <f t="shared" si="148"/>
        <v>7900</v>
      </c>
      <c r="F2356">
        <f t="shared" si="147"/>
        <v>3792</v>
      </c>
    </row>
    <row r="2357" ht="13.85" spans="1:6">
      <c r="A2357">
        <f t="shared" si="144"/>
        <v>2356</v>
      </c>
      <c r="B2357" s="24">
        <v>2645132</v>
      </c>
      <c r="C2357" s="11">
        <v>87</v>
      </c>
      <c r="D2357">
        <f t="shared" si="145"/>
        <v>87</v>
      </c>
      <c r="E2357">
        <f t="shared" si="148"/>
        <v>8700</v>
      </c>
      <c r="F2357">
        <f t="shared" si="147"/>
        <v>4176</v>
      </c>
    </row>
    <row r="2358" ht="13.85" spans="1:6">
      <c r="A2358">
        <f t="shared" si="144"/>
        <v>2357</v>
      </c>
      <c r="B2358" s="24">
        <v>3066298</v>
      </c>
      <c r="C2358" s="11">
        <v>97</v>
      </c>
      <c r="D2358">
        <f t="shared" si="145"/>
        <v>97</v>
      </c>
      <c r="E2358">
        <f t="shared" si="148"/>
        <v>9700</v>
      </c>
      <c r="F2358">
        <f t="shared" si="147"/>
        <v>4656</v>
      </c>
    </row>
    <row r="2359" ht="13.85" spans="1:6">
      <c r="A2359">
        <f t="shared" si="144"/>
        <v>2358</v>
      </c>
      <c r="B2359" s="24">
        <v>2778709</v>
      </c>
      <c r="C2359" s="11">
        <v>106</v>
      </c>
      <c r="D2359">
        <f t="shared" si="145"/>
        <v>106</v>
      </c>
      <c r="E2359">
        <f t="shared" si="148"/>
        <v>10600</v>
      </c>
      <c r="F2359">
        <f t="shared" si="147"/>
        <v>5088</v>
      </c>
    </row>
    <row r="2360" ht="13.85" spans="1:6">
      <c r="A2360">
        <f t="shared" si="144"/>
        <v>2359</v>
      </c>
      <c r="B2360" s="24">
        <v>3216662</v>
      </c>
      <c r="C2360" s="11">
        <v>117</v>
      </c>
      <c r="D2360">
        <f t="shared" si="145"/>
        <v>117</v>
      </c>
      <c r="E2360">
        <f t="shared" si="148"/>
        <v>11700</v>
      </c>
      <c r="F2360">
        <f t="shared" si="147"/>
        <v>5616</v>
      </c>
    </row>
    <row r="2361" ht="13.85" spans="1:6">
      <c r="A2361">
        <f t="shared" si="144"/>
        <v>2360</v>
      </c>
      <c r="B2361" s="24">
        <v>2971118</v>
      </c>
      <c r="C2361" s="11">
        <v>126</v>
      </c>
      <c r="D2361">
        <f t="shared" si="145"/>
        <v>126</v>
      </c>
      <c r="E2361">
        <f t="shared" si="148"/>
        <v>12600</v>
      </c>
      <c r="F2361">
        <f t="shared" si="147"/>
        <v>6048</v>
      </c>
    </row>
    <row r="2362" ht="13.85" spans="1:6">
      <c r="A2362">
        <f t="shared" si="144"/>
        <v>2361</v>
      </c>
      <c r="B2362" s="24">
        <v>3506944</v>
      </c>
      <c r="C2362" s="11">
        <v>137</v>
      </c>
      <c r="D2362">
        <f t="shared" si="145"/>
        <v>137</v>
      </c>
      <c r="E2362">
        <f t="shared" si="148"/>
        <v>13700</v>
      </c>
      <c r="F2362">
        <f t="shared" si="147"/>
        <v>6576</v>
      </c>
    </row>
    <row r="2363" ht="13.85" spans="1:6">
      <c r="A2363">
        <f t="shared" si="144"/>
        <v>2362</v>
      </c>
      <c r="B2363" s="24">
        <v>3227741</v>
      </c>
      <c r="C2363" s="11">
        <v>147</v>
      </c>
      <c r="D2363">
        <f t="shared" si="145"/>
        <v>147</v>
      </c>
      <c r="E2363">
        <f t="shared" si="148"/>
        <v>14700</v>
      </c>
      <c r="F2363">
        <f t="shared" si="147"/>
        <v>7056</v>
      </c>
    </row>
    <row r="2364" ht="13.85" spans="1:6">
      <c r="A2364">
        <f t="shared" si="144"/>
        <v>2363</v>
      </c>
      <c r="B2364" s="24">
        <v>3691446</v>
      </c>
      <c r="C2364" s="11">
        <v>158</v>
      </c>
      <c r="D2364">
        <f t="shared" si="145"/>
        <v>158</v>
      </c>
      <c r="E2364">
        <f t="shared" si="148"/>
        <v>15800</v>
      </c>
      <c r="F2364">
        <f t="shared" si="147"/>
        <v>7584</v>
      </c>
    </row>
    <row r="2365" ht="13.85" spans="1:6">
      <c r="A2365">
        <f t="shared" si="144"/>
        <v>2364</v>
      </c>
      <c r="B2365" s="24">
        <v>3373476</v>
      </c>
      <c r="C2365" s="11">
        <v>169</v>
      </c>
      <c r="D2365">
        <f t="shared" si="145"/>
        <v>169</v>
      </c>
      <c r="E2365">
        <f t="shared" si="148"/>
        <v>16900</v>
      </c>
      <c r="F2365">
        <f t="shared" si="147"/>
        <v>8112</v>
      </c>
    </row>
    <row r="2366" ht="13.85" spans="1:6">
      <c r="A2366">
        <f t="shared" si="144"/>
        <v>2365</v>
      </c>
      <c r="B2366" s="24">
        <v>2767108</v>
      </c>
      <c r="C2366" s="11">
        <v>20</v>
      </c>
      <c r="D2366">
        <f t="shared" si="145"/>
        <v>20</v>
      </c>
      <c r="E2366">
        <f t="shared" si="148"/>
        <v>2000</v>
      </c>
      <c r="F2366">
        <f t="shared" si="147"/>
        <v>960</v>
      </c>
    </row>
    <row r="2367" ht="13.85" spans="1:6">
      <c r="A2367">
        <f t="shared" si="144"/>
        <v>2366</v>
      </c>
      <c r="B2367" s="24">
        <v>2394885</v>
      </c>
      <c r="C2367" s="11">
        <v>22</v>
      </c>
      <c r="D2367">
        <f t="shared" si="145"/>
        <v>22</v>
      </c>
      <c r="E2367">
        <f t="shared" si="148"/>
        <v>2200</v>
      </c>
      <c r="F2367">
        <f t="shared" si="147"/>
        <v>1056</v>
      </c>
    </row>
    <row r="2368" ht="13.85" spans="1:6">
      <c r="A2368">
        <f t="shared" si="144"/>
        <v>2367</v>
      </c>
      <c r="B2368" s="24">
        <v>2735055</v>
      </c>
      <c r="C2368" s="11">
        <v>29</v>
      </c>
      <c r="D2368">
        <f t="shared" si="145"/>
        <v>29</v>
      </c>
      <c r="E2368">
        <f t="shared" si="148"/>
        <v>2900</v>
      </c>
      <c r="F2368">
        <f t="shared" si="147"/>
        <v>1392</v>
      </c>
    </row>
    <row r="2369" ht="13.85" spans="1:6">
      <c r="A2369">
        <f t="shared" si="144"/>
        <v>2368</v>
      </c>
      <c r="B2369" s="24">
        <v>2487643</v>
      </c>
      <c r="C2369" s="11">
        <v>37</v>
      </c>
      <c r="D2369">
        <f t="shared" si="145"/>
        <v>37</v>
      </c>
      <c r="E2369">
        <f t="shared" si="148"/>
        <v>3700</v>
      </c>
      <c r="F2369">
        <f t="shared" si="147"/>
        <v>1776</v>
      </c>
    </row>
    <row r="2370" ht="13.85" spans="1:6">
      <c r="A2370">
        <f t="shared" ref="A2370:A2433" si="149">ROW()-1</f>
        <v>2369</v>
      </c>
      <c r="B2370" s="24">
        <v>2823054</v>
      </c>
      <c r="C2370" s="11">
        <v>47</v>
      </c>
      <c r="D2370">
        <f t="shared" ref="D2370:D2433" si="150">IF(RIGHT(C2370,1)="B",VALUE(LEFT(C2370,LEN(C2370)-1))*1000,C2370)</f>
        <v>47</v>
      </c>
      <c r="E2370">
        <f t="shared" si="148"/>
        <v>4700</v>
      </c>
      <c r="F2370">
        <f t="shared" ref="F2370:F2433" si="151">E2370*0.48</f>
        <v>2256</v>
      </c>
    </row>
    <row r="2371" ht="13.85" spans="1:6">
      <c r="A2371">
        <f t="shared" si="149"/>
        <v>2370</v>
      </c>
      <c r="B2371" s="24">
        <v>2596108</v>
      </c>
      <c r="C2371" s="11">
        <v>56</v>
      </c>
      <c r="D2371">
        <f t="shared" si="150"/>
        <v>56</v>
      </c>
      <c r="E2371">
        <f t="shared" si="148"/>
        <v>5600</v>
      </c>
      <c r="F2371">
        <f t="shared" si="151"/>
        <v>2688</v>
      </c>
    </row>
    <row r="2372" ht="13.85" spans="1:6">
      <c r="A2372">
        <f t="shared" si="149"/>
        <v>2371</v>
      </c>
      <c r="B2372" s="24">
        <v>2976380</v>
      </c>
      <c r="C2372" s="11">
        <v>66</v>
      </c>
      <c r="D2372">
        <f t="shared" si="150"/>
        <v>66</v>
      </c>
      <c r="E2372">
        <f t="shared" si="148"/>
        <v>6600</v>
      </c>
      <c r="F2372">
        <f t="shared" si="151"/>
        <v>3168</v>
      </c>
    </row>
    <row r="2373" ht="13.85" spans="1:6">
      <c r="A2373">
        <f t="shared" si="149"/>
        <v>2372</v>
      </c>
      <c r="B2373" s="24">
        <v>2589831</v>
      </c>
      <c r="C2373" s="11">
        <v>75</v>
      </c>
      <c r="D2373">
        <f t="shared" si="150"/>
        <v>75</v>
      </c>
      <c r="E2373">
        <f t="shared" si="148"/>
        <v>7500</v>
      </c>
      <c r="F2373">
        <f t="shared" si="151"/>
        <v>3600</v>
      </c>
    </row>
    <row r="2374" ht="13.85" spans="1:6">
      <c r="A2374">
        <f t="shared" si="149"/>
        <v>2373</v>
      </c>
      <c r="B2374" s="24">
        <v>3006157</v>
      </c>
      <c r="C2374" s="11">
        <v>85</v>
      </c>
      <c r="D2374">
        <f t="shared" si="150"/>
        <v>85</v>
      </c>
      <c r="E2374">
        <f t="shared" si="148"/>
        <v>8500</v>
      </c>
      <c r="F2374">
        <f t="shared" si="151"/>
        <v>4080</v>
      </c>
    </row>
    <row r="2375" ht="13.85" spans="1:6">
      <c r="A2375">
        <f t="shared" si="149"/>
        <v>2374</v>
      </c>
      <c r="B2375" s="24">
        <v>2758217</v>
      </c>
      <c r="C2375" s="11">
        <v>94.8</v>
      </c>
      <c r="D2375">
        <f t="shared" si="150"/>
        <v>94.8</v>
      </c>
      <c r="E2375">
        <f t="shared" si="148"/>
        <v>9480</v>
      </c>
      <c r="F2375">
        <f t="shared" si="151"/>
        <v>4550.4</v>
      </c>
    </row>
    <row r="2376" ht="13.85" spans="1:6">
      <c r="A2376">
        <f t="shared" si="149"/>
        <v>2375</v>
      </c>
      <c r="B2376" s="24">
        <v>2651581</v>
      </c>
      <c r="C2376" s="11">
        <v>20</v>
      </c>
      <c r="D2376">
        <f t="shared" si="150"/>
        <v>20</v>
      </c>
      <c r="E2376">
        <f t="shared" si="148"/>
        <v>2000</v>
      </c>
      <c r="F2376">
        <f t="shared" si="151"/>
        <v>960</v>
      </c>
    </row>
    <row r="2377" ht="13.85" spans="1:6">
      <c r="A2377">
        <f t="shared" si="149"/>
        <v>2376</v>
      </c>
      <c r="B2377" s="24">
        <v>2373525</v>
      </c>
      <c r="C2377" s="11">
        <v>22</v>
      </c>
      <c r="D2377">
        <f t="shared" si="150"/>
        <v>22</v>
      </c>
      <c r="E2377">
        <f t="shared" si="148"/>
        <v>2200</v>
      </c>
      <c r="F2377">
        <f t="shared" si="151"/>
        <v>1056</v>
      </c>
    </row>
    <row r="2378" ht="13.85" spans="1:6">
      <c r="A2378">
        <f t="shared" si="149"/>
        <v>2377</v>
      </c>
      <c r="B2378" s="24">
        <v>2676630</v>
      </c>
      <c r="C2378" s="11">
        <v>25</v>
      </c>
      <c r="D2378">
        <f t="shared" si="150"/>
        <v>25</v>
      </c>
      <c r="E2378">
        <f t="shared" si="148"/>
        <v>2500</v>
      </c>
      <c r="F2378">
        <f t="shared" si="151"/>
        <v>1200</v>
      </c>
    </row>
    <row r="2379" ht="13.85" spans="1:6">
      <c r="A2379">
        <f t="shared" si="149"/>
        <v>2378</v>
      </c>
      <c r="B2379" s="24">
        <v>2414848</v>
      </c>
      <c r="C2379" s="11">
        <v>34</v>
      </c>
      <c r="D2379">
        <f t="shared" si="150"/>
        <v>34</v>
      </c>
      <c r="E2379">
        <f t="shared" si="148"/>
        <v>3400</v>
      </c>
      <c r="F2379">
        <f t="shared" si="151"/>
        <v>1632</v>
      </c>
    </row>
    <row r="2380" ht="13.85" spans="1:6">
      <c r="A2380">
        <f t="shared" si="149"/>
        <v>2379</v>
      </c>
      <c r="B2380" s="24">
        <v>2847763</v>
      </c>
      <c r="C2380" s="11">
        <v>43</v>
      </c>
      <c r="D2380">
        <f t="shared" si="150"/>
        <v>43</v>
      </c>
      <c r="E2380">
        <f t="shared" si="148"/>
        <v>4300</v>
      </c>
      <c r="F2380">
        <f t="shared" si="151"/>
        <v>2064</v>
      </c>
    </row>
    <row r="2381" ht="13.85" spans="1:6">
      <c r="A2381">
        <f t="shared" si="149"/>
        <v>2380</v>
      </c>
      <c r="B2381" s="24">
        <v>2504692</v>
      </c>
      <c r="C2381" s="15">
        <v>52</v>
      </c>
      <c r="D2381">
        <f t="shared" si="150"/>
        <v>52</v>
      </c>
      <c r="E2381">
        <f t="shared" si="148"/>
        <v>5200</v>
      </c>
      <c r="F2381">
        <f t="shared" si="151"/>
        <v>2496</v>
      </c>
    </row>
    <row r="2382" ht="13.85" spans="1:6">
      <c r="A2382">
        <f t="shared" si="149"/>
        <v>2381</v>
      </c>
      <c r="B2382" s="24">
        <v>2830574</v>
      </c>
      <c r="C2382" s="13">
        <v>62</v>
      </c>
      <c r="D2382">
        <f t="shared" si="150"/>
        <v>62</v>
      </c>
      <c r="E2382">
        <f t="shared" si="148"/>
        <v>6200</v>
      </c>
      <c r="F2382">
        <f t="shared" si="151"/>
        <v>2976</v>
      </c>
    </row>
    <row r="2383" ht="13.85" spans="1:6">
      <c r="A2383">
        <f t="shared" si="149"/>
        <v>2382</v>
      </c>
      <c r="B2383" s="24">
        <v>2549594</v>
      </c>
      <c r="C2383" s="11">
        <v>72</v>
      </c>
      <c r="D2383">
        <f t="shared" si="150"/>
        <v>72</v>
      </c>
      <c r="E2383">
        <f t="shared" si="148"/>
        <v>7200</v>
      </c>
      <c r="F2383">
        <f t="shared" si="151"/>
        <v>3456</v>
      </c>
    </row>
    <row r="2384" ht="13.85" spans="1:6">
      <c r="A2384">
        <f t="shared" si="149"/>
        <v>2383</v>
      </c>
      <c r="B2384" s="24">
        <v>2948795</v>
      </c>
      <c r="C2384" s="11">
        <v>82</v>
      </c>
      <c r="D2384">
        <f t="shared" si="150"/>
        <v>82</v>
      </c>
      <c r="E2384">
        <f t="shared" si="148"/>
        <v>8200</v>
      </c>
      <c r="F2384">
        <f t="shared" si="151"/>
        <v>3936</v>
      </c>
    </row>
    <row r="2385" ht="13.85" spans="1:6">
      <c r="A2385">
        <f t="shared" si="149"/>
        <v>2384</v>
      </c>
      <c r="B2385" s="24">
        <v>2660561</v>
      </c>
      <c r="C2385" s="11">
        <v>91</v>
      </c>
      <c r="D2385">
        <f t="shared" si="150"/>
        <v>91</v>
      </c>
      <c r="E2385">
        <f t="shared" si="148"/>
        <v>9100</v>
      </c>
      <c r="F2385">
        <f t="shared" si="151"/>
        <v>4368</v>
      </c>
    </row>
    <row r="2386" ht="13.85" spans="1:6">
      <c r="A2386">
        <f t="shared" si="149"/>
        <v>2385</v>
      </c>
      <c r="B2386" s="24">
        <v>3118294</v>
      </c>
      <c r="C2386" s="11">
        <v>102</v>
      </c>
      <c r="D2386">
        <f t="shared" si="150"/>
        <v>102</v>
      </c>
      <c r="E2386">
        <f t="shared" si="148"/>
        <v>10200</v>
      </c>
      <c r="F2386">
        <f t="shared" si="151"/>
        <v>4896</v>
      </c>
    </row>
    <row r="2387" ht="13.85" spans="1:6">
      <c r="A2387">
        <f t="shared" si="149"/>
        <v>2386</v>
      </c>
      <c r="B2387" s="24">
        <v>2762490</v>
      </c>
      <c r="C2387" s="11">
        <v>116</v>
      </c>
      <c r="D2387">
        <f t="shared" si="150"/>
        <v>116</v>
      </c>
      <c r="E2387">
        <f t="shared" si="148"/>
        <v>11600</v>
      </c>
      <c r="F2387">
        <f t="shared" si="151"/>
        <v>5568</v>
      </c>
    </row>
    <row r="2388" ht="13.85" spans="1:6">
      <c r="A2388">
        <f t="shared" si="149"/>
        <v>2387</v>
      </c>
      <c r="B2388" s="24">
        <v>3258016</v>
      </c>
      <c r="C2388" s="11">
        <v>127</v>
      </c>
      <c r="D2388">
        <f t="shared" si="150"/>
        <v>127</v>
      </c>
      <c r="E2388">
        <f t="shared" si="148"/>
        <v>12700</v>
      </c>
      <c r="F2388">
        <f t="shared" si="151"/>
        <v>6096</v>
      </c>
    </row>
    <row r="2389" ht="13.85" spans="1:6">
      <c r="A2389">
        <f t="shared" si="149"/>
        <v>2388</v>
      </c>
      <c r="B2389" s="24">
        <v>2860768</v>
      </c>
      <c r="C2389" s="11">
        <v>137</v>
      </c>
      <c r="D2389">
        <f t="shared" si="150"/>
        <v>137</v>
      </c>
      <c r="E2389">
        <f t="shared" si="148"/>
        <v>13700</v>
      </c>
      <c r="F2389">
        <f t="shared" si="151"/>
        <v>6576</v>
      </c>
    </row>
    <row r="2390" ht="13.85" spans="1:6">
      <c r="A2390">
        <f t="shared" si="149"/>
        <v>2389</v>
      </c>
      <c r="B2390" s="24">
        <v>3259766</v>
      </c>
      <c r="C2390" s="11">
        <v>149</v>
      </c>
      <c r="D2390">
        <f t="shared" si="150"/>
        <v>149</v>
      </c>
      <c r="E2390">
        <f t="shared" si="148"/>
        <v>14900</v>
      </c>
      <c r="F2390">
        <f t="shared" si="151"/>
        <v>7152</v>
      </c>
    </row>
    <row r="2391" ht="13.85" spans="1:6">
      <c r="A2391">
        <f t="shared" si="149"/>
        <v>2390</v>
      </c>
      <c r="B2391" s="24">
        <v>2927914</v>
      </c>
      <c r="C2391" s="11">
        <v>158</v>
      </c>
      <c r="D2391">
        <f t="shared" si="150"/>
        <v>158</v>
      </c>
      <c r="E2391">
        <f t="shared" si="148"/>
        <v>15800</v>
      </c>
      <c r="F2391">
        <f t="shared" si="151"/>
        <v>7584</v>
      </c>
    </row>
    <row r="2392" ht="13.85" spans="1:6">
      <c r="A2392">
        <f t="shared" si="149"/>
        <v>2391</v>
      </c>
      <c r="B2392" s="24">
        <v>3390794</v>
      </c>
      <c r="C2392" s="11">
        <v>168</v>
      </c>
      <c r="D2392">
        <f t="shared" si="150"/>
        <v>168</v>
      </c>
      <c r="E2392">
        <f t="shared" si="148"/>
        <v>16800</v>
      </c>
      <c r="F2392">
        <f t="shared" si="151"/>
        <v>8064</v>
      </c>
    </row>
    <row r="2393" ht="13.85" spans="1:6">
      <c r="A2393">
        <f t="shared" si="149"/>
        <v>2392</v>
      </c>
      <c r="B2393" s="24">
        <v>3011069</v>
      </c>
      <c r="C2393" s="11">
        <v>179</v>
      </c>
      <c r="D2393">
        <f t="shared" si="150"/>
        <v>179</v>
      </c>
      <c r="E2393">
        <f t="shared" si="148"/>
        <v>17900</v>
      </c>
      <c r="F2393">
        <f t="shared" si="151"/>
        <v>8592</v>
      </c>
    </row>
    <row r="2394" ht="13.85" spans="1:6">
      <c r="A2394">
        <f t="shared" si="149"/>
        <v>2393</v>
      </c>
      <c r="B2394" s="24">
        <v>3503345</v>
      </c>
      <c r="C2394" s="11">
        <v>192</v>
      </c>
      <c r="D2394">
        <f t="shared" si="150"/>
        <v>192</v>
      </c>
      <c r="E2394">
        <f t="shared" ref="E2394:E2457" si="152">D2394*100</f>
        <v>19200</v>
      </c>
      <c r="F2394">
        <f t="shared" si="151"/>
        <v>9216</v>
      </c>
    </row>
    <row r="2395" ht="13.85" spans="1:6">
      <c r="A2395">
        <f t="shared" si="149"/>
        <v>2394</v>
      </c>
      <c r="B2395" s="24">
        <v>3547977</v>
      </c>
      <c r="C2395" s="11">
        <v>202</v>
      </c>
      <c r="D2395">
        <f t="shared" si="150"/>
        <v>202</v>
      </c>
      <c r="E2395">
        <f t="shared" si="152"/>
        <v>20200</v>
      </c>
      <c r="F2395">
        <f t="shared" si="151"/>
        <v>9696</v>
      </c>
    </row>
    <row r="2396" ht="13.85" spans="1:6">
      <c r="A2396">
        <f t="shared" si="149"/>
        <v>2395</v>
      </c>
      <c r="B2396" s="24">
        <v>3512281</v>
      </c>
      <c r="C2396" s="11">
        <v>216</v>
      </c>
      <c r="D2396">
        <f t="shared" si="150"/>
        <v>216</v>
      </c>
      <c r="E2396">
        <f t="shared" si="152"/>
        <v>21600</v>
      </c>
      <c r="F2396">
        <f t="shared" si="151"/>
        <v>10368</v>
      </c>
    </row>
    <row r="2397" ht="13.85" spans="1:6">
      <c r="A2397">
        <f t="shared" si="149"/>
        <v>2396</v>
      </c>
      <c r="B2397" s="24">
        <v>3470794</v>
      </c>
      <c r="C2397" s="11">
        <v>231</v>
      </c>
      <c r="D2397">
        <f t="shared" si="150"/>
        <v>231</v>
      </c>
      <c r="E2397">
        <f t="shared" si="152"/>
        <v>23100</v>
      </c>
      <c r="F2397">
        <f t="shared" si="151"/>
        <v>11088</v>
      </c>
    </row>
    <row r="2398" ht="13.85" spans="1:6">
      <c r="A2398">
        <f t="shared" si="149"/>
        <v>2397</v>
      </c>
      <c r="B2398" s="24">
        <v>3973147</v>
      </c>
      <c r="C2398" s="11">
        <v>243</v>
      </c>
      <c r="D2398">
        <f t="shared" si="150"/>
        <v>243</v>
      </c>
      <c r="E2398">
        <f t="shared" si="152"/>
        <v>24300</v>
      </c>
      <c r="F2398">
        <f t="shared" si="151"/>
        <v>11664</v>
      </c>
    </row>
    <row r="2399" ht="13.85" spans="1:6">
      <c r="A2399">
        <f t="shared" si="149"/>
        <v>2398</v>
      </c>
      <c r="B2399" s="24">
        <v>3683669</v>
      </c>
      <c r="C2399" s="11">
        <v>262</v>
      </c>
      <c r="D2399">
        <f t="shared" si="150"/>
        <v>262</v>
      </c>
      <c r="E2399">
        <f t="shared" si="152"/>
        <v>26200</v>
      </c>
      <c r="F2399">
        <f t="shared" si="151"/>
        <v>12576</v>
      </c>
    </row>
    <row r="2400" ht="13.85" spans="1:6">
      <c r="A2400">
        <f t="shared" si="149"/>
        <v>2399</v>
      </c>
      <c r="B2400" s="24">
        <v>4197247</v>
      </c>
      <c r="C2400" s="11">
        <v>277</v>
      </c>
      <c r="D2400">
        <f t="shared" si="150"/>
        <v>277</v>
      </c>
      <c r="E2400">
        <f t="shared" si="152"/>
        <v>27700</v>
      </c>
      <c r="F2400">
        <f t="shared" si="151"/>
        <v>13296</v>
      </c>
    </row>
    <row r="2401" ht="13.85" spans="1:6">
      <c r="A2401">
        <f t="shared" si="149"/>
        <v>2400</v>
      </c>
      <c r="B2401" s="24">
        <v>3871029</v>
      </c>
      <c r="C2401" s="11">
        <v>287</v>
      </c>
      <c r="D2401">
        <f t="shared" si="150"/>
        <v>287</v>
      </c>
      <c r="E2401">
        <f t="shared" si="152"/>
        <v>28700</v>
      </c>
      <c r="F2401">
        <f t="shared" si="151"/>
        <v>13776</v>
      </c>
    </row>
    <row r="2402" ht="13.85" spans="1:6">
      <c r="A2402">
        <f t="shared" si="149"/>
        <v>2401</v>
      </c>
      <c r="B2402" s="24">
        <v>4637393</v>
      </c>
      <c r="C2402" s="11">
        <v>304</v>
      </c>
      <c r="D2402">
        <f t="shared" si="150"/>
        <v>304</v>
      </c>
      <c r="E2402">
        <f t="shared" si="152"/>
        <v>30400</v>
      </c>
      <c r="F2402">
        <f t="shared" si="151"/>
        <v>14592</v>
      </c>
    </row>
    <row r="2403" ht="13.85" spans="1:6">
      <c r="A2403">
        <f t="shared" si="149"/>
        <v>2402</v>
      </c>
      <c r="B2403" s="24">
        <v>4895026</v>
      </c>
      <c r="C2403" s="11">
        <v>321</v>
      </c>
      <c r="D2403">
        <f t="shared" si="150"/>
        <v>321</v>
      </c>
      <c r="E2403">
        <f t="shared" si="152"/>
        <v>32100</v>
      </c>
      <c r="F2403">
        <f t="shared" si="151"/>
        <v>15408</v>
      </c>
    </row>
    <row r="2404" ht="13.85" spans="1:6">
      <c r="A2404">
        <f t="shared" si="149"/>
        <v>2403</v>
      </c>
      <c r="B2404" s="24">
        <v>4854852</v>
      </c>
      <c r="C2404" s="11">
        <v>341</v>
      </c>
      <c r="D2404">
        <f t="shared" si="150"/>
        <v>341</v>
      </c>
      <c r="E2404">
        <f t="shared" si="152"/>
        <v>34100</v>
      </c>
      <c r="F2404">
        <f t="shared" si="151"/>
        <v>16368</v>
      </c>
    </row>
    <row r="2405" ht="13.85" spans="1:6">
      <c r="A2405">
        <f t="shared" si="149"/>
        <v>2404</v>
      </c>
      <c r="B2405" s="24">
        <v>5744903</v>
      </c>
      <c r="C2405" s="11">
        <v>363</v>
      </c>
      <c r="D2405">
        <f t="shared" si="150"/>
        <v>363</v>
      </c>
      <c r="E2405">
        <f t="shared" si="152"/>
        <v>36300</v>
      </c>
      <c r="F2405">
        <f t="shared" si="151"/>
        <v>17424</v>
      </c>
    </row>
    <row r="2406" ht="13.85" spans="1:6">
      <c r="A2406">
        <f t="shared" si="149"/>
        <v>2405</v>
      </c>
      <c r="B2406" s="24">
        <v>6818339</v>
      </c>
      <c r="C2406" s="11">
        <v>384</v>
      </c>
      <c r="D2406">
        <f t="shared" si="150"/>
        <v>384</v>
      </c>
      <c r="E2406">
        <f t="shared" si="152"/>
        <v>38400</v>
      </c>
      <c r="F2406">
        <f t="shared" si="151"/>
        <v>18432</v>
      </c>
    </row>
    <row r="2407" ht="13.85" spans="1:6">
      <c r="A2407">
        <f t="shared" si="149"/>
        <v>2406</v>
      </c>
      <c r="B2407" s="24">
        <v>8697370</v>
      </c>
      <c r="C2407" s="11">
        <v>410</v>
      </c>
      <c r="D2407">
        <f t="shared" si="150"/>
        <v>410</v>
      </c>
      <c r="E2407">
        <f t="shared" si="152"/>
        <v>41000</v>
      </c>
      <c r="F2407">
        <f t="shared" si="151"/>
        <v>19680</v>
      </c>
    </row>
    <row r="2408" ht="13.85" spans="1:6">
      <c r="A2408">
        <f t="shared" si="149"/>
        <v>2407</v>
      </c>
      <c r="B2408" s="24">
        <v>11191773</v>
      </c>
      <c r="C2408" s="11">
        <v>470</v>
      </c>
      <c r="D2408">
        <f t="shared" si="150"/>
        <v>470</v>
      </c>
      <c r="E2408">
        <f t="shared" si="152"/>
        <v>47000</v>
      </c>
      <c r="F2408">
        <f t="shared" si="151"/>
        <v>22560</v>
      </c>
    </row>
    <row r="2409" ht="13.85" spans="1:6">
      <c r="A2409">
        <f t="shared" si="149"/>
        <v>2408</v>
      </c>
      <c r="B2409" s="24">
        <v>14252616</v>
      </c>
      <c r="C2409" s="11">
        <v>550</v>
      </c>
      <c r="D2409">
        <f t="shared" si="150"/>
        <v>550</v>
      </c>
      <c r="E2409">
        <f t="shared" si="152"/>
        <v>55000</v>
      </c>
      <c r="F2409">
        <f t="shared" si="151"/>
        <v>26400</v>
      </c>
    </row>
    <row r="2410" ht="13.85" spans="1:6">
      <c r="A2410">
        <f t="shared" si="149"/>
        <v>2409</v>
      </c>
      <c r="B2410" s="24">
        <v>17882629</v>
      </c>
      <c r="C2410" s="11">
        <v>640</v>
      </c>
      <c r="D2410">
        <f t="shared" si="150"/>
        <v>640</v>
      </c>
      <c r="E2410">
        <f t="shared" si="152"/>
        <v>64000</v>
      </c>
      <c r="F2410">
        <f t="shared" si="151"/>
        <v>30720</v>
      </c>
    </row>
    <row r="2411" ht="13.85" spans="1:6">
      <c r="A2411">
        <f t="shared" si="149"/>
        <v>2410</v>
      </c>
      <c r="B2411" s="24">
        <v>19753476</v>
      </c>
      <c r="C2411" s="11">
        <v>730</v>
      </c>
      <c r="D2411">
        <f t="shared" si="150"/>
        <v>730</v>
      </c>
      <c r="E2411">
        <f t="shared" si="152"/>
        <v>73000</v>
      </c>
      <c r="F2411">
        <f t="shared" si="151"/>
        <v>35040</v>
      </c>
    </row>
    <row r="2412" ht="13.85" spans="1:6">
      <c r="A2412">
        <f t="shared" si="149"/>
        <v>2411</v>
      </c>
      <c r="B2412" s="24">
        <v>5535934</v>
      </c>
      <c r="C2412" s="11">
        <v>23.2</v>
      </c>
      <c r="D2412">
        <f t="shared" si="150"/>
        <v>23.2</v>
      </c>
      <c r="E2412">
        <f t="shared" si="152"/>
        <v>2320</v>
      </c>
      <c r="F2412">
        <f t="shared" si="151"/>
        <v>1113.6</v>
      </c>
    </row>
    <row r="2413" ht="13.85" spans="1:6">
      <c r="A2413">
        <f t="shared" si="149"/>
        <v>2412</v>
      </c>
      <c r="B2413" s="24">
        <v>3221904</v>
      </c>
      <c r="C2413" s="11">
        <v>20</v>
      </c>
      <c r="D2413">
        <f t="shared" si="150"/>
        <v>20</v>
      </c>
      <c r="E2413">
        <f t="shared" si="152"/>
        <v>2000</v>
      </c>
      <c r="F2413">
        <f t="shared" si="151"/>
        <v>960</v>
      </c>
    </row>
    <row r="2414" ht="13.85" spans="1:6">
      <c r="A2414">
        <f t="shared" si="149"/>
        <v>2413</v>
      </c>
      <c r="B2414" s="24">
        <v>3674383</v>
      </c>
      <c r="C2414" s="27">
        <v>33.2</v>
      </c>
      <c r="D2414">
        <f t="shared" si="150"/>
        <v>33.2</v>
      </c>
      <c r="E2414">
        <f t="shared" si="152"/>
        <v>3320</v>
      </c>
      <c r="F2414">
        <f t="shared" si="151"/>
        <v>1593.6</v>
      </c>
    </row>
    <row r="2415" ht="13.85" spans="1:6">
      <c r="A2415">
        <f t="shared" si="149"/>
        <v>2414</v>
      </c>
      <c r="B2415" s="24">
        <v>3031942</v>
      </c>
      <c r="C2415" s="11">
        <v>20</v>
      </c>
      <c r="D2415">
        <f t="shared" si="150"/>
        <v>20</v>
      </c>
      <c r="E2415">
        <f t="shared" si="152"/>
        <v>2000</v>
      </c>
      <c r="F2415">
        <f t="shared" si="151"/>
        <v>960</v>
      </c>
    </row>
    <row r="2416" ht="13.85" spans="1:6">
      <c r="A2416">
        <f t="shared" si="149"/>
        <v>2415</v>
      </c>
      <c r="B2416" s="24">
        <v>3483513</v>
      </c>
      <c r="C2416" s="11">
        <v>30</v>
      </c>
      <c r="D2416">
        <f t="shared" si="150"/>
        <v>30</v>
      </c>
      <c r="E2416">
        <f t="shared" si="152"/>
        <v>3000</v>
      </c>
      <c r="F2416">
        <f t="shared" si="151"/>
        <v>1440</v>
      </c>
    </row>
    <row r="2417" ht="13.85" spans="1:6">
      <c r="A2417">
        <f t="shared" si="149"/>
        <v>2416</v>
      </c>
      <c r="B2417" s="24">
        <v>2988232</v>
      </c>
      <c r="C2417" s="11">
        <v>42</v>
      </c>
      <c r="D2417">
        <f t="shared" si="150"/>
        <v>42</v>
      </c>
      <c r="E2417">
        <f t="shared" si="152"/>
        <v>4200</v>
      </c>
      <c r="F2417">
        <f t="shared" si="151"/>
        <v>2016</v>
      </c>
    </row>
    <row r="2418" ht="13.85" spans="1:6">
      <c r="A2418">
        <f t="shared" si="149"/>
        <v>2417</v>
      </c>
      <c r="B2418" s="24">
        <v>3369736</v>
      </c>
      <c r="C2418" s="11">
        <v>56</v>
      </c>
      <c r="D2418">
        <f t="shared" si="150"/>
        <v>56</v>
      </c>
      <c r="E2418">
        <f t="shared" si="152"/>
        <v>5600</v>
      </c>
      <c r="F2418">
        <f t="shared" si="151"/>
        <v>2688</v>
      </c>
    </row>
    <row r="2419" ht="13.85" spans="1:6">
      <c r="A2419">
        <f t="shared" si="149"/>
        <v>2418</v>
      </c>
      <c r="B2419" s="24">
        <v>2671330</v>
      </c>
      <c r="C2419" s="11">
        <v>66</v>
      </c>
      <c r="D2419">
        <f t="shared" si="150"/>
        <v>66</v>
      </c>
      <c r="E2419">
        <f t="shared" si="152"/>
        <v>6600</v>
      </c>
      <c r="F2419">
        <f t="shared" si="151"/>
        <v>3168</v>
      </c>
    </row>
    <row r="2420" ht="13.85" spans="1:6">
      <c r="A2420">
        <f t="shared" si="149"/>
        <v>2419</v>
      </c>
      <c r="B2420" s="24">
        <v>3330587</v>
      </c>
      <c r="C2420" s="11">
        <v>78</v>
      </c>
      <c r="D2420">
        <f t="shared" si="150"/>
        <v>78</v>
      </c>
      <c r="E2420">
        <f t="shared" si="152"/>
        <v>7800</v>
      </c>
      <c r="F2420">
        <f t="shared" si="151"/>
        <v>3744</v>
      </c>
    </row>
    <row r="2421" ht="13.85" spans="1:6">
      <c r="A2421">
        <f t="shared" si="149"/>
        <v>2420</v>
      </c>
      <c r="B2421" s="24">
        <v>3290318</v>
      </c>
      <c r="C2421" s="11">
        <v>90</v>
      </c>
      <c r="D2421">
        <f t="shared" si="150"/>
        <v>90</v>
      </c>
      <c r="E2421">
        <f t="shared" si="152"/>
        <v>9000</v>
      </c>
      <c r="F2421">
        <f t="shared" si="151"/>
        <v>4320</v>
      </c>
    </row>
    <row r="2422" ht="13.85" spans="1:6">
      <c r="A2422">
        <f t="shared" si="149"/>
        <v>2421</v>
      </c>
      <c r="B2422" s="24">
        <v>3847120</v>
      </c>
      <c r="C2422" s="11">
        <v>106</v>
      </c>
      <c r="D2422">
        <f t="shared" si="150"/>
        <v>106</v>
      </c>
      <c r="E2422">
        <f t="shared" si="152"/>
        <v>10600</v>
      </c>
      <c r="F2422">
        <f t="shared" si="151"/>
        <v>5088</v>
      </c>
    </row>
    <row r="2423" ht="13.85" spans="1:6">
      <c r="A2423">
        <f t="shared" si="149"/>
        <v>2422</v>
      </c>
      <c r="B2423" s="24">
        <v>3545610</v>
      </c>
      <c r="C2423" s="11">
        <v>123</v>
      </c>
      <c r="D2423">
        <f t="shared" si="150"/>
        <v>123</v>
      </c>
      <c r="E2423">
        <f t="shared" si="152"/>
        <v>12300</v>
      </c>
      <c r="F2423">
        <f t="shared" si="151"/>
        <v>5904</v>
      </c>
    </row>
    <row r="2424" ht="13.85" spans="1:6">
      <c r="A2424">
        <f t="shared" si="149"/>
        <v>2423</v>
      </c>
      <c r="B2424" s="24">
        <v>3892750</v>
      </c>
      <c r="C2424" s="11">
        <v>138</v>
      </c>
      <c r="D2424">
        <f t="shared" si="150"/>
        <v>138</v>
      </c>
      <c r="E2424">
        <f t="shared" si="152"/>
        <v>13800</v>
      </c>
      <c r="F2424">
        <f t="shared" si="151"/>
        <v>6624</v>
      </c>
    </row>
    <row r="2425" ht="13.85" spans="1:6">
      <c r="A2425">
        <f t="shared" si="149"/>
        <v>2424</v>
      </c>
      <c r="B2425" s="24">
        <v>3551015</v>
      </c>
      <c r="C2425" s="11">
        <v>155</v>
      </c>
      <c r="D2425">
        <f t="shared" si="150"/>
        <v>155</v>
      </c>
      <c r="E2425">
        <f t="shared" si="152"/>
        <v>15500</v>
      </c>
      <c r="F2425">
        <f t="shared" si="151"/>
        <v>7440</v>
      </c>
    </row>
    <row r="2426" ht="13.85" spans="1:6">
      <c r="A2426">
        <f t="shared" si="149"/>
        <v>2425</v>
      </c>
      <c r="B2426" s="24">
        <v>4039020</v>
      </c>
      <c r="C2426" s="11">
        <v>169</v>
      </c>
      <c r="D2426">
        <f t="shared" si="150"/>
        <v>169</v>
      </c>
      <c r="E2426">
        <f t="shared" si="152"/>
        <v>16900</v>
      </c>
      <c r="F2426">
        <f t="shared" si="151"/>
        <v>8112</v>
      </c>
    </row>
    <row r="2427" ht="13.85" spans="1:6">
      <c r="A2427">
        <f t="shared" si="149"/>
        <v>2426</v>
      </c>
      <c r="B2427" s="24">
        <v>3785100</v>
      </c>
      <c r="C2427" s="11">
        <v>184</v>
      </c>
      <c r="D2427">
        <f t="shared" si="150"/>
        <v>184</v>
      </c>
      <c r="E2427">
        <f t="shared" si="152"/>
        <v>18400</v>
      </c>
      <c r="F2427">
        <f t="shared" si="151"/>
        <v>8832</v>
      </c>
    </row>
    <row r="2428" ht="13.85" spans="1:6">
      <c r="A2428">
        <f t="shared" si="149"/>
        <v>2427</v>
      </c>
      <c r="B2428" s="24">
        <v>4331090</v>
      </c>
      <c r="C2428" s="11">
        <v>200</v>
      </c>
      <c r="D2428">
        <f t="shared" si="150"/>
        <v>200</v>
      </c>
      <c r="E2428">
        <f t="shared" si="152"/>
        <v>20000</v>
      </c>
      <c r="F2428">
        <f t="shared" si="151"/>
        <v>9600</v>
      </c>
    </row>
    <row r="2429" ht="13.85" spans="1:6">
      <c r="A2429">
        <f t="shared" si="149"/>
        <v>2428</v>
      </c>
      <c r="B2429" s="24">
        <v>3946248</v>
      </c>
      <c r="C2429" s="11">
        <v>220</v>
      </c>
      <c r="D2429">
        <f t="shared" si="150"/>
        <v>220</v>
      </c>
      <c r="E2429">
        <f t="shared" si="152"/>
        <v>22000</v>
      </c>
      <c r="F2429">
        <f t="shared" si="151"/>
        <v>10560</v>
      </c>
    </row>
    <row r="2430" ht="13.85" spans="1:6">
      <c r="A2430">
        <f t="shared" si="149"/>
        <v>2429</v>
      </c>
      <c r="B2430" s="24">
        <v>4361316</v>
      </c>
      <c r="C2430" s="27">
        <v>235.4</v>
      </c>
      <c r="D2430">
        <f t="shared" si="150"/>
        <v>235.4</v>
      </c>
      <c r="E2430">
        <f t="shared" si="152"/>
        <v>23540</v>
      </c>
      <c r="F2430">
        <f t="shared" si="151"/>
        <v>11299.2</v>
      </c>
    </row>
    <row r="2431" ht="13.85" spans="1:6">
      <c r="A2431">
        <f t="shared" si="149"/>
        <v>2430</v>
      </c>
      <c r="B2431" s="24">
        <v>2800485</v>
      </c>
      <c r="C2431" s="11">
        <v>20</v>
      </c>
      <c r="D2431">
        <f t="shared" si="150"/>
        <v>20</v>
      </c>
      <c r="E2431">
        <f t="shared" si="152"/>
        <v>2000</v>
      </c>
      <c r="F2431">
        <f t="shared" si="151"/>
        <v>960</v>
      </c>
    </row>
    <row r="2432" ht="13.85" spans="1:6">
      <c r="A2432">
        <f t="shared" si="149"/>
        <v>2431</v>
      </c>
      <c r="B2432" s="24">
        <v>3183954</v>
      </c>
      <c r="C2432" s="11">
        <v>32</v>
      </c>
      <c r="D2432">
        <f t="shared" si="150"/>
        <v>32</v>
      </c>
      <c r="E2432">
        <f t="shared" si="152"/>
        <v>3200</v>
      </c>
      <c r="F2432">
        <f t="shared" si="151"/>
        <v>1536</v>
      </c>
    </row>
    <row r="2433" ht="13.85" spans="1:6">
      <c r="A2433">
        <f t="shared" si="149"/>
        <v>2432</v>
      </c>
      <c r="B2433" s="24">
        <v>2843248</v>
      </c>
      <c r="C2433" s="11">
        <v>43</v>
      </c>
      <c r="D2433">
        <f t="shared" si="150"/>
        <v>43</v>
      </c>
      <c r="E2433">
        <f t="shared" si="152"/>
        <v>4300</v>
      </c>
      <c r="F2433">
        <f t="shared" si="151"/>
        <v>2064</v>
      </c>
    </row>
    <row r="2434" ht="13.85" spans="1:6">
      <c r="A2434">
        <f t="shared" ref="A2434:A2497" si="153">ROW()-1</f>
        <v>2433</v>
      </c>
      <c r="B2434" s="24">
        <v>3255221</v>
      </c>
      <c r="C2434" s="11">
        <v>55</v>
      </c>
      <c r="D2434">
        <f t="shared" ref="D2434:D2497" si="154">IF(RIGHT(C2434,1)="B",VALUE(LEFT(C2434,LEN(C2434)-1))*1000,C2434)</f>
        <v>55</v>
      </c>
      <c r="E2434">
        <f t="shared" si="152"/>
        <v>5500</v>
      </c>
      <c r="F2434">
        <f t="shared" ref="F2434:F2497" si="155">E2434*0.48</f>
        <v>2640</v>
      </c>
    </row>
    <row r="2435" ht="13.85" spans="1:6">
      <c r="A2435">
        <f t="shared" si="153"/>
        <v>2434</v>
      </c>
      <c r="B2435" s="24">
        <v>2948899</v>
      </c>
      <c r="C2435" s="11">
        <v>67</v>
      </c>
      <c r="D2435">
        <f t="shared" si="154"/>
        <v>67</v>
      </c>
      <c r="E2435">
        <f t="shared" si="152"/>
        <v>6700</v>
      </c>
      <c r="F2435">
        <f t="shared" si="155"/>
        <v>3216</v>
      </c>
    </row>
    <row r="2436" ht="13.85" spans="1:6">
      <c r="A2436">
        <f t="shared" si="153"/>
        <v>2435</v>
      </c>
      <c r="B2436" s="24">
        <v>3333034</v>
      </c>
      <c r="C2436" s="11">
        <v>79</v>
      </c>
      <c r="D2436">
        <f t="shared" si="154"/>
        <v>79</v>
      </c>
      <c r="E2436">
        <f t="shared" si="152"/>
        <v>7900</v>
      </c>
      <c r="F2436">
        <f t="shared" si="155"/>
        <v>3792</v>
      </c>
    </row>
    <row r="2437" ht="13.85" spans="1:6">
      <c r="A2437">
        <f t="shared" si="153"/>
        <v>2436</v>
      </c>
      <c r="B2437" s="24">
        <v>3006679</v>
      </c>
      <c r="C2437" s="11">
        <v>90</v>
      </c>
      <c r="D2437">
        <f t="shared" si="154"/>
        <v>90</v>
      </c>
      <c r="E2437">
        <f t="shared" si="152"/>
        <v>9000</v>
      </c>
      <c r="F2437">
        <f t="shared" si="155"/>
        <v>4320</v>
      </c>
    </row>
    <row r="2438" ht="13.85" spans="1:6">
      <c r="A2438">
        <f t="shared" si="153"/>
        <v>2437</v>
      </c>
      <c r="B2438" s="24">
        <v>3529434</v>
      </c>
      <c r="C2438" s="11">
        <v>104</v>
      </c>
      <c r="D2438">
        <f t="shared" si="154"/>
        <v>104</v>
      </c>
      <c r="E2438">
        <f t="shared" si="152"/>
        <v>10400</v>
      </c>
      <c r="F2438">
        <f t="shared" si="155"/>
        <v>4992</v>
      </c>
    </row>
    <row r="2439" ht="13.85" spans="1:6">
      <c r="A2439">
        <f t="shared" si="153"/>
        <v>2438</v>
      </c>
      <c r="B2439" s="24">
        <v>3215875</v>
      </c>
      <c r="C2439" s="11">
        <v>116</v>
      </c>
      <c r="D2439">
        <f t="shared" si="154"/>
        <v>116</v>
      </c>
      <c r="E2439">
        <f t="shared" si="152"/>
        <v>11600</v>
      </c>
      <c r="F2439">
        <f t="shared" si="155"/>
        <v>5568</v>
      </c>
    </row>
    <row r="2440" ht="13.85" spans="1:6">
      <c r="A2440">
        <f t="shared" si="153"/>
        <v>2439</v>
      </c>
      <c r="B2440" s="24">
        <v>3714368</v>
      </c>
      <c r="C2440" s="11">
        <v>129</v>
      </c>
      <c r="D2440">
        <f t="shared" si="154"/>
        <v>129</v>
      </c>
      <c r="E2440">
        <f t="shared" si="152"/>
        <v>12900</v>
      </c>
      <c r="F2440">
        <f t="shared" si="155"/>
        <v>6192</v>
      </c>
    </row>
    <row r="2441" ht="13.85" spans="1:6">
      <c r="A2441">
        <f t="shared" si="153"/>
        <v>2440</v>
      </c>
      <c r="B2441" s="24">
        <v>3400911</v>
      </c>
      <c r="C2441" s="11">
        <v>142</v>
      </c>
      <c r="D2441">
        <f t="shared" si="154"/>
        <v>142</v>
      </c>
      <c r="E2441">
        <f t="shared" si="152"/>
        <v>14200</v>
      </c>
      <c r="F2441">
        <f t="shared" si="155"/>
        <v>6816</v>
      </c>
    </row>
    <row r="2442" ht="13.85" spans="1:6">
      <c r="A2442">
        <f t="shared" si="153"/>
        <v>2441</v>
      </c>
      <c r="B2442" s="24">
        <v>3828739</v>
      </c>
      <c r="C2442" s="11">
        <v>157</v>
      </c>
      <c r="D2442">
        <f t="shared" si="154"/>
        <v>157</v>
      </c>
      <c r="E2442">
        <f t="shared" si="152"/>
        <v>15700</v>
      </c>
      <c r="F2442">
        <f t="shared" si="155"/>
        <v>7536</v>
      </c>
    </row>
    <row r="2443" ht="13.85" spans="1:6">
      <c r="A2443">
        <f t="shared" si="153"/>
        <v>2442</v>
      </c>
      <c r="B2443" s="24">
        <v>3523714</v>
      </c>
      <c r="C2443" s="11">
        <v>168</v>
      </c>
      <c r="D2443">
        <f t="shared" si="154"/>
        <v>168</v>
      </c>
      <c r="E2443">
        <f t="shared" si="152"/>
        <v>16800</v>
      </c>
      <c r="F2443">
        <f t="shared" si="155"/>
        <v>8064</v>
      </c>
    </row>
    <row r="2444" ht="13.85" spans="1:6">
      <c r="A2444">
        <f t="shared" si="153"/>
        <v>2443</v>
      </c>
      <c r="B2444" s="24">
        <v>4027732</v>
      </c>
      <c r="C2444" s="11">
        <v>183</v>
      </c>
      <c r="D2444">
        <f t="shared" si="154"/>
        <v>183</v>
      </c>
      <c r="E2444">
        <f t="shared" si="152"/>
        <v>18300</v>
      </c>
      <c r="F2444">
        <f t="shared" si="155"/>
        <v>8784</v>
      </c>
    </row>
    <row r="2445" ht="13.85" spans="1:6">
      <c r="A2445">
        <f t="shared" si="153"/>
        <v>2444</v>
      </c>
      <c r="B2445" s="24">
        <v>3900440</v>
      </c>
      <c r="C2445" s="11">
        <v>201</v>
      </c>
      <c r="D2445">
        <f t="shared" si="154"/>
        <v>201</v>
      </c>
      <c r="E2445">
        <f t="shared" si="152"/>
        <v>20100</v>
      </c>
      <c r="F2445">
        <f t="shared" si="155"/>
        <v>9648</v>
      </c>
    </row>
    <row r="2446" ht="13.85" spans="1:6">
      <c r="A2446">
        <f t="shared" si="153"/>
        <v>2445</v>
      </c>
      <c r="B2446" s="24">
        <v>4437996</v>
      </c>
      <c r="C2446" s="11">
        <v>218</v>
      </c>
      <c r="D2446">
        <f t="shared" si="154"/>
        <v>218</v>
      </c>
      <c r="E2446">
        <f t="shared" si="152"/>
        <v>21800</v>
      </c>
      <c r="F2446">
        <f t="shared" si="155"/>
        <v>10464</v>
      </c>
    </row>
    <row r="2447" ht="13.85" spans="1:6">
      <c r="A2447">
        <f t="shared" si="153"/>
        <v>2446</v>
      </c>
      <c r="B2447" s="24">
        <v>3962758</v>
      </c>
      <c r="C2447" s="11">
        <v>236</v>
      </c>
      <c r="D2447">
        <f t="shared" si="154"/>
        <v>236</v>
      </c>
      <c r="E2447">
        <f t="shared" si="152"/>
        <v>23600</v>
      </c>
      <c r="F2447">
        <f t="shared" si="155"/>
        <v>11328</v>
      </c>
    </row>
    <row r="2448" ht="13.85" spans="1:6">
      <c r="A2448">
        <f t="shared" si="153"/>
        <v>2447</v>
      </c>
      <c r="B2448" s="24">
        <v>4456118</v>
      </c>
      <c r="C2448" s="11">
        <v>253</v>
      </c>
      <c r="D2448">
        <f t="shared" si="154"/>
        <v>253</v>
      </c>
      <c r="E2448">
        <f t="shared" si="152"/>
        <v>25300</v>
      </c>
      <c r="F2448">
        <f t="shared" si="155"/>
        <v>12144</v>
      </c>
    </row>
    <row r="2449" ht="13.85" spans="1:6">
      <c r="A2449">
        <f t="shared" si="153"/>
        <v>2448</v>
      </c>
      <c r="B2449" s="24">
        <v>4043690</v>
      </c>
      <c r="C2449" s="11">
        <v>268</v>
      </c>
      <c r="D2449">
        <f t="shared" si="154"/>
        <v>268</v>
      </c>
      <c r="E2449">
        <f t="shared" si="152"/>
        <v>26800</v>
      </c>
      <c r="F2449">
        <f t="shared" si="155"/>
        <v>12864</v>
      </c>
    </row>
    <row r="2450" ht="13.85" spans="1:6">
      <c r="A2450">
        <f t="shared" si="153"/>
        <v>2449</v>
      </c>
      <c r="B2450" s="24">
        <v>4544811</v>
      </c>
      <c r="C2450" s="11">
        <v>285.6</v>
      </c>
      <c r="D2450">
        <f t="shared" si="154"/>
        <v>285.6</v>
      </c>
      <c r="E2450">
        <f t="shared" si="152"/>
        <v>28560</v>
      </c>
      <c r="F2450">
        <f t="shared" si="155"/>
        <v>13708.8</v>
      </c>
    </row>
    <row r="2451" ht="13.85" spans="1:6">
      <c r="A2451">
        <f t="shared" si="153"/>
        <v>2450</v>
      </c>
      <c r="B2451" s="24">
        <v>2681430</v>
      </c>
      <c r="C2451" s="11">
        <v>20</v>
      </c>
      <c r="D2451">
        <f t="shared" si="154"/>
        <v>20</v>
      </c>
      <c r="E2451">
        <f t="shared" si="152"/>
        <v>2000</v>
      </c>
      <c r="F2451">
        <f t="shared" si="155"/>
        <v>960</v>
      </c>
    </row>
    <row r="2452" ht="13.85" spans="1:6">
      <c r="A2452">
        <f t="shared" si="153"/>
        <v>2451</v>
      </c>
      <c r="B2452" s="24">
        <v>2989363</v>
      </c>
      <c r="C2452" s="11">
        <v>31</v>
      </c>
      <c r="D2452">
        <f t="shared" si="154"/>
        <v>31</v>
      </c>
      <c r="E2452">
        <f t="shared" si="152"/>
        <v>3100</v>
      </c>
      <c r="F2452">
        <f t="shared" si="155"/>
        <v>1488</v>
      </c>
    </row>
    <row r="2453" ht="13.85" spans="1:6">
      <c r="A2453">
        <f t="shared" si="153"/>
        <v>2452</v>
      </c>
      <c r="B2453" s="24">
        <v>2761652</v>
      </c>
      <c r="C2453" s="11">
        <v>40</v>
      </c>
      <c r="D2453">
        <f t="shared" si="154"/>
        <v>40</v>
      </c>
      <c r="E2453">
        <f t="shared" si="152"/>
        <v>4000</v>
      </c>
      <c r="F2453">
        <f t="shared" si="155"/>
        <v>1920</v>
      </c>
    </row>
    <row r="2454" ht="13.85" spans="1:6">
      <c r="A2454">
        <f t="shared" si="153"/>
        <v>2453</v>
      </c>
      <c r="B2454" s="24">
        <v>3152915</v>
      </c>
      <c r="C2454" s="11">
        <v>52</v>
      </c>
      <c r="D2454">
        <f t="shared" si="154"/>
        <v>52</v>
      </c>
      <c r="E2454">
        <f t="shared" si="152"/>
        <v>5200</v>
      </c>
      <c r="F2454">
        <f t="shared" si="155"/>
        <v>2496</v>
      </c>
    </row>
    <row r="2455" ht="13.85" spans="1:6">
      <c r="A2455">
        <f t="shared" si="153"/>
        <v>2454</v>
      </c>
      <c r="B2455" s="24">
        <v>2849533</v>
      </c>
      <c r="C2455" s="11">
        <v>63</v>
      </c>
      <c r="D2455">
        <f t="shared" si="154"/>
        <v>63</v>
      </c>
      <c r="E2455">
        <f t="shared" si="152"/>
        <v>6300</v>
      </c>
      <c r="F2455">
        <f t="shared" si="155"/>
        <v>3024</v>
      </c>
    </row>
    <row r="2456" ht="13.85" spans="1:6">
      <c r="A2456">
        <f t="shared" si="153"/>
        <v>2455</v>
      </c>
      <c r="B2456" s="24">
        <v>3214397</v>
      </c>
      <c r="C2456" s="11">
        <v>75</v>
      </c>
      <c r="D2456">
        <f t="shared" si="154"/>
        <v>75</v>
      </c>
      <c r="E2456">
        <f t="shared" si="152"/>
        <v>7500</v>
      </c>
      <c r="F2456">
        <f t="shared" si="155"/>
        <v>3600</v>
      </c>
    </row>
    <row r="2457" ht="13.85" spans="1:6">
      <c r="A2457">
        <f t="shared" si="153"/>
        <v>2456</v>
      </c>
      <c r="B2457" s="24">
        <v>2937251</v>
      </c>
      <c r="C2457" s="11">
        <v>88</v>
      </c>
      <c r="D2457">
        <f t="shared" si="154"/>
        <v>88</v>
      </c>
      <c r="E2457">
        <f t="shared" si="152"/>
        <v>8800</v>
      </c>
      <c r="F2457">
        <f t="shared" si="155"/>
        <v>4224</v>
      </c>
    </row>
    <row r="2458" ht="13.85" spans="1:6">
      <c r="A2458">
        <f t="shared" si="153"/>
        <v>2457</v>
      </c>
      <c r="B2458" s="24">
        <v>3568813</v>
      </c>
      <c r="C2458" s="11">
        <v>101</v>
      </c>
      <c r="D2458">
        <f t="shared" si="154"/>
        <v>101</v>
      </c>
      <c r="E2458">
        <f t="shared" ref="E2458:E2521" si="156">D2458*100</f>
        <v>10100</v>
      </c>
      <c r="F2458">
        <f t="shared" si="155"/>
        <v>4848</v>
      </c>
    </row>
    <row r="2459" ht="13.85" spans="1:6">
      <c r="A2459">
        <f t="shared" si="153"/>
        <v>2458</v>
      </c>
      <c r="B2459" s="24">
        <v>3104210</v>
      </c>
      <c r="C2459" s="11">
        <v>113</v>
      </c>
      <c r="D2459">
        <f t="shared" si="154"/>
        <v>113</v>
      </c>
      <c r="E2459">
        <f t="shared" si="156"/>
        <v>11300</v>
      </c>
      <c r="F2459">
        <f t="shared" si="155"/>
        <v>5424</v>
      </c>
    </row>
    <row r="2460" ht="13.85" spans="1:6">
      <c r="A2460">
        <f t="shared" si="153"/>
        <v>2459</v>
      </c>
      <c r="B2460" s="24">
        <v>3488317</v>
      </c>
      <c r="C2460" s="11">
        <v>127</v>
      </c>
      <c r="D2460">
        <f t="shared" si="154"/>
        <v>127</v>
      </c>
      <c r="E2460">
        <f t="shared" si="156"/>
        <v>12700</v>
      </c>
      <c r="F2460">
        <f t="shared" si="155"/>
        <v>6096</v>
      </c>
    </row>
    <row r="2461" ht="13.85" spans="1:6">
      <c r="A2461">
        <f t="shared" si="153"/>
        <v>2460</v>
      </c>
      <c r="B2461" s="24">
        <v>3199430</v>
      </c>
      <c r="C2461" s="11">
        <v>137</v>
      </c>
      <c r="D2461">
        <f t="shared" si="154"/>
        <v>137</v>
      </c>
      <c r="E2461">
        <f t="shared" si="156"/>
        <v>13700</v>
      </c>
      <c r="F2461">
        <f t="shared" si="155"/>
        <v>6576</v>
      </c>
    </row>
    <row r="2462" ht="13.85" spans="1:6">
      <c r="A2462">
        <f t="shared" si="153"/>
        <v>2461</v>
      </c>
      <c r="B2462" s="24">
        <v>3578928</v>
      </c>
      <c r="C2462" s="11">
        <v>150</v>
      </c>
      <c r="D2462">
        <f t="shared" si="154"/>
        <v>150</v>
      </c>
      <c r="E2462">
        <f t="shared" si="156"/>
        <v>15000</v>
      </c>
      <c r="F2462">
        <f t="shared" si="155"/>
        <v>7200</v>
      </c>
    </row>
    <row r="2463" ht="13.85" spans="1:6">
      <c r="A2463">
        <f t="shared" si="153"/>
        <v>2462</v>
      </c>
      <c r="B2463" s="24">
        <v>3247528</v>
      </c>
      <c r="C2463" s="11">
        <v>161</v>
      </c>
      <c r="D2463">
        <f t="shared" si="154"/>
        <v>161</v>
      </c>
      <c r="E2463">
        <f t="shared" si="156"/>
        <v>16100</v>
      </c>
      <c r="F2463">
        <f t="shared" si="155"/>
        <v>7728</v>
      </c>
    </row>
    <row r="2464" ht="13.85" spans="1:6">
      <c r="A2464">
        <f t="shared" si="153"/>
        <v>2463</v>
      </c>
      <c r="B2464" s="24">
        <v>3615327</v>
      </c>
      <c r="C2464" s="11">
        <v>174</v>
      </c>
      <c r="D2464">
        <f t="shared" si="154"/>
        <v>174</v>
      </c>
      <c r="E2464">
        <f t="shared" si="156"/>
        <v>17400</v>
      </c>
      <c r="F2464">
        <f t="shared" si="155"/>
        <v>8352</v>
      </c>
    </row>
    <row r="2465" ht="13.85" spans="1:6">
      <c r="A2465">
        <f t="shared" si="153"/>
        <v>2464</v>
      </c>
      <c r="B2465" s="24">
        <v>3307952</v>
      </c>
      <c r="C2465" s="11">
        <v>186</v>
      </c>
      <c r="D2465">
        <f t="shared" si="154"/>
        <v>186</v>
      </c>
      <c r="E2465">
        <f t="shared" si="156"/>
        <v>18600</v>
      </c>
      <c r="F2465">
        <f t="shared" si="155"/>
        <v>8928</v>
      </c>
    </row>
    <row r="2466" ht="13.85" spans="1:6">
      <c r="A2466">
        <f t="shared" si="153"/>
        <v>2465</v>
      </c>
      <c r="B2466" s="24">
        <v>3858211</v>
      </c>
      <c r="C2466" s="11">
        <v>199</v>
      </c>
      <c r="D2466">
        <f t="shared" si="154"/>
        <v>199</v>
      </c>
      <c r="E2466">
        <f t="shared" si="156"/>
        <v>19900</v>
      </c>
      <c r="F2466">
        <f t="shared" si="155"/>
        <v>9552</v>
      </c>
    </row>
    <row r="2467" ht="13.85" spans="1:6">
      <c r="A2467">
        <f t="shared" si="153"/>
        <v>2466</v>
      </c>
      <c r="B2467" s="24">
        <v>3609863</v>
      </c>
      <c r="C2467" s="11">
        <v>211</v>
      </c>
      <c r="D2467">
        <f t="shared" si="154"/>
        <v>211</v>
      </c>
      <c r="E2467">
        <f t="shared" si="156"/>
        <v>21100</v>
      </c>
      <c r="F2467">
        <f t="shared" si="155"/>
        <v>10128</v>
      </c>
    </row>
    <row r="2468" ht="13.85" spans="1:6">
      <c r="A2468">
        <f t="shared" si="153"/>
        <v>2467</v>
      </c>
      <c r="B2468" s="24">
        <v>3997723</v>
      </c>
      <c r="C2468" s="11">
        <v>226</v>
      </c>
      <c r="D2468">
        <f t="shared" si="154"/>
        <v>226</v>
      </c>
      <c r="E2468">
        <f t="shared" si="156"/>
        <v>22600</v>
      </c>
      <c r="F2468">
        <f t="shared" si="155"/>
        <v>10848</v>
      </c>
    </row>
    <row r="2469" ht="13.85" spans="1:6">
      <c r="A2469">
        <f t="shared" si="153"/>
        <v>2468</v>
      </c>
      <c r="B2469" s="24">
        <v>3672386</v>
      </c>
      <c r="C2469" s="11">
        <v>241</v>
      </c>
      <c r="D2469">
        <f t="shared" si="154"/>
        <v>241</v>
      </c>
      <c r="E2469">
        <f t="shared" si="156"/>
        <v>24100</v>
      </c>
      <c r="F2469">
        <f t="shared" si="155"/>
        <v>11568</v>
      </c>
    </row>
    <row r="2470" ht="13.85" spans="1:6">
      <c r="A2470">
        <f t="shared" si="153"/>
        <v>2469</v>
      </c>
      <c r="B2470" s="24">
        <v>4162073</v>
      </c>
      <c r="C2470" s="11">
        <v>258</v>
      </c>
      <c r="D2470">
        <f t="shared" si="154"/>
        <v>258</v>
      </c>
      <c r="E2470">
        <f t="shared" si="156"/>
        <v>25800</v>
      </c>
      <c r="F2470">
        <f t="shared" si="155"/>
        <v>12384</v>
      </c>
    </row>
    <row r="2471" ht="13.85" spans="1:6">
      <c r="A2471">
        <f t="shared" si="153"/>
        <v>2470</v>
      </c>
      <c r="B2471" s="24">
        <v>3802910</v>
      </c>
      <c r="C2471" s="11">
        <v>274</v>
      </c>
      <c r="D2471">
        <f t="shared" si="154"/>
        <v>274</v>
      </c>
      <c r="E2471">
        <f t="shared" si="156"/>
        <v>27400</v>
      </c>
      <c r="F2471">
        <f t="shared" si="155"/>
        <v>13152</v>
      </c>
    </row>
    <row r="2472" ht="13.85" spans="1:6">
      <c r="A2472">
        <f t="shared" si="153"/>
        <v>2471</v>
      </c>
      <c r="B2472" s="24">
        <v>4273864</v>
      </c>
      <c r="C2472" s="11">
        <v>290</v>
      </c>
      <c r="D2472">
        <f t="shared" si="154"/>
        <v>290</v>
      </c>
      <c r="E2472">
        <f t="shared" si="156"/>
        <v>29000</v>
      </c>
      <c r="F2472">
        <f t="shared" si="155"/>
        <v>13920</v>
      </c>
    </row>
    <row r="2473" ht="13.85" spans="1:6">
      <c r="A2473">
        <f t="shared" si="153"/>
        <v>2472</v>
      </c>
      <c r="B2473" s="24">
        <v>1657832</v>
      </c>
      <c r="C2473" s="11">
        <v>293</v>
      </c>
      <c r="D2473">
        <f t="shared" si="154"/>
        <v>293</v>
      </c>
      <c r="E2473">
        <f t="shared" si="156"/>
        <v>29300</v>
      </c>
      <c r="F2473">
        <f t="shared" si="155"/>
        <v>14064</v>
      </c>
    </row>
    <row r="2474" ht="13.85" spans="1:6">
      <c r="A2474">
        <f t="shared" si="153"/>
        <v>2473</v>
      </c>
      <c r="B2474" s="24">
        <v>3101911</v>
      </c>
      <c r="C2474" s="11">
        <v>304</v>
      </c>
      <c r="D2474">
        <f t="shared" si="154"/>
        <v>304</v>
      </c>
      <c r="E2474">
        <f t="shared" si="156"/>
        <v>30400</v>
      </c>
      <c r="F2474">
        <f t="shared" si="155"/>
        <v>14592</v>
      </c>
    </row>
    <row r="2475" ht="13.85" spans="1:6">
      <c r="A2475">
        <f t="shared" si="153"/>
        <v>2474</v>
      </c>
      <c r="B2475" s="24">
        <v>4538393</v>
      </c>
      <c r="C2475" s="11">
        <v>322</v>
      </c>
      <c r="D2475">
        <f t="shared" si="154"/>
        <v>322</v>
      </c>
      <c r="E2475">
        <f t="shared" si="156"/>
        <v>32200</v>
      </c>
      <c r="F2475">
        <f t="shared" si="155"/>
        <v>15456</v>
      </c>
    </row>
    <row r="2476" ht="13.85" spans="1:6">
      <c r="A2476">
        <f t="shared" si="153"/>
        <v>2475</v>
      </c>
      <c r="B2476" s="24">
        <v>2127718</v>
      </c>
      <c r="C2476" s="11">
        <v>332</v>
      </c>
      <c r="D2476">
        <f t="shared" si="154"/>
        <v>332</v>
      </c>
      <c r="E2476">
        <f t="shared" si="156"/>
        <v>33200</v>
      </c>
      <c r="F2476">
        <f t="shared" si="155"/>
        <v>15936</v>
      </c>
    </row>
    <row r="2477" ht="13.85" spans="1:6">
      <c r="A2477">
        <f t="shared" si="153"/>
        <v>2476</v>
      </c>
      <c r="B2477" s="24">
        <v>3523634</v>
      </c>
      <c r="C2477" s="11">
        <v>345</v>
      </c>
      <c r="D2477">
        <f t="shared" si="154"/>
        <v>345</v>
      </c>
      <c r="E2477">
        <f t="shared" si="156"/>
        <v>34500</v>
      </c>
      <c r="F2477">
        <f t="shared" si="155"/>
        <v>16560</v>
      </c>
    </row>
    <row r="2478" ht="13.85" spans="1:6">
      <c r="A2478">
        <f t="shared" si="153"/>
        <v>2477</v>
      </c>
      <c r="B2478" s="24">
        <v>4855477</v>
      </c>
      <c r="C2478" s="11">
        <v>367</v>
      </c>
      <c r="D2478">
        <f t="shared" si="154"/>
        <v>367</v>
      </c>
      <c r="E2478">
        <f t="shared" si="156"/>
        <v>36700</v>
      </c>
      <c r="F2478">
        <f t="shared" si="155"/>
        <v>17616</v>
      </c>
    </row>
    <row r="2479" ht="13.85" spans="1:6">
      <c r="A2479">
        <f t="shared" si="153"/>
        <v>2478</v>
      </c>
      <c r="B2479" s="24">
        <v>2231011</v>
      </c>
      <c r="C2479" s="11">
        <v>375</v>
      </c>
      <c r="D2479">
        <f t="shared" si="154"/>
        <v>375</v>
      </c>
      <c r="E2479">
        <f t="shared" si="156"/>
        <v>37500</v>
      </c>
      <c r="F2479">
        <f t="shared" si="155"/>
        <v>18000</v>
      </c>
    </row>
    <row r="2480" ht="13.85" spans="1:6">
      <c r="A2480">
        <f t="shared" si="153"/>
        <v>2479</v>
      </c>
      <c r="B2480" s="24">
        <v>3723643</v>
      </c>
      <c r="C2480" s="11">
        <v>388</v>
      </c>
      <c r="D2480">
        <f t="shared" si="154"/>
        <v>388</v>
      </c>
      <c r="E2480">
        <f t="shared" si="156"/>
        <v>38800</v>
      </c>
      <c r="F2480">
        <f t="shared" si="155"/>
        <v>18624</v>
      </c>
    </row>
    <row r="2481" ht="13.85" spans="1:6">
      <c r="A2481">
        <f t="shared" si="153"/>
        <v>2480</v>
      </c>
      <c r="B2481" s="24">
        <v>5396427</v>
      </c>
      <c r="C2481" s="11">
        <v>409</v>
      </c>
      <c r="D2481">
        <f t="shared" si="154"/>
        <v>409</v>
      </c>
      <c r="E2481">
        <f t="shared" si="156"/>
        <v>40900</v>
      </c>
      <c r="F2481">
        <f t="shared" si="155"/>
        <v>19632</v>
      </c>
    </row>
    <row r="2482" ht="13.85" spans="1:6">
      <c r="A2482">
        <f t="shared" si="153"/>
        <v>2481</v>
      </c>
      <c r="B2482" s="24">
        <v>2805362</v>
      </c>
      <c r="C2482" s="11">
        <v>416</v>
      </c>
      <c r="D2482">
        <f t="shared" si="154"/>
        <v>416</v>
      </c>
      <c r="E2482">
        <f t="shared" si="156"/>
        <v>41600</v>
      </c>
      <c r="F2482">
        <f t="shared" si="155"/>
        <v>19968</v>
      </c>
    </row>
    <row r="2483" ht="13.85" spans="1:6">
      <c r="A2483">
        <f t="shared" si="153"/>
        <v>2482</v>
      </c>
      <c r="B2483" s="24">
        <v>4334799</v>
      </c>
      <c r="C2483" s="11">
        <v>432</v>
      </c>
      <c r="D2483">
        <f t="shared" si="154"/>
        <v>432</v>
      </c>
      <c r="E2483">
        <f t="shared" si="156"/>
        <v>43200</v>
      </c>
      <c r="F2483">
        <f t="shared" si="155"/>
        <v>20736</v>
      </c>
    </row>
    <row r="2484" ht="13.85" spans="1:6">
      <c r="A2484">
        <f t="shared" si="153"/>
        <v>2483</v>
      </c>
      <c r="B2484" s="24">
        <v>6039014</v>
      </c>
      <c r="C2484" s="11">
        <v>457</v>
      </c>
      <c r="D2484">
        <f t="shared" si="154"/>
        <v>457</v>
      </c>
      <c r="E2484">
        <f t="shared" si="156"/>
        <v>45700</v>
      </c>
      <c r="F2484">
        <f t="shared" si="155"/>
        <v>21936</v>
      </c>
    </row>
    <row r="2485" ht="13.85" spans="1:6">
      <c r="A2485">
        <f t="shared" si="153"/>
        <v>2484</v>
      </c>
      <c r="B2485" s="24">
        <v>3168994</v>
      </c>
      <c r="C2485" s="15">
        <v>472</v>
      </c>
      <c r="D2485">
        <f t="shared" si="154"/>
        <v>472</v>
      </c>
      <c r="E2485">
        <f t="shared" si="156"/>
        <v>47200</v>
      </c>
      <c r="F2485">
        <f t="shared" si="155"/>
        <v>22656</v>
      </c>
    </row>
    <row r="2486" ht="13.85" spans="1:6">
      <c r="A2486">
        <f t="shared" si="153"/>
        <v>2485</v>
      </c>
      <c r="B2486" s="24">
        <v>4993104</v>
      </c>
      <c r="C2486" s="13">
        <v>490</v>
      </c>
      <c r="D2486">
        <f t="shared" si="154"/>
        <v>490</v>
      </c>
      <c r="E2486">
        <f t="shared" si="156"/>
        <v>49000</v>
      </c>
      <c r="F2486">
        <f t="shared" si="155"/>
        <v>23520</v>
      </c>
    </row>
    <row r="2487" ht="13.85" spans="1:6">
      <c r="A2487">
        <f t="shared" si="153"/>
        <v>2486</v>
      </c>
      <c r="B2487" s="24">
        <v>7630846</v>
      </c>
      <c r="C2487" s="11">
        <v>523</v>
      </c>
      <c r="D2487">
        <f t="shared" si="154"/>
        <v>523</v>
      </c>
      <c r="E2487">
        <f t="shared" si="156"/>
        <v>52300</v>
      </c>
      <c r="F2487">
        <f t="shared" si="155"/>
        <v>25104</v>
      </c>
    </row>
    <row r="2488" ht="13.85" spans="1:6">
      <c r="A2488">
        <f t="shared" si="153"/>
        <v>2487</v>
      </c>
      <c r="B2488" s="24">
        <v>4755488</v>
      </c>
      <c r="C2488" s="11">
        <v>545</v>
      </c>
      <c r="D2488">
        <f t="shared" si="154"/>
        <v>545</v>
      </c>
      <c r="E2488">
        <f t="shared" si="156"/>
        <v>54500</v>
      </c>
      <c r="F2488">
        <f t="shared" si="155"/>
        <v>26160</v>
      </c>
    </row>
    <row r="2489" ht="13.85" spans="1:6">
      <c r="A2489">
        <f t="shared" si="153"/>
        <v>2488</v>
      </c>
      <c r="B2489" s="24">
        <v>7261576</v>
      </c>
      <c r="C2489" s="11">
        <v>570</v>
      </c>
      <c r="D2489">
        <f t="shared" si="154"/>
        <v>570</v>
      </c>
      <c r="E2489">
        <f t="shared" si="156"/>
        <v>57000</v>
      </c>
      <c r="F2489">
        <f t="shared" si="155"/>
        <v>27360</v>
      </c>
    </row>
    <row r="2490" ht="13.85" spans="1:6">
      <c r="A2490">
        <f t="shared" si="153"/>
        <v>2489</v>
      </c>
      <c r="B2490" s="24">
        <v>13414905</v>
      </c>
      <c r="C2490" s="11">
        <v>635</v>
      </c>
      <c r="D2490">
        <f t="shared" si="154"/>
        <v>635</v>
      </c>
      <c r="E2490">
        <f t="shared" si="156"/>
        <v>63500</v>
      </c>
      <c r="F2490">
        <f t="shared" si="155"/>
        <v>30480</v>
      </c>
    </row>
    <row r="2491" ht="13.85" spans="1:6">
      <c r="A2491">
        <f t="shared" si="153"/>
        <v>2490</v>
      </c>
      <c r="B2491" s="24">
        <v>10282851</v>
      </c>
      <c r="C2491" s="11">
        <v>699.8</v>
      </c>
      <c r="D2491">
        <f t="shared" si="154"/>
        <v>699.8</v>
      </c>
      <c r="E2491">
        <f t="shared" si="156"/>
        <v>69980</v>
      </c>
      <c r="F2491">
        <f t="shared" si="155"/>
        <v>33590.4</v>
      </c>
    </row>
    <row r="2492" ht="13.85" spans="1:6">
      <c r="A2492">
        <f t="shared" si="153"/>
        <v>2491</v>
      </c>
      <c r="B2492" s="24">
        <v>2813002</v>
      </c>
      <c r="C2492" s="11">
        <v>20</v>
      </c>
      <c r="D2492">
        <f t="shared" si="154"/>
        <v>20</v>
      </c>
      <c r="E2492">
        <f t="shared" si="156"/>
        <v>2000</v>
      </c>
      <c r="F2492">
        <f t="shared" si="155"/>
        <v>960</v>
      </c>
    </row>
    <row r="2493" ht="13.85" spans="1:6">
      <c r="A2493">
        <f t="shared" si="153"/>
        <v>2492</v>
      </c>
      <c r="B2493" s="24">
        <v>3279508</v>
      </c>
      <c r="C2493" s="11">
        <v>31</v>
      </c>
      <c r="D2493">
        <f t="shared" si="154"/>
        <v>31</v>
      </c>
      <c r="E2493">
        <f t="shared" si="156"/>
        <v>3100</v>
      </c>
      <c r="F2493">
        <f t="shared" si="155"/>
        <v>1488</v>
      </c>
    </row>
    <row r="2494" ht="13.85" spans="1:6">
      <c r="A2494">
        <f t="shared" si="153"/>
        <v>2493</v>
      </c>
      <c r="B2494" s="24">
        <v>1740072</v>
      </c>
      <c r="C2494" s="11">
        <v>38</v>
      </c>
      <c r="D2494">
        <f t="shared" si="154"/>
        <v>38</v>
      </c>
      <c r="E2494">
        <f t="shared" si="156"/>
        <v>3800</v>
      </c>
      <c r="F2494">
        <f t="shared" si="155"/>
        <v>1824</v>
      </c>
    </row>
    <row r="2495" ht="13.85" spans="1:6">
      <c r="A2495">
        <f t="shared" si="153"/>
        <v>2494</v>
      </c>
      <c r="B2495" s="24">
        <v>2374086</v>
      </c>
      <c r="C2495" s="11">
        <v>50</v>
      </c>
      <c r="D2495">
        <f t="shared" si="154"/>
        <v>50</v>
      </c>
      <c r="E2495">
        <f t="shared" si="156"/>
        <v>5000</v>
      </c>
      <c r="F2495">
        <f t="shared" si="155"/>
        <v>2400</v>
      </c>
    </row>
    <row r="2496" ht="13.85" spans="1:6">
      <c r="A2496">
        <f t="shared" si="153"/>
        <v>2495</v>
      </c>
      <c r="B2496" s="24">
        <v>3224104</v>
      </c>
      <c r="C2496" s="11">
        <v>60</v>
      </c>
      <c r="D2496">
        <f t="shared" si="154"/>
        <v>60</v>
      </c>
      <c r="E2496">
        <f t="shared" si="156"/>
        <v>6000</v>
      </c>
      <c r="F2496">
        <f t="shared" si="155"/>
        <v>2880</v>
      </c>
    </row>
    <row r="2497" ht="13.85" spans="1:6">
      <c r="A2497">
        <f t="shared" si="153"/>
        <v>2496</v>
      </c>
      <c r="B2497" s="24">
        <v>1774193</v>
      </c>
      <c r="C2497" s="11">
        <v>65</v>
      </c>
      <c r="D2497">
        <f t="shared" si="154"/>
        <v>65</v>
      </c>
      <c r="E2497">
        <f t="shared" si="156"/>
        <v>6500</v>
      </c>
      <c r="F2497">
        <f t="shared" si="155"/>
        <v>3120</v>
      </c>
    </row>
    <row r="2498" ht="13.85" spans="1:6">
      <c r="A2498">
        <f t="shared" ref="A2498:A2561" si="157">ROW()-1</f>
        <v>2497</v>
      </c>
      <c r="B2498" s="24">
        <v>2413294</v>
      </c>
      <c r="C2498" s="11">
        <v>73</v>
      </c>
      <c r="D2498">
        <f t="shared" ref="D2498:D2561" si="158">IF(RIGHT(C2498,1)="B",VALUE(LEFT(C2498,LEN(C2498)-1))*1000,C2498)</f>
        <v>73</v>
      </c>
      <c r="E2498">
        <f t="shared" si="156"/>
        <v>7300</v>
      </c>
      <c r="F2498">
        <f t="shared" ref="F2498:F2561" si="159">E2498*0.48</f>
        <v>3504</v>
      </c>
    </row>
    <row r="2499" ht="13.85" spans="1:6">
      <c r="A2499">
        <f t="shared" si="157"/>
        <v>2498</v>
      </c>
      <c r="B2499" s="24">
        <v>3287319</v>
      </c>
      <c r="C2499" s="11">
        <v>86</v>
      </c>
      <c r="D2499">
        <f t="shared" si="158"/>
        <v>86</v>
      </c>
      <c r="E2499">
        <f t="shared" si="156"/>
        <v>8600</v>
      </c>
      <c r="F2499">
        <f t="shared" si="159"/>
        <v>4128</v>
      </c>
    </row>
    <row r="2500" ht="13.85" spans="1:6">
      <c r="A2500">
        <f t="shared" si="157"/>
        <v>2499</v>
      </c>
      <c r="B2500" s="24">
        <v>1846467</v>
      </c>
      <c r="C2500" s="11">
        <v>93</v>
      </c>
      <c r="D2500">
        <f t="shared" si="158"/>
        <v>93</v>
      </c>
      <c r="E2500">
        <f t="shared" si="156"/>
        <v>9300</v>
      </c>
      <c r="F2500">
        <f t="shared" si="159"/>
        <v>4464</v>
      </c>
    </row>
    <row r="2501" ht="13.85" spans="1:6">
      <c r="A2501">
        <f t="shared" si="157"/>
        <v>2500</v>
      </c>
      <c r="B2501" s="24">
        <v>2582377</v>
      </c>
      <c r="C2501" s="11">
        <v>102</v>
      </c>
      <c r="D2501">
        <f t="shared" si="158"/>
        <v>102</v>
      </c>
      <c r="E2501">
        <f t="shared" si="156"/>
        <v>10200</v>
      </c>
      <c r="F2501">
        <f t="shared" si="159"/>
        <v>4896</v>
      </c>
    </row>
    <row r="2502" ht="13.85" spans="1:6">
      <c r="A2502">
        <f t="shared" si="157"/>
        <v>2501</v>
      </c>
      <c r="B2502" s="24">
        <v>3615699</v>
      </c>
      <c r="C2502" s="11">
        <v>116</v>
      </c>
      <c r="D2502">
        <f t="shared" si="158"/>
        <v>116</v>
      </c>
      <c r="E2502">
        <f t="shared" si="156"/>
        <v>11600</v>
      </c>
      <c r="F2502">
        <f t="shared" si="159"/>
        <v>5568</v>
      </c>
    </row>
    <row r="2503" ht="13.85" spans="1:6">
      <c r="A2503">
        <f t="shared" si="157"/>
        <v>2502</v>
      </c>
      <c r="B2503" s="24">
        <v>2012460</v>
      </c>
      <c r="C2503" s="11">
        <v>123</v>
      </c>
      <c r="D2503">
        <f t="shared" si="158"/>
        <v>123</v>
      </c>
      <c r="E2503">
        <f t="shared" si="156"/>
        <v>12300</v>
      </c>
      <c r="F2503">
        <f t="shared" si="159"/>
        <v>5904</v>
      </c>
    </row>
    <row r="2504" ht="13.85" spans="1:6">
      <c r="A2504">
        <f t="shared" si="157"/>
        <v>2503</v>
      </c>
      <c r="B2504" s="24">
        <v>2717014</v>
      </c>
      <c r="C2504" s="11">
        <v>132</v>
      </c>
      <c r="D2504">
        <f t="shared" si="158"/>
        <v>132</v>
      </c>
      <c r="E2504">
        <f t="shared" si="156"/>
        <v>13200</v>
      </c>
      <c r="F2504">
        <f t="shared" si="159"/>
        <v>6336</v>
      </c>
    </row>
    <row r="2505" ht="13.85" spans="1:6">
      <c r="A2505">
        <f t="shared" si="157"/>
        <v>2504</v>
      </c>
      <c r="B2505" s="24">
        <v>3663616</v>
      </c>
      <c r="C2505" s="11">
        <v>146</v>
      </c>
      <c r="D2505">
        <f t="shared" si="158"/>
        <v>146</v>
      </c>
      <c r="E2505">
        <f t="shared" si="156"/>
        <v>14600</v>
      </c>
      <c r="F2505">
        <f t="shared" si="159"/>
        <v>7008</v>
      </c>
    </row>
    <row r="2506" ht="13.85" spans="1:6">
      <c r="A2506">
        <f t="shared" si="157"/>
        <v>2505</v>
      </c>
      <c r="B2506" s="24">
        <v>2048929</v>
      </c>
      <c r="C2506" s="11">
        <v>151</v>
      </c>
      <c r="D2506">
        <f t="shared" si="158"/>
        <v>151</v>
      </c>
      <c r="E2506">
        <f t="shared" si="156"/>
        <v>15100</v>
      </c>
      <c r="F2506">
        <f t="shared" si="159"/>
        <v>7248</v>
      </c>
    </row>
    <row r="2507" ht="13.85" spans="1:6">
      <c r="A2507">
        <f t="shared" si="157"/>
        <v>2506</v>
      </c>
      <c r="B2507" s="24">
        <v>2762239</v>
      </c>
      <c r="C2507" s="11">
        <v>160</v>
      </c>
      <c r="D2507">
        <f t="shared" si="158"/>
        <v>160</v>
      </c>
      <c r="E2507">
        <f t="shared" si="156"/>
        <v>16000</v>
      </c>
      <c r="F2507">
        <f t="shared" si="159"/>
        <v>7680</v>
      </c>
    </row>
    <row r="2508" ht="13.85" spans="1:6">
      <c r="A2508">
        <f t="shared" si="157"/>
        <v>2507</v>
      </c>
      <c r="B2508" s="24">
        <v>3754529</v>
      </c>
      <c r="C2508" s="11">
        <v>173</v>
      </c>
      <c r="D2508">
        <f t="shared" si="158"/>
        <v>173</v>
      </c>
      <c r="E2508">
        <f t="shared" si="156"/>
        <v>17300</v>
      </c>
      <c r="F2508">
        <f t="shared" si="159"/>
        <v>8304</v>
      </c>
    </row>
    <row r="2509" ht="13.85" spans="1:6">
      <c r="A2509">
        <f t="shared" si="157"/>
        <v>2508</v>
      </c>
      <c r="B2509" s="24">
        <v>2110253</v>
      </c>
      <c r="C2509" s="11">
        <v>180</v>
      </c>
      <c r="D2509">
        <f t="shared" si="158"/>
        <v>180</v>
      </c>
      <c r="E2509">
        <f t="shared" si="156"/>
        <v>18000</v>
      </c>
      <c r="F2509">
        <f t="shared" si="159"/>
        <v>8640</v>
      </c>
    </row>
    <row r="2510" ht="13.85" spans="1:6">
      <c r="A2510">
        <f t="shared" si="157"/>
        <v>2509</v>
      </c>
      <c r="B2510" s="24">
        <v>2821843</v>
      </c>
      <c r="C2510" s="11">
        <v>190</v>
      </c>
      <c r="D2510">
        <f t="shared" si="158"/>
        <v>190</v>
      </c>
      <c r="E2510">
        <f t="shared" si="156"/>
        <v>19000</v>
      </c>
      <c r="F2510">
        <f t="shared" si="159"/>
        <v>9120</v>
      </c>
    </row>
    <row r="2511" ht="13.85" spans="1:6">
      <c r="A2511">
        <f t="shared" si="157"/>
        <v>2510</v>
      </c>
      <c r="B2511" s="24">
        <v>3926331</v>
      </c>
      <c r="C2511" s="11">
        <v>205</v>
      </c>
      <c r="D2511">
        <f t="shared" si="158"/>
        <v>205</v>
      </c>
      <c r="E2511">
        <f t="shared" si="156"/>
        <v>20500</v>
      </c>
      <c r="F2511">
        <f t="shared" si="159"/>
        <v>9840</v>
      </c>
    </row>
    <row r="2512" ht="13.85" spans="1:6">
      <c r="A2512">
        <f t="shared" si="157"/>
        <v>2511</v>
      </c>
      <c r="B2512" s="24">
        <v>2247254</v>
      </c>
      <c r="C2512" s="11">
        <v>213</v>
      </c>
      <c r="D2512">
        <f t="shared" si="158"/>
        <v>213</v>
      </c>
      <c r="E2512">
        <f t="shared" si="156"/>
        <v>21300</v>
      </c>
      <c r="F2512">
        <f t="shared" si="159"/>
        <v>10224</v>
      </c>
    </row>
    <row r="2513" ht="13.85" spans="1:6">
      <c r="A2513">
        <f t="shared" si="157"/>
        <v>2512</v>
      </c>
      <c r="B2513" s="24">
        <v>3226348</v>
      </c>
      <c r="C2513" s="11">
        <v>224</v>
      </c>
      <c r="D2513">
        <f t="shared" si="158"/>
        <v>224</v>
      </c>
      <c r="E2513">
        <f t="shared" si="156"/>
        <v>22400</v>
      </c>
      <c r="F2513">
        <f t="shared" si="159"/>
        <v>10752</v>
      </c>
    </row>
    <row r="2514" ht="13.85" spans="1:6">
      <c r="A2514">
        <f t="shared" si="157"/>
        <v>2513</v>
      </c>
      <c r="B2514" s="24">
        <v>3760995</v>
      </c>
      <c r="C2514" s="11">
        <v>243</v>
      </c>
      <c r="D2514">
        <f t="shared" si="158"/>
        <v>243</v>
      </c>
      <c r="E2514">
        <f t="shared" si="156"/>
        <v>24300</v>
      </c>
      <c r="F2514">
        <f t="shared" si="159"/>
        <v>11664</v>
      </c>
    </row>
    <row r="2515" ht="13.85" spans="1:6">
      <c r="A2515">
        <f t="shared" si="157"/>
        <v>2514</v>
      </c>
      <c r="B2515" s="24">
        <v>2340352</v>
      </c>
      <c r="C2515" s="11">
        <v>253</v>
      </c>
      <c r="D2515">
        <f t="shared" si="158"/>
        <v>253</v>
      </c>
      <c r="E2515">
        <f t="shared" si="156"/>
        <v>25300</v>
      </c>
      <c r="F2515">
        <f t="shared" si="159"/>
        <v>12144</v>
      </c>
    </row>
    <row r="2516" ht="13.85" spans="1:6">
      <c r="A2516">
        <f t="shared" si="157"/>
        <v>2515</v>
      </c>
      <c r="B2516" s="24">
        <v>3144228</v>
      </c>
      <c r="C2516" s="11">
        <v>264</v>
      </c>
      <c r="D2516">
        <f t="shared" si="158"/>
        <v>264</v>
      </c>
      <c r="E2516">
        <f t="shared" si="156"/>
        <v>26400</v>
      </c>
      <c r="F2516">
        <f t="shared" si="159"/>
        <v>12672</v>
      </c>
    </row>
    <row r="2517" ht="13.85" spans="1:6">
      <c r="A2517">
        <f t="shared" si="157"/>
        <v>2516</v>
      </c>
      <c r="B2517" s="24">
        <v>4235964</v>
      </c>
      <c r="C2517" s="11">
        <v>278</v>
      </c>
      <c r="D2517">
        <f t="shared" si="158"/>
        <v>278</v>
      </c>
      <c r="E2517">
        <f t="shared" si="156"/>
        <v>27800</v>
      </c>
      <c r="F2517">
        <f t="shared" si="159"/>
        <v>13344</v>
      </c>
    </row>
    <row r="2518" ht="13.85" spans="1:6">
      <c r="A2518">
        <f t="shared" si="157"/>
        <v>2517</v>
      </c>
      <c r="B2518" s="24">
        <v>2403178</v>
      </c>
      <c r="C2518" s="11">
        <v>280</v>
      </c>
      <c r="D2518">
        <f t="shared" si="158"/>
        <v>280</v>
      </c>
      <c r="E2518">
        <f t="shared" si="156"/>
        <v>28000</v>
      </c>
      <c r="F2518">
        <f t="shared" si="159"/>
        <v>13440</v>
      </c>
    </row>
    <row r="2519" ht="13.85" spans="1:6">
      <c r="A2519">
        <f t="shared" si="157"/>
        <v>2518</v>
      </c>
      <c r="B2519" s="24">
        <v>3200945</v>
      </c>
      <c r="C2519" s="11">
        <v>291</v>
      </c>
      <c r="D2519">
        <f t="shared" si="158"/>
        <v>291</v>
      </c>
      <c r="E2519">
        <f t="shared" si="156"/>
        <v>29100</v>
      </c>
      <c r="F2519">
        <f t="shared" si="159"/>
        <v>13968</v>
      </c>
    </row>
    <row r="2520" ht="13.85" spans="1:6">
      <c r="A2520">
        <f t="shared" si="157"/>
        <v>2519</v>
      </c>
      <c r="B2520" s="24">
        <v>4588166</v>
      </c>
      <c r="C2520" s="11">
        <v>307</v>
      </c>
      <c r="D2520">
        <f t="shared" si="158"/>
        <v>307</v>
      </c>
      <c r="E2520">
        <f t="shared" si="156"/>
        <v>30700</v>
      </c>
      <c r="F2520">
        <f t="shared" si="159"/>
        <v>14736</v>
      </c>
    </row>
    <row r="2521" ht="13.85" spans="1:6">
      <c r="A2521">
        <f t="shared" si="157"/>
        <v>2520</v>
      </c>
      <c r="B2521" s="24">
        <v>2701570</v>
      </c>
      <c r="C2521" s="11">
        <v>320</v>
      </c>
      <c r="D2521">
        <f t="shared" si="158"/>
        <v>320</v>
      </c>
      <c r="E2521">
        <f t="shared" si="156"/>
        <v>32000</v>
      </c>
      <c r="F2521">
        <f t="shared" si="159"/>
        <v>15360</v>
      </c>
    </row>
    <row r="2522" ht="13.85" spans="1:6">
      <c r="A2522">
        <f t="shared" si="157"/>
        <v>2521</v>
      </c>
      <c r="B2522" s="24">
        <v>3720142</v>
      </c>
      <c r="C2522" s="11">
        <v>333</v>
      </c>
      <c r="D2522">
        <f t="shared" si="158"/>
        <v>333</v>
      </c>
      <c r="E2522">
        <f t="shared" ref="E2522:E2585" si="160">D2522*100</f>
        <v>33300</v>
      </c>
      <c r="F2522">
        <f t="shared" si="159"/>
        <v>15984</v>
      </c>
    </row>
    <row r="2523" ht="13.85" spans="1:6">
      <c r="A2523">
        <f t="shared" si="157"/>
        <v>2522</v>
      </c>
      <c r="B2523" s="24">
        <v>4963370</v>
      </c>
      <c r="C2523" s="11">
        <v>353</v>
      </c>
      <c r="D2523">
        <f t="shared" si="158"/>
        <v>353</v>
      </c>
      <c r="E2523">
        <f t="shared" si="160"/>
        <v>35300</v>
      </c>
      <c r="F2523">
        <f t="shared" si="159"/>
        <v>16944</v>
      </c>
    </row>
    <row r="2524" ht="13.85" spans="1:6">
      <c r="A2524">
        <f t="shared" si="157"/>
        <v>2523</v>
      </c>
      <c r="B2524" s="24">
        <v>2914620</v>
      </c>
      <c r="C2524" s="11">
        <v>363</v>
      </c>
      <c r="D2524">
        <f t="shared" si="158"/>
        <v>363</v>
      </c>
      <c r="E2524">
        <f t="shared" si="160"/>
        <v>36300</v>
      </c>
      <c r="F2524">
        <f t="shared" si="159"/>
        <v>17424</v>
      </c>
    </row>
    <row r="2525" ht="13.85" spans="1:6">
      <c r="A2525">
        <f t="shared" si="157"/>
        <v>2524</v>
      </c>
      <c r="B2525" s="24">
        <v>4005537</v>
      </c>
      <c r="C2525" s="11">
        <v>378</v>
      </c>
      <c r="D2525">
        <f t="shared" si="158"/>
        <v>378</v>
      </c>
      <c r="E2525">
        <f t="shared" si="160"/>
        <v>37800</v>
      </c>
      <c r="F2525">
        <f t="shared" si="159"/>
        <v>18144</v>
      </c>
    </row>
    <row r="2526" ht="13.85" spans="1:6">
      <c r="A2526">
        <f t="shared" si="157"/>
        <v>2525</v>
      </c>
      <c r="B2526" s="24">
        <v>6052200</v>
      </c>
      <c r="C2526" s="11">
        <v>400</v>
      </c>
      <c r="D2526">
        <f t="shared" si="158"/>
        <v>400</v>
      </c>
      <c r="E2526">
        <f t="shared" si="160"/>
        <v>40000</v>
      </c>
      <c r="F2526">
        <f t="shared" si="159"/>
        <v>19200</v>
      </c>
    </row>
    <row r="2527" ht="13.85" spans="1:6">
      <c r="A2527">
        <f t="shared" si="157"/>
        <v>2526</v>
      </c>
      <c r="B2527" s="24">
        <v>4628616</v>
      </c>
      <c r="C2527" s="11">
        <v>416</v>
      </c>
      <c r="D2527">
        <f t="shared" si="158"/>
        <v>416</v>
      </c>
      <c r="E2527">
        <f t="shared" si="160"/>
        <v>41600</v>
      </c>
      <c r="F2527">
        <f t="shared" si="159"/>
        <v>19968</v>
      </c>
    </row>
    <row r="2528" ht="13.85" spans="1:6">
      <c r="A2528">
        <f t="shared" si="157"/>
        <v>2527</v>
      </c>
      <c r="B2528" s="24">
        <v>7270220</v>
      </c>
      <c r="C2528" s="11">
        <v>441</v>
      </c>
      <c r="D2528">
        <f t="shared" si="158"/>
        <v>441</v>
      </c>
      <c r="E2528">
        <f t="shared" si="160"/>
        <v>44100</v>
      </c>
      <c r="F2528">
        <f t="shared" si="159"/>
        <v>21168</v>
      </c>
    </row>
    <row r="2529" ht="13.85" spans="1:6">
      <c r="A2529">
        <f t="shared" si="157"/>
        <v>2528</v>
      </c>
      <c r="B2529" s="24">
        <v>11855003</v>
      </c>
      <c r="C2529" s="27">
        <v>500</v>
      </c>
      <c r="D2529">
        <f t="shared" si="158"/>
        <v>500</v>
      </c>
      <c r="E2529">
        <f t="shared" si="160"/>
        <v>50000</v>
      </c>
      <c r="F2529">
        <f t="shared" si="159"/>
        <v>24000</v>
      </c>
    </row>
    <row r="2530" ht="13.85" spans="1:6">
      <c r="A2530">
        <f t="shared" si="157"/>
        <v>2529</v>
      </c>
      <c r="B2530" s="24">
        <v>8805774</v>
      </c>
      <c r="C2530" s="11">
        <v>540</v>
      </c>
      <c r="D2530">
        <f t="shared" si="158"/>
        <v>540</v>
      </c>
      <c r="E2530">
        <f t="shared" si="160"/>
        <v>54000</v>
      </c>
      <c r="F2530">
        <f t="shared" si="159"/>
        <v>25920</v>
      </c>
    </row>
    <row r="2531" ht="13.85" spans="1:6">
      <c r="A2531">
        <f t="shared" si="157"/>
        <v>2530</v>
      </c>
      <c r="B2531" s="24">
        <v>13584530</v>
      </c>
      <c r="C2531" s="27">
        <v>632.6</v>
      </c>
      <c r="D2531">
        <f t="shared" si="158"/>
        <v>632.6</v>
      </c>
      <c r="E2531">
        <f t="shared" si="160"/>
        <v>63260</v>
      </c>
      <c r="F2531">
        <f t="shared" si="159"/>
        <v>30364.8</v>
      </c>
    </row>
    <row r="2532" ht="13.85" spans="1:6">
      <c r="A2532">
        <f t="shared" si="157"/>
        <v>2531</v>
      </c>
      <c r="B2532" s="24">
        <v>3460344</v>
      </c>
      <c r="C2532" s="11">
        <v>20</v>
      </c>
      <c r="D2532">
        <f t="shared" si="158"/>
        <v>20</v>
      </c>
      <c r="E2532">
        <f t="shared" si="160"/>
        <v>2000</v>
      </c>
      <c r="F2532">
        <f t="shared" si="159"/>
        <v>960</v>
      </c>
    </row>
    <row r="2533" ht="13.85" spans="1:6">
      <c r="A2533">
        <f t="shared" si="157"/>
        <v>2532</v>
      </c>
      <c r="B2533" s="24">
        <v>1874820</v>
      </c>
      <c r="C2533" s="11">
        <v>27</v>
      </c>
      <c r="D2533">
        <f t="shared" si="158"/>
        <v>27</v>
      </c>
      <c r="E2533">
        <f t="shared" si="160"/>
        <v>2700</v>
      </c>
      <c r="F2533">
        <f t="shared" si="159"/>
        <v>1296</v>
      </c>
    </row>
    <row r="2534" ht="13.85" spans="1:6">
      <c r="A2534">
        <f t="shared" si="157"/>
        <v>2533</v>
      </c>
      <c r="B2534" s="24">
        <v>2386286</v>
      </c>
      <c r="C2534" s="11">
        <v>38</v>
      </c>
      <c r="D2534">
        <f t="shared" si="158"/>
        <v>38</v>
      </c>
      <c r="E2534">
        <f t="shared" si="160"/>
        <v>3800</v>
      </c>
      <c r="F2534">
        <f t="shared" si="159"/>
        <v>1824</v>
      </c>
    </row>
    <row r="2535" ht="13.85" spans="1:6">
      <c r="A2535">
        <f t="shared" si="157"/>
        <v>2534</v>
      </c>
      <c r="B2535" s="24">
        <v>3285507</v>
      </c>
      <c r="C2535" s="11">
        <v>48</v>
      </c>
      <c r="D2535">
        <f t="shared" si="158"/>
        <v>48</v>
      </c>
      <c r="E2535">
        <f t="shared" si="160"/>
        <v>4800</v>
      </c>
      <c r="F2535">
        <f t="shared" si="159"/>
        <v>2304</v>
      </c>
    </row>
    <row r="2536" ht="13.85" spans="1:6">
      <c r="A2536">
        <f t="shared" si="157"/>
        <v>2535</v>
      </c>
      <c r="B2536" s="24">
        <v>1746875</v>
      </c>
      <c r="C2536" s="11">
        <v>53</v>
      </c>
      <c r="D2536">
        <f t="shared" si="158"/>
        <v>53</v>
      </c>
      <c r="E2536">
        <f t="shared" si="160"/>
        <v>5300</v>
      </c>
      <c r="F2536">
        <f t="shared" si="159"/>
        <v>2544</v>
      </c>
    </row>
    <row r="2537" ht="13.85" spans="1:6">
      <c r="A2537">
        <f t="shared" si="157"/>
        <v>2536</v>
      </c>
      <c r="B2537" s="24">
        <v>2423982</v>
      </c>
      <c r="C2537" s="11">
        <v>62</v>
      </c>
      <c r="D2537">
        <f t="shared" si="158"/>
        <v>62</v>
      </c>
      <c r="E2537">
        <f t="shared" si="160"/>
        <v>6200</v>
      </c>
      <c r="F2537">
        <f t="shared" si="159"/>
        <v>2976</v>
      </c>
    </row>
    <row r="2538" ht="13.85" spans="1:6">
      <c r="A2538">
        <f t="shared" si="157"/>
        <v>2537</v>
      </c>
      <c r="B2538" s="24">
        <v>3223936</v>
      </c>
      <c r="C2538" s="11">
        <v>76</v>
      </c>
      <c r="D2538">
        <f t="shared" si="158"/>
        <v>76</v>
      </c>
      <c r="E2538">
        <f t="shared" si="160"/>
        <v>7600</v>
      </c>
      <c r="F2538">
        <f t="shared" si="159"/>
        <v>3648</v>
      </c>
    </row>
    <row r="2539" ht="13.85" spans="1:6">
      <c r="A2539">
        <f t="shared" si="157"/>
        <v>2538</v>
      </c>
      <c r="B2539" s="24">
        <v>1859808</v>
      </c>
      <c r="C2539" s="11">
        <v>82</v>
      </c>
      <c r="D2539">
        <f t="shared" si="158"/>
        <v>82</v>
      </c>
      <c r="E2539">
        <f t="shared" si="160"/>
        <v>8200</v>
      </c>
      <c r="F2539">
        <f t="shared" si="159"/>
        <v>3936</v>
      </c>
    </row>
    <row r="2540" ht="13.85" spans="1:6">
      <c r="A2540">
        <f t="shared" si="157"/>
        <v>2539</v>
      </c>
      <c r="B2540" s="24">
        <v>2482443</v>
      </c>
      <c r="C2540" s="11">
        <v>91</v>
      </c>
      <c r="D2540">
        <f t="shared" si="158"/>
        <v>91</v>
      </c>
      <c r="E2540">
        <f t="shared" si="160"/>
        <v>9100</v>
      </c>
      <c r="F2540">
        <f t="shared" si="159"/>
        <v>4368</v>
      </c>
    </row>
    <row r="2541" ht="13.85" spans="1:6">
      <c r="A2541">
        <f t="shared" si="157"/>
        <v>2540</v>
      </c>
      <c r="B2541" s="24">
        <v>3474518</v>
      </c>
      <c r="C2541" s="11">
        <v>104</v>
      </c>
      <c r="D2541">
        <f t="shared" si="158"/>
        <v>104</v>
      </c>
      <c r="E2541">
        <f t="shared" si="160"/>
        <v>10400</v>
      </c>
      <c r="F2541">
        <f t="shared" si="159"/>
        <v>4992</v>
      </c>
    </row>
    <row r="2542" ht="13.85" spans="1:6">
      <c r="A2542">
        <f t="shared" si="157"/>
        <v>2541</v>
      </c>
      <c r="B2542" s="24">
        <v>2109808</v>
      </c>
      <c r="C2542" s="11">
        <v>113</v>
      </c>
      <c r="D2542">
        <f t="shared" si="158"/>
        <v>113</v>
      </c>
      <c r="E2542">
        <f t="shared" si="160"/>
        <v>11300</v>
      </c>
      <c r="F2542">
        <f t="shared" si="159"/>
        <v>5424</v>
      </c>
    </row>
    <row r="2543" ht="13.85" spans="1:6">
      <c r="A2543">
        <f t="shared" si="157"/>
        <v>2542</v>
      </c>
      <c r="B2543" s="24">
        <v>2835718</v>
      </c>
      <c r="C2543" s="11">
        <v>123</v>
      </c>
      <c r="D2543">
        <f t="shared" si="158"/>
        <v>123</v>
      </c>
      <c r="E2543">
        <f t="shared" si="160"/>
        <v>12300</v>
      </c>
      <c r="F2543">
        <f t="shared" si="159"/>
        <v>5904</v>
      </c>
    </row>
    <row r="2544" ht="13.85" spans="1:6">
      <c r="A2544">
        <f t="shared" si="157"/>
        <v>2543</v>
      </c>
      <c r="B2544" s="24">
        <v>3617978</v>
      </c>
      <c r="C2544" s="11">
        <v>137</v>
      </c>
      <c r="D2544">
        <f t="shared" si="158"/>
        <v>137</v>
      </c>
      <c r="E2544">
        <f t="shared" si="160"/>
        <v>13700</v>
      </c>
      <c r="F2544">
        <f t="shared" si="159"/>
        <v>6576</v>
      </c>
    </row>
    <row r="2545" ht="13.85" spans="1:6">
      <c r="A2545">
        <f t="shared" si="157"/>
        <v>2544</v>
      </c>
      <c r="B2545" s="24">
        <v>2214351</v>
      </c>
      <c r="C2545" s="11">
        <v>147</v>
      </c>
      <c r="D2545">
        <f t="shared" si="158"/>
        <v>147</v>
      </c>
      <c r="E2545">
        <f t="shared" si="160"/>
        <v>14700</v>
      </c>
      <c r="F2545">
        <f t="shared" si="159"/>
        <v>7056</v>
      </c>
    </row>
    <row r="2546" ht="13.85" spans="1:6">
      <c r="A2546">
        <f t="shared" si="157"/>
        <v>2545</v>
      </c>
      <c r="B2546" s="24">
        <v>2862534</v>
      </c>
      <c r="C2546" s="11">
        <v>158</v>
      </c>
      <c r="D2546">
        <f t="shared" si="158"/>
        <v>158</v>
      </c>
      <c r="E2546">
        <f t="shared" si="160"/>
        <v>15800</v>
      </c>
      <c r="F2546">
        <f t="shared" si="159"/>
        <v>7584</v>
      </c>
    </row>
    <row r="2547" ht="13.85" spans="1:6">
      <c r="A2547">
        <f t="shared" si="157"/>
        <v>2546</v>
      </c>
      <c r="B2547" s="24">
        <v>3915723</v>
      </c>
      <c r="C2547" s="11">
        <v>172</v>
      </c>
      <c r="D2547">
        <f t="shared" si="158"/>
        <v>172</v>
      </c>
      <c r="E2547">
        <f t="shared" si="160"/>
        <v>17200</v>
      </c>
      <c r="F2547">
        <f t="shared" si="159"/>
        <v>8256</v>
      </c>
    </row>
    <row r="2548" ht="13.85" spans="1:6">
      <c r="A2548">
        <f t="shared" si="157"/>
        <v>2547</v>
      </c>
      <c r="B2548" s="24">
        <v>2268432</v>
      </c>
      <c r="C2548" s="11">
        <v>185.3</v>
      </c>
      <c r="D2548">
        <f t="shared" si="158"/>
        <v>185.3</v>
      </c>
      <c r="E2548">
        <f t="shared" si="160"/>
        <v>18530</v>
      </c>
      <c r="F2548">
        <f t="shared" si="159"/>
        <v>8894.4</v>
      </c>
    </row>
    <row r="2549" ht="13.85" spans="1:6">
      <c r="A2549">
        <f t="shared" si="157"/>
        <v>2548</v>
      </c>
      <c r="B2549" s="24">
        <v>2206407</v>
      </c>
      <c r="C2549" s="11">
        <v>20</v>
      </c>
      <c r="D2549">
        <f t="shared" si="158"/>
        <v>20</v>
      </c>
      <c r="E2549">
        <f t="shared" si="160"/>
        <v>2000</v>
      </c>
      <c r="F2549">
        <f t="shared" si="159"/>
        <v>960</v>
      </c>
    </row>
    <row r="2550" ht="13.85" spans="1:6">
      <c r="A2550">
        <f t="shared" si="157"/>
        <v>2549</v>
      </c>
      <c r="B2550" s="24">
        <v>2954293</v>
      </c>
      <c r="C2550" s="11">
        <v>31</v>
      </c>
      <c r="D2550">
        <f t="shared" si="158"/>
        <v>31</v>
      </c>
      <c r="E2550">
        <f t="shared" si="160"/>
        <v>3100</v>
      </c>
      <c r="F2550">
        <f t="shared" si="159"/>
        <v>1488</v>
      </c>
    </row>
    <row r="2551" ht="13.85" spans="1:6">
      <c r="A2551">
        <f t="shared" si="157"/>
        <v>2550</v>
      </c>
      <c r="B2551" s="24">
        <v>1707239</v>
      </c>
      <c r="C2551" s="11">
        <v>37</v>
      </c>
      <c r="D2551">
        <f t="shared" si="158"/>
        <v>37</v>
      </c>
      <c r="E2551">
        <f t="shared" si="160"/>
        <v>3700</v>
      </c>
      <c r="F2551">
        <f t="shared" si="159"/>
        <v>1776</v>
      </c>
    </row>
    <row r="2552" ht="13.85" spans="1:6">
      <c r="A2552">
        <f t="shared" si="157"/>
        <v>2551</v>
      </c>
      <c r="B2552" s="24">
        <v>2275916</v>
      </c>
      <c r="C2552" s="11">
        <v>45</v>
      </c>
      <c r="D2552">
        <f t="shared" si="158"/>
        <v>45</v>
      </c>
      <c r="E2552">
        <f t="shared" si="160"/>
        <v>4500</v>
      </c>
      <c r="F2552">
        <f t="shared" si="159"/>
        <v>2160</v>
      </c>
    </row>
    <row r="2553" ht="13.85" spans="1:6">
      <c r="A2553">
        <f t="shared" si="157"/>
        <v>2552</v>
      </c>
      <c r="B2553" s="24">
        <v>3019420</v>
      </c>
      <c r="C2553" s="11">
        <v>58</v>
      </c>
      <c r="D2553">
        <f t="shared" si="158"/>
        <v>58</v>
      </c>
      <c r="E2553">
        <f t="shared" si="160"/>
        <v>5800</v>
      </c>
      <c r="F2553">
        <f t="shared" si="159"/>
        <v>2784</v>
      </c>
    </row>
    <row r="2554" ht="13.85" spans="1:6">
      <c r="A2554">
        <f t="shared" si="157"/>
        <v>2553</v>
      </c>
      <c r="B2554" s="24">
        <v>1791962</v>
      </c>
      <c r="C2554" s="11">
        <v>65</v>
      </c>
      <c r="D2554">
        <f t="shared" si="158"/>
        <v>65</v>
      </c>
      <c r="E2554">
        <f t="shared" si="160"/>
        <v>6500</v>
      </c>
      <c r="F2554">
        <f t="shared" si="159"/>
        <v>3120</v>
      </c>
    </row>
    <row r="2555" ht="13.85" spans="1:6">
      <c r="A2555">
        <f t="shared" si="157"/>
        <v>2554</v>
      </c>
      <c r="B2555" s="24">
        <v>2318421</v>
      </c>
      <c r="C2555" s="11">
        <v>73</v>
      </c>
      <c r="D2555">
        <f t="shared" si="158"/>
        <v>73</v>
      </c>
      <c r="E2555">
        <f t="shared" si="160"/>
        <v>7300</v>
      </c>
      <c r="F2555">
        <f t="shared" si="159"/>
        <v>3504</v>
      </c>
    </row>
    <row r="2556" ht="13.85" spans="1:6">
      <c r="A2556">
        <f t="shared" si="157"/>
        <v>2555</v>
      </c>
      <c r="B2556" s="24">
        <v>3169864</v>
      </c>
      <c r="C2556" s="11">
        <v>85</v>
      </c>
      <c r="D2556">
        <f t="shared" si="158"/>
        <v>85</v>
      </c>
      <c r="E2556">
        <f t="shared" si="160"/>
        <v>8500</v>
      </c>
      <c r="F2556">
        <f t="shared" si="159"/>
        <v>4080</v>
      </c>
    </row>
    <row r="2557" ht="13.85" spans="1:6">
      <c r="A2557">
        <f t="shared" si="157"/>
        <v>2556</v>
      </c>
      <c r="B2557" s="24">
        <v>1824356</v>
      </c>
      <c r="C2557" s="11">
        <v>90</v>
      </c>
      <c r="D2557">
        <f t="shared" si="158"/>
        <v>90</v>
      </c>
      <c r="E2557">
        <f t="shared" si="160"/>
        <v>9000</v>
      </c>
      <c r="F2557">
        <f t="shared" si="159"/>
        <v>4320</v>
      </c>
    </row>
    <row r="2558" ht="13.85" spans="1:6">
      <c r="A2558">
        <f t="shared" si="157"/>
        <v>2557</v>
      </c>
      <c r="B2558" s="24">
        <v>2363382</v>
      </c>
      <c r="C2558" s="11">
        <v>99</v>
      </c>
      <c r="D2558">
        <f t="shared" si="158"/>
        <v>99</v>
      </c>
      <c r="E2558">
        <f t="shared" si="160"/>
        <v>9900</v>
      </c>
      <c r="F2558">
        <f t="shared" si="159"/>
        <v>4752</v>
      </c>
    </row>
    <row r="2559" ht="13.85" spans="1:6">
      <c r="A2559">
        <f t="shared" si="157"/>
        <v>2558</v>
      </c>
      <c r="B2559" s="24">
        <v>3329589</v>
      </c>
      <c r="C2559" s="11">
        <v>112</v>
      </c>
      <c r="D2559">
        <f t="shared" si="158"/>
        <v>112</v>
      </c>
      <c r="E2559">
        <f t="shared" si="160"/>
        <v>11200</v>
      </c>
      <c r="F2559">
        <f t="shared" si="159"/>
        <v>5376</v>
      </c>
    </row>
    <row r="2560" ht="13.85" spans="1:6">
      <c r="A2560">
        <f t="shared" si="157"/>
        <v>2559</v>
      </c>
      <c r="B2560" s="24">
        <v>1982984</v>
      </c>
      <c r="C2560" s="11">
        <v>124</v>
      </c>
      <c r="D2560">
        <f t="shared" si="158"/>
        <v>124</v>
      </c>
      <c r="E2560">
        <f t="shared" si="160"/>
        <v>12400</v>
      </c>
      <c r="F2560">
        <f t="shared" si="159"/>
        <v>5952</v>
      </c>
    </row>
    <row r="2561" ht="13.85" spans="1:6">
      <c r="A2561">
        <f t="shared" si="157"/>
        <v>2560</v>
      </c>
      <c r="B2561" s="24">
        <v>2580976</v>
      </c>
      <c r="C2561" s="11">
        <v>133</v>
      </c>
      <c r="D2561">
        <f t="shared" si="158"/>
        <v>133</v>
      </c>
      <c r="E2561">
        <f t="shared" si="160"/>
        <v>13300</v>
      </c>
      <c r="F2561">
        <f t="shared" si="159"/>
        <v>6384</v>
      </c>
    </row>
    <row r="2562" ht="13.85" spans="1:6">
      <c r="A2562">
        <f t="shared" ref="A2562:A2625" si="161">ROW()-1</f>
        <v>2561</v>
      </c>
      <c r="B2562" s="24">
        <v>3518437</v>
      </c>
      <c r="C2562" s="11">
        <v>147</v>
      </c>
      <c r="D2562">
        <f t="shared" ref="D2562:D2625" si="162">IF(RIGHT(C2562,1)="B",VALUE(LEFT(C2562,LEN(C2562)-1))*1000,C2562)</f>
        <v>147</v>
      </c>
      <c r="E2562">
        <f t="shared" si="160"/>
        <v>14700</v>
      </c>
      <c r="F2562">
        <f t="shared" ref="F2562:F2625" si="163">E2562*0.48</f>
        <v>7056</v>
      </c>
    </row>
    <row r="2563" ht="13.85" spans="1:6">
      <c r="A2563">
        <f t="shared" si="161"/>
        <v>2562</v>
      </c>
      <c r="B2563" s="24">
        <v>2074955</v>
      </c>
      <c r="C2563" s="11">
        <v>156</v>
      </c>
      <c r="D2563">
        <f t="shared" si="162"/>
        <v>156</v>
      </c>
      <c r="E2563">
        <f t="shared" si="160"/>
        <v>15600</v>
      </c>
      <c r="F2563">
        <f t="shared" si="163"/>
        <v>7488</v>
      </c>
    </row>
    <row r="2564" ht="13.85" spans="1:6">
      <c r="A2564">
        <f t="shared" si="161"/>
        <v>2563</v>
      </c>
      <c r="B2564" s="24">
        <v>2628187</v>
      </c>
      <c r="C2564" s="11">
        <v>167</v>
      </c>
      <c r="D2564">
        <f t="shared" si="162"/>
        <v>167</v>
      </c>
      <c r="E2564">
        <f t="shared" si="160"/>
        <v>16700</v>
      </c>
      <c r="F2564">
        <f t="shared" si="163"/>
        <v>8016</v>
      </c>
    </row>
    <row r="2565" ht="13.85" spans="1:6">
      <c r="A2565">
        <f t="shared" si="161"/>
        <v>2564</v>
      </c>
      <c r="B2565" s="24">
        <v>3596969</v>
      </c>
      <c r="C2565" s="11">
        <v>181</v>
      </c>
      <c r="D2565">
        <f t="shared" si="162"/>
        <v>181</v>
      </c>
      <c r="E2565">
        <f t="shared" si="160"/>
        <v>18100</v>
      </c>
      <c r="F2565">
        <f t="shared" si="163"/>
        <v>8688</v>
      </c>
    </row>
    <row r="2566" ht="13.85" spans="1:6">
      <c r="A2566">
        <f t="shared" si="161"/>
        <v>2565</v>
      </c>
      <c r="B2566" s="24">
        <v>2153954</v>
      </c>
      <c r="C2566" s="11">
        <v>195</v>
      </c>
      <c r="D2566">
        <f t="shared" si="162"/>
        <v>195</v>
      </c>
      <c r="E2566">
        <f t="shared" si="160"/>
        <v>19500</v>
      </c>
      <c r="F2566">
        <f t="shared" si="163"/>
        <v>9360</v>
      </c>
    </row>
    <row r="2567" ht="13.85" spans="1:6">
      <c r="A2567">
        <f t="shared" si="161"/>
        <v>2566</v>
      </c>
      <c r="B2567" s="24">
        <v>2838306</v>
      </c>
      <c r="C2567" s="11">
        <v>206</v>
      </c>
      <c r="D2567">
        <f t="shared" si="162"/>
        <v>206</v>
      </c>
      <c r="E2567">
        <f t="shared" si="160"/>
        <v>20600</v>
      </c>
      <c r="F2567">
        <f t="shared" si="163"/>
        <v>9888</v>
      </c>
    </row>
    <row r="2568" ht="13.85" spans="1:6">
      <c r="A2568">
        <f t="shared" si="161"/>
        <v>2567</v>
      </c>
      <c r="B2568" s="24">
        <v>4232336</v>
      </c>
      <c r="C2568" s="11">
        <v>222</v>
      </c>
      <c r="D2568">
        <f t="shared" si="162"/>
        <v>222</v>
      </c>
      <c r="E2568">
        <f t="shared" si="160"/>
        <v>22200</v>
      </c>
      <c r="F2568">
        <f t="shared" si="163"/>
        <v>10656</v>
      </c>
    </row>
    <row r="2569" ht="13.85" spans="1:6">
      <c r="A2569">
        <f t="shared" si="161"/>
        <v>2568</v>
      </c>
      <c r="B2569" s="24">
        <v>2457999</v>
      </c>
      <c r="C2569" s="11">
        <v>231</v>
      </c>
      <c r="D2569">
        <f t="shared" si="162"/>
        <v>231</v>
      </c>
      <c r="E2569">
        <f t="shared" si="160"/>
        <v>23100</v>
      </c>
      <c r="F2569">
        <f t="shared" si="163"/>
        <v>11088</v>
      </c>
    </row>
    <row r="2570" ht="13.85" spans="1:6">
      <c r="A2570">
        <f t="shared" si="161"/>
        <v>2569</v>
      </c>
      <c r="B2570" s="24">
        <v>3065407</v>
      </c>
      <c r="C2570" s="11">
        <v>246</v>
      </c>
      <c r="D2570">
        <f t="shared" si="162"/>
        <v>246</v>
      </c>
      <c r="E2570">
        <f t="shared" si="160"/>
        <v>24600</v>
      </c>
      <c r="F2570">
        <f t="shared" si="163"/>
        <v>11808</v>
      </c>
    </row>
    <row r="2571" ht="13.85" spans="1:6">
      <c r="A2571">
        <f t="shared" si="161"/>
        <v>2570</v>
      </c>
      <c r="B2571" s="24">
        <v>4151470</v>
      </c>
      <c r="C2571" s="11">
        <v>268</v>
      </c>
      <c r="D2571">
        <f t="shared" si="162"/>
        <v>268</v>
      </c>
      <c r="E2571">
        <f t="shared" si="160"/>
        <v>26800</v>
      </c>
      <c r="F2571">
        <f t="shared" si="163"/>
        <v>12864</v>
      </c>
    </row>
    <row r="2572" ht="13.85" spans="1:6">
      <c r="A2572">
        <f t="shared" si="161"/>
        <v>2571</v>
      </c>
      <c r="B2572" s="24">
        <v>2489010</v>
      </c>
      <c r="C2572" s="11">
        <v>288</v>
      </c>
      <c r="D2572">
        <f t="shared" si="162"/>
        <v>288</v>
      </c>
      <c r="E2572">
        <f t="shared" si="160"/>
        <v>28800</v>
      </c>
      <c r="F2572">
        <f t="shared" si="163"/>
        <v>13824</v>
      </c>
    </row>
    <row r="2573" ht="13.85" spans="1:6">
      <c r="A2573">
        <f t="shared" si="161"/>
        <v>2572</v>
      </c>
      <c r="B2573" s="24">
        <v>3408786</v>
      </c>
      <c r="C2573" s="11">
        <v>302</v>
      </c>
      <c r="D2573">
        <f t="shared" si="162"/>
        <v>302</v>
      </c>
      <c r="E2573">
        <f t="shared" si="160"/>
        <v>30200</v>
      </c>
      <c r="F2573">
        <f t="shared" si="163"/>
        <v>14496</v>
      </c>
    </row>
    <row r="2574" ht="13.85" spans="1:6">
      <c r="A2574">
        <f t="shared" si="161"/>
        <v>2573</v>
      </c>
      <c r="B2574" s="24">
        <v>4794468</v>
      </c>
      <c r="C2574" s="11">
        <v>325</v>
      </c>
      <c r="D2574">
        <f t="shared" si="162"/>
        <v>325</v>
      </c>
      <c r="E2574">
        <f t="shared" si="160"/>
        <v>32500</v>
      </c>
      <c r="F2574">
        <f t="shared" si="163"/>
        <v>15600</v>
      </c>
    </row>
    <row r="2575" ht="13.85" spans="1:6">
      <c r="A2575">
        <f t="shared" si="161"/>
        <v>2574</v>
      </c>
      <c r="B2575" s="24">
        <v>2968884</v>
      </c>
      <c r="C2575" s="11">
        <v>348</v>
      </c>
      <c r="D2575">
        <f t="shared" si="162"/>
        <v>348</v>
      </c>
      <c r="E2575">
        <f t="shared" si="160"/>
        <v>34800</v>
      </c>
      <c r="F2575">
        <f t="shared" si="163"/>
        <v>16704</v>
      </c>
    </row>
    <row r="2576" ht="13.85" spans="1:6">
      <c r="A2576">
        <f t="shared" si="161"/>
        <v>2575</v>
      </c>
      <c r="B2576" s="24">
        <v>3976739</v>
      </c>
      <c r="C2576" s="11">
        <v>370</v>
      </c>
      <c r="D2576">
        <f t="shared" si="162"/>
        <v>370</v>
      </c>
      <c r="E2576">
        <f t="shared" si="160"/>
        <v>37000</v>
      </c>
      <c r="F2576">
        <f t="shared" si="163"/>
        <v>17760</v>
      </c>
    </row>
    <row r="2577" ht="13.85" spans="1:6">
      <c r="A2577">
        <f t="shared" si="161"/>
        <v>2576</v>
      </c>
      <c r="B2577" s="24">
        <v>6225359</v>
      </c>
      <c r="C2577" s="11">
        <v>400</v>
      </c>
      <c r="D2577">
        <f t="shared" si="162"/>
        <v>400</v>
      </c>
      <c r="E2577">
        <f t="shared" si="160"/>
        <v>40000</v>
      </c>
      <c r="F2577">
        <f t="shared" si="163"/>
        <v>19200</v>
      </c>
    </row>
    <row r="2578" ht="13.85" spans="1:6">
      <c r="A2578">
        <f t="shared" si="161"/>
        <v>2577</v>
      </c>
      <c r="B2578" s="24">
        <v>4599583</v>
      </c>
      <c r="C2578" s="11">
        <v>421</v>
      </c>
      <c r="D2578">
        <f t="shared" si="162"/>
        <v>421</v>
      </c>
      <c r="E2578">
        <f t="shared" si="160"/>
        <v>42100</v>
      </c>
      <c r="F2578">
        <f t="shared" si="163"/>
        <v>20208</v>
      </c>
    </row>
    <row r="2579" ht="13.85" spans="1:6">
      <c r="A2579">
        <f t="shared" si="161"/>
        <v>2578</v>
      </c>
      <c r="B2579" s="24">
        <v>6775086</v>
      </c>
      <c r="C2579" s="27">
        <v>473.1</v>
      </c>
      <c r="D2579">
        <f t="shared" si="162"/>
        <v>473.1</v>
      </c>
      <c r="E2579">
        <f t="shared" si="160"/>
        <v>47310</v>
      </c>
      <c r="F2579">
        <f t="shared" si="163"/>
        <v>22708.8</v>
      </c>
    </row>
    <row r="2580" ht="13.85" spans="1:6">
      <c r="A2580">
        <f t="shared" si="161"/>
        <v>2579</v>
      </c>
      <c r="B2580" s="24">
        <v>3067272</v>
      </c>
      <c r="C2580" s="11">
        <v>20</v>
      </c>
      <c r="D2580">
        <f t="shared" si="162"/>
        <v>20</v>
      </c>
      <c r="E2580">
        <f t="shared" si="160"/>
        <v>2000</v>
      </c>
      <c r="F2580">
        <f t="shared" si="163"/>
        <v>960</v>
      </c>
    </row>
    <row r="2581" ht="13.85" spans="1:6">
      <c r="A2581">
        <f t="shared" si="161"/>
        <v>2580</v>
      </c>
      <c r="B2581" s="24">
        <v>1722356</v>
      </c>
      <c r="C2581" s="11">
        <v>27</v>
      </c>
      <c r="D2581">
        <f t="shared" si="162"/>
        <v>27</v>
      </c>
      <c r="E2581">
        <f t="shared" si="160"/>
        <v>2700</v>
      </c>
      <c r="F2581">
        <f t="shared" si="163"/>
        <v>1296</v>
      </c>
    </row>
    <row r="2582" ht="13.85" spans="1:6">
      <c r="A2582">
        <f t="shared" si="161"/>
        <v>2581</v>
      </c>
      <c r="B2582" s="24">
        <v>2222223</v>
      </c>
      <c r="C2582" s="11">
        <v>37</v>
      </c>
      <c r="D2582">
        <f t="shared" si="162"/>
        <v>37</v>
      </c>
      <c r="E2582">
        <f t="shared" si="160"/>
        <v>3700</v>
      </c>
      <c r="F2582">
        <f t="shared" si="163"/>
        <v>1776</v>
      </c>
    </row>
    <row r="2583" ht="13.85" spans="1:6">
      <c r="A2583">
        <f t="shared" si="161"/>
        <v>2582</v>
      </c>
      <c r="B2583" s="24">
        <v>2997078</v>
      </c>
      <c r="C2583" s="11">
        <v>51</v>
      </c>
      <c r="D2583">
        <f t="shared" si="162"/>
        <v>51</v>
      </c>
      <c r="E2583">
        <f t="shared" si="160"/>
        <v>5100</v>
      </c>
      <c r="F2583">
        <f t="shared" si="163"/>
        <v>2448</v>
      </c>
    </row>
    <row r="2584" ht="13.85" spans="1:6">
      <c r="A2584">
        <f t="shared" si="161"/>
        <v>2583</v>
      </c>
      <c r="B2584" s="24">
        <v>1767024</v>
      </c>
      <c r="C2584" s="11">
        <v>59</v>
      </c>
      <c r="D2584">
        <f t="shared" si="162"/>
        <v>59</v>
      </c>
      <c r="E2584">
        <f t="shared" si="160"/>
        <v>5900</v>
      </c>
      <c r="F2584">
        <f t="shared" si="163"/>
        <v>2832</v>
      </c>
    </row>
    <row r="2585" ht="13.85" spans="1:6">
      <c r="A2585">
        <f t="shared" si="161"/>
        <v>2584</v>
      </c>
      <c r="B2585" s="24">
        <v>2260712</v>
      </c>
      <c r="C2585" s="11">
        <v>68</v>
      </c>
      <c r="D2585">
        <f t="shared" si="162"/>
        <v>68</v>
      </c>
      <c r="E2585">
        <f t="shared" si="160"/>
        <v>6800</v>
      </c>
      <c r="F2585">
        <f t="shared" si="163"/>
        <v>3264</v>
      </c>
    </row>
    <row r="2586" ht="13.85" spans="1:6">
      <c r="A2586">
        <f t="shared" si="161"/>
        <v>2585</v>
      </c>
      <c r="B2586" s="24">
        <v>3152999</v>
      </c>
      <c r="C2586" s="11">
        <v>83</v>
      </c>
      <c r="D2586">
        <f t="shared" si="162"/>
        <v>83</v>
      </c>
      <c r="E2586">
        <f t="shared" ref="E2586:E2649" si="164">D2586*100</f>
        <v>8300</v>
      </c>
      <c r="F2586">
        <f t="shared" si="163"/>
        <v>3984</v>
      </c>
    </row>
    <row r="2587" ht="13.85" spans="1:6">
      <c r="A2587">
        <f t="shared" si="161"/>
        <v>2586</v>
      </c>
      <c r="B2587" s="24">
        <v>1871134</v>
      </c>
      <c r="C2587" s="11">
        <v>90</v>
      </c>
      <c r="D2587">
        <f t="shared" si="162"/>
        <v>90</v>
      </c>
      <c r="E2587">
        <f t="shared" si="164"/>
        <v>9000</v>
      </c>
      <c r="F2587">
        <f t="shared" si="163"/>
        <v>4320</v>
      </c>
    </row>
    <row r="2588" ht="13.85" spans="1:6">
      <c r="A2588">
        <f t="shared" si="161"/>
        <v>2587</v>
      </c>
      <c r="B2588" s="24">
        <v>2451976</v>
      </c>
      <c r="C2588" s="11">
        <v>101</v>
      </c>
      <c r="D2588">
        <f t="shared" si="162"/>
        <v>101</v>
      </c>
      <c r="E2588">
        <f t="shared" si="164"/>
        <v>10100</v>
      </c>
      <c r="F2588">
        <f t="shared" si="163"/>
        <v>4848</v>
      </c>
    </row>
    <row r="2589" ht="13.85" spans="1:6">
      <c r="A2589">
        <f t="shared" si="161"/>
        <v>2588</v>
      </c>
      <c r="B2589" s="24">
        <v>3267776</v>
      </c>
      <c r="C2589" s="15">
        <v>117</v>
      </c>
      <c r="D2589">
        <f t="shared" si="162"/>
        <v>117</v>
      </c>
      <c r="E2589">
        <f t="shared" si="164"/>
        <v>11700</v>
      </c>
      <c r="F2589">
        <f t="shared" si="163"/>
        <v>5616</v>
      </c>
    </row>
    <row r="2590" ht="13.85" spans="1:6">
      <c r="A2590">
        <f t="shared" si="161"/>
        <v>2589</v>
      </c>
      <c r="B2590" s="24">
        <v>1953293</v>
      </c>
      <c r="C2590" s="13">
        <v>125</v>
      </c>
      <c r="D2590">
        <f t="shared" si="162"/>
        <v>125</v>
      </c>
      <c r="E2590">
        <f t="shared" si="164"/>
        <v>12500</v>
      </c>
      <c r="F2590">
        <f t="shared" si="163"/>
        <v>6000</v>
      </c>
    </row>
    <row r="2591" ht="13.85" spans="1:6">
      <c r="A2591">
        <f t="shared" si="161"/>
        <v>2590</v>
      </c>
      <c r="B2591" s="24">
        <v>2444536</v>
      </c>
      <c r="C2591" s="11">
        <v>135</v>
      </c>
      <c r="D2591">
        <f t="shared" si="162"/>
        <v>135</v>
      </c>
      <c r="E2591">
        <f t="shared" si="164"/>
        <v>13500</v>
      </c>
      <c r="F2591">
        <f t="shared" si="163"/>
        <v>6480</v>
      </c>
    </row>
    <row r="2592" ht="13.85" spans="1:6">
      <c r="A2592">
        <f t="shared" si="161"/>
        <v>2591</v>
      </c>
      <c r="B2592" s="24">
        <v>3368426</v>
      </c>
      <c r="C2592" s="11">
        <v>150</v>
      </c>
      <c r="D2592">
        <f t="shared" si="162"/>
        <v>150</v>
      </c>
      <c r="E2592">
        <f t="shared" si="164"/>
        <v>15000</v>
      </c>
      <c r="F2592">
        <f t="shared" si="163"/>
        <v>7200</v>
      </c>
    </row>
    <row r="2593" ht="13.85" spans="1:6">
      <c r="A2593">
        <f t="shared" si="161"/>
        <v>2592</v>
      </c>
      <c r="B2593" s="24">
        <v>1841466</v>
      </c>
      <c r="C2593" s="11">
        <v>157</v>
      </c>
      <c r="D2593">
        <f t="shared" si="162"/>
        <v>157</v>
      </c>
      <c r="E2593">
        <f t="shared" si="164"/>
        <v>15700</v>
      </c>
      <c r="F2593">
        <f t="shared" si="163"/>
        <v>7536</v>
      </c>
    </row>
    <row r="2594" ht="13.85" spans="1:6">
      <c r="A2594">
        <f t="shared" si="161"/>
        <v>2593</v>
      </c>
      <c r="B2594" s="24">
        <v>2571890</v>
      </c>
      <c r="C2594" s="11">
        <v>168</v>
      </c>
      <c r="D2594">
        <f t="shared" si="162"/>
        <v>168</v>
      </c>
      <c r="E2594">
        <f t="shared" si="164"/>
        <v>16800</v>
      </c>
      <c r="F2594">
        <f t="shared" si="163"/>
        <v>8064</v>
      </c>
    </row>
    <row r="2595" ht="13.85" spans="1:6">
      <c r="A2595">
        <f t="shared" si="161"/>
        <v>2594</v>
      </c>
      <c r="B2595" s="24">
        <v>3533635</v>
      </c>
      <c r="C2595" s="11">
        <v>184</v>
      </c>
      <c r="D2595">
        <f t="shared" si="162"/>
        <v>184</v>
      </c>
      <c r="E2595">
        <f t="shared" si="164"/>
        <v>18400</v>
      </c>
      <c r="F2595">
        <f t="shared" si="163"/>
        <v>8832</v>
      </c>
    </row>
    <row r="2596" ht="13.85" spans="1:6">
      <c r="A2596">
        <f t="shared" si="161"/>
        <v>2595</v>
      </c>
      <c r="B2596" s="24">
        <v>2164031</v>
      </c>
      <c r="C2596" s="11">
        <v>198</v>
      </c>
      <c r="D2596">
        <f t="shared" si="162"/>
        <v>198</v>
      </c>
      <c r="E2596">
        <f t="shared" si="164"/>
        <v>19800</v>
      </c>
      <c r="F2596">
        <f t="shared" si="163"/>
        <v>9504</v>
      </c>
    </row>
    <row r="2597" ht="13.85" spans="1:6">
      <c r="A2597">
        <f t="shared" si="161"/>
        <v>2596</v>
      </c>
      <c r="B2597" s="24">
        <v>2762744</v>
      </c>
      <c r="C2597" s="11">
        <v>210</v>
      </c>
      <c r="D2597">
        <f t="shared" si="162"/>
        <v>210</v>
      </c>
      <c r="E2597">
        <f t="shared" si="164"/>
        <v>21000</v>
      </c>
      <c r="F2597">
        <f t="shared" si="163"/>
        <v>10080</v>
      </c>
    </row>
    <row r="2598" ht="13.85" spans="1:6">
      <c r="A2598">
        <f t="shared" si="161"/>
        <v>2597</v>
      </c>
      <c r="B2598" s="24">
        <v>3841114</v>
      </c>
      <c r="C2598" s="11">
        <v>229</v>
      </c>
      <c r="D2598">
        <f t="shared" si="162"/>
        <v>229</v>
      </c>
      <c r="E2598">
        <f t="shared" si="164"/>
        <v>22900</v>
      </c>
      <c r="F2598">
        <f t="shared" si="163"/>
        <v>10992</v>
      </c>
    </row>
    <row r="2599" ht="13.85" spans="1:6">
      <c r="A2599">
        <f t="shared" si="161"/>
        <v>2598</v>
      </c>
      <c r="B2599" s="24">
        <v>2327280</v>
      </c>
      <c r="C2599" s="11">
        <v>243</v>
      </c>
      <c r="D2599">
        <f t="shared" si="162"/>
        <v>243</v>
      </c>
      <c r="E2599">
        <f t="shared" si="164"/>
        <v>24300</v>
      </c>
      <c r="F2599">
        <f t="shared" si="163"/>
        <v>11664</v>
      </c>
    </row>
    <row r="2600" ht="13.85" spans="1:6">
      <c r="A2600">
        <f t="shared" si="161"/>
        <v>2599</v>
      </c>
      <c r="B2600" s="24">
        <v>2897420</v>
      </c>
      <c r="C2600" s="11">
        <v>258</v>
      </c>
      <c r="D2600">
        <f t="shared" si="162"/>
        <v>258</v>
      </c>
      <c r="E2600">
        <f t="shared" si="164"/>
        <v>25800</v>
      </c>
      <c r="F2600">
        <f t="shared" si="163"/>
        <v>12384</v>
      </c>
    </row>
    <row r="2601" ht="13.85" spans="1:6">
      <c r="A2601">
        <f t="shared" si="161"/>
        <v>2600</v>
      </c>
      <c r="B2601" s="24">
        <v>3954274</v>
      </c>
      <c r="C2601" s="11">
        <v>279</v>
      </c>
      <c r="D2601">
        <f t="shared" si="162"/>
        <v>279</v>
      </c>
      <c r="E2601">
        <f t="shared" si="164"/>
        <v>27900</v>
      </c>
      <c r="F2601">
        <f t="shared" si="163"/>
        <v>13392</v>
      </c>
    </row>
    <row r="2602" ht="13.85" spans="1:6">
      <c r="A2602">
        <f t="shared" si="161"/>
        <v>2601</v>
      </c>
      <c r="B2602" s="24">
        <v>2404590</v>
      </c>
      <c r="C2602" s="11">
        <v>296</v>
      </c>
      <c r="D2602">
        <f t="shared" si="162"/>
        <v>296</v>
      </c>
      <c r="E2602">
        <f t="shared" si="164"/>
        <v>29600</v>
      </c>
      <c r="F2602">
        <f t="shared" si="163"/>
        <v>14208</v>
      </c>
    </row>
    <row r="2603" ht="13.85" spans="1:6">
      <c r="A2603">
        <f t="shared" si="161"/>
        <v>2602</v>
      </c>
      <c r="B2603" s="24">
        <v>3248104</v>
      </c>
      <c r="C2603" s="11">
        <v>312</v>
      </c>
      <c r="D2603">
        <f t="shared" si="162"/>
        <v>312</v>
      </c>
      <c r="E2603">
        <f t="shared" si="164"/>
        <v>31200</v>
      </c>
      <c r="F2603">
        <f t="shared" si="163"/>
        <v>14976</v>
      </c>
    </row>
    <row r="2604" ht="13.85" spans="1:6">
      <c r="A2604">
        <f t="shared" si="161"/>
        <v>2603</v>
      </c>
      <c r="B2604" s="24">
        <v>4471183</v>
      </c>
      <c r="C2604" s="11">
        <v>335</v>
      </c>
      <c r="D2604">
        <f t="shared" si="162"/>
        <v>335</v>
      </c>
      <c r="E2604">
        <f t="shared" si="164"/>
        <v>33500</v>
      </c>
      <c r="F2604">
        <f t="shared" si="163"/>
        <v>16080</v>
      </c>
    </row>
    <row r="2605" ht="13.85" spans="1:6">
      <c r="A2605">
        <f t="shared" si="161"/>
        <v>2604</v>
      </c>
      <c r="B2605" s="24">
        <v>2813446</v>
      </c>
      <c r="C2605" s="11">
        <v>346</v>
      </c>
      <c r="D2605">
        <f t="shared" si="162"/>
        <v>346</v>
      </c>
      <c r="E2605">
        <f t="shared" si="164"/>
        <v>34600</v>
      </c>
      <c r="F2605">
        <f t="shared" si="163"/>
        <v>16608</v>
      </c>
    </row>
    <row r="2606" ht="13.85" spans="1:6">
      <c r="A2606">
        <f t="shared" si="161"/>
        <v>2605</v>
      </c>
      <c r="B2606" s="24">
        <v>3545401</v>
      </c>
      <c r="C2606" s="11">
        <v>365</v>
      </c>
      <c r="D2606">
        <f t="shared" si="162"/>
        <v>365</v>
      </c>
      <c r="E2606">
        <f t="shared" si="164"/>
        <v>36500</v>
      </c>
      <c r="F2606">
        <f t="shared" si="163"/>
        <v>17520</v>
      </c>
    </row>
    <row r="2607" ht="13.85" spans="1:6">
      <c r="A2607">
        <f t="shared" si="161"/>
        <v>2606</v>
      </c>
      <c r="B2607" s="24">
        <v>2959353</v>
      </c>
      <c r="C2607" s="11">
        <v>20</v>
      </c>
      <c r="D2607">
        <f t="shared" si="162"/>
        <v>20</v>
      </c>
      <c r="E2607">
        <f t="shared" si="164"/>
        <v>2000</v>
      </c>
      <c r="F2607">
        <f t="shared" si="163"/>
        <v>960</v>
      </c>
    </row>
    <row r="2608" ht="13.85" spans="1:6">
      <c r="A2608">
        <f t="shared" si="161"/>
        <v>2607</v>
      </c>
      <c r="B2608" s="24">
        <v>1494132</v>
      </c>
      <c r="C2608" s="11">
        <v>26</v>
      </c>
      <c r="D2608">
        <f t="shared" si="162"/>
        <v>26</v>
      </c>
      <c r="E2608">
        <f t="shared" si="164"/>
        <v>2600</v>
      </c>
      <c r="F2608">
        <f t="shared" si="163"/>
        <v>1248</v>
      </c>
    </row>
    <row r="2609" ht="13.85" spans="1:6">
      <c r="A2609">
        <f t="shared" si="161"/>
        <v>2608</v>
      </c>
      <c r="B2609" s="24">
        <v>2074905</v>
      </c>
      <c r="C2609" s="11">
        <v>35</v>
      </c>
      <c r="D2609">
        <f t="shared" si="162"/>
        <v>35</v>
      </c>
      <c r="E2609">
        <f t="shared" si="164"/>
        <v>3500</v>
      </c>
      <c r="F2609">
        <f t="shared" si="163"/>
        <v>1680</v>
      </c>
    </row>
    <row r="2610" ht="13.85" spans="1:6">
      <c r="A2610">
        <f t="shared" si="161"/>
        <v>2609</v>
      </c>
      <c r="B2610" s="24">
        <v>2902937</v>
      </c>
      <c r="C2610" s="11">
        <v>48</v>
      </c>
      <c r="D2610">
        <f t="shared" si="162"/>
        <v>48</v>
      </c>
      <c r="E2610">
        <f t="shared" si="164"/>
        <v>4800</v>
      </c>
      <c r="F2610">
        <f t="shared" si="163"/>
        <v>2304</v>
      </c>
    </row>
    <row r="2611" ht="13.85" spans="1:6">
      <c r="A2611">
        <f t="shared" si="161"/>
        <v>2610</v>
      </c>
      <c r="B2611" s="24">
        <v>1744907</v>
      </c>
      <c r="C2611" s="11">
        <v>56</v>
      </c>
      <c r="D2611">
        <f t="shared" si="162"/>
        <v>56</v>
      </c>
      <c r="E2611">
        <f t="shared" si="164"/>
        <v>5600</v>
      </c>
      <c r="F2611">
        <f t="shared" si="163"/>
        <v>2688</v>
      </c>
    </row>
    <row r="2612" ht="13.85" spans="1:6">
      <c r="A2612">
        <f t="shared" si="161"/>
        <v>2611</v>
      </c>
      <c r="B2612" s="24">
        <v>2252963</v>
      </c>
      <c r="C2612" s="11">
        <v>66</v>
      </c>
      <c r="D2612">
        <f t="shared" si="162"/>
        <v>66</v>
      </c>
      <c r="E2612">
        <f t="shared" si="164"/>
        <v>6600</v>
      </c>
      <c r="F2612">
        <f t="shared" si="163"/>
        <v>3168</v>
      </c>
    </row>
    <row r="2613" ht="13.85" spans="1:6">
      <c r="A2613">
        <f t="shared" si="161"/>
        <v>2612</v>
      </c>
      <c r="B2613" s="24">
        <v>3232950</v>
      </c>
      <c r="C2613" s="11">
        <v>82</v>
      </c>
      <c r="D2613">
        <f t="shared" si="162"/>
        <v>82</v>
      </c>
      <c r="E2613">
        <f t="shared" si="164"/>
        <v>8200</v>
      </c>
      <c r="F2613">
        <f t="shared" si="163"/>
        <v>3936</v>
      </c>
    </row>
    <row r="2614" ht="13.85" spans="1:6">
      <c r="A2614">
        <f t="shared" si="161"/>
        <v>2613</v>
      </c>
      <c r="B2614" s="24">
        <v>1975259</v>
      </c>
      <c r="C2614" s="11">
        <v>89</v>
      </c>
      <c r="D2614">
        <f t="shared" si="162"/>
        <v>89</v>
      </c>
      <c r="E2614">
        <f t="shared" si="164"/>
        <v>8900</v>
      </c>
      <c r="F2614">
        <f t="shared" si="163"/>
        <v>4272</v>
      </c>
    </row>
    <row r="2615" ht="13.85" spans="1:6">
      <c r="A2615">
        <f t="shared" si="161"/>
        <v>2614</v>
      </c>
      <c r="B2615" s="24">
        <v>2888120</v>
      </c>
      <c r="C2615" s="11">
        <v>101</v>
      </c>
      <c r="D2615">
        <f t="shared" si="162"/>
        <v>101</v>
      </c>
      <c r="E2615">
        <f t="shared" si="164"/>
        <v>10100</v>
      </c>
      <c r="F2615">
        <f t="shared" si="163"/>
        <v>4848</v>
      </c>
    </row>
    <row r="2616" ht="13.85" spans="1:6">
      <c r="A2616">
        <f t="shared" si="161"/>
        <v>2615</v>
      </c>
      <c r="B2616" s="24">
        <v>4228580</v>
      </c>
      <c r="C2616" s="11">
        <v>119</v>
      </c>
      <c r="D2616">
        <f t="shared" si="162"/>
        <v>119</v>
      </c>
      <c r="E2616">
        <f t="shared" si="164"/>
        <v>11900</v>
      </c>
      <c r="F2616">
        <f t="shared" si="163"/>
        <v>5712</v>
      </c>
    </row>
    <row r="2617" ht="13.85" spans="1:6">
      <c r="A2617">
        <f t="shared" si="161"/>
        <v>2616</v>
      </c>
      <c r="B2617" s="24">
        <v>2616429</v>
      </c>
      <c r="C2617" s="11">
        <v>130</v>
      </c>
      <c r="D2617">
        <f t="shared" si="162"/>
        <v>130</v>
      </c>
      <c r="E2617">
        <f t="shared" si="164"/>
        <v>13000</v>
      </c>
      <c r="F2617">
        <f t="shared" si="163"/>
        <v>6240</v>
      </c>
    </row>
    <row r="2618" ht="13.85" spans="1:6">
      <c r="A2618">
        <f t="shared" si="161"/>
        <v>2617</v>
      </c>
      <c r="B2618" s="24">
        <v>3956566</v>
      </c>
      <c r="C2618" s="11">
        <v>145</v>
      </c>
      <c r="D2618">
        <f t="shared" si="162"/>
        <v>145</v>
      </c>
      <c r="E2618">
        <f t="shared" si="164"/>
        <v>14500</v>
      </c>
      <c r="F2618">
        <f t="shared" si="163"/>
        <v>6960</v>
      </c>
    </row>
    <row r="2619" ht="13.85" spans="1:6">
      <c r="A2619">
        <f t="shared" si="161"/>
        <v>2618</v>
      </c>
      <c r="B2619" s="24">
        <v>5942916</v>
      </c>
      <c r="C2619" s="11">
        <v>170</v>
      </c>
      <c r="D2619">
        <f t="shared" si="162"/>
        <v>170</v>
      </c>
      <c r="E2619">
        <f t="shared" si="164"/>
        <v>17000</v>
      </c>
      <c r="F2619">
        <f t="shared" si="163"/>
        <v>8160</v>
      </c>
    </row>
    <row r="2620" ht="13.85" spans="1:6">
      <c r="A2620">
        <f t="shared" si="161"/>
        <v>2619</v>
      </c>
      <c r="B2620" s="24">
        <v>2714811</v>
      </c>
      <c r="C2620" s="11">
        <v>187</v>
      </c>
      <c r="D2620">
        <f t="shared" si="162"/>
        <v>187</v>
      </c>
      <c r="E2620">
        <f t="shared" si="164"/>
        <v>18700</v>
      </c>
      <c r="F2620">
        <f t="shared" si="163"/>
        <v>8976</v>
      </c>
    </row>
    <row r="2621" ht="13.85" spans="1:6">
      <c r="A2621">
        <f t="shared" si="161"/>
        <v>2620</v>
      </c>
      <c r="B2621" s="24">
        <v>3394340</v>
      </c>
      <c r="C2621" s="11">
        <v>206.9</v>
      </c>
      <c r="D2621">
        <f t="shared" si="162"/>
        <v>206.9</v>
      </c>
      <c r="E2621">
        <f t="shared" si="164"/>
        <v>20690</v>
      </c>
      <c r="F2621">
        <f t="shared" si="163"/>
        <v>9931.2</v>
      </c>
    </row>
    <row r="2622" ht="13.85" spans="1:6">
      <c r="A2622">
        <f t="shared" si="161"/>
        <v>2621</v>
      </c>
      <c r="B2622" s="24">
        <v>2961268</v>
      </c>
      <c r="C2622" s="11">
        <v>20</v>
      </c>
      <c r="D2622">
        <f t="shared" si="162"/>
        <v>20</v>
      </c>
      <c r="E2622">
        <f t="shared" si="164"/>
        <v>2000</v>
      </c>
      <c r="F2622">
        <f t="shared" si="163"/>
        <v>960</v>
      </c>
    </row>
    <row r="2623" ht="13.85" spans="1:6">
      <c r="A2623">
        <f t="shared" si="161"/>
        <v>2622</v>
      </c>
      <c r="B2623" s="24">
        <v>1726959</v>
      </c>
      <c r="C2623" s="11">
        <v>26</v>
      </c>
      <c r="D2623">
        <f t="shared" si="162"/>
        <v>26</v>
      </c>
      <c r="E2623">
        <f t="shared" si="164"/>
        <v>2600</v>
      </c>
      <c r="F2623">
        <f t="shared" si="163"/>
        <v>1248</v>
      </c>
    </row>
    <row r="2624" ht="13.85" spans="1:6">
      <c r="A2624">
        <f t="shared" si="161"/>
        <v>2623</v>
      </c>
      <c r="B2624" s="24">
        <v>2150731</v>
      </c>
      <c r="C2624" s="11">
        <v>35</v>
      </c>
      <c r="D2624">
        <f t="shared" si="162"/>
        <v>35</v>
      </c>
      <c r="E2624">
        <f t="shared" si="164"/>
        <v>3500</v>
      </c>
      <c r="F2624">
        <f t="shared" si="163"/>
        <v>1680</v>
      </c>
    </row>
    <row r="2625" ht="13.85" spans="1:6">
      <c r="A2625">
        <f t="shared" si="161"/>
        <v>2624</v>
      </c>
      <c r="B2625" s="24">
        <v>2922101</v>
      </c>
      <c r="C2625" s="11">
        <v>48</v>
      </c>
      <c r="D2625">
        <f t="shared" si="162"/>
        <v>48</v>
      </c>
      <c r="E2625">
        <f t="shared" si="164"/>
        <v>4800</v>
      </c>
      <c r="F2625">
        <f t="shared" si="163"/>
        <v>2304</v>
      </c>
    </row>
    <row r="2626" ht="13.85" spans="1:6">
      <c r="A2626">
        <f t="shared" ref="A2626:A2689" si="165">ROW()-1</f>
        <v>2625</v>
      </c>
      <c r="B2626" s="24">
        <v>1792519</v>
      </c>
      <c r="C2626" s="11">
        <v>56</v>
      </c>
      <c r="D2626">
        <f t="shared" ref="D2626:D2689" si="166">IF(RIGHT(C2626,1)="B",VALUE(LEFT(C2626,LEN(C2626)-1))*1000,C2626)</f>
        <v>56</v>
      </c>
      <c r="E2626">
        <f t="shared" si="164"/>
        <v>5600</v>
      </c>
      <c r="F2626">
        <f t="shared" ref="F2626:F2689" si="167">E2626*0.48</f>
        <v>2688</v>
      </c>
    </row>
    <row r="2627" ht="13.85" spans="1:6">
      <c r="A2627">
        <f t="shared" si="165"/>
        <v>2626</v>
      </c>
      <c r="B2627" s="24">
        <v>2219849</v>
      </c>
      <c r="C2627" s="11">
        <v>66</v>
      </c>
      <c r="D2627">
        <f t="shared" si="166"/>
        <v>66</v>
      </c>
      <c r="E2627">
        <f t="shared" si="164"/>
        <v>6600</v>
      </c>
      <c r="F2627">
        <f t="shared" si="167"/>
        <v>3168</v>
      </c>
    </row>
    <row r="2628" ht="13.85" spans="1:6">
      <c r="A2628">
        <f t="shared" si="165"/>
        <v>2627</v>
      </c>
      <c r="B2628" s="24">
        <v>3030257</v>
      </c>
      <c r="C2628" s="11">
        <v>80</v>
      </c>
      <c r="D2628">
        <f t="shared" si="166"/>
        <v>80</v>
      </c>
      <c r="E2628">
        <f t="shared" si="164"/>
        <v>8000</v>
      </c>
      <c r="F2628">
        <f t="shared" si="167"/>
        <v>3840</v>
      </c>
    </row>
    <row r="2629" ht="13.85" spans="1:6">
      <c r="A2629">
        <f t="shared" si="165"/>
        <v>2628</v>
      </c>
      <c r="B2629" s="24">
        <v>1815051</v>
      </c>
      <c r="C2629" s="11">
        <v>90</v>
      </c>
      <c r="D2629">
        <f t="shared" si="166"/>
        <v>90</v>
      </c>
      <c r="E2629">
        <f t="shared" si="164"/>
        <v>9000</v>
      </c>
      <c r="F2629">
        <f t="shared" si="167"/>
        <v>4320</v>
      </c>
    </row>
    <row r="2630" ht="13.85" spans="1:6">
      <c r="A2630">
        <f t="shared" si="165"/>
        <v>2629</v>
      </c>
      <c r="B2630" s="24">
        <v>2334712</v>
      </c>
      <c r="C2630" s="11">
        <v>100</v>
      </c>
      <c r="D2630">
        <f t="shared" si="166"/>
        <v>100</v>
      </c>
      <c r="E2630">
        <f t="shared" si="164"/>
        <v>10000</v>
      </c>
      <c r="F2630">
        <f t="shared" si="167"/>
        <v>4800</v>
      </c>
    </row>
    <row r="2631" ht="13.85" spans="1:6">
      <c r="A2631">
        <f t="shared" si="165"/>
        <v>2630</v>
      </c>
      <c r="B2631" s="24">
        <v>3151035</v>
      </c>
      <c r="C2631" s="11">
        <v>115</v>
      </c>
      <c r="D2631">
        <f t="shared" si="166"/>
        <v>115</v>
      </c>
      <c r="E2631">
        <f t="shared" si="164"/>
        <v>11500</v>
      </c>
      <c r="F2631">
        <f t="shared" si="167"/>
        <v>5520</v>
      </c>
    </row>
    <row r="2632" ht="13.85" spans="1:6">
      <c r="A2632">
        <f t="shared" si="165"/>
        <v>2631</v>
      </c>
      <c r="B2632" s="24">
        <v>1882793</v>
      </c>
      <c r="C2632" s="11">
        <v>124</v>
      </c>
      <c r="D2632">
        <f t="shared" si="166"/>
        <v>124</v>
      </c>
      <c r="E2632">
        <f t="shared" si="164"/>
        <v>12400</v>
      </c>
      <c r="F2632">
        <f t="shared" si="167"/>
        <v>5952</v>
      </c>
    </row>
    <row r="2633" ht="13.85" spans="1:6">
      <c r="A2633">
        <f t="shared" si="165"/>
        <v>2632</v>
      </c>
      <c r="B2633" s="24">
        <v>2372914</v>
      </c>
      <c r="C2633" s="11">
        <v>134</v>
      </c>
      <c r="D2633">
        <f t="shared" si="166"/>
        <v>134</v>
      </c>
      <c r="E2633">
        <f t="shared" si="164"/>
        <v>13400</v>
      </c>
      <c r="F2633">
        <f t="shared" si="167"/>
        <v>6432</v>
      </c>
    </row>
    <row r="2634" ht="13.85" spans="1:6">
      <c r="A2634">
        <f t="shared" si="165"/>
        <v>2633</v>
      </c>
      <c r="B2634" s="24">
        <v>3305901</v>
      </c>
      <c r="C2634" s="11">
        <v>148</v>
      </c>
      <c r="D2634">
        <f t="shared" si="166"/>
        <v>148</v>
      </c>
      <c r="E2634">
        <f t="shared" si="164"/>
        <v>14800</v>
      </c>
      <c r="F2634">
        <f t="shared" si="167"/>
        <v>7104</v>
      </c>
    </row>
    <row r="2635" ht="13.85" spans="1:6">
      <c r="A2635">
        <f t="shared" si="165"/>
        <v>2634</v>
      </c>
      <c r="B2635" s="24">
        <v>1809505</v>
      </c>
      <c r="C2635" s="11">
        <v>159</v>
      </c>
      <c r="D2635">
        <f t="shared" si="166"/>
        <v>159</v>
      </c>
      <c r="E2635">
        <f t="shared" si="164"/>
        <v>15900</v>
      </c>
      <c r="F2635">
        <f t="shared" si="167"/>
        <v>7632</v>
      </c>
    </row>
    <row r="2636" ht="13.85" spans="1:6">
      <c r="A2636">
        <f t="shared" si="165"/>
        <v>2635</v>
      </c>
      <c r="B2636" s="24">
        <v>2409114</v>
      </c>
      <c r="C2636" s="11">
        <v>170</v>
      </c>
      <c r="D2636">
        <f t="shared" si="166"/>
        <v>170</v>
      </c>
      <c r="E2636">
        <f t="shared" si="164"/>
        <v>17000</v>
      </c>
      <c r="F2636">
        <f t="shared" si="167"/>
        <v>8160</v>
      </c>
    </row>
    <row r="2637" ht="13.85" spans="1:6">
      <c r="A2637">
        <f t="shared" si="165"/>
        <v>2636</v>
      </c>
      <c r="B2637" s="24">
        <v>3280940</v>
      </c>
      <c r="C2637" s="11">
        <v>186</v>
      </c>
      <c r="D2637">
        <f t="shared" si="166"/>
        <v>186</v>
      </c>
      <c r="E2637">
        <f t="shared" si="164"/>
        <v>18600</v>
      </c>
      <c r="F2637">
        <f t="shared" si="167"/>
        <v>8928</v>
      </c>
    </row>
    <row r="2638" ht="13.85" spans="1:6">
      <c r="A2638">
        <f t="shared" si="165"/>
        <v>2637</v>
      </c>
      <c r="B2638" s="24">
        <v>1973207</v>
      </c>
      <c r="C2638" s="11">
        <v>193</v>
      </c>
      <c r="D2638">
        <f t="shared" si="166"/>
        <v>193</v>
      </c>
      <c r="E2638">
        <f t="shared" si="164"/>
        <v>19300</v>
      </c>
      <c r="F2638">
        <f t="shared" si="167"/>
        <v>9264</v>
      </c>
    </row>
    <row r="2639" ht="13.85" spans="1:6">
      <c r="A2639">
        <f t="shared" si="165"/>
        <v>2638</v>
      </c>
      <c r="B2639" s="24">
        <v>2530208</v>
      </c>
      <c r="C2639" s="11">
        <v>206</v>
      </c>
      <c r="D2639">
        <f t="shared" si="166"/>
        <v>206</v>
      </c>
      <c r="E2639">
        <f t="shared" si="164"/>
        <v>20600</v>
      </c>
      <c r="F2639">
        <f t="shared" si="167"/>
        <v>9888</v>
      </c>
    </row>
    <row r="2640" ht="13.85" spans="1:6">
      <c r="A2640">
        <f t="shared" si="165"/>
        <v>2639</v>
      </c>
      <c r="B2640" s="24">
        <v>3442071</v>
      </c>
      <c r="C2640" s="11">
        <v>225</v>
      </c>
      <c r="D2640">
        <f t="shared" si="166"/>
        <v>225</v>
      </c>
      <c r="E2640">
        <f t="shared" si="164"/>
        <v>22500</v>
      </c>
      <c r="F2640">
        <f t="shared" si="167"/>
        <v>10800</v>
      </c>
    </row>
    <row r="2641" ht="13.85" spans="1:6">
      <c r="A2641">
        <f t="shared" si="165"/>
        <v>2640</v>
      </c>
      <c r="B2641" s="24">
        <v>1999363</v>
      </c>
      <c r="C2641" s="11">
        <v>238</v>
      </c>
      <c r="D2641">
        <f t="shared" si="166"/>
        <v>238</v>
      </c>
      <c r="E2641">
        <f t="shared" si="164"/>
        <v>23800</v>
      </c>
      <c r="F2641">
        <f t="shared" si="167"/>
        <v>11424</v>
      </c>
    </row>
    <row r="2642" ht="13.85" spans="1:6">
      <c r="A2642">
        <f t="shared" si="165"/>
        <v>2641</v>
      </c>
      <c r="B2642" s="24">
        <v>2580352</v>
      </c>
      <c r="C2642" s="11">
        <v>251</v>
      </c>
      <c r="D2642">
        <f t="shared" si="166"/>
        <v>251</v>
      </c>
      <c r="E2642">
        <f t="shared" si="164"/>
        <v>25100</v>
      </c>
      <c r="F2642">
        <f t="shared" si="167"/>
        <v>12048</v>
      </c>
    </row>
    <row r="2643" ht="13.85" spans="1:6">
      <c r="A2643">
        <f t="shared" si="165"/>
        <v>2642</v>
      </c>
      <c r="B2643" s="24">
        <v>3533717</v>
      </c>
      <c r="C2643" s="11">
        <v>270</v>
      </c>
      <c r="D2643">
        <f t="shared" si="166"/>
        <v>270</v>
      </c>
      <c r="E2643">
        <f t="shared" si="164"/>
        <v>27000</v>
      </c>
      <c r="F2643">
        <f t="shared" si="167"/>
        <v>12960</v>
      </c>
    </row>
    <row r="2644" ht="13.85" spans="1:6">
      <c r="A2644">
        <f t="shared" si="165"/>
        <v>2643</v>
      </c>
      <c r="B2644" s="24">
        <v>2168092</v>
      </c>
      <c r="C2644" s="11">
        <v>285</v>
      </c>
      <c r="D2644">
        <f t="shared" si="166"/>
        <v>285</v>
      </c>
      <c r="E2644">
        <f t="shared" si="164"/>
        <v>28500</v>
      </c>
      <c r="F2644">
        <f t="shared" si="167"/>
        <v>13680</v>
      </c>
    </row>
    <row r="2645" ht="13.85" spans="1:6">
      <c r="A2645">
        <f t="shared" si="165"/>
        <v>2644</v>
      </c>
      <c r="B2645" s="24">
        <v>2783591</v>
      </c>
      <c r="C2645" s="11">
        <v>300</v>
      </c>
      <c r="D2645">
        <f t="shared" si="166"/>
        <v>300</v>
      </c>
      <c r="E2645">
        <f t="shared" si="164"/>
        <v>30000</v>
      </c>
      <c r="F2645">
        <f t="shared" si="167"/>
        <v>14400</v>
      </c>
    </row>
    <row r="2646" ht="13.85" spans="1:6">
      <c r="A2646">
        <f t="shared" si="165"/>
        <v>2645</v>
      </c>
      <c r="B2646" s="24">
        <v>3999270</v>
      </c>
      <c r="C2646" s="11">
        <v>322</v>
      </c>
      <c r="D2646">
        <f t="shared" si="166"/>
        <v>322</v>
      </c>
      <c r="E2646">
        <f t="shared" si="164"/>
        <v>32200</v>
      </c>
      <c r="F2646">
        <f t="shared" si="167"/>
        <v>15456</v>
      </c>
    </row>
    <row r="2647" ht="13.85" spans="1:6">
      <c r="A2647">
        <f t="shared" si="165"/>
        <v>2646</v>
      </c>
      <c r="B2647" s="24">
        <v>2430982</v>
      </c>
      <c r="C2647" s="11">
        <v>336</v>
      </c>
      <c r="D2647">
        <f t="shared" si="166"/>
        <v>336</v>
      </c>
      <c r="E2647">
        <f t="shared" si="164"/>
        <v>33600</v>
      </c>
      <c r="F2647">
        <f t="shared" si="167"/>
        <v>16128</v>
      </c>
    </row>
    <row r="2648" ht="13.85" spans="1:6">
      <c r="A2648">
        <f t="shared" si="165"/>
        <v>2647</v>
      </c>
      <c r="B2648" s="24">
        <v>3076293</v>
      </c>
      <c r="C2648" s="11">
        <v>353</v>
      </c>
      <c r="D2648">
        <f t="shared" si="166"/>
        <v>353</v>
      </c>
      <c r="E2648">
        <f t="shared" si="164"/>
        <v>35300</v>
      </c>
      <c r="F2648">
        <f t="shared" si="167"/>
        <v>16944</v>
      </c>
    </row>
    <row r="2649" ht="13.85" spans="1:6">
      <c r="A2649">
        <f t="shared" si="165"/>
        <v>2648</v>
      </c>
      <c r="B2649" s="24">
        <v>4282317</v>
      </c>
      <c r="C2649" s="11">
        <v>378</v>
      </c>
      <c r="D2649">
        <f t="shared" si="166"/>
        <v>378</v>
      </c>
      <c r="E2649">
        <f t="shared" si="164"/>
        <v>37800</v>
      </c>
      <c r="F2649">
        <f t="shared" si="167"/>
        <v>18144</v>
      </c>
    </row>
    <row r="2650" ht="13.85" spans="1:6">
      <c r="A2650">
        <f t="shared" si="165"/>
        <v>2649</v>
      </c>
      <c r="B2650" s="24">
        <v>2710594</v>
      </c>
      <c r="C2650" s="11">
        <v>401</v>
      </c>
      <c r="D2650">
        <f t="shared" si="166"/>
        <v>401</v>
      </c>
      <c r="E2650">
        <f t="shared" ref="E2650:E2713" si="168">D2650*100</f>
        <v>40100</v>
      </c>
      <c r="F2650">
        <f t="shared" si="167"/>
        <v>19248</v>
      </c>
    </row>
    <row r="2651" ht="13.85" spans="1:6">
      <c r="A2651">
        <f t="shared" si="165"/>
        <v>2650</v>
      </c>
      <c r="B2651" s="24">
        <v>3670259</v>
      </c>
      <c r="C2651" s="11">
        <v>420</v>
      </c>
      <c r="D2651">
        <f t="shared" si="166"/>
        <v>420</v>
      </c>
      <c r="E2651">
        <f t="shared" si="168"/>
        <v>42000</v>
      </c>
      <c r="F2651">
        <f t="shared" si="167"/>
        <v>20160</v>
      </c>
    </row>
    <row r="2652" ht="13.85" spans="1:6">
      <c r="A2652">
        <f t="shared" si="165"/>
        <v>2651</v>
      </c>
      <c r="B2652" s="24">
        <v>5350366</v>
      </c>
      <c r="C2652" s="11">
        <v>454</v>
      </c>
      <c r="D2652">
        <f t="shared" si="166"/>
        <v>454</v>
      </c>
      <c r="E2652">
        <f t="shared" si="168"/>
        <v>45400</v>
      </c>
      <c r="F2652">
        <f t="shared" si="167"/>
        <v>21792</v>
      </c>
    </row>
    <row r="2653" ht="13.85" spans="1:6">
      <c r="A2653">
        <f t="shared" si="165"/>
        <v>2652</v>
      </c>
      <c r="B2653" s="24">
        <v>3419091</v>
      </c>
      <c r="C2653" s="11">
        <v>480</v>
      </c>
      <c r="D2653">
        <f t="shared" si="166"/>
        <v>480</v>
      </c>
      <c r="E2653">
        <f t="shared" si="168"/>
        <v>48000</v>
      </c>
      <c r="F2653">
        <f t="shared" si="167"/>
        <v>23040</v>
      </c>
    </row>
    <row r="2654" ht="13.85" spans="1:6">
      <c r="A2654">
        <f t="shared" si="165"/>
        <v>2653</v>
      </c>
      <c r="B2654" s="24">
        <v>4927837</v>
      </c>
      <c r="C2654" s="11">
        <v>508</v>
      </c>
      <c r="D2654">
        <f t="shared" si="166"/>
        <v>508</v>
      </c>
      <c r="E2654">
        <f t="shared" si="168"/>
        <v>50800</v>
      </c>
      <c r="F2654">
        <f t="shared" si="167"/>
        <v>24384</v>
      </c>
    </row>
    <row r="2655" ht="13.85" spans="1:6">
      <c r="A2655">
        <f t="shared" si="165"/>
        <v>2654</v>
      </c>
      <c r="B2655" s="24">
        <v>7172632</v>
      </c>
      <c r="C2655" s="11">
        <v>580</v>
      </c>
      <c r="D2655">
        <f t="shared" si="166"/>
        <v>580</v>
      </c>
      <c r="E2655">
        <f t="shared" si="168"/>
        <v>58000</v>
      </c>
      <c r="F2655">
        <f t="shared" si="167"/>
        <v>27840</v>
      </c>
    </row>
    <row r="2656" ht="13.85" spans="1:6">
      <c r="A2656">
        <f t="shared" si="165"/>
        <v>2655</v>
      </c>
      <c r="B2656" s="24">
        <v>6610593</v>
      </c>
      <c r="C2656" s="11">
        <v>625</v>
      </c>
      <c r="D2656">
        <f t="shared" si="166"/>
        <v>625</v>
      </c>
      <c r="E2656">
        <f t="shared" si="168"/>
        <v>62500</v>
      </c>
      <c r="F2656">
        <f t="shared" si="167"/>
        <v>30000</v>
      </c>
    </row>
    <row r="2657" ht="13.85" spans="1:6">
      <c r="A2657">
        <f t="shared" si="165"/>
        <v>2656</v>
      </c>
      <c r="B2657" s="24">
        <v>10596524</v>
      </c>
      <c r="C2657" s="11">
        <v>700</v>
      </c>
      <c r="D2657">
        <f t="shared" si="166"/>
        <v>700</v>
      </c>
      <c r="E2657">
        <f t="shared" si="168"/>
        <v>70000</v>
      </c>
      <c r="F2657">
        <f t="shared" si="167"/>
        <v>33600</v>
      </c>
    </row>
    <row r="2658" ht="13.85" spans="1:6">
      <c r="A2658">
        <f t="shared" si="165"/>
        <v>2657</v>
      </c>
      <c r="B2658" s="24">
        <v>17967849</v>
      </c>
      <c r="C2658" s="11">
        <v>825</v>
      </c>
      <c r="D2658">
        <f t="shared" si="166"/>
        <v>825</v>
      </c>
      <c r="E2658">
        <f t="shared" si="168"/>
        <v>82500</v>
      </c>
      <c r="F2658">
        <f t="shared" si="167"/>
        <v>39600</v>
      </c>
    </row>
    <row r="2659" ht="13.9" spans="1:6">
      <c r="A2659">
        <f t="shared" si="165"/>
        <v>2658</v>
      </c>
      <c r="B2659" s="24">
        <v>23607105</v>
      </c>
      <c r="C2659" s="11" t="s">
        <v>105</v>
      </c>
      <c r="D2659">
        <f t="shared" si="166"/>
        <v>1000</v>
      </c>
      <c r="E2659">
        <f t="shared" si="168"/>
        <v>100000</v>
      </c>
      <c r="F2659">
        <f t="shared" si="167"/>
        <v>48000</v>
      </c>
    </row>
    <row r="2660" ht="13.9" spans="1:6">
      <c r="A2660">
        <f t="shared" si="165"/>
        <v>2659</v>
      </c>
      <c r="B2660" s="24">
        <v>33338963</v>
      </c>
      <c r="C2660" s="11" t="s">
        <v>182</v>
      </c>
      <c r="D2660">
        <f t="shared" si="166"/>
        <v>1200</v>
      </c>
      <c r="E2660">
        <f t="shared" si="168"/>
        <v>120000</v>
      </c>
      <c r="F2660">
        <f t="shared" si="167"/>
        <v>57600</v>
      </c>
    </row>
    <row r="2661" ht="13.9" spans="1:6">
      <c r="A2661">
        <f t="shared" si="165"/>
        <v>2660</v>
      </c>
      <c r="B2661" s="24">
        <v>49609766</v>
      </c>
      <c r="C2661" s="11" t="s">
        <v>180</v>
      </c>
      <c r="D2661">
        <f t="shared" si="166"/>
        <v>1600</v>
      </c>
      <c r="E2661">
        <f t="shared" si="168"/>
        <v>160000</v>
      </c>
      <c r="F2661">
        <f t="shared" si="167"/>
        <v>76800</v>
      </c>
    </row>
    <row r="2662" ht="13.9" spans="1:6">
      <c r="A2662">
        <f t="shared" si="165"/>
        <v>2661</v>
      </c>
      <c r="B2662" s="24">
        <v>48739515</v>
      </c>
      <c r="C2662" s="11" t="s">
        <v>178</v>
      </c>
      <c r="D2662">
        <f t="shared" si="166"/>
        <v>2040</v>
      </c>
      <c r="E2662">
        <f t="shared" si="168"/>
        <v>204000</v>
      </c>
      <c r="F2662">
        <f t="shared" si="167"/>
        <v>97920</v>
      </c>
    </row>
    <row r="2663" ht="13.85" spans="1:6">
      <c r="A2663">
        <f t="shared" si="165"/>
        <v>2662</v>
      </c>
      <c r="B2663" s="24">
        <v>5616594</v>
      </c>
      <c r="C2663" s="11">
        <v>20</v>
      </c>
      <c r="D2663">
        <f t="shared" si="166"/>
        <v>20</v>
      </c>
      <c r="E2663">
        <f t="shared" si="168"/>
        <v>2000</v>
      </c>
      <c r="F2663">
        <f t="shared" si="167"/>
        <v>960</v>
      </c>
    </row>
    <row r="2664" ht="13.85" spans="1:6">
      <c r="A2664">
        <f t="shared" si="165"/>
        <v>2663</v>
      </c>
      <c r="B2664" s="24">
        <v>3951187</v>
      </c>
      <c r="C2664" s="11">
        <v>47</v>
      </c>
      <c r="D2664">
        <f t="shared" si="166"/>
        <v>47</v>
      </c>
      <c r="E2664">
        <f t="shared" si="168"/>
        <v>4700</v>
      </c>
      <c r="F2664">
        <f t="shared" si="167"/>
        <v>2256</v>
      </c>
    </row>
    <row r="2665" ht="13.85" spans="1:6">
      <c r="A2665">
        <f t="shared" si="165"/>
        <v>2664</v>
      </c>
      <c r="B2665" s="24">
        <v>2381433</v>
      </c>
      <c r="C2665" s="11">
        <v>59</v>
      </c>
      <c r="D2665">
        <f t="shared" si="166"/>
        <v>59</v>
      </c>
      <c r="E2665">
        <f t="shared" si="168"/>
        <v>5900</v>
      </c>
      <c r="F2665">
        <f t="shared" si="167"/>
        <v>2832</v>
      </c>
    </row>
    <row r="2666" ht="13.85" spans="1:6">
      <c r="A2666">
        <f t="shared" si="165"/>
        <v>2665</v>
      </c>
      <c r="B2666" s="24">
        <v>2685586</v>
      </c>
      <c r="C2666" s="11">
        <v>76</v>
      </c>
      <c r="D2666">
        <f t="shared" si="166"/>
        <v>76</v>
      </c>
      <c r="E2666">
        <f t="shared" si="168"/>
        <v>7600</v>
      </c>
      <c r="F2666">
        <f t="shared" si="167"/>
        <v>3648</v>
      </c>
    </row>
    <row r="2667" ht="13.85" spans="1:6">
      <c r="A2667">
        <f t="shared" si="165"/>
        <v>2666</v>
      </c>
      <c r="B2667" s="24">
        <v>3545081</v>
      </c>
      <c r="C2667" s="27">
        <v>92.9</v>
      </c>
      <c r="D2667">
        <f t="shared" si="166"/>
        <v>92.9</v>
      </c>
      <c r="E2667">
        <f t="shared" si="168"/>
        <v>9290</v>
      </c>
      <c r="F2667">
        <f t="shared" si="167"/>
        <v>4459.2</v>
      </c>
    </row>
    <row r="2668" ht="13.85" spans="1:6">
      <c r="A2668">
        <f t="shared" si="165"/>
        <v>2667</v>
      </c>
      <c r="B2668" s="24">
        <v>1956236</v>
      </c>
      <c r="C2668" s="11">
        <v>20</v>
      </c>
      <c r="D2668">
        <f t="shared" si="166"/>
        <v>20</v>
      </c>
      <c r="E2668">
        <f t="shared" si="168"/>
        <v>2000</v>
      </c>
      <c r="F2668">
        <f t="shared" si="167"/>
        <v>960</v>
      </c>
    </row>
    <row r="2669" ht="13.85" spans="1:6">
      <c r="A2669">
        <f t="shared" si="165"/>
        <v>2668</v>
      </c>
      <c r="B2669" s="24">
        <v>2516849</v>
      </c>
      <c r="C2669" s="11">
        <v>30</v>
      </c>
      <c r="D2669">
        <f t="shared" si="166"/>
        <v>30</v>
      </c>
      <c r="E2669">
        <f t="shared" si="168"/>
        <v>3000</v>
      </c>
      <c r="F2669">
        <f t="shared" si="167"/>
        <v>1440</v>
      </c>
    </row>
    <row r="2670" ht="13.85" spans="1:6">
      <c r="A2670">
        <f t="shared" si="165"/>
        <v>2669</v>
      </c>
      <c r="B2670" s="24">
        <v>2899664</v>
      </c>
      <c r="C2670" s="11">
        <v>48</v>
      </c>
      <c r="D2670">
        <f t="shared" si="166"/>
        <v>48</v>
      </c>
      <c r="E2670">
        <f t="shared" si="168"/>
        <v>4800</v>
      </c>
      <c r="F2670">
        <f t="shared" si="167"/>
        <v>2304</v>
      </c>
    </row>
    <row r="2671" ht="13.85" spans="1:6">
      <c r="A2671">
        <f t="shared" si="165"/>
        <v>2670</v>
      </c>
      <c r="B2671" s="24">
        <v>2002227</v>
      </c>
      <c r="C2671" s="11">
        <v>56</v>
      </c>
      <c r="D2671">
        <f t="shared" si="166"/>
        <v>56</v>
      </c>
      <c r="E2671">
        <f t="shared" si="168"/>
        <v>5600</v>
      </c>
      <c r="F2671">
        <f t="shared" si="167"/>
        <v>2688</v>
      </c>
    </row>
    <row r="2672" ht="13.85" spans="1:6">
      <c r="A2672">
        <f t="shared" si="165"/>
        <v>2671</v>
      </c>
      <c r="B2672" s="24">
        <v>2330814</v>
      </c>
      <c r="C2672" s="11">
        <v>65</v>
      </c>
      <c r="D2672">
        <f t="shared" si="166"/>
        <v>65</v>
      </c>
      <c r="E2672">
        <f t="shared" si="168"/>
        <v>6500</v>
      </c>
      <c r="F2672">
        <f t="shared" si="167"/>
        <v>3120</v>
      </c>
    </row>
    <row r="2673" ht="13.85" spans="1:6">
      <c r="A2673">
        <f t="shared" si="165"/>
        <v>2672</v>
      </c>
      <c r="B2673" s="24">
        <v>3242382</v>
      </c>
      <c r="C2673" s="11">
        <v>81</v>
      </c>
      <c r="D2673">
        <f t="shared" si="166"/>
        <v>81</v>
      </c>
      <c r="E2673">
        <f t="shared" si="168"/>
        <v>8100</v>
      </c>
      <c r="F2673">
        <f t="shared" si="167"/>
        <v>3888</v>
      </c>
    </row>
    <row r="2674" ht="13.85" spans="1:6">
      <c r="A2674">
        <f t="shared" si="165"/>
        <v>2673</v>
      </c>
      <c r="B2674" s="24">
        <v>2021462</v>
      </c>
      <c r="C2674" s="11">
        <v>89</v>
      </c>
      <c r="D2674">
        <f t="shared" si="166"/>
        <v>89</v>
      </c>
      <c r="E2674">
        <f t="shared" si="168"/>
        <v>8900</v>
      </c>
      <c r="F2674">
        <f t="shared" si="167"/>
        <v>4272</v>
      </c>
    </row>
    <row r="2675" ht="13.85" spans="1:6">
      <c r="A2675">
        <f t="shared" si="165"/>
        <v>2674</v>
      </c>
      <c r="B2675" s="24">
        <v>2479672</v>
      </c>
      <c r="C2675" s="11">
        <v>100</v>
      </c>
      <c r="D2675">
        <f t="shared" si="166"/>
        <v>100</v>
      </c>
      <c r="E2675">
        <f t="shared" si="168"/>
        <v>10000</v>
      </c>
      <c r="F2675">
        <f t="shared" si="167"/>
        <v>4800</v>
      </c>
    </row>
    <row r="2676" ht="13.85" spans="1:6">
      <c r="A2676">
        <f t="shared" si="165"/>
        <v>2675</v>
      </c>
      <c r="B2676" s="24">
        <v>3322172</v>
      </c>
      <c r="C2676" s="11">
        <v>116</v>
      </c>
      <c r="D2676">
        <f t="shared" si="166"/>
        <v>116</v>
      </c>
      <c r="E2676">
        <f t="shared" si="168"/>
        <v>11600</v>
      </c>
      <c r="F2676">
        <f t="shared" si="167"/>
        <v>5568</v>
      </c>
    </row>
    <row r="2677" ht="13.85" spans="1:6">
      <c r="A2677">
        <f t="shared" si="165"/>
        <v>2676</v>
      </c>
      <c r="B2677" s="24">
        <v>2118966</v>
      </c>
      <c r="C2677" s="11">
        <v>124</v>
      </c>
      <c r="D2677">
        <f t="shared" si="166"/>
        <v>124</v>
      </c>
      <c r="E2677">
        <f t="shared" si="168"/>
        <v>12400</v>
      </c>
      <c r="F2677">
        <f t="shared" si="167"/>
        <v>5952</v>
      </c>
    </row>
    <row r="2678" ht="13.85" spans="1:6">
      <c r="A2678">
        <f t="shared" si="165"/>
        <v>2677</v>
      </c>
      <c r="B2678" s="24">
        <v>2505117</v>
      </c>
      <c r="C2678" s="11">
        <v>134</v>
      </c>
      <c r="D2678">
        <f t="shared" si="166"/>
        <v>134</v>
      </c>
      <c r="E2678">
        <f t="shared" si="168"/>
        <v>13400</v>
      </c>
      <c r="F2678">
        <f t="shared" si="167"/>
        <v>6432</v>
      </c>
    </row>
    <row r="2679" ht="13.85" spans="1:6">
      <c r="A2679">
        <f t="shared" si="165"/>
        <v>2678</v>
      </c>
      <c r="B2679" s="24">
        <v>3421208</v>
      </c>
      <c r="C2679" s="11">
        <v>149</v>
      </c>
      <c r="D2679">
        <f t="shared" si="166"/>
        <v>149</v>
      </c>
      <c r="E2679">
        <f t="shared" si="168"/>
        <v>14900</v>
      </c>
      <c r="F2679">
        <f t="shared" si="167"/>
        <v>7152</v>
      </c>
    </row>
    <row r="2680" ht="13.85" spans="1:6">
      <c r="A2680">
        <f t="shared" si="165"/>
        <v>2679</v>
      </c>
      <c r="B2680" s="24">
        <v>2186171</v>
      </c>
      <c r="C2680" s="11">
        <v>158</v>
      </c>
      <c r="D2680">
        <f t="shared" si="166"/>
        <v>158</v>
      </c>
      <c r="E2680">
        <f t="shared" si="168"/>
        <v>15800</v>
      </c>
      <c r="F2680">
        <f t="shared" si="167"/>
        <v>7584</v>
      </c>
    </row>
    <row r="2681" ht="13.85" spans="1:6">
      <c r="A2681">
        <f t="shared" si="165"/>
        <v>2680</v>
      </c>
      <c r="B2681" s="24">
        <v>2730464</v>
      </c>
      <c r="C2681" s="11">
        <v>170</v>
      </c>
      <c r="D2681">
        <f t="shared" si="166"/>
        <v>170</v>
      </c>
      <c r="E2681">
        <f t="shared" si="168"/>
        <v>17000</v>
      </c>
      <c r="F2681">
        <f t="shared" si="167"/>
        <v>8160</v>
      </c>
    </row>
    <row r="2682" ht="13.85" spans="1:6">
      <c r="A2682">
        <f t="shared" si="165"/>
        <v>2681</v>
      </c>
      <c r="B2682" s="24">
        <v>3894377</v>
      </c>
      <c r="C2682" s="11">
        <v>186</v>
      </c>
      <c r="D2682">
        <f t="shared" si="166"/>
        <v>186</v>
      </c>
      <c r="E2682">
        <f t="shared" si="168"/>
        <v>18600</v>
      </c>
      <c r="F2682">
        <f t="shared" si="167"/>
        <v>8928</v>
      </c>
    </row>
    <row r="2683" ht="13.85" spans="1:6">
      <c r="A2683">
        <f t="shared" si="165"/>
        <v>2682</v>
      </c>
      <c r="B2683" s="24">
        <v>2265729</v>
      </c>
      <c r="C2683" s="11">
        <v>201</v>
      </c>
      <c r="D2683">
        <f t="shared" si="166"/>
        <v>201</v>
      </c>
      <c r="E2683">
        <f t="shared" si="168"/>
        <v>20100</v>
      </c>
      <c r="F2683">
        <f t="shared" si="167"/>
        <v>9648</v>
      </c>
    </row>
    <row r="2684" ht="13.85" spans="1:6">
      <c r="A2684">
        <f t="shared" si="165"/>
        <v>2683</v>
      </c>
      <c r="B2684" s="24">
        <v>3334401</v>
      </c>
      <c r="C2684" s="11">
        <v>215</v>
      </c>
      <c r="D2684">
        <f t="shared" si="166"/>
        <v>215</v>
      </c>
      <c r="E2684">
        <f t="shared" si="168"/>
        <v>21500</v>
      </c>
      <c r="F2684">
        <f t="shared" si="167"/>
        <v>10320</v>
      </c>
    </row>
    <row r="2685" ht="13.85" spans="1:6">
      <c r="A2685">
        <f t="shared" si="165"/>
        <v>2684</v>
      </c>
      <c r="B2685" s="24">
        <v>5363724</v>
      </c>
      <c r="C2685" s="11">
        <v>246</v>
      </c>
      <c r="D2685">
        <f t="shared" si="166"/>
        <v>246</v>
      </c>
      <c r="E2685">
        <f t="shared" si="168"/>
        <v>24600</v>
      </c>
      <c r="F2685">
        <f t="shared" si="167"/>
        <v>11808</v>
      </c>
    </row>
    <row r="2686" ht="13.85" spans="1:6">
      <c r="A2686">
        <f t="shared" si="165"/>
        <v>2685</v>
      </c>
      <c r="B2686" s="24">
        <v>2935696</v>
      </c>
      <c r="C2686" s="11">
        <v>265</v>
      </c>
      <c r="D2686">
        <f t="shared" si="166"/>
        <v>265</v>
      </c>
      <c r="E2686">
        <f t="shared" si="168"/>
        <v>26500</v>
      </c>
      <c r="F2686">
        <f t="shared" si="167"/>
        <v>12720</v>
      </c>
    </row>
    <row r="2687" ht="13.85" spans="1:6">
      <c r="A2687">
        <f t="shared" si="165"/>
        <v>2686</v>
      </c>
      <c r="B2687" s="24">
        <v>3857654</v>
      </c>
      <c r="C2687" s="11">
        <v>291</v>
      </c>
      <c r="D2687">
        <f t="shared" si="166"/>
        <v>291</v>
      </c>
      <c r="E2687">
        <f t="shared" si="168"/>
        <v>29100</v>
      </c>
      <c r="F2687">
        <f t="shared" si="167"/>
        <v>13968</v>
      </c>
    </row>
    <row r="2688" ht="13.85" spans="1:6">
      <c r="A2688">
        <f t="shared" si="165"/>
        <v>2687</v>
      </c>
      <c r="B2688" s="24">
        <v>5842593</v>
      </c>
      <c r="C2688" s="11">
        <v>325</v>
      </c>
      <c r="D2688">
        <f t="shared" si="166"/>
        <v>325</v>
      </c>
      <c r="E2688">
        <f t="shared" si="168"/>
        <v>32500</v>
      </c>
      <c r="F2688">
        <f t="shared" si="167"/>
        <v>15600</v>
      </c>
    </row>
    <row r="2689" ht="13.85" spans="1:6">
      <c r="A2689">
        <f t="shared" si="165"/>
        <v>2688</v>
      </c>
      <c r="B2689" s="24">
        <v>3818831</v>
      </c>
      <c r="C2689" s="11">
        <v>340</v>
      </c>
      <c r="D2689">
        <f t="shared" si="166"/>
        <v>340</v>
      </c>
      <c r="E2689">
        <f t="shared" si="168"/>
        <v>34000</v>
      </c>
      <c r="F2689">
        <f t="shared" si="167"/>
        <v>16320</v>
      </c>
    </row>
    <row r="2690" ht="13.85" spans="1:6">
      <c r="A2690">
        <f t="shared" ref="A2690:A2753" si="169">ROW()-1</f>
        <v>2689</v>
      </c>
      <c r="B2690" s="24">
        <v>4763070</v>
      </c>
      <c r="C2690" s="11">
        <v>360</v>
      </c>
      <c r="D2690">
        <f t="shared" ref="D2690:D2753" si="170">IF(RIGHT(C2690,1)="B",VALUE(LEFT(C2690,LEN(C2690)-1))*1000,C2690)</f>
        <v>360</v>
      </c>
      <c r="E2690">
        <f t="shared" si="168"/>
        <v>36000</v>
      </c>
      <c r="F2690">
        <f t="shared" ref="F2690:F2753" si="171">E2690*0.48</f>
        <v>17280</v>
      </c>
    </row>
    <row r="2691" ht="13.85" spans="1:6">
      <c r="A2691">
        <f t="shared" si="169"/>
        <v>2690</v>
      </c>
      <c r="B2691" s="24">
        <v>7183790</v>
      </c>
      <c r="C2691" s="11">
        <v>404</v>
      </c>
      <c r="D2691">
        <f t="shared" si="170"/>
        <v>404</v>
      </c>
      <c r="E2691">
        <f t="shared" si="168"/>
        <v>40400</v>
      </c>
      <c r="F2691">
        <f t="shared" si="171"/>
        <v>19392</v>
      </c>
    </row>
    <row r="2692" ht="13.85" spans="1:6">
      <c r="A2692">
        <f t="shared" si="169"/>
        <v>2691</v>
      </c>
      <c r="B2692" s="24">
        <v>3693997</v>
      </c>
      <c r="C2692" s="11">
        <v>416</v>
      </c>
      <c r="D2692">
        <f t="shared" si="170"/>
        <v>416</v>
      </c>
      <c r="E2692">
        <f t="shared" si="168"/>
        <v>41600</v>
      </c>
      <c r="F2692">
        <f t="shared" si="171"/>
        <v>19968</v>
      </c>
    </row>
    <row r="2693" ht="13.85" spans="1:6">
      <c r="A2693">
        <f t="shared" si="169"/>
        <v>2692</v>
      </c>
      <c r="B2693" s="24">
        <v>4438918</v>
      </c>
      <c r="C2693" s="11">
        <v>439</v>
      </c>
      <c r="D2693">
        <f t="shared" si="170"/>
        <v>439</v>
      </c>
      <c r="E2693">
        <f t="shared" si="168"/>
        <v>43900</v>
      </c>
      <c r="F2693">
        <f t="shared" si="171"/>
        <v>21072</v>
      </c>
    </row>
    <row r="2694" ht="13.85" spans="1:6">
      <c r="A2694">
        <f t="shared" si="169"/>
        <v>2693</v>
      </c>
      <c r="B2694" s="24">
        <v>6121651</v>
      </c>
      <c r="C2694" s="15">
        <v>473</v>
      </c>
      <c r="D2694">
        <f t="shared" si="170"/>
        <v>473</v>
      </c>
      <c r="E2694">
        <f t="shared" si="168"/>
        <v>47300</v>
      </c>
      <c r="F2694">
        <f t="shared" si="171"/>
        <v>22704</v>
      </c>
    </row>
    <row r="2695" ht="13.85" spans="1:6">
      <c r="A2695">
        <f t="shared" si="169"/>
        <v>2694</v>
      </c>
      <c r="B2695" s="24">
        <v>4294291</v>
      </c>
      <c r="C2695" s="13">
        <v>502</v>
      </c>
      <c r="D2695">
        <f t="shared" si="170"/>
        <v>502</v>
      </c>
      <c r="E2695">
        <f t="shared" si="168"/>
        <v>50200</v>
      </c>
      <c r="F2695">
        <f t="shared" si="171"/>
        <v>24096</v>
      </c>
    </row>
    <row r="2696" ht="13.85" spans="1:6">
      <c r="A2696">
        <f t="shared" si="169"/>
        <v>2695</v>
      </c>
      <c r="B2696" s="24">
        <v>5169172</v>
      </c>
      <c r="C2696" s="11">
        <v>526</v>
      </c>
      <c r="D2696">
        <f t="shared" si="170"/>
        <v>526</v>
      </c>
      <c r="E2696">
        <f t="shared" si="168"/>
        <v>52600</v>
      </c>
      <c r="F2696">
        <f t="shared" si="171"/>
        <v>25248</v>
      </c>
    </row>
    <row r="2697" ht="13.85" spans="1:6">
      <c r="A2697">
        <f t="shared" si="169"/>
        <v>2696</v>
      </c>
      <c r="B2697" s="24">
        <v>7249048</v>
      </c>
      <c r="C2697" s="11">
        <v>572</v>
      </c>
      <c r="D2697">
        <f t="shared" si="170"/>
        <v>572</v>
      </c>
      <c r="E2697">
        <f t="shared" si="168"/>
        <v>57200</v>
      </c>
      <c r="F2697">
        <f t="shared" si="171"/>
        <v>27456</v>
      </c>
    </row>
    <row r="2698" ht="13.85" spans="1:6">
      <c r="A2698">
        <f t="shared" si="169"/>
        <v>2697</v>
      </c>
      <c r="B2698" s="24">
        <v>5179679</v>
      </c>
      <c r="C2698" s="11">
        <v>613</v>
      </c>
      <c r="D2698">
        <f t="shared" si="170"/>
        <v>613</v>
      </c>
      <c r="E2698">
        <f t="shared" si="168"/>
        <v>61300</v>
      </c>
      <c r="F2698">
        <f t="shared" si="171"/>
        <v>29424</v>
      </c>
    </row>
    <row r="2699" ht="13.85" spans="1:6">
      <c r="A2699">
        <f t="shared" si="169"/>
        <v>2698</v>
      </c>
      <c r="B2699" s="24">
        <v>6514768</v>
      </c>
      <c r="C2699" s="11">
        <v>653</v>
      </c>
      <c r="D2699">
        <f t="shared" si="170"/>
        <v>653</v>
      </c>
      <c r="E2699">
        <f t="shared" si="168"/>
        <v>65300</v>
      </c>
      <c r="F2699">
        <f t="shared" si="171"/>
        <v>31344</v>
      </c>
    </row>
    <row r="2700" ht="13.85" spans="1:6">
      <c r="A2700">
        <f t="shared" si="169"/>
        <v>2699</v>
      </c>
      <c r="B2700" s="24">
        <v>9931250</v>
      </c>
      <c r="C2700" s="11">
        <v>700</v>
      </c>
      <c r="D2700">
        <f t="shared" si="170"/>
        <v>700</v>
      </c>
      <c r="E2700">
        <f t="shared" si="168"/>
        <v>70000</v>
      </c>
      <c r="F2700">
        <f t="shared" si="171"/>
        <v>33600</v>
      </c>
    </row>
    <row r="2701" ht="13.85" spans="1:6">
      <c r="A2701">
        <f t="shared" si="169"/>
        <v>2700</v>
      </c>
      <c r="B2701" s="24">
        <v>7984983</v>
      </c>
      <c r="C2701" s="11">
        <v>747</v>
      </c>
      <c r="D2701">
        <f t="shared" si="170"/>
        <v>747</v>
      </c>
      <c r="E2701">
        <f t="shared" si="168"/>
        <v>74700</v>
      </c>
      <c r="F2701">
        <f t="shared" si="171"/>
        <v>35856</v>
      </c>
    </row>
    <row r="2702" ht="13.85" spans="1:6">
      <c r="A2702">
        <f t="shared" si="169"/>
        <v>2701</v>
      </c>
      <c r="B2702" s="24">
        <v>2611283</v>
      </c>
      <c r="C2702" s="11">
        <v>20</v>
      </c>
      <c r="D2702">
        <f t="shared" si="170"/>
        <v>20</v>
      </c>
      <c r="E2702">
        <f t="shared" si="168"/>
        <v>2000</v>
      </c>
      <c r="F2702">
        <f t="shared" si="171"/>
        <v>960</v>
      </c>
    </row>
    <row r="2703" ht="13.85" spans="1:6">
      <c r="A2703">
        <f t="shared" si="169"/>
        <v>2702</v>
      </c>
      <c r="B2703" s="24">
        <v>3357910</v>
      </c>
      <c r="C2703" s="11">
        <v>34</v>
      </c>
      <c r="D2703">
        <f t="shared" si="170"/>
        <v>34</v>
      </c>
      <c r="E2703">
        <f t="shared" si="168"/>
        <v>3400</v>
      </c>
      <c r="F2703">
        <f t="shared" si="171"/>
        <v>1632</v>
      </c>
    </row>
    <row r="2704" ht="13.85" spans="1:6">
      <c r="A2704">
        <f t="shared" si="169"/>
        <v>2703</v>
      </c>
      <c r="B2704" s="24">
        <v>2107114</v>
      </c>
      <c r="C2704" s="11">
        <v>45</v>
      </c>
      <c r="D2704">
        <f t="shared" si="170"/>
        <v>45</v>
      </c>
      <c r="E2704">
        <f t="shared" si="168"/>
        <v>4500</v>
      </c>
      <c r="F2704">
        <f t="shared" si="171"/>
        <v>2160</v>
      </c>
    </row>
    <row r="2705" ht="13.85" spans="1:6">
      <c r="A2705">
        <f t="shared" si="169"/>
        <v>2704</v>
      </c>
      <c r="B2705" s="24">
        <v>2491603</v>
      </c>
      <c r="C2705" s="11">
        <v>57</v>
      </c>
      <c r="D2705">
        <f t="shared" si="170"/>
        <v>57</v>
      </c>
      <c r="E2705">
        <f t="shared" si="168"/>
        <v>5700</v>
      </c>
      <c r="F2705">
        <f t="shared" si="171"/>
        <v>2736</v>
      </c>
    </row>
    <row r="2706" ht="13.85" spans="1:6">
      <c r="A2706">
        <f t="shared" si="169"/>
        <v>2705</v>
      </c>
      <c r="B2706" s="24">
        <v>3453925</v>
      </c>
      <c r="C2706" s="11">
        <v>73</v>
      </c>
      <c r="D2706">
        <f t="shared" si="170"/>
        <v>73</v>
      </c>
      <c r="E2706">
        <f t="shared" si="168"/>
        <v>7300</v>
      </c>
      <c r="F2706">
        <f t="shared" si="171"/>
        <v>3504</v>
      </c>
    </row>
    <row r="2707" ht="13.85" spans="1:6">
      <c r="A2707">
        <f t="shared" si="169"/>
        <v>2706</v>
      </c>
      <c r="B2707" s="24">
        <v>2213447</v>
      </c>
      <c r="C2707" s="11">
        <v>87</v>
      </c>
      <c r="D2707">
        <f t="shared" si="170"/>
        <v>87</v>
      </c>
      <c r="E2707">
        <f t="shared" si="168"/>
        <v>8700</v>
      </c>
      <c r="F2707">
        <f t="shared" si="171"/>
        <v>4176</v>
      </c>
    </row>
    <row r="2708" ht="13.85" spans="1:6">
      <c r="A2708">
        <f t="shared" si="169"/>
        <v>2707</v>
      </c>
      <c r="B2708" s="24">
        <v>2703556</v>
      </c>
      <c r="C2708" s="11">
        <v>100</v>
      </c>
      <c r="D2708">
        <f t="shared" si="170"/>
        <v>100</v>
      </c>
      <c r="E2708">
        <f t="shared" si="168"/>
        <v>10000</v>
      </c>
      <c r="F2708">
        <f t="shared" si="171"/>
        <v>4800</v>
      </c>
    </row>
    <row r="2709" ht="13.85" spans="1:6">
      <c r="A2709">
        <f t="shared" si="169"/>
        <v>2708</v>
      </c>
      <c r="B2709" s="24">
        <v>3691926</v>
      </c>
      <c r="C2709" s="11">
        <v>119</v>
      </c>
      <c r="D2709">
        <f t="shared" si="170"/>
        <v>119</v>
      </c>
      <c r="E2709">
        <f t="shared" si="168"/>
        <v>11900</v>
      </c>
      <c r="F2709">
        <f t="shared" si="171"/>
        <v>5712</v>
      </c>
    </row>
    <row r="2710" ht="13.85" spans="1:6">
      <c r="A2710">
        <f t="shared" si="169"/>
        <v>2709</v>
      </c>
      <c r="B2710" s="24">
        <v>2411073</v>
      </c>
      <c r="C2710" s="11">
        <v>131</v>
      </c>
      <c r="D2710">
        <f t="shared" si="170"/>
        <v>131</v>
      </c>
      <c r="E2710">
        <f t="shared" si="168"/>
        <v>13100</v>
      </c>
      <c r="F2710">
        <f t="shared" si="171"/>
        <v>6288</v>
      </c>
    </row>
    <row r="2711" ht="13.85" spans="1:6">
      <c r="A2711">
        <f t="shared" si="169"/>
        <v>2710</v>
      </c>
      <c r="B2711" s="24">
        <v>2824681</v>
      </c>
      <c r="C2711" s="11">
        <v>143</v>
      </c>
      <c r="D2711">
        <f t="shared" si="170"/>
        <v>143</v>
      </c>
      <c r="E2711">
        <f t="shared" si="168"/>
        <v>14300</v>
      </c>
      <c r="F2711">
        <f t="shared" si="171"/>
        <v>6864</v>
      </c>
    </row>
    <row r="2712" ht="13.85" spans="1:6">
      <c r="A2712">
        <f t="shared" si="169"/>
        <v>2711</v>
      </c>
      <c r="B2712" s="24">
        <v>3843716</v>
      </c>
      <c r="C2712" s="11">
        <v>162.6</v>
      </c>
      <c r="D2712">
        <f t="shared" si="170"/>
        <v>162.6</v>
      </c>
      <c r="E2712">
        <f t="shared" si="168"/>
        <v>16260</v>
      </c>
      <c r="F2712">
        <f t="shared" si="171"/>
        <v>7804.8</v>
      </c>
    </row>
    <row r="2713" ht="13.85" spans="1:6">
      <c r="A2713">
        <f t="shared" si="169"/>
        <v>2712</v>
      </c>
      <c r="B2713" s="24">
        <v>1866406</v>
      </c>
      <c r="C2713" s="11">
        <v>20</v>
      </c>
      <c r="D2713">
        <f t="shared" si="170"/>
        <v>20</v>
      </c>
      <c r="E2713">
        <f t="shared" si="168"/>
        <v>2000</v>
      </c>
      <c r="F2713">
        <f t="shared" si="171"/>
        <v>960</v>
      </c>
    </row>
    <row r="2714" ht="13.85" spans="1:6">
      <c r="A2714">
        <f t="shared" si="169"/>
        <v>2713</v>
      </c>
      <c r="B2714" s="24">
        <v>2219713</v>
      </c>
      <c r="C2714" s="11">
        <v>31</v>
      </c>
      <c r="D2714">
        <f t="shared" si="170"/>
        <v>31</v>
      </c>
      <c r="E2714">
        <f t="shared" ref="E2714:E2777" si="172">D2714*100</f>
        <v>3100</v>
      </c>
      <c r="F2714">
        <f t="shared" si="171"/>
        <v>1488</v>
      </c>
    </row>
    <row r="2715" ht="13.85" spans="1:6">
      <c r="A2715">
        <f t="shared" si="169"/>
        <v>2714</v>
      </c>
      <c r="B2715" s="24">
        <v>3072720</v>
      </c>
      <c r="C2715" s="11">
        <v>45</v>
      </c>
      <c r="D2715">
        <f t="shared" si="170"/>
        <v>45</v>
      </c>
      <c r="E2715">
        <f t="shared" si="172"/>
        <v>4500</v>
      </c>
      <c r="F2715">
        <f t="shared" si="171"/>
        <v>2160</v>
      </c>
    </row>
    <row r="2716" ht="13.85" spans="1:6">
      <c r="A2716">
        <f t="shared" si="169"/>
        <v>2715</v>
      </c>
      <c r="B2716" s="24">
        <v>1905897</v>
      </c>
      <c r="C2716" s="11">
        <v>52</v>
      </c>
      <c r="D2716">
        <f t="shared" si="170"/>
        <v>52</v>
      </c>
      <c r="E2716">
        <f t="shared" si="172"/>
        <v>5200</v>
      </c>
      <c r="F2716">
        <f t="shared" si="171"/>
        <v>2496</v>
      </c>
    </row>
    <row r="2717" ht="13.85" spans="1:6">
      <c r="A2717">
        <f t="shared" si="169"/>
        <v>2716</v>
      </c>
      <c r="B2717" s="24">
        <v>2284629</v>
      </c>
      <c r="C2717" s="11">
        <v>63</v>
      </c>
      <c r="D2717">
        <f t="shared" si="170"/>
        <v>63</v>
      </c>
      <c r="E2717">
        <f t="shared" si="172"/>
        <v>6300</v>
      </c>
      <c r="F2717">
        <f t="shared" si="171"/>
        <v>3024</v>
      </c>
    </row>
    <row r="2718" ht="13.85" spans="1:6">
      <c r="A2718">
        <f t="shared" si="169"/>
        <v>2717</v>
      </c>
      <c r="B2718" s="24">
        <v>3135768</v>
      </c>
      <c r="C2718" s="11">
        <v>78</v>
      </c>
      <c r="D2718">
        <f t="shared" si="170"/>
        <v>78</v>
      </c>
      <c r="E2718">
        <f t="shared" si="172"/>
        <v>7800</v>
      </c>
      <c r="F2718">
        <f t="shared" si="171"/>
        <v>3744</v>
      </c>
    </row>
    <row r="2719" ht="13.85" spans="1:6">
      <c r="A2719">
        <f t="shared" si="169"/>
        <v>2718</v>
      </c>
      <c r="B2719" s="24">
        <v>1977560</v>
      </c>
      <c r="C2719" s="11">
        <v>86</v>
      </c>
      <c r="D2719">
        <f t="shared" si="170"/>
        <v>86</v>
      </c>
      <c r="E2719">
        <f t="shared" si="172"/>
        <v>8600</v>
      </c>
      <c r="F2719">
        <f t="shared" si="171"/>
        <v>4128</v>
      </c>
    </row>
    <row r="2720" ht="13.85" spans="1:6">
      <c r="A2720">
        <f t="shared" si="169"/>
        <v>2719</v>
      </c>
      <c r="B2720" s="24">
        <v>2361245</v>
      </c>
      <c r="C2720" s="11">
        <v>96</v>
      </c>
      <c r="D2720">
        <f t="shared" si="170"/>
        <v>96</v>
      </c>
      <c r="E2720">
        <f t="shared" si="172"/>
        <v>9600</v>
      </c>
      <c r="F2720">
        <f t="shared" si="171"/>
        <v>4608</v>
      </c>
    </row>
    <row r="2721" ht="13.85" spans="1:6">
      <c r="A2721">
        <f t="shared" si="169"/>
        <v>2720</v>
      </c>
      <c r="B2721" s="24">
        <v>3279865</v>
      </c>
      <c r="C2721" s="11">
        <v>112</v>
      </c>
      <c r="D2721">
        <f t="shared" si="170"/>
        <v>112</v>
      </c>
      <c r="E2721">
        <f t="shared" si="172"/>
        <v>11200</v>
      </c>
      <c r="F2721">
        <f t="shared" si="171"/>
        <v>5376</v>
      </c>
    </row>
    <row r="2722" ht="13.85" spans="1:6">
      <c r="A2722">
        <f t="shared" si="169"/>
        <v>2721</v>
      </c>
      <c r="B2722" s="24">
        <v>2090535</v>
      </c>
      <c r="C2722" s="11">
        <v>122</v>
      </c>
      <c r="D2722">
        <f t="shared" si="170"/>
        <v>122</v>
      </c>
      <c r="E2722">
        <f t="shared" si="172"/>
        <v>12200</v>
      </c>
      <c r="F2722">
        <f t="shared" si="171"/>
        <v>5856</v>
      </c>
    </row>
    <row r="2723" ht="13.85" spans="1:6">
      <c r="A2723">
        <f t="shared" si="169"/>
        <v>2722</v>
      </c>
      <c r="B2723" s="24">
        <v>2465620</v>
      </c>
      <c r="C2723" s="11">
        <v>132</v>
      </c>
      <c r="D2723">
        <f t="shared" si="170"/>
        <v>132</v>
      </c>
      <c r="E2723">
        <f t="shared" si="172"/>
        <v>13200</v>
      </c>
      <c r="F2723">
        <f t="shared" si="171"/>
        <v>6336</v>
      </c>
    </row>
    <row r="2724" ht="13.85" spans="1:6">
      <c r="A2724">
        <f t="shared" si="169"/>
        <v>2723</v>
      </c>
      <c r="B2724" s="24">
        <v>3477450</v>
      </c>
      <c r="C2724" s="11">
        <v>147</v>
      </c>
      <c r="D2724">
        <f t="shared" si="170"/>
        <v>147</v>
      </c>
      <c r="E2724">
        <f t="shared" si="172"/>
        <v>14700</v>
      </c>
      <c r="F2724">
        <f t="shared" si="171"/>
        <v>7056</v>
      </c>
    </row>
    <row r="2725" ht="13.85" spans="1:6">
      <c r="A2725">
        <f t="shared" si="169"/>
        <v>2724</v>
      </c>
      <c r="B2725" s="24">
        <v>2230633</v>
      </c>
      <c r="C2725" s="11">
        <v>159</v>
      </c>
      <c r="D2725">
        <f t="shared" si="170"/>
        <v>159</v>
      </c>
      <c r="E2725">
        <f t="shared" si="172"/>
        <v>15900</v>
      </c>
      <c r="F2725">
        <f t="shared" si="171"/>
        <v>7632</v>
      </c>
    </row>
    <row r="2726" ht="13.85" spans="1:6">
      <c r="A2726">
        <f t="shared" si="169"/>
        <v>2725</v>
      </c>
      <c r="B2726" s="24">
        <v>2545477</v>
      </c>
      <c r="C2726" s="11">
        <v>170</v>
      </c>
      <c r="D2726">
        <f t="shared" si="170"/>
        <v>170</v>
      </c>
      <c r="E2726">
        <f t="shared" si="172"/>
        <v>17000</v>
      </c>
      <c r="F2726">
        <f t="shared" si="171"/>
        <v>8160</v>
      </c>
    </row>
    <row r="2727" ht="13.85" spans="1:6">
      <c r="A2727">
        <f t="shared" si="169"/>
        <v>2726</v>
      </c>
      <c r="B2727" s="24">
        <v>3511270</v>
      </c>
      <c r="C2727" s="11">
        <v>186</v>
      </c>
      <c r="D2727">
        <f t="shared" si="170"/>
        <v>186</v>
      </c>
      <c r="E2727">
        <f t="shared" si="172"/>
        <v>18600</v>
      </c>
      <c r="F2727">
        <f t="shared" si="171"/>
        <v>8928</v>
      </c>
    </row>
    <row r="2728" ht="13.85" spans="1:6">
      <c r="A2728">
        <f t="shared" si="169"/>
        <v>2727</v>
      </c>
      <c r="B2728" s="24">
        <v>2194906</v>
      </c>
      <c r="C2728" s="11">
        <v>192</v>
      </c>
      <c r="D2728">
        <f t="shared" si="170"/>
        <v>192</v>
      </c>
      <c r="E2728">
        <f t="shared" si="172"/>
        <v>19200</v>
      </c>
      <c r="F2728">
        <f t="shared" si="171"/>
        <v>9216</v>
      </c>
    </row>
    <row r="2729" ht="13.85" spans="1:6">
      <c r="A2729">
        <f t="shared" si="169"/>
        <v>2728</v>
      </c>
      <c r="B2729" s="24">
        <v>2723179</v>
      </c>
      <c r="C2729" s="11">
        <v>202</v>
      </c>
      <c r="D2729">
        <f t="shared" si="170"/>
        <v>202</v>
      </c>
      <c r="E2729">
        <f t="shared" si="172"/>
        <v>20200</v>
      </c>
      <c r="F2729">
        <f t="shared" si="171"/>
        <v>9696</v>
      </c>
    </row>
    <row r="2730" ht="13.85" spans="1:6">
      <c r="A2730">
        <f t="shared" si="169"/>
        <v>2729</v>
      </c>
      <c r="B2730" s="24">
        <v>3728891</v>
      </c>
      <c r="C2730" s="11">
        <v>219</v>
      </c>
      <c r="D2730">
        <f t="shared" si="170"/>
        <v>219</v>
      </c>
      <c r="E2730">
        <f t="shared" si="172"/>
        <v>21900</v>
      </c>
      <c r="F2730">
        <f t="shared" si="171"/>
        <v>10512</v>
      </c>
    </row>
    <row r="2731" ht="13.85" spans="1:6">
      <c r="A2731">
        <f t="shared" si="169"/>
        <v>2730</v>
      </c>
      <c r="B2731" s="24">
        <v>2491644</v>
      </c>
      <c r="C2731" s="11">
        <v>239</v>
      </c>
      <c r="D2731">
        <f t="shared" si="170"/>
        <v>239</v>
      </c>
      <c r="E2731">
        <f t="shared" si="172"/>
        <v>23900</v>
      </c>
      <c r="F2731">
        <f t="shared" si="171"/>
        <v>11472</v>
      </c>
    </row>
    <row r="2732" ht="13.85" spans="1:6">
      <c r="A2732">
        <f t="shared" si="169"/>
        <v>2731</v>
      </c>
      <c r="B2732" s="24">
        <v>2973391</v>
      </c>
      <c r="C2732" s="11">
        <v>252.6</v>
      </c>
      <c r="D2732">
        <f t="shared" si="170"/>
        <v>252.6</v>
      </c>
      <c r="E2732">
        <f t="shared" si="172"/>
        <v>25260</v>
      </c>
      <c r="F2732">
        <f t="shared" si="171"/>
        <v>12124.8</v>
      </c>
    </row>
    <row r="2733" ht="13.85" spans="1:6">
      <c r="A2733">
        <f t="shared" si="169"/>
        <v>2732</v>
      </c>
      <c r="B2733" s="24">
        <v>2803568</v>
      </c>
      <c r="C2733" s="11">
        <v>20</v>
      </c>
      <c r="D2733">
        <f t="shared" si="170"/>
        <v>20</v>
      </c>
      <c r="E2733">
        <f t="shared" si="172"/>
        <v>2000</v>
      </c>
      <c r="F2733">
        <f t="shared" si="171"/>
        <v>960</v>
      </c>
    </row>
    <row r="2734" ht="13.85" spans="1:6">
      <c r="A2734">
        <f t="shared" si="169"/>
        <v>2733</v>
      </c>
      <c r="B2734" s="24">
        <v>1768777</v>
      </c>
      <c r="C2734" s="11">
        <v>28</v>
      </c>
      <c r="D2734">
        <f t="shared" si="170"/>
        <v>28</v>
      </c>
      <c r="E2734">
        <f t="shared" si="172"/>
        <v>2800</v>
      </c>
      <c r="F2734">
        <f t="shared" si="171"/>
        <v>1344</v>
      </c>
    </row>
    <row r="2735" ht="13.85" spans="1:6">
      <c r="A2735">
        <f t="shared" si="169"/>
        <v>2734</v>
      </c>
      <c r="B2735" s="24">
        <v>2129943</v>
      </c>
      <c r="C2735" s="11">
        <v>37</v>
      </c>
      <c r="D2735">
        <f t="shared" si="170"/>
        <v>37</v>
      </c>
      <c r="E2735">
        <f t="shared" si="172"/>
        <v>3700</v>
      </c>
      <c r="F2735">
        <f t="shared" si="171"/>
        <v>1776</v>
      </c>
    </row>
    <row r="2736" ht="13.85" spans="1:6">
      <c r="A2736">
        <f t="shared" si="169"/>
        <v>2735</v>
      </c>
      <c r="B2736" s="24">
        <v>3025095</v>
      </c>
      <c r="C2736" s="11">
        <v>51</v>
      </c>
      <c r="D2736">
        <f t="shared" si="170"/>
        <v>51</v>
      </c>
      <c r="E2736">
        <f t="shared" si="172"/>
        <v>5100</v>
      </c>
      <c r="F2736">
        <f t="shared" si="171"/>
        <v>2448</v>
      </c>
    </row>
    <row r="2737" ht="13.85" spans="1:6">
      <c r="A2737">
        <f t="shared" si="169"/>
        <v>2736</v>
      </c>
      <c r="B2737" s="24">
        <v>1967828</v>
      </c>
      <c r="C2737" s="11">
        <v>60</v>
      </c>
      <c r="D2737">
        <f t="shared" si="170"/>
        <v>60</v>
      </c>
      <c r="E2737">
        <f t="shared" si="172"/>
        <v>6000</v>
      </c>
      <c r="F2737">
        <f t="shared" si="171"/>
        <v>2880</v>
      </c>
    </row>
    <row r="2738" ht="13.85" spans="1:6">
      <c r="A2738">
        <f t="shared" si="169"/>
        <v>2737</v>
      </c>
      <c r="B2738" s="24">
        <v>2337591</v>
      </c>
      <c r="C2738" s="11">
        <v>71</v>
      </c>
      <c r="D2738">
        <f t="shared" si="170"/>
        <v>71</v>
      </c>
      <c r="E2738">
        <f t="shared" si="172"/>
        <v>7100</v>
      </c>
      <c r="F2738">
        <f t="shared" si="171"/>
        <v>3408</v>
      </c>
    </row>
    <row r="2739" ht="13.85" spans="1:6">
      <c r="A2739">
        <f t="shared" si="169"/>
        <v>2738</v>
      </c>
      <c r="B2739" s="24">
        <v>3145242</v>
      </c>
      <c r="C2739" s="11">
        <v>87</v>
      </c>
      <c r="D2739">
        <f t="shared" si="170"/>
        <v>87</v>
      </c>
      <c r="E2739">
        <f t="shared" si="172"/>
        <v>8700</v>
      </c>
      <c r="F2739">
        <f t="shared" si="171"/>
        <v>4176</v>
      </c>
    </row>
    <row r="2740" ht="13.85" spans="1:6">
      <c r="A2740">
        <f t="shared" si="169"/>
        <v>2739</v>
      </c>
      <c r="B2740" s="24">
        <v>2025091</v>
      </c>
      <c r="C2740" s="11">
        <v>97</v>
      </c>
      <c r="D2740">
        <f t="shared" si="170"/>
        <v>97</v>
      </c>
      <c r="E2740">
        <f t="shared" si="172"/>
        <v>9700</v>
      </c>
      <c r="F2740">
        <f t="shared" si="171"/>
        <v>4656</v>
      </c>
    </row>
    <row r="2741" ht="13.85" spans="1:6">
      <c r="A2741">
        <f t="shared" si="169"/>
        <v>2740</v>
      </c>
      <c r="B2741" s="24">
        <v>2420014</v>
      </c>
      <c r="C2741" s="11">
        <v>109</v>
      </c>
      <c r="D2741">
        <f t="shared" si="170"/>
        <v>109</v>
      </c>
      <c r="E2741">
        <f t="shared" si="172"/>
        <v>10900</v>
      </c>
      <c r="F2741">
        <f t="shared" si="171"/>
        <v>5232</v>
      </c>
    </row>
    <row r="2742" ht="13.85" spans="1:6">
      <c r="A2742">
        <f t="shared" si="169"/>
        <v>2741</v>
      </c>
      <c r="B2742" s="24">
        <v>3374403</v>
      </c>
      <c r="C2742" s="11">
        <v>125</v>
      </c>
      <c r="D2742">
        <f t="shared" si="170"/>
        <v>125</v>
      </c>
      <c r="E2742">
        <f t="shared" si="172"/>
        <v>12500</v>
      </c>
      <c r="F2742">
        <f t="shared" si="171"/>
        <v>6000</v>
      </c>
    </row>
    <row r="2743" ht="13.85" spans="1:6">
      <c r="A2743">
        <f t="shared" si="169"/>
        <v>2742</v>
      </c>
      <c r="B2743" s="24">
        <v>2132214</v>
      </c>
      <c r="C2743" s="11">
        <v>135</v>
      </c>
      <c r="D2743">
        <f t="shared" si="170"/>
        <v>135</v>
      </c>
      <c r="E2743">
        <f t="shared" si="172"/>
        <v>13500</v>
      </c>
      <c r="F2743">
        <f t="shared" si="171"/>
        <v>6480</v>
      </c>
    </row>
    <row r="2744" ht="13.85" spans="1:6">
      <c r="A2744">
        <f t="shared" si="169"/>
        <v>2743</v>
      </c>
      <c r="B2744" s="24">
        <v>2504027</v>
      </c>
      <c r="C2744" s="11">
        <v>146</v>
      </c>
      <c r="D2744">
        <f t="shared" si="170"/>
        <v>146</v>
      </c>
      <c r="E2744">
        <f t="shared" si="172"/>
        <v>14600</v>
      </c>
      <c r="F2744">
        <f t="shared" si="171"/>
        <v>7008</v>
      </c>
    </row>
    <row r="2745" ht="13.85" spans="1:6">
      <c r="A2745">
        <f t="shared" si="169"/>
        <v>2744</v>
      </c>
      <c r="B2745" s="24">
        <v>3390953</v>
      </c>
      <c r="C2745" s="11">
        <v>162</v>
      </c>
      <c r="D2745">
        <f t="shared" si="170"/>
        <v>162</v>
      </c>
      <c r="E2745">
        <f t="shared" si="172"/>
        <v>16200</v>
      </c>
      <c r="F2745">
        <f t="shared" si="171"/>
        <v>7776</v>
      </c>
    </row>
    <row r="2746" ht="13.85" spans="1:6">
      <c r="A2746">
        <f t="shared" si="169"/>
        <v>2745</v>
      </c>
      <c r="B2746" s="24">
        <v>2158506</v>
      </c>
      <c r="C2746" s="11">
        <v>179</v>
      </c>
      <c r="D2746">
        <f t="shared" si="170"/>
        <v>179</v>
      </c>
      <c r="E2746">
        <f t="shared" si="172"/>
        <v>17900</v>
      </c>
      <c r="F2746">
        <f t="shared" si="171"/>
        <v>8592</v>
      </c>
    </row>
    <row r="2747" ht="13.85" spans="1:6">
      <c r="A2747">
        <f t="shared" si="169"/>
        <v>2746</v>
      </c>
      <c r="B2747" s="24">
        <v>2555421</v>
      </c>
      <c r="C2747" s="11">
        <v>190</v>
      </c>
      <c r="D2747">
        <f t="shared" si="170"/>
        <v>190</v>
      </c>
      <c r="E2747">
        <f t="shared" si="172"/>
        <v>19000</v>
      </c>
      <c r="F2747">
        <f t="shared" si="171"/>
        <v>9120</v>
      </c>
    </row>
    <row r="2748" ht="13.85" spans="1:6">
      <c r="A2748">
        <f t="shared" si="169"/>
        <v>2747</v>
      </c>
      <c r="B2748" s="24">
        <v>3615895</v>
      </c>
      <c r="C2748" s="11">
        <v>211</v>
      </c>
      <c r="D2748">
        <f t="shared" si="170"/>
        <v>211</v>
      </c>
      <c r="E2748">
        <f t="shared" si="172"/>
        <v>21100</v>
      </c>
      <c r="F2748">
        <f t="shared" si="171"/>
        <v>10128</v>
      </c>
    </row>
    <row r="2749" ht="13.85" spans="1:6">
      <c r="A2749">
        <f t="shared" si="169"/>
        <v>2748</v>
      </c>
      <c r="B2749" s="24">
        <v>2139403</v>
      </c>
      <c r="C2749" s="11">
        <v>226</v>
      </c>
      <c r="D2749">
        <f t="shared" si="170"/>
        <v>226</v>
      </c>
      <c r="E2749">
        <f t="shared" si="172"/>
        <v>22600</v>
      </c>
      <c r="F2749">
        <f t="shared" si="171"/>
        <v>10848</v>
      </c>
    </row>
    <row r="2750" ht="13.85" spans="1:6">
      <c r="A2750">
        <f t="shared" si="169"/>
        <v>2749</v>
      </c>
      <c r="B2750" s="24">
        <v>2747811</v>
      </c>
      <c r="C2750" s="11">
        <v>239</v>
      </c>
      <c r="D2750">
        <f t="shared" si="170"/>
        <v>239</v>
      </c>
      <c r="E2750">
        <f t="shared" si="172"/>
        <v>23900</v>
      </c>
      <c r="F2750">
        <f t="shared" si="171"/>
        <v>11472</v>
      </c>
    </row>
    <row r="2751" ht="13.85" spans="1:6">
      <c r="A2751">
        <f t="shared" si="169"/>
        <v>2750</v>
      </c>
      <c r="B2751" s="24">
        <v>3836142</v>
      </c>
      <c r="C2751" s="11">
        <v>262</v>
      </c>
      <c r="D2751">
        <f t="shared" si="170"/>
        <v>262</v>
      </c>
      <c r="E2751">
        <f t="shared" si="172"/>
        <v>26200</v>
      </c>
      <c r="F2751">
        <f t="shared" si="171"/>
        <v>12576</v>
      </c>
    </row>
    <row r="2752" ht="13.85" spans="1:6">
      <c r="A2752">
        <f t="shared" si="169"/>
        <v>2751</v>
      </c>
      <c r="B2752" s="24">
        <v>2422532</v>
      </c>
      <c r="C2752" s="11">
        <v>269</v>
      </c>
      <c r="D2752">
        <f t="shared" si="170"/>
        <v>269</v>
      </c>
      <c r="E2752">
        <f t="shared" si="172"/>
        <v>26900</v>
      </c>
      <c r="F2752">
        <f t="shared" si="171"/>
        <v>12912</v>
      </c>
    </row>
    <row r="2753" ht="13.85" spans="1:6">
      <c r="A2753">
        <f t="shared" si="169"/>
        <v>2752</v>
      </c>
      <c r="B2753" s="24">
        <v>2788580</v>
      </c>
      <c r="C2753" s="11">
        <v>285</v>
      </c>
      <c r="D2753">
        <f t="shared" si="170"/>
        <v>285</v>
      </c>
      <c r="E2753">
        <f t="shared" si="172"/>
        <v>28500</v>
      </c>
      <c r="F2753">
        <f t="shared" si="171"/>
        <v>13680</v>
      </c>
    </row>
    <row r="2754" ht="13.85" spans="1:6">
      <c r="A2754">
        <f t="shared" ref="A2754:A2817" si="173">ROW()-1</f>
        <v>2753</v>
      </c>
      <c r="B2754" s="24">
        <v>3997341</v>
      </c>
      <c r="C2754" s="11">
        <v>308</v>
      </c>
      <c r="D2754">
        <f t="shared" ref="D2754:D2817" si="174">IF(RIGHT(C2754,1)="B",VALUE(LEFT(C2754,LEN(C2754)-1))*1000,C2754)</f>
        <v>308</v>
      </c>
      <c r="E2754">
        <f t="shared" si="172"/>
        <v>30800</v>
      </c>
      <c r="F2754">
        <f t="shared" ref="F2754:F2817" si="175">E2754*0.48</f>
        <v>14784</v>
      </c>
    </row>
    <row r="2755" ht="13.85" spans="1:6">
      <c r="A2755">
        <f t="shared" si="173"/>
        <v>2754</v>
      </c>
      <c r="B2755" s="24">
        <v>2611135</v>
      </c>
      <c r="C2755" s="11">
        <v>324</v>
      </c>
      <c r="D2755">
        <f t="shared" si="174"/>
        <v>324</v>
      </c>
      <c r="E2755">
        <f t="shared" si="172"/>
        <v>32400</v>
      </c>
      <c r="F2755">
        <f t="shared" si="175"/>
        <v>15552</v>
      </c>
    </row>
    <row r="2756" ht="13.85" spans="1:6">
      <c r="A2756">
        <f t="shared" si="173"/>
        <v>2755</v>
      </c>
      <c r="B2756" s="24">
        <v>3069432</v>
      </c>
      <c r="C2756" s="11">
        <v>340</v>
      </c>
      <c r="D2756">
        <f t="shared" si="174"/>
        <v>340</v>
      </c>
      <c r="E2756">
        <f t="shared" si="172"/>
        <v>34000</v>
      </c>
      <c r="F2756">
        <f t="shared" si="175"/>
        <v>16320</v>
      </c>
    </row>
    <row r="2757" ht="13.85" spans="1:6">
      <c r="A2757">
        <f t="shared" si="173"/>
        <v>2756</v>
      </c>
      <c r="B2757" s="24">
        <v>4259636</v>
      </c>
      <c r="C2757" s="11">
        <v>366</v>
      </c>
      <c r="D2757">
        <f t="shared" si="174"/>
        <v>366</v>
      </c>
      <c r="E2757">
        <f t="shared" si="172"/>
        <v>36600</v>
      </c>
      <c r="F2757">
        <f t="shared" si="175"/>
        <v>17568</v>
      </c>
    </row>
    <row r="2758" ht="13.85" spans="1:6">
      <c r="A2758">
        <f t="shared" si="173"/>
        <v>2757</v>
      </c>
      <c r="B2758" s="24">
        <v>2719169</v>
      </c>
      <c r="C2758" s="11">
        <v>380</v>
      </c>
      <c r="D2758">
        <f t="shared" si="174"/>
        <v>380</v>
      </c>
      <c r="E2758">
        <f t="shared" si="172"/>
        <v>38000</v>
      </c>
      <c r="F2758">
        <f t="shared" si="175"/>
        <v>18240</v>
      </c>
    </row>
    <row r="2759" ht="13.85" spans="1:6">
      <c r="A2759">
        <f t="shared" si="173"/>
        <v>2758</v>
      </c>
      <c r="B2759" s="24">
        <v>3489233</v>
      </c>
      <c r="C2759" s="11">
        <v>400</v>
      </c>
      <c r="D2759">
        <f t="shared" si="174"/>
        <v>400</v>
      </c>
      <c r="E2759">
        <f t="shared" si="172"/>
        <v>40000</v>
      </c>
      <c r="F2759">
        <f t="shared" si="175"/>
        <v>19200</v>
      </c>
    </row>
    <row r="2760" ht="13.85" spans="1:6">
      <c r="A2760">
        <f t="shared" si="173"/>
        <v>2759</v>
      </c>
      <c r="B2760" s="24">
        <v>4836579</v>
      </c>
      <c r="C2760" s="11">
        <v>427</v>
      </c>
      <c r="D2760">
        <f t="shared" si="174"/>
        <v>427</v>
      </c>
      <c r="E2760">
        <f t="shared" si="172"/>
        <v>42700</v>
      </c>
      <c r="F2760">
        <f t="shared" si="175"/>
        <v>20496</v>
      </c>
    </row>
    <row r="2761" ht="13.85" spans="1:6">
      <c r="A2761">
        <f t="shared" si="173"/>
        <v>2760</v>
      </c>
      <c r="B2761" s="24">
        <v>3180943</v>
      </c>
      <c r="C2761" s="11">
        <v>440</v>
      </c>
      <c r="D2761">
        <f t="shared" si="174"/>
        <v>440</v>
      </c>
      <c r="E2761">
        <f t="shared" si="172"/>
        <v>44000</v>
      </c>
      <c r="F2761">
        <f t="shared" si="175"/>
        <v>21120</v>
      </c>
    </row>
    <row r="2762" ht="13.85" spans="1:6">
      <c r="A2762">
        <f t="shared" si="173"/>
        <v>2761</v>
      </c>
      <c r="B2762" s="24">
        <v>3804369</v>
      </c>
      <c r="C2762" s="11">
        <v>462</v>
      </c>
      <c r="D2762">
        <f t="shared" si="174"/>
        <v>462</v>
      </c>
      <c r="E2762">
        <f t="shared" si="172"/>
        <v>46200</v>
      </c>
      <c r="F2762">
        <f t="shared" si="175"/>
        <v>22176</v>
      </c>
    </row>
    <row r="2763" ht="13.85" spans="1:6">
      <c r="A2763">
        <f t="shared" si="173"/>
        <v>2762</v>
      </c>
      <c r="B2763" s="24">
        <v>5479288</v>
      </c>
      <c r="C2763" s="11">
        <v>493</v>
      </c>
      <c r="D2763">
        <f t="shared" si="174"/>
        <v>493</v>
      </c>
      <c r="E2763">
        <f t="shared" si="172"/>
        <v>49300</v>
      </c>
      <c r="F2763">
        <f t="shared" si="175"/>
        <v>23664</v>
      </c>
    </row>
    <row r="2764" ht="13.85" spans="1:6">
      <c r="A2764">
        <f t="shared" si="173"/>
        <v>2763</v>
      </c>
      <c r="B2764" s="24">
        <v>4397230</v>
      </c>
      <c r="C2764" s="11">
        <v>522</v>
      </c>
      <c r="D2764">
        <f t="shared" si="174"/>
        <v>522</v>
      </c>
      <c r="E2764">
        <f t="shared" si="172"/>
        <v>52200</v>
      </c>
      <c r="F2764">
        <f t="shared" si="175"/>
        <v>25056</v>
      </c>
    </row>
    <row r="2765" ht="13.85" spans="1:6">
      <c r="A2765">
        <f t="shared" si="173"/>
        <v>2764</v>
      </c>
      <c r="B2765" s="24">
        <v>4951759</v>
      </c>
      <c r="C2765" s="11">
        <v>546</v>
      </c>
      <c r="D2765">
        <f t="shared" si="174"/>
        <v>546</v>
      </c>
      <c r="E2765">
        <f t="shared" si="172"/>
        <v>54600</v>
      </c>
      <c r="F2765">
        <f t="shared" si="175"/>
        <v>26208</v>
      </c>
    </row>
    <row r="2766" ht="13.85" spans="1:6">
      <c r="A2766">
        <f t="shared" si="173"/>
        <v>2765</v>
      </c>
      <c r="B2766" s="24">
        <v>9308632</v>
      </c>
      <c r="C2766" s="27">
        <v>615</v>
      </c>
      <c r="D2766">
        <f t="shared" si="174"/>
        <v>615</v>
      </c>
      <c r="E2766">
        <f t="shared" si="172"/>
        <v>61500</v>
      </c>
      <c r="F2766">
        <f t="shared" si="175"/>
        <v>29520</v>
      </c>
    </row>
    <row r="2767" ht="13.85" spans="1:6">
      <c r="A2767">
        <f t="shared" si="173"/>
        <v>2766</v>
      </c>
      <c r="B2767" s="24">
        <v>7749983</v>
      </c>
      <c r="C2767" s="27">
        <v>675</v>
      </c>
      <c r="D2767">
        <f t="shared" si="174"/>
        <v>675</v>
      </c>
      <c r="E2767">
        <f t="shared" si="172"/>
        <v>67500</v>
      </c>
      <c r="F2767">
        <f t="shared" si="175"/>
        <v>32400</v>
      </c>
    </row>
    <row r="2768" ht="13.85" spans="1:6">
      <c r="A2768">
        <f t="shared" si="173"/>
        <v>2767</v>
      </c>
      <c r="B2768" s="24">
        <v>9975333</v>
      </c>
      <c r="C2768" s="27">
        <v>750</v>
      </c>
      <c r="D2768">
        <f t="shared" si="174"/>
        <v>750</v>
      </c>
      <c r="E2768">
        <f t="shared" si="172"/>
        <v>75000</v>
      </c>
      <c r="F2768">
        <f t="shared" si="175"/>
        <v>36000</v>
      </c>
    </row>
    <row r="2769" ht="13.85" spans="1:6">
      <c r="A2769">
        <f t="shared" si="173"/>
        <v>2768</v>
      </c>
      <c r="B2769" s="24">
        <v>15073270</v>
      </c>
      <c r="C2769" s="11">
        <v>829</v>
      </c>
      <c r="D2769">
        <f t="shared" si="174"/>
        <v>829</v>
      </c>
      <c r="E2769">
        <f t="shared" si="172"/>
        <v>82900</v>
      </c>
      <c r="F2769">
        <f t="shared" si="175"/>
        <v>39792</v>
      </c>
    </row>
    <row r="2770" ht="13.85" spans="1:6">
      <c r="A2770">
        <f t="shared" si="173"/>
        <v>2769</v>
      </c>
      <c r="B2770" s="24">
        <v>13955174</v>
      </c>
      <c r="C2770" s="11">
        <v>900</v>
      </c>
      <c r="D2770">
        <f t="shared" si="174"/>
        <v>900</v>
      </c>
      <c r="E2770">
        <f t="shared" si="172"/>
        <v>90000</v>
      </c>
      <c r="F2770">
        <f t="shared" si="175"/>
        <v>43200</v>
      </c>
    </row>
    <row r="2771" ht="13.9" spans="1:6">
      <c r="A2771">
        <f t="shared" si="173"/>
        <v>2770</v>
      </c>
      <c r="B2771" s="24">
        <v>23669421</v>
      </c>
      <c r="C2771" s="11" t="s">
        <v>105</v>
      </c>
      <c r="D2771">
        <f t="shared" si="174"/>
        <v>1000</v>
      </c>
      <c r="E2771">
        <f t="shared" si="172"/>
        <v>100000</v>
      </c>
      <c r="F2771">
        <f t="shared" si="175"/>
        <v>48000</v>
      </c>
    </row>
    <row r="2772" ht="13.85" spans="1:6">
      <c r="A2772">
        <f t="shared" si="173"/>
        <v>2771</v>
      </c>
      <c r="B2772" s="24">
        <v>4005163</v>
      </c>
      <c r="C2772" s="11">
        <v>20</v>
      </c>
      <c r="D2772">
        <f t="shared" si="174"/>
        <v>20</v>
      </c>
      <c r="E2772">
        <f t="shared" si="172"/>
        <v>2000</v>
      </c>
      <c r="F2772">
        <f t="shared" si="175"/>
        <v>960</v>
      </c>
    </row>
    <row r="2773" ht="13.85" spans="1:6">
      <c r="A2773">
        <f t="shared" si="173"/>
        <v>2772</v>
      </c>
      <c r="B2773" s="24">
        <v>2294047</v>
      </c>
      <c r="C2773" s="11">
        <v>28</v>
      </c>
      <c r="D2773">
        <f t="shared" si="174"/>
        <v>28</v>
      </c>
      <c r="E2773">
        <f t="shared" si="172"/>
        <v>2800</v>
      </c>
      <c r="F2773">
        <f t="shared" si="175"/>
        <v>1344</v>
      </c>
    </row>
    <row r="2774" ht="13.85" spans="1:6">
      <c r="A2774">
        <f t="shared" si="173"/>
        <v>2773</v>
      </c>
      <c r="B2774" s="24">
        <v>2786162</v>
      </c>
      <c r="C2774" s="11">
        <v>41</v>
      </c>
      <c r="D2774">
        <f t="shared" si="174"/>
        <v>41</v>
      </c>
      <c r="E2774">
        <f t="shared" si="172"/>
        <v>4100</v>
      </c>
      <c r="F2774">
        <f t="shared" si="175"/>
        <v>1968</v>
      </c>
    </row>
    <row r="2775" ht="13.85" spans="1:6">
      <c r="A2775">
        <f t="shared" si="173"/>
        <v>2774</v>
      </c>
      <c r="B2775" s="24">
        <v>4033632</v>
      </c>
      <c r="C2775" s="11">
        <v>60</v>
      </c>
      <c r="D2775">
        <f t="shared" si="174"/>
        <v>60</v>
      </c>
      <c r="E2775">
        <f t="shared" si="172"/>
        <v>6000</v>
      </c>
      <c r="F2775">
        <f t="shared" si="175"/>
        <v>2880</v>
      </c>
    </row>
    <row r="2776" ht="13.85" spans="1:6">
      <c r="A2776">
        <f t="shared" si="173"/>
        <v>2775</v>
      </c>
      <c r="B2776" s="24">
        <v>2781215</v>
      </c>
      <c r="C2776" s="11">
        <v>74</v>
      </c>
      <c r="D2776">
        <f t="shared" si="174"/>
        <v>74</v>
      </c>
      <c r="E2776">
        <f t="shared" si="172"/>
        <v>7400</v>
      </c>
      <c r="F2776">
        <f t="shared" si="175"/>
        <v>3552</v>
      </c>
    </row>
    <row r="2777" ht="13.85" spans="1:6">
      <c r="A2777">
        <f t="shared" si="173"/>
        <v>2776</v>
      </c>
      <c r="B2777" s="24">
        <v>3684093</v>
      </c>
      <c r="C2777" s="11">
        <v>95</v>
      </c>
      <c r="D2777">
        <f t="shared" si="174"/>
        <v>95</v>
      </c>
      <c r="E2777">
        <f t="shared" si="172"/>
        <v>9500</v>
      </c>
      <c r="F2777">
        <f t="shared" si="175"/>
        <v>4560</v>
      </c>
    </row>
    <row r="2778" ht="13.85" spans="1:6">
      <c r="A2778">
        <f t="shared" si="173"/>
        <v>2777</v>
      </c>
      <c r="B2778" s="24">
        <v>5339323</v>
      </c>
      <c r="C2778" s="11">
        <v>124</v>
      </c>
      <c r="D2778">
        <f t="shared" si="174"/>
        <v>124</v>
      </c>
      <c r="E2778">
        <f t="shared" ref="E2778:E2841" si="176">D2778*100</f>
        <v>12400</v>
      </c>
      <c r="F2778">
        <f t="shared" si="175"/>
        <v>5952</v>
      </c>
    </row>
    <row r="2779" ht="13.85" spans="1:6">
      <c r="A2779">
        <f t="shared" si="173"/>
        <v>2778</v>
      </c>
      <c r="B2779" s="24">
        <v>3444864</v>
      </c>
      <c r="C2779" s="11">
        <v>145</v>
      </c>
      <c r="D2779">
        <f t="shared" si="174"/>
        <v>145</v>
      </c>
      <c r="E2779">
        <f t="shared" si="176"/>
        <v>14500</v>
      </c>
      <c r="F2779">
        <f t="shared" si="175"/>
        <v>6960</v>
      </c>
    </row>
    <row r="2780" ht="13.85" spans="1:6">
      <c r="A2780">
        <f t="shared" si="173"/>
        <v>2779</v>
      </c>
      <c r="B2780" s="24">
        <v>3979027</v>
      </c>
      <c r="C2780" s="11">
        <v>170</v>
      </c>
      <c r="D2780">
        <f t="shared" si="174"/>
        <v>170</v>
      </c>
      <c r="E2780">
        <f t="shared" si="176"/>
        <v>17000</v>
      </c>
      <c r="F2780">
        <f t="shared" si="175"/>
        <v>8160</v>
      </c>
    </row>
    <row r="2781" ht="13.85" spans="1:6">
      <c r="A2781">
        <f t="shared" si="173"/>
        <v>2780</v>
      </c>
      <c r="B2781" s="24">
        <v>4563139</v>
      </c>
      <c r="C2781" s="11">
        <v>194</v>
      </c>
      <c r="D2781">
        <f t="shared" si="174"/>
        <v>194</v>
      </c>
      <c r="E2781">
        <f t="shared" si="176"/>
        <v>19400</v>
      </c>
      <c r="F2781">
        <f t="shared" si="175"/>
        <v>9312</v>
      </c>
    </row>
    <row r="2782" ht="13.85" spans="1:6">
      <c r="A2782">
        <f t="shared" si="173"/>
        <v>2781</v>
      </c>
      <c r="B2782" s="24">
        <v>3014821</v>
      </c>
      <c r="C2782" s="11">
        <v>215</v>
      </c>
      <c r="D2782">
        <f t="shared" si="174"/>
        <v>215</v>
      </c>
      <c r="E2782">
        <f t="shared" si="176"/>
        <v>21500</v>
      </c>
      <c r="F2782">
        <f t="shared" si="175"/>
        <v>10320</v>
      </c>
    </row>
    <row r="2783" ht="13.85" spans="1:6">
      <c r="A2783">
        <f t="shared" si="173"/>
        <v>2782</v>
      </c>
      <c r="B2783" s="24">
        <v>3546029</v>
      </c>
      <c r="C2783" s="11">
        <v>236</v>
      </c>
      <c r="D2783">
        <f t="shared" si="174"/>
        <v>236</v>
      </c>
      <c r="E2783">
        <f t="shared" si="176"/>
        <v>23600</v>
      </c>
      <c r="F2783">
        <f t="shared" si="175"/>
        <v>11328</v>
      </c>
    </row>
    <row r="2784" ht="13.85" spans="1:6">
      <c r="A2784">
        <f t="shared" si="173"/>
        <v>2783</v>
      </c>
      <c r="B2784" s="24">
        <v>4779692</v>
      </c>
      <c r="C2784" s="11">
        <v>264</v>
      </c>
      <c r="D2784">
        <f t="shared" si="174"/>
        <v>264</v>
      </c>
      <c r="E2784">
        <f t="shared" si="176"/>
        <v>26400</v>
      </c>
      <c r="F2784">
        <f t="shared" si="175"/>
        <v>12672</v>
      </c>
    </row>
    <row r="2785" ht="13.85" spans="1:6">
      <c r="A2785">
        <f t="shared" si="173"/>
        <v>2784</v>
      </c>
      <c r="B2785" s="24">
        <v>3157735</v>
      </c>
      <c r="C2785" s="11">
        <v>291</v>
      </c>
      <c r="D2785">
        <f t="shared" si="174"/>
        <v>291</v>
      </c>
      <c r="E2785">
        <f t="shared" si="176"/>
        <v>29100</v>
      </c>
      <c r="F2785">
        <f t="shared" si="175"/>
        <v>13968</v>
      </c>
    </row>
    <row r="2786" ht="13.85" spans="1:6">
      <c r="A2786">
        <f t="shared" si="173"/>
        <v>2785</v>
      </c>
      <c r="B2786" s="24">
        <v>3741271</v>
      </c>
      <c r="C2786" s="11">
        <v>313</v>
      </c>
      <c r="D2786">
        <f t="shared" si="174"/>
        <v>313</v>
      </c>
      <c r="E2786">
        <f t="shared" si="176"/>
        <v>31300</v>
      </c>
      <c r="F2786">
        <f t="shared" si="175"/>
        <v>15024</v>
      </c>
    </row>
    <row r="2787" ht="13.85" spans="1:6">
      <c r="A2787">
        <f t="shared" si="173"/>
        <v>2786</v>
      </c>
      <c r="B2787" s="24">
        <v>4955603</v>
      </c>
      <c r="C2787" s="11">
        <v>345</v>
      </c>
      <c r="D2787">
        <f t="shared" si="174"/>
        <v>345</v>
      </c>
      <c r="E2787">
        <f t="shared" si="176"/>
        <v>34500</v>
      </c>
      <c r="F2787">
        <f t="shared" si="175"/>
        <v>16560</v>
      </c>
    </row>
    <row r="2788" ht="13.85" spans="1:6">
      <c r="A2788">
        <f t="shared" si="173"/>
        <v>2787</v>
      </c>
      <c r="B2788" s="24">
        <v>3336105</v>
      </c>
      <c r="C2788" s="11">
        <v>363</v>
      </c>
      <c r="D2788">
        <f t="shared" si="174"/>
        <v>363</v>
      </c>
      <c r="E2788">
        <f t="shared" si="176"/>
        <v>36300</v>
      </c>
      <c r="F2788">
        <f t="shared" si="175"/>
        <v>17424</v>
      </c>
    </row>
    <row r="2789" ht="13.85" spans="1:6">
      <c r="A2789">
        <f t="shared" si="173"/>
        <v>2788</v>
      </c>
      <c r="B2789" s="24">
        <v>3793848</v>
      </c>
      <c r="C2789" s="11">
        <v>386</v>
      </c>
      <c r="D2789">
        <f t="shared" si="174"/>
        <v>386</v>
      </c>
      <c r="E2789">
        <f t="shared" si="176"/>
        <v>38600</v>
      </c>
      <c r="F2789">
        <f t="shared" si="175"/>
        <v>18528</v>
      </c>
    </row>
    <row r="2790" ht="13.85" spans="1:6">
      <c r="A2790">
        <f t="shared" si="173"/>
        <v>2789</v>
      </c>
      <c r="B2790" s="24">
        <v>5479722</v>
      </c>
      <c r="C2790" s="11">
        <v>420</v>
      </c>
      <c r="D2790">
        <f t="shared" si="174"/>
        <v>420</v>
      </c>
      <c r="E2790">
        <f t="shared" si="176"/>
        <v>42000</v>
      </c>
      <c r="F2790">
        <f t="shared" si="175"/>
        <v>20160</v>
      </c>
    </row>
    <row r="2791" ht="13.85" spans="1:6">
      <c r="A2791">
        <f t="shared" si="173"/>
        <v>2790</v>
      </c>
      <c r="B2791" s="24">
        <v>3333586</v>
      </c>
      <c r="C2791" s="11">
        <v>435</v>
      </c>
      <c r="D2791">
        <f t="shared" si="174"/>
        <v>435</v>
      </c>
      <c r="E2791">
        <f t="shared" si="176"/>
        <v>43500</v>
      </c>
      <c r="F2791">
        <f t="shared" si="175"/>
        <v>20880</v>
      </c>
    </row>
    <row r="2792" ht="13.85" spans="1:6">
      <c r="A2792">
        <f t="shared" si="173"/>
        <v>2791</v>
      </c>
      <c r="B2792" s="24">
        <v>4178976</v>
      </c>
      <c r="C2792" s="11">
        <v>461</v>
      </c>
      <c r="D2792">
        <f t="shared" si="174"/>
        <v>461</v>
      </c>
      <c r="E2792">
        <f t="shared" si="176"/>
        <v>46100</v>
      </c>
      <c r="F2792">
        <f t="shared" si="175"/>
        <v>22128</v>
      </c>
    </row>
    <row r="2793" ht="13.85" spans="1:6">
      <c r="A2793">
        <f t="shared" si="173"/>
        <v>2792</v>
      </c>
      <c r="B2793" s="24">
        <v>5908880</v>
      </c>
      <c r="C2793" s="11">
        <v>500</v>
      </c>
      <c r="D2793">
        <f t="shared" si="174"/>
        <v>500</v>
      </c>
      <c r="E2793">
        <f t="shared" si="176"/>
        <v>50000</v>
      </c>
      <c r="F2793">
        <f t="shared" si="175"/>
        <v>24000</v>
      </c>
    </row>
    <row r="2794" ht="13.85" spans="1:6">
      <c r="A2794">
        <f t="shared" si="173"/>
        <v>2793</v>
      </c>
      <c r="B2794" s="24">
        <v>4103713</v>
      </c>
      <c r="C2794" s="11">
        <v>522</v>
      </c>
      <c r="D2794">
        <f t="shared" si="174"/>
        <v>522</v>
      </c>
      <c r="E2794">
        <f t="shared" si="176"/>
        <v>52200</v>
      </c>
      <c r="F2794">
        <f t="shared" si="175"/>
        <v>25056</v>
      </c>
    </row>
    <row r="2795" ht="13.85" spans="1:6">
      <c r="A2795">
        <f t="shared" si="173"/>
        <v>2794</v>
      </c>
      <c r="B2795" s="24">
        <v>4819492</v>
      </c>
      <c r="C2795" s="11">
        <v>550</v>
      </c>
      <c r="D2795">
        <f t="shared" si="174"/>
        <v>550</v>
      </c>
      <c r="E2795">
        <f t="shared" si="176"/>
        <v>55000</v>
      </c>
      <c r="F2795">
        <f t="shared" si="175"/>
        <v>26400</v>
      </c>
    </row>
    <row r="2796" ht="13.85" spans="1:6">
      <c r="A2796">
        <f t="shared" si="173"/>
        <v>2795</v>
      </c>
      <c r="B2796" s="24">
        <v>6547260</v>
      </c>
      <c r="C2796" s="11">
        <v>596</v>
      </c>
      <c r="D2796">
        <f t="shared" si="174"/>
        <v>596</v>
      </c>
      <c r="E2796">
        <f t="shared" si="176"/>
        <v>59600</v>
      </c>
      <c r="F2796">
        <f t="shared" si="175"/>
        <v>28608</v>
      </c>
    </row>
    <row r="2797" ht="13.85" spans="1:6">
      <c r="A2797">
        <f t="shared" si="173"/>
        <v>2796</v>
      </c>
      <c r="B2797" s="24">
        <v>4792476</v>
      </c>
      <c r="C2797" s="11">
        <v>638</v>
      </c>
      <c r="D2797">
        <f t="shared" si="174"/>
        <v>638</v>
      </c>
      <c r="E2797">
        <f t="shared" si="176"/>
        <v>63800</v>
      </c>
      <c r="F2797">
        <f t="shared" si="175"/>
        <v>30624</v>
      </c>
    </row>
    <row r="2798" ht="13.85" spans="1:6">
      <c r="A2798">
        <f t="shared" si="173"/>
        <v>2797</v>
      </c>
      <c r="B2798" s="24">
        <v>5795919</v>
      </c>
      <c r="C2798" s="15">
        <v>672</v>
      </c>
      <c r="D2798">
        <f t="shared" si="174"/>
        <v>672</v>
      </c>
      <c r="E2798">
        <f t="shared" si="176"/>
        <v>67200</v>
      </c>
      <c r="F2798">
        <f t="shared" si="175"/>
        <v>32256</v>
      </c>
    </row>
    <row r="2799" ht="13.85" spans="1:6">
      <c r="A2799">
        <f t="shared" si="173"/>
        <v>2798</v>
      </c>
      <c r="B2799" s="24">
        <v>8264745</v>
      </c>
      <c r="C2799" s="30">
        <v>750</v>
      </c>
      <c r="D2799">
        <f t="shared" si="174"/>
        <v>750</v>
      </c>
      <c r="E2799">
        <f t="shared" si="176"/>
        <v>75000</v>
      </c>
      <c r="F2799">
        <f t="shared" si="175"/>
        <v>36000</v>
      </c>
    </row>
    <row r="2800" ht="13.85" spans="1:6">
      <c r="A2800">
        <f t="shared" si="173"/>
        <v>2799</v>
      </c>
      <c r="B2800" s="24">
        <v>6498489</v>
      </c>
      <c r="C2800" s="11">
        <v>785</v>
      </c>
      <c r="D2800">
        <f t="shared" si="174"/>
        <v>785</v>
      </c>
      <c r="E2800">
        <f t="shared" si="176"/>
        <v>78500</v>
      </c>
      <c r="F2800">
        <f t="shared" si="175"/>
        <v>37680</v>
      </c>
    </row>
    <row r="2801" ht="13.85" spans="1:6">
      <c r="A2801">
        <f t="shared" si="173"/>
        <v>2800</v>
      </c>
      <c r="B2801" s="24">
        <v>8705135</v>
      </c>
      <c r="C2801" s="27">
        <v>850</v>
      </c>
      <c r="D2801">
        <f t="shared" si="174"/>
        <v>850</v>
      </c>
      <c r="E2801">
        <f t="shared" si="176"/>
        <v>85000</v>
      </c>
      <c r="F2801">
        <f t="shared" si="175"/>
        <v>40800</v>
      </c>
    </row>
    <row r="2802" ht="13.85" spans="1:6">
      <c r="A2802">
        <f t="shared" si="173"/>
        <v>2801</v>
      </c>
      <c r="B2802" s="24">
        <v>13141569</v>
      </c>
      <c r="C2802" s="27">
        <v>960</v>
      </c>
      <c r="D2802">
        <f t="shared" si="174"/>
        <v>960</v>
      </c>
      <c r="E2802">
        <f t="shared" si="176"/>
        <v>96000</v>
      </c>
      <c r="F2802">
        <f t="shared" si="175"/>
        <v>46080</v>
      </c>
    </row>
    <row r="2803" ht="13.9" spans="1:6">
      <c r="A2803">
        <f t="shared" si="173"/>
        <v>2802</v>
      </c>
      <c r="B2803" s="24">
        <v>13148852</v>
      </c>
      <c r="C2803" s="11" t="s">
        <v>82</v>
      </c>
      <c r="D2803">
        <f t="shared" si="174"/>
        <v>1040</v>
      </c>
      <c r="E2803">
        <f t="shared" si="176"/>
        <v>104000</v>
      </c>
      <c r="F2803">
        <f t="shared" si="175"/>
        <v>49920</v>
      </c>
    </row>
    <row r="2804" ht="13.9" spans="1:6">
      <c r="A2804">
        <f t="shared" si="173"/>
        <v>2803</v>
      </c>
      <c r="B2804" s="24">
        <v>16541293</v>
      </c>
      <c r="C2804" s="11" t="s">
        <v>81</v>
      </c>
      <c r="D2804">
        <f t="shared" si="174"/>
        <v>1200</v>
      </c>
      <c r="E2804">
        <f t="shared" si="176"/>
        <v>120000</v>
      </c>
      <c r="F2804">
        <f t="shared" si="175"/>
        <v>57600</v>
      </c>
    </row>
    <row r="2805" ht="13.9" spans="1:6">
      <c r="A2805">
        <f t="shared" si="173"/>
        <v>2804</v>
      </c>
      <c r="B2805" s="24">
        <v>22080253</v>
      </c>
      <c r="C2805" s="11" t="s">
        <v>80</v>
      </c>
      <c r="D2805">
        <f t="shared" si="174"/>
        <v>1400</v>
      </c>
      <c r="E2805">
        <f t="shared" si="176"/>
        <v>140000</v>
      </c>
      <c r="F2805">
        <f t="shared" si="175"/>
        <v>67200</v>
      </c>
    </row>
    <row r="2806" ht="13.9" spans="1:6">
      <c r="A2806">
        <f t="shared" si="173"/>
        <v>2805</v>
      </c>
      <c r="B2806" s="24">
        <v>18181373</v>
      </c>
      <c r="C2806" s="11" t="s">
        <v>79</v>
      </c>
      <c r="D2806">
        <f t="shared" si="174"/>
        <v>1550</v>
      </c>
      <c r="E2806">
        <f t="shared" si="176"/>
        <v>155000</v>
      </c>
      <c r="F2806">
        <f t="shared" si="175"/>
        <v>74400</v>
      </c>
    </row>
    <row r="2807" ht="13.9" spans="1:6">
      <c r="A2807">
        <f t="shared" si="173"/>
        <v>2806</v>
      </c>
      <c r="B2807" s="24">
        <v>24769573</v>
      </c>
      <c r="C2807" s="11" t="s">
        <v>78</v>
      </c>
      <c r="D2807">
        <f t="shared" si="174"/>
        <v>1764</v>
      </c>
      <c r="E2807">
        <f t="shared" si="176"/>
        <v>176400</v>
      </c>
      <c r="F2807">
        <f t="shared" si="175"/>
        <v>84672</v>
      </c>
    </row>
    <row r="2808" ht="13.85" spans="1:6">
      <c r="A2808">
        <f t="shared" si="173"/>
        <v>2807</v>
      </c>
      <c r="B2808" s="24">
        <v>3967049</v>
      </c>
      <c r="C2808" s="11">
        <v>20</v>
      </c>
      <c r="D2808">
        <f t="shared" si="174"/>
        <v>20</v>
      </c>
      <c r="E2808">
        <f t="shared" si="176"/>
        <v>2000</v>
      </c>
      <c r="F2808">
        <f t="shared" si="175"/>
        <v>960</v>
      </c>
    </row>
    <row r="2809" ht="13.85" spans="1:6">
      <c r="A2809">
        <f t="shared" si="173"/>
        <v>2808</v>
      </c>
      <c r="B2809" s="24">
        <v>2317218</v>
      </c>
      <c r="C2809" s="11">
        <v>34</v>
      </c>
      <c r="D2809">
        <f t="shared" si="174"/>
        <v>34</v>
      </c>
      <c r="E2809">
        <f t="shared" si="176"/>
        <v>3400</v>
      </c>
      <c r="F2809">
        <f t="shared" si="175"/>
        <v>1632</v>
      </c>
    </row>
    <row r="2810" ht="13.85" spans="1:6">
      <c r="A2810">
        <f t="shared" si="173"/>
        <v>2809</v>
      </c>
      <c r="B2810" s="24">
        <v>2684416</v>
      </c>
      <c r="C2810" s="11">
        <v>49</v>
      </c>
      <c r="D2810">
        <f t="shared" si="174"/>
        <v>49</v>
      </c>
      <c r="E2810">
        <f t="shared" si="176"/>
        <v>4900</v>
      </c>
      <c r="F2810">
        <f t="shared" si="175"/>
        <v>2352</v>
      </c>
    </row>
    <row r="2811" ht="13.85" spans="1:6">
      <c r="A2811">
        <f t="shared" si="173"/>
        <v>2810</v>
      </c>
      <c r="B2811" s="24">
        <v>3561477</v>
      </c>
      <c r="C2811" s="11">
        <v>70</v>
      </c>
      <c r="D2811">
        <f t="shared" si="174"/>
        <v>70</v>
      </c>
      <c r="E2811">
        <f t="shared" si="176"/>
        <v>7000</v>
      </c>
      <c r="F2811">
        <f t="shared" si="175"/>
        <v>3360</v>
      </c>
    </row>
    <row r="2812" ht="13.85" spans="1:6">
      <c r="A2812">
        <f t="shared" si="173"/>
        <v>2811</v>
      </c>
      <c r="B2812" s="24">
        <v>2364320</v>
      </c>
      <c r="C2812" s="11">
        <v>85</v>
      </c>
      <c r="D2812">
        <f t="shared" si="174"/>
        <v>85</v>
      </c>
      <c r="E2812">
        <f t="shared" si="176"/>
        <v>8500</v>
      </c>
      <c r="F2812">
        <f t="shared" si="175"/>
        <v>4080</v>
      </c>
    </row>
    <row r="2813" ht="13.85" spans="1:6">
      <c r="A2813">
        <f t="shared" si="173"/>
        <v>2812</v>
      </c>
      <c r="B2813" s="24">
        <v>2845817</v>
      </c>
      <c r="C2813" s="11">
        <v>100</v>
      </c>
      <c r="D2813">
        <f t="shared" si="174"/>
        <v>100</v>
      </c>
      <c r="E2813">
        <f t="shared" si="176"/>
        <v>10000</v>
      </c>
      <c r="F2813">
        <f t="shared" si="175"/>
        <v>4800</v>
      </c>
    </row>
    <row r="2814" ht="13.85" spans="1:6">
      <c r="A2814">
        <f t="shared" si="173"/>
        <v>2813</v>
      </c>
      <c r="B2814" s="24">
        <v>3731869</v>
      </c>
      <c r="C2814" s="11">
        <v>125</v>
      </c>
      <c r="D2814">
        <f t="shared" si="174"/>
        <v>125</v>
      </c>
      <c r="E2814">
        <f t="shared" si="176"/>
        <v>12500</v>
      </c>
      <c r="F2814">
        <f t="shared" si="175"/>
        <v>6000</v>
      </c>
    </row>
    <row r="2815" ht="13.85" spans="1:6">
      <c r="A2815">
        <f t="shared" si="173"/>
        <v>2814</v>
      </c>
      <c r="B2815" s="24">
        <v>2469550</v>
      </c>
      <c r="C2815" s="11">
        <v>137</v>
      </c>
      <c r="D2815">
        <f t="shared" si="174"/>
        <v>137</v>
      </c>
      <c r="E2815">
        <f t="shared" si="176"/>
        <v>13700</v>
      </c>
      <c r="F2815">
        <f t="shared" si="175"/>
        <v>6576</v>
      </c>
    </row>
    <row r="2816" ht="13.85" spans="1:6">
      <c r="A2816">
        <f t="shared" si="173"/>
        <v>2815</v>
      </c>
      <c r="B2816" s="24">
        <v>2876833</v>
      </c>
      <c r="C2816" s="11">
        <v>152</v>
      </c>
      <c r="D2816">
        <f t="shared" si="174"/>
        <v>152</v>
      </c>
      <c r="E2816">
        <f t="shared" si="176"/>
        <v>15200</v>
      </c>
      <c r="F2816">
        <f t="shared" si="175"/>
        <v>7296</v>
      </c>
    </row>
    <row r="2817" ht="13.85" spans="1:6">
      <c r="A2817">
        <f t="shared" si="173"/>
        <v>2816</v>
      </c>
      <c r="B2817" s="24">
        <v>3903559</v>
      </c>
      <c r="C2817" s="11">
        <v>173</v>
      </c>
      <c r="D2817">
        <f t="shared" si="174"/>
        <v>173</v>
      </c>
      <c r="E2817">
        <f t="shared" si="176"/>
        <v>17300</v>
      </c>
      <c r="F2817">
        <f t="shared" si="175"/>
        <v>8304</v>
      </c>
    </row>
    <row r="2818" ht="13.85" spans="1:6">
      <c r="A2818">
        <f t="shared" ref="A2818:A2881" si="177">ROW()-1</f>
        <v>2817</v>
      </c>
      <c r="B2818" s="24">
        <v>2557560</v>
      </c>
      <c r="C2818" s="11">
        <v>179</v>
      </c>
      <c r="D2818">
        <f t="shared" ref="D2818:D2881" si="178">IF(RIGHT(C2818,1)="B",VALUE(LEFT(C2818,LEN(C2818)-1))*1000,C2818)</f>
        <v>179</v>
      </c>
      <c r="E2818">
        <f t="shared" si="176"/>
        <v>17900</v>
      </c>
      <c r="F2818">
        <f t="shared" ref="F2818:F2881" si="179">E2818*0.48</f>
        <v>8592</v>
      </c>
    </row>
    <row r="2819" ht="13.85" spans="1:6">
      <c r="A2819">
        <f t="shared" si="177"/>
        <v>2818</v>
      </c>
      <c r="B2819" s="24">
        <v>2980459</v>
      </c>
      <c r="C2819" s="11">
        <v>196</v>
      </c>
      <c r="D2819">
        <f t="shared" si="178"/>
        <v>196</v>
      </c>
      <c r="E2819">
        <f t="shared" si="176"/>
        <v>19600</v>
      </c>
      <c r="F2819">
        <f t="shared" si="179"/>
        <v>9408</v>
      </c>
    </row>
    <row r="2820" ht="13.85" spans="1:6">
      <c r="A2820">
        <f t="shared" si="177"/>
        <v>2819</v>
      </c>
      <c r="B2820" s="24">
        <v>4049866</v>
      </c>
      <c r="C2820" s="11">
        <v>220</v>
      </c>
      <c r="D2820">
        <f t="shared" si="178"/>
        <v>220</v>
      </c>
      <c r="E2820">
        <f t="shared" si="176"/>
        <v>22000</v>
      </c>
      <c r="F2820">
        <f t="shared" si="179"/>
        <v>10560</v>
      </c>
    </row>
    <row r="2821" ht="13.85" spans="1:6">
      <c r="A2821">
        <f t="shared" si="177"/>
        <v>2820</v>
      </c>
      <c r="B2821" s="24">
        <v>2670690</v>
      </c>
      <c r="C2821" s="11">
        <v>235</v>
      </c>
      <c r="D2821">
        <f t="shared" si="178"/>
        <v>235</v>
      </c>
      <c r="E2821">
        <f t="shared" si="176"/>
        <v>23500</v>
      </c>
      <c r="F2821">
        <f t="shared" si="179"/>
        <v>11280</v>
      </c>
    </row>
    <row r="2822" ht="13.85" spans="1:6">
      <c r="A2822">
        <f t="shared" si="177"/>
        <v>2821</v>
      </c>
      <c r="B2822" s="24">
        <v>3031570</v>
      </c>
      <c r="C2822" s="11">
        <v>255</v>
      </c>
      <c r="D2822">
        <f t="shared" si="178"/>
        <v>255</v>
      </c>
      <c r="E2822">
        <f t="shared" si="176"/>
        <v>25500</v>
      </c>
      <c r="F2822">
        <f t="shared" si="179"/>
        <v>12240</v>
      </c>
    </row>
    <row r="2823" ht="13.85" spans="1:6">
      <c r="A2823">
        <f t="shared" si="177"/>
        <v>2822</v>
      </c>
      <c r="B2823" s="24">
        <v>4099046</v>
      </c>
      <c r="C2823" s="11">
        <v>280</v>
      </c>
      <c r="D2823">
        <f t="shared" si="178"/>
        <v>280</v>
      </c>
      <c r="E2823">
        <f t="shared" si="176"/>
        <v>28000</v>
      </c>
      <c r="F2823">
        <f t="shared" si="179"/>
        <v>13440</v>
      </c>
    </row>
    <row r="2824" ht="13.85" spans="1:6">
      <c r="A2824">
        <f t="shared" si="177"/>
        <v>2823</v>
      </c>
      <c r="B2824" s="24">
        <v>2735809</v>
      </c>
      <c r="C2824" s="11">
        <v>295</v>
      </c>
      <c r="D2824">
        <f t="shared" si="178"/>
        <v>295</v>
      </c>
      <c r="E2824">
        <f t="shared" si="176"/>
        <v>29500</v>
      </c>
      <c r="F2824">
        <f t="shared" si="179"/>
        <v>14160</v>
      </c>
    </row>
    <row r="2825" ht="13.85" spans="1:6">
      <c r="A2825">
        <f t="shared" si="177"/>
        <v>2824</v>
      </c>
      <c r="B2825" s="24">
        <v>3502198</v>
      </c>
      <c r="C2825" s="11">
        <v>313</v>
      </c>
      <c r="D2825">
        <f t="shared" si="178"/>
        <v>313</v>
      </c>
      <c r="E2825">
        <f t="shared" si="176"/>
        <v>31300</v>
      </c>
      <c r="F2825">
        <f t="shared" si="179"/>
        <v>15024</v>
      </c>
    </row>
    <row r="2826" ht="13.85" spans="1:6">
      <c r="A2826">
        <f t="shared" si="177"/>
        <v>2825</v>
      </c>
      <c r="B2826" s="24">
        <v>3998220</v>
      </c>
      <c r="C2826" s="11">
        <v>340</v>
      </c>
      <c r="D2826">
        <f t="shared" si="178"/>
        <v>340</v>
      </c>
      <c r="E2826">
        <f t="shared" si="176"/>
        <v>34000</v>
      </c>
      <c r="F2826">
        <f t="shared" si="179"/>
        <v>16320</v>
      </c>
    </row>
    <row r="2827" ht="13.85" spans="1:6">
      <c r="A2827">
        <f t="shared" si="177"/>
        <v>2826</v>
      </c>
      <c r="B2827" s="24">
        <v>2874750</v>
      </c>
      <c r="C2827" s="11">
        <v>352</v>
      </c>
      <c r="D2827">
        <f t="shared" si="178"/>
        <v>352</v>
      </c>
      <c r="E2827">
        <f t="shared" si="176"/>
        <v>35200</v>
      </c>
      <c r="F2827">
        <f t="shared" si="179"/>
        <v>16896</v>
      </c>
    </row>
    <row r="2828" ht="13.85" spans="1:6">
      <c r="A2828">
        <f t="shared" si="177"/>
        <v>2827</v>
      </c>
      <c r="B2828" s="24">
        <v>3250866</v>
      </c>
      <c r="C2828" s="11">
        <v>374</v>
      </c>
      <c r="D2828">
        <f t="shared" si="178"/>
        <v>374</v>
      </c>
      <c r="E2828">
        <f t="shared" si="176"/>
        <v>37400</v>
      </c>
      <c r="F2828">
        <f t="shared" si="179"/>
        <v>17952</v>
      </c>
    </row>
    <row r="2829" ht="13.85" spans="1:6">
      <c r="A2829">
        <f t="shared" si="177"/>
        <v>2828</v>
      </c>
      <c r="B2829" s="24">
        <v>4726797</v>
      </c>
      <c r="C2829" s="11">
        <v>400</v>
      </c>
      <c r="D2829">
        <f t="shared" si="178"/>
        <v>400</v>
      </c>
      <c r="E2829">
        <f t="shared" si="176"/>
        <v>40000</v>
      </c>
      <c r="F2829">
        <f t="shared" si="179"/>
        <v>19200</v>
      </c>
    </row>
    <row r="2830" ht="13.85" spans="1:6">
      <c r="A2830">
        <f t="shared" si="177"/>
        <v>2829</v>
      </c>
      <c r="B2830" s="24">
        <v>3152000</v>
      </c>
      <c r="C2830" s="11">
        <v>412</v>
      </c>
      <c r="D2830">
        <f t="shared" si="178"/>
        <v>412</v>
      </c>
      <c r="E2830">
        <f t="shared" si="176"/>
        <v>41200</v>
      </c>
      <c r="F2830">
        <f t="shared" si="179"/>
        <v>19776</v>
      </c>
    </row>
    <row r="2831" ht="13.85" spans="1:6">
      <c r="A2831">
        <f t="shared" si="177"/>
        <v>2830</v>
      </c>
      <c r="B2831" s="24">
        <v>3585157</v>
      </c>
      <c r="C2831" s="11">
        <v>435</v>
      </c>
      <c r="D2831">
        <f t="shared" si="178"/>
        <v>435</v>
      </c>
      <c r="E2831">
        <f t="shared" si="176"/>
        <v>43500</v>
      </c>
      <c r="F2831">
        <f t="shared" si="179"/>
        <v>20880</v>
      </c>
    </row>
    <row r="2832" ht="13.85" spans="1:6">
      <c r="A2832">
        <f t="shared" si="177"/>
        <v>2831</v>
      </c>
      <c r="B2832" s="24">
        <v>4905984</v>
      </c>
      <c r="C2832" s="11">
        <v>468</v>
      </c>
      <c r="D2832">
        <f t="shared" si="178"/>
        <v>468</v>
      </c>
      <c r="E2832">
        <f t="shared" si="176"/>
        <v>46800</v>
      </c>
      <c r="F2832">
        <f t="shared" si="179"/>
        <v>22464</v>
      </c>
    </row>
    <row r="2833" ht="13.85" spans="1:6">
      <c r="A2833">
        <f t="shared" si="177"/>
        <v>2832</v>
      </c>
      <c r="B2833" s="24">
        <v>3372974</v>
      </c>
      <c r="C2833" s="11">
        <v>477</v>
      </c>
      <c r="D2833">
        <f t="shared" si="178"/>
        <v>477</v>
      </c>
      <c r="E2833">
        <f t="shared" si="176"/>
        <v>47700</v>
      </c>
      <c r="F2833">
        <f t="shared" si="179"/>
        <v>22896</v>
      </c>
    </row>
    <row r="2834" ht="13.85" spans="1:6">
      <c r="A2834">
        <f t="shared" si="177"/>
        <v>2833</v>
      </c>
      <c r="B2834" s="24">
        <v>4265580</v>
      </c>
      <c r="C2834" s="11">
        <v>500</v>
      </c>
      <c r="D2834">
        <f t="shared" si="178"/>
        <v>500</v>
      </c>
      <c r="E2834">
        <f t="shared" si="176"/>
        <v>50000</v>
      </c>
      <c r="F2834">
        <f t="shared" si="179"/>
        <v>24000</v>
      </c>
    </row>
    <row r="2835" ht="13.85" spans="1:6">
      <c r="A2835">
        <f t="shared" si="177"/>
        <v>2834</v>
      </c>
      <c r="B2835" s="24">
        <v>5806394</v>
      </c>
      <c r="C2835" s="11">
        <v>535</v>
      </c>
      <c r="D2835">
        <f t="shared" si="178"/>
        <v>535</v>
      </c>
      <c r="E2835">
        <f t="shared" si="176"/>
        <v>53500</v>
      </c>
      <c r="F2835">
        <f t="shared" si="179"/>
        <v>25680</v>
      </c>
    </row>
    <row r="2836" ht="13.85" spans="1:6">
      <c r="A2836">
        <f t="shared" si="177"/>
        <v>2835</v>
      </c>
      <c r="B2836" s="24">
        <v>4117453</v>
      </c>
      <c r="C2836" s="11">
        <v>543</v>
      </c>
      <c r="D2836">
        <f t="shared" si="178"/>
        <v>543</v>
      </c>
      <c r="E2836">
        <f t="shared" si="176"/>
        <v>54300</v>
      </c>
      <c r="F2836">
        <f t="shared" si="179"/>
        <v>26064</v>
      </c>
    </row>
    <row r="2837" ht="13.85" spans="1:6">
      <c r="A2837">
        <f t="shared" si="177"/>
        <v>2836</v>
      </c>
      <c r="B2837" s="24">
        <v>5130874</v>
      </c>
      <c r="C2837" s="11">
        <v>572</v>
      </c>
      <c r="D2837">
        <f t="shared" si="178"/>
        <v>572</v>
      </c>
      <c r="E2837">
        <f t="shared" si="176"/>
        <v>57200</v>
      </c>
      <c r="F2837">
        <f t="shared" si="179"/>
        <v>27456</v>
      </c>
    </row>
    <row r="2838" ht="13.85" spans="1:6">
      <c r="A2838">
        <f t="shared" si="177"/>
        <v>2837</v>
      </c>
      <c r="B2838" s="24">
        <v>8122829</v>
      </c>
      <c r="C2838" s="11">
        <v>620</v>
      </c>
      <c r="D2838">
        <f t="shared" si="178"/>
        <v>620</v>
      </c>
      <c r="E2838">
        <f t="shared" si="176"/>
        <v>62000</v>
      </c>
      <c r="F2838">
        <f t="shared" si="179"/>
        <v>29760</v>
      </c>
    </row>
    <row r="2839" ht="13.85" spans="1:6">
      <c r="A2839">
        <f t="shared" si="177"/>
        <v>2838</v>
      </c>
      <c r="B2839" s="24">
        <v>5260102</v>
      </c>
      <c r="C2839" s="11">
        <v>638</v>
      </c>
      <c r="D2839">
        <f t="shared" si="178"/>
        <v>638</v>
      </c>
      <c r="E2839">
        <f t="shared" si="176"/>
        <v>63800</v>
      </c>
      <c r="F2839">
        <f t="shared" si="179"/>
        <v>30624</v>
      </c>
    </row>
    <row r="2840" ht="13.85" spans="1:6">
      <c r="A2840">
        <f t="shared" si="177"/>
        <v>2839</v>
      </c>
      <c r="B2840" s="24">
        <v>8120132</v>
      </c>
      <c r="C2840" s="11">
        <v>685</v>
      </c>
      <c r="D2840">
        <f t="shared" si="178"/>
        <v>685</v>
      </c>
      <c r="E2840">
        <f t="shared" si="176"/>
        <v>68500</v>
      </c>
      <c r="F2840">
        <f t="shared" si="179"/>
        <v>32880</v>
      </c>
    </row>
    <row r="2841" ht="13.85" spans="1:6">
      <c r="A2841">
        <f t="shared" si="177"/>
        <v>2840</v>
      </c>
      <c r="B2841" s="24">
        <v>12685220</v>
      </c>
      <c r="C2841" s="11">
        <v>760</v>
      </c>
      <c r="D2841">
        <f t="shared" si="178"/>
        <v>760</v>
      </c>
      <c r="E2841">
        <f t="shared" si="176"/>
        <v>76000</v>
      </c>
      <c r="F2841">
        <f t="shared" si="179"/>
        <v>36480</v>
      </c>
    </row>
    <row r="2842" ht="13.85" spans="1:6">
      <c r="A2842">
        <f t="shared" si="177"/>
        <v>2841</v>
      </c>
      <c r="B2842" s="24">
        <v>9928482</v>
      </c>
      <c r="C2842" s="11">
        <v>842.4</v>
      </c>
      <c r="D2842">
        <f t="shared" si="178"/>
        <v>842.4</v>
      </c>
      <c r="E2842">
        <f t="shared" ref="E2842:E2905" si="180">D2842*100</f>
        <v>84240</v>
      </c>
      <c r="F2842">
        <f t="shared" si="179"/>
        <v>40435.2</v>
      </c>
    </row>
    <row r="2843" ht="13.85" spans="1:6">
      <c r="A2843">
        <f t="shared" si="177"/>
        <v>2842</v>
      </c>
      <c r="B2843" s="24">
        <v>2770779</v>
      </c>
      <c r="C2843" s="11">
        <v>20</v>
      </c>
      <c r="D2843">
        <f t="shared" si="178"/>
        <v>20</v>
      </c>
      <c r="E2843">
        <f t="shared" si="180"/>
        <v>2000</v>
      </c>
      <c r="F2843">
        <f t="shared" si="179"/>
        <v>960</v>
      </c>
    </row>
    <row r="2844" ht="13.85" spans="1:6">
      <c r="A2844">
        <f t="shared" si="177"/>
        <v>2843</v>
      </c>
      <c r="B2844" s="24">
        <v>3391806</v>
      </c>
      <c r="C2844" s="11">
        <v>35</v>
      </c>
      <c r="D2844">
        <f t="shared" si="178"/>
        <v>35</v>
      </c>
      <c r="E2844">
        <f t="shared" si="180"/>
        <v>3500</v>
      </c>
      <c r="F2844">
        <f t="shared" si="179"/>
        <v>1680</v>
      </c>
    </row>
    <row r="2845" ht="13.85" spans="1:6">
      <c r="A2845">
        <f t="shared" si="177"/>
        <v>2844</v>
      </c>
      <c r="B2845" s="24">
        <v>2222841</v>
      </c>
      <c r="C2845" s="11">
        <v>46</v>
      </c>
      <c r="D2845">
        <f t="shared" si="178"/>
        <v>46</v>
      </c>
      <c r="E2845">
        <f t="shared" si="180"/>
        <v>4600</v>
      </c>
      <c r="F2845">
        <f t="shared" si="179"/>
        <v>2208</v>
      </c>
    </row>
    <row r="2846" ht="13.85" spans="1:6">
      <c r="A2846">
        <f t="shared" si="177"/>
        <v>2845</v>
      </c>
      <c r="B2846" s="24">
        <v>2485943</v>
      </c>
      <c r="C2846" s="11">
        <v>60</v>
      </c>
      <c r="D2846">
        <f t="shared" si="178"/>
        <v>60</v>
      </c>
      <c r="E2846">
        <f t="shared" si="180"/>
        <v>6000</v>
      </c>
      <c r="F2846">
        <f t="shared" si="179"/>
        <v>2880</v>
      </c>
    </row>
    <row r="2847" ht="13.85" spans="1:6">
      <c r="A2847">
        <f t="shared" si="177"/>
        <v>2846</v>
      </c>
      <c r="B2847" s="24">
        <v>3463951</v>
      </c>
      <c r="C2847" s="11">
        <v>77</v>
      </c>
      <c r="D2847">
        <f t="shared" si="178"/>
        <v>77</v>
      </c>
      <c r="E2847">
        <f t="shared" si="180"/>
        <v>7700</v>
      </c>
      <c r="F2847">
        <f t="shared" si="179"/>
        <v>3696</v>
      </c>
    </row>
    <row r="2848" ht="13.85" spans="1:6">
      <c r="A2848">
        <f t="shared" si="177"/>
        <v>2847</v>
      </c>
      <c r="B2848" s="24">
        <v>2099750</v>
      </c>
      <c r="C2848" s="11">
        <v>88</v>
      </c>
      <c r="D2848">
        <f t="shared" si="178"/>
        <v>88</v>
      </c>
      <c r="E2848">
        <f t="shared" si="180"/>
        <v>8800</v>
      </c>
      <c r="F2848">
        <f t="shared" si="179"/>
        <v>4224</v>
      </c>
    </row>
    <row r="2849" ht="13.85" spans="1:6">
      <c r="A2849">
        <f t="shared" si="177"/>
        <v>2848</v>
      </c>
      <c r="B2849" s="24">
        <v>2523579</v>
      </c>
      <c r="C2849" s="11">
        <v>102</v>
      </c>
      <c r="D2849">
        <f t="shared" si="178"/>
        <v>102</v>
      </c>
      <c r="E2849">
        <f t="shared" si="180"/>
        <v>10200</v>
      </c>
      <c r="F2849">
        <f t="shared" si="179"/>
        <v>4896</v>
      </c>
    </row>
    <row r="2850" ht="13.85" spans="1:6">
      <c r="A2850">
        <f t="shared" si="177"/>
        <v>2849</v>
      </c>
      <c r="B2850" s="24">
        <v>3528326</v>
      </c>
      <c r="C2850" s="11">
        <v>120</v>
      </c>
      <c r="D2850">
        <f t="shared" si="178"/>
        <v>120</v>
      </c>
      <c r="E2850">
        <f t="shared" si="180"/>
        <v>12000</v>
      </c>
      <c r="F2850">
        <f t="shared" si="179"/>
        <v>5760</v>
      </c>
    </row>
    <row r="2851" ht="13.85" spans="1:6">
      <c r="A2851">
        <f t="shared" si="177"/>
        <v>2850</v>
      </c>
      <c r="B2851" s="24">
        <v>2352108</v>
      </c>
      <c r="C2851" s="11">
        <v>133</v>
      </c>
      <c r="D2851">
        <f t="shared" si="178"/>
        <v>133</v>
      </c>
      <c r="E2851">
        <f t="shared" si="180"/>
        <v>13300</v>
      </c>
      <c r="F2851">
        <f t="shared" si="179"/>
        <v>6384</v>
      </c>
    </row>
    <row r="2852" ht="13.85" spans="1:6">
      <c r="A2852">
        <f t="shared" si="177"/>
        <v>2851</v>
      </c>
      <c r="B2852" s="24">
        <v>2666179</v>
      </c>
      <c r="C2852" s="11">
        <v>145</v>
      </c>
      <c r="D2852">
        <f t="shared" si="178"/>
        <v>145</v>
      </c>
      <c r="E2852">
        <f t="shared" si="180"/>
        <v>14500</v>
      </c>
      <c r="F2852">
        <f t="shared" si="179"/>
        <v>6960</v>
      </c>
    </row>
    <row r="2853" ht="13.85" spans="1:6">
      <c r="A2853">
        <f t="shared" si="177"/>
        <v>2852</v>
      </c>
      <c r="B2853" s="24">
        <v>3693332</v>
      </c>
      <c r="C2853" s="11">
        <v>164</v>
      </c>
      <c r="D2853">
        <f t="shared" si="178"/>
        <v>164</v>
      </c>
      <c r="E2853">
        <f t="shared" si="180"/>
        <v>16400</v>
      </c>
      <c r="F2853">
        <f t="shared" si="179"/>
        <v>7872</v>
      </c>
    </row>
    <row r="2854" ht="13.85" spans="1:6">
      <c r="A2854">
        <f t="shared" si="177"/>
        <v>2853</v>
      </c>
      <c r="B2854" s="24">
        <v>2392017</v>
      </c>
      <c r="C2854" s="11">
        <v>174</v>
      </c>
      <c r="D2854">
        <f t="shared" si="178"/>
        <v>174</v>
      </c>
      <c r="E2854">
        <f t="shared" si="180"/>
        <v>17400</v>
      </c>
      <c r="F2854">
        <f t="shared" si="179"/>
        <v>8352</v>
      </c>
    </row>
    <row r="2855" ht="13.85" spans="1:6">
      <c r="A2855">
        <f t="shared" si="177"/>
        <v>2854</v>
      </c>
      <c r="B2855" s="24">
        <v>2804499</v>
      </c>
      <c r="C2855" s="11">
        <v>188</v>
      </c>
      <c r="D2855">
        <f t="shared" si="178"/>
        <v>188</v>
      </c>
      <c r="E2855">
        <f t="shared" si="180"/>
        <v>18800</v>
      </c>
      <c r="F2855">
        <f t="shared" si="179"/>
        <v>9024</v>
      </c>
    </row>
    <row r="2856" ht="13.85" spans="1:6">
      <c r="A2856">
        <f t="shared" si="177"/>
        <v>2855</v>
      </c>
      <c r="B2856" s="24">
        <v>3993173</v>
      </c>
      <c r="C2856" s="11">
        <v>206</v>
      </c>
      <c r="D2856">
        <f t="shared" si="178"/>
        <v>206</v>
      </c>
      <c r="E2856">
        <f t="shared" si="180"/>
        <v>20600</v>
      </c>
      <c r="F2856">
        <f t="shared" si="179"/>
        <v>9888</v>
      </c>
    </row>
    <row r="2857" ht="13.85" spans="1:6">
      <c r="A2857">
        <f t="shared" si="177"/>
        <v>2856</v>
      </c>
      <c r="B2857" s="24">
        <v>2598834</v>
      </c>
      <c r="C2857" s="11">
        <v>214</v>
      </c>
      <c r="D2857">
        <f t="shared" si="178"/>
        <v>214</v>
      </c>
      <c r="E2857">
        <f t="shared" si="180"/>
        <v>21400</v>
      </c>
      <c r="F2857">
        <f t="shared" si="179"/>
        <v>10272</v>
      </c>
    </row>
    <row r="2858" ht="13.85" spans="1:6">
      <c r="A2858">
        <f t="shared" si="177"/>
        <v>2857</v>
      </c>
      <c r="B2858" s="24">
        <v>2952106</v>
      </c>
      <c r="C2858" s="11">
        <v>228</v>
      </c>
      <c r="D2858">
        <f t="shared" si="178"/>
        <v>228</v>
      </c>
      <c r="E2858">
        <f t="shared" si="180"/>
        <v>22800</v>
      </c>
      <c r="F2858">
        <f t="shared" si="179"/>
        <v>10944</v>
      </c>
    </row>
    <row r="2859" ht="13.85" spans="1:6">
      <c r="A2859">
        <f t="shared" si="177"/>
        <v>2858</v>
      </c>
      <c r="B2859" s="24">
        <v>4116242</v>
      </c>
      <c r="C2859" s="11">
        <v>248</v>
      </c>
      <c r="D2859">
        <f t="shared" si="178"/>
        <v>248</v>
      </c>
      <c r="E2859">
        <f t="shared" si="180"/>
        <v>24800</v>
      </c>
      <c r="F2859">
        <f t="shared" si="179"/>
        <v>11904</v>
      </c>
    </row>
    <row r="2860" ht="13.85" spans="1:6">
      <c r="A2860">
        <f t="shared" si="177"/>
        <v>2859</v>
      </c>
      <c r="B2860" s="24">
        <v>2582100</v>
      </c>
      <c r="C2860" s="11">
        <v>270</v>
      </c>
      <c r="D2860">
        <f t="shared" si="178"/>
        <v>270</v>
      </c>
      <c r="E2860">
        <f t="shared" si="180"/>
        <v>27000</v>
      </c>
      <c r="F2860">
        <f t="shared" si="179"/>
        <v>12960</v>
      </c>
    </row>
    <row r="2861" ht="13.85" spans="1:6">
      <c r="A2861">
        <f t="shared" si="177"/>
        <v>2860</v>
      </c>
      <c r="B2861" s="24">
        <v>3017649</v>
      </c>
      <c r="C2861" s="11">
        <v>285</v>
      </c>
      <c r="D2861">
        <f t="shared" si="178"/>
        <v>285</v>
      </c>
      <c r="E2861">
        <f t="shared" si="180"/>
        <v>28500</v>
      </c>
      <c r="F2861">
        <f t="shared" si="179"/>
        <v>13680</v>
      </c>
    </row>
    <row r="2862" ht="13.85" spans="1:6">
      <c r="A2862">
        <f t="shared" si="177"/>
        <v>2861</v>
      </c>
      <c r="B2862" s="24">
        <v>4243622</v>
      </c>
      <c r="C2862" s="11">
        <v>306</v>
      </c>
      <c r="D2862">
        <f t="shared" si="178"/>
        <v>306</v>
      </c>
      <c r="E2862">
        <f t="shared" si="180"/>
        <v>30600</v>
      </c>
      <c r="F2862">
        <f t="shared" si="179"/>
        <v>14688</v>
      </c>
    </row>
    <row r="2863" ht="13.85" spans="1:6">
      <c r="A2863">
        <f t="shared" si="177"/>
        <v>2862</v>
      </c>
      <c r="B2863" s="24">
        <v>2819095</v>
      </c>
      <c r="C2863" s="11">
        <v>330</v>
      </c>
      <c r="D2863">
        <f t="shared" si="178"/>
        <v>330</v>
      </c>
      <c r="E2863">
        <f t="shared" si="180"/>
        <v>33000</v>
      </c>
      <c r="F2863">
        <f t="shared" si="179"/>
        <v>15840</v>
      </c>
    </row>
    <row r="2864" ht="13.85" spans="1:6">
      <c r="A2864">
        <f t="shared" si="177"/>
        <v>2863</v>
      </c>
      <c r="B2864" s="24">
        <v>3297805</v>
      </c>
      <c r="C2864" s="11">
        <v>348</v>
      </c>
      <c r="D2864">
        <f t="shared" si="178"/>
        <v>348</v>
      </c>
      <c r="E2864">
        <f t="shared" si="180"/>
        <v>34800</v>
      </c>
      <c r="F2864">
        <f t="shared" si="179"/>
        <v>16704</v>
      </c>
    </row>
    <row r="2865" ht="13.85" spans="1:6">
      <c r="A2865">
        <f t="shared" si="177"/>
        <v>2864</v>
      </c>
      <c r="B2865" s="24">
        <v>4593437</v>
      </c>
      <c r="C2865" s="11">
        <v>376</v>
      </c>
      <c r="D2865">
        <f t="shared" si="178"/>
        <v>376</v>
      </c>
      <c r="E2865">
        <f t="shared" si="180"/>
        <v>37600</v>
      </c>
      <c r="F2865">
        <f t="shared" si="179"/>
        <v>18048</v>
      </c>
    </row>
    <row r="2866" ht="13.85" spans="1:6">
      <c r="A2866">
        <f t="shared" si="177"/>
        <v>2865</v>
      </c>
      <c r="B2866" s="24">
        <v>3087603</v>
      </c>
      <c r="C2866" s="11">
        <v>391</v>
      </c>
      <c r="D2866">
        <f t="shared" si="178"/>
        <v>391</v>
      </c>
      <c r="E2866">
        <f t="shared" si="180"/>
        <v>39100</v>
      </c>
      <c r="F2866">
        <f t="shared" si="179"/>
        <v>18768</v>
      </c>
    </row>
    <row r="2867" ht="13.85" spans="1:6">
      <c r="A2867">
        <f t="shared" si="177"/>
        <v>2866</v>
      </c>
      <c r="B2867" s="24">
        <v>3692321</v>
      </c>
      <c r="C2867" s="11">
        <v>412</v>
      </c>
      <c r="D2867">
        <f t="shared" si="178"/>
        <v>412</v>
      </c>
      <c r="E2867">
        <f t="shared" si="180"/>
        <v>41200</v>
      </c>
      <c r="F2867">
        <f t="shared" si="179"/>
        <v>19776</v>
      </c>
    </row>
    <row r="2868" ht="13.85" spans="1:6">
      <c r="A2868">
        <f t="shared" si="177"/>
        <v>2867</v>
      </c>
      <c r="B2868" s="24">
        <v>5321712</v>
      </c>
      <c r="C2868" s="11">
        <v>443</v>
      </c>
      <c r="D2868">
        <f t="shared" si="178"/>
        <v>443</v>
      </c>
      <c r="E2868">
        <f t="shared" si="180"/>
        <v>44300</v>
      </c>
      <c r="F2868">
        <f t="shared" si="179"/>
        <v>21264</v>
      </c>
    </row>
    <row r="2869" ht="13.85" spans="1:6">
      <c r="A2869">
        <f t="shared" si="177"/>
        <v>2868</v>
      </c>
      <c r="B2869" s="24">
        <v>3537948</v>
      </c>
      <c r="C2869" s="11">
        <v>460</v>
      </c>
      <c r="D2869">
        <f t="shared" si="178"/>
        <v>460</v>
      </c>
      <c r="E2869">
        <f t="shared" si="180"/>
        <v>46000</v>
      </c>
      <c r="F2869">
        <f t="shared" si="179"/>
        <v>22080</v>
      </c>
    </row>
    <row r="2870" ht="13.85" spans="1:6">
      <c r="A2870">
        <f t="shared" si="177"/>
        <v>2869</v>
      </c>
      <c r="B2870" s="24">
        <v>3992479</v>
      </c>
      <c r="C2870" s="11">
        <v>485</v>
      </c>
      <c r="D2870">
        <f t="shared" si="178"/>
        <v>485</v>
      </c>
      <c r="E2870">
        <f t="shared" si="180"/>
        <v>48500</v>
      </c>
      <c r="F2870">
        <f t="shared" si="179"/>
        <v>23280</v>
      </c>
    </row>
    <row r="2871" ht="13.85" spans="1:6">
      <c r="A2871">
        <f t="shared" si="177"/>
        <v>2870</v>
      </c>
      <c r="B2871" s="24">
        <v>5724961</v>
      </c>
      <c r="C2871" s="11">
        <v>521</v>
      </c>
      <c r="D2871">
        <f t="shared" si="178"/>
        <v>521</v>
      </c>
      <c r="E2871">
        <f t="shared" si="180"/>
        <v>52100</v>
      </c>
      <c r="F2871">
        <f t="shared" si="179"/>
        <v>25008</v>
      </c>
    </row>
    <row r="2872" ht="13.85" spans="1:6">
      <c r="A2872">
        <f t="shared" si="177"/>
        <v>2871</v>
      </c>
      <c r="B2872" s="24">
        <v>3916361</v>
      </c>
      <c r="C2872" s="11">
        <v>532</v>
      </c>
      <c r="D2872">
        <f t="shared" si="178"/>
        <v>532</v>
      </c>
      <c r="E2872">
        <f t="shared" si="180"/>
        <v>53200</v>
      </c>
      <c r="F2872">
        <f t="shared" si="179"/>
        <v>25536</v>
      </c>
    </row>
    <row r="2873" ht="13.85" spans="1:6">
      <c r="A2873">
        <f t="shared" si="177"/>
        <v>2872</v>
      </c>
      <c r="B2873" s="24">
        <v>4830178</v>
      </c>
      <c r="C2873" s="11">
        <v>559</v>
      </c>
      <c r="D2873">
        <f t="shared" si="178"/>
        <v>559</v>
      </c>
      <c r="E2873">
        <f t="shared" si="180"/>
        <v>55900</v>
      </c>
      <c r="F2873">
        <f t="shared" si="179"/>
        <v>26832</v>
      </c>
    </row>
    <row r="2874" ht="13.85" spans="1:6">
      <c r="A2874">
        <f t="shared" si="177"/>
        <v>2873</v>
      </c>
      <c r="B2874" s="24">
        <v>6977869</v>
      </c>
      <c r="C2874" s="11">
        <v>600</v>
      </c>
      <c r="D2874">
        <f t="shared" si="178"/>
        <v>600</v>
      </c>
      <c r="E2874">
        <f t="shared" si="180"/>
        <v>60000</v>
      </c>
      <c r="F2874">
        <f t="shared" si="179"/>
        <v>28800</v>
      </c>
    </row>
    <row r="2875" ht="13.85" spans="1:6">
      <c r="A2875">
        <f t="shared" si="177"/>
        <v>2874</v>
      </c>
      <c r="B2875" s="24">
        <v>5073583</v>
      </c>
      <c r="C2875" s="11">
        <v>645</v>
      </c>
      <c r="D2875">
        <f t="shared" si="178"/>
        <v>645</v>
      </c>
      <c r="E2875">
        <f t="shared" si="180"/>
        <v>64500</v>
      </c>
      <c r="F2875">
        <f t="shared" si="179"/>
        <v>30960</v>
      </c>
    </row>
    <row r="2876" ht="13.85" spans="1:6">
      <c r="A2876">
        <f t="shared" si="177"/>
        <v>2875</v>
      </c>
      <c r="B2876" s="24">
        <v>6524769</v>
      </c>
      <c r="C2876" s="11">
        <v>687</v>
      </c>
      <c r="D2876">
        <f t="shared" si="178"/>
        <v>687</v>
      </c>
      <c r="E2876">
        <f t="shared" si="180"/>
        <v>68700</v>
      </c>
      <c r="F2876">
        <f t="shared" si="179"/>
        <v>32976</v>
      </c>
    </row>
    <row r="2877" ht="13.85" spans="1:6">
      <c r="A2877">
        <f t="shared" si="177"/>
        <v>2876</v>
      </c>
      <c r="B2877" s="24">
        <v>9626918</v>
      </c>
      <c r="C2877" s="11">
        <v>750</v>
      </c>
      <c r="D2877">
        <f t="shared" si="178"/>
        <v>750</v>
      </c>
      <c r="E2877">
        <f t="shared" si="180"/>
        <v>75000</v>
      </c>
      <c r="F2877">
        <f t="shared" si="179"/>
        <v>36000</v>
      </c>
    </row>
    <row r="2878" ht="13.85" spans="1:6">
      <c r="A2878">
        <f t="shared" si="177"/>
        <v>2877</v>
      </c>
      <c r="B2878" s="24">
        <v>7953214</v>
      </c>
      <c r="C2878" s="11">
        <v>800</v>
      </c>
      <c r="D2878">
        <f t="shared" si="178"/>
        <v>800</v>
      </c>
      <c r="E2878">
        <f t="shared" si="180"/>
        <v>80000</v>
      </c>
      <c r="F2878">
        <f t="shared" si="179"/>
        <v>38400</v>
      </c>
    </row>
    <row r="2879" ht="13.85" spans="1:6">
      <c r="A2879">
        <f t="shared" si="177"/>
        <v>2878</v>
      </c>
      <c r="B2879" s="24">
        <v>8738246</v>
      </c>
      <c r="C2879" s="11">
        <v>865</v>
      </c>
      <c r="D2879">
        <f t="shared" si="178"/>
        <v>865</v>
      </c>
      <c r="E2879">
        <f t="shared" si="180"/>
        <v>86500</v>
      </c>
      <c r="F2879">
        <f t="shared" si="179"/>
        <v>41520</v>
      </c>
    </row>
    <row r="2880" ht="13.85" spans="1:6">
      <c r="A2880">
        <f t="shared" si="177"/>
        <v>2879</v>
      </c>
      <c r="B2880" s="24">
        <v>11990380</v>
      </c>
      <c r="C2880" s="11">
        <v>935</v>
      </c>
      <c r="D2880">
        <f t="shared" si="178"/>
        <v>935</v>
      </c>
      <c r="E2880">
        <f t="shared" si="180"/>
        <v>93500</v>
      </c>
      <c r="F2880">
        <f t="shared" si="179"/>
        <v>44880</v>
      </c>
    </row>
    <row r="2881" ht="13.9" spans="1:6">
      <c r="A2881">
        <f t="shared" si="177"/>
        <v>2880</v>
      </c>
      <c r="B2881" s="24">
        <v>11205416</v>
      </c>
      <c r="C2881" s="11" t="s">
        <v>29</v>
      </c>
      <c r="D2881">
        <f t="shared" si="178"/>
        <v>1000</v>
      </c>
      <c r="E2881">
        <f t="shared" si="180"/>
        <v>100000</v>
      </c>
      <c r="F2881">
        <f t="shared" si="179"/>
        <v>48000</v>
      </c>
    </row>
    <row r="2882" ht="13.9" spans="1:6">
      <c r="A2882">
        <f t="shared" ref="A2882:A2906" si="181">ROW()-1</f>
        <v>2881</v>
      </c>
      <c r="B2882" s="24">
        <v>15222529</v>
      </c>
      <c r="C2882" s="11" t="s">
        <v>28</v>
      </c>
      <c r="D2882">
        <f t="shared" ref="D2882:D2906" si="182">IF(RIGHT(C2882,1)="B",VALUE(LEFT(C2882,LEN(C2882)-1))*1000,C2882)</f>
        <v>1090</v>
      </c>
      <c r="E2882">
        <f t="shared" si="180"/>
        <v>109000</v>
      </c>
      <c r="F2882">
        <f t="shared" ref="F2882:F2906" si="183">E2882*0.48</f>
        <v>52320</v>
      </c>
    </row>
    <row r="2883" ht="13.9" spans="1:6">
      <c r="A2883">
        <f t="shared" si="181"/>
        <v>2882</v>
      </c>
      <c r="B2883" s="24">
        <v>21689628</v>
      </c>
      <c r="C2883" s="11" t="s">
        <v>27</v>
      </c>
      <c r="D2883">
        <f t="shared" si="182"/>
        <v>1325</v>
      </c>
      <c r="E2883">
        <f t="shared" si="180"/>
        <v>132500</v>
      </c>
      <c r="F2883">
        <f t="shared" si="183"/>
        <v>63600</v>
      </c>
    </row>
    <row r="2884" ht="13.85" spans="1:6">
      <c r="A2884">
        <f t="shared" si="181"/>
        <v>2883</v>
      </c>
      <c r="B2884" s="24">
        <v>2830710</v>
      </c>
      <c r="C2884" s="11">
        <v>20</v>
      </c>
      <c r="D2884">
        <f t="shared" si="182"/>
        <v>20</v>
      </c>
      <c r="E2884">
        <f t="shared" si="180"/>
        <v>2000</v>
      </c>
      <c r="F2884">
        <f t="shared" si="183"/>
        <v>960</v>
      </c>
    </row>
    <row r="2885" ht="13.85" spans="1:6">
      <c r="A2885">
        <f t="shared" si="181"/>
        <v>2884</v>
      </c>
      <c r="B2885" s="24">
        <v>2727742</v>
      </c>
      <c r="C2885" s="11">
        <v>31</v>
      </c>
      <c r="D2885">
        <f t="shared" si="182"/>
        <v>31</v>
      </c>
      <c r="E2885">
        <f t="shared" si="180"/>
        <v>3100</v>
      </c>
      <c r="F2885">
        <f t="shared" si="183"/>
        <v>1488</v>
      </c>
    </row>
    <row r="2886" ht="13.85" spans="1:6">
      <c r="A2886">
        <f t="shared" si="181"/>
        <v>2885</v>
      </c>
      <c r="B2886" s="24">
        <v>3634473</v>
      </c>
      <c r="C2886" s="11">
        <v>46</v>
      </c>
      <c r="D2886">
        <f t="shared" si="182"/>
        <v>46</v>
      </c>
      <c r="E2886">
        <f t="shared" si="180"/>
        <v>4600</v>
      </c>
      <c r="F2886">
        <f t="shared" si="183"/>
        <v>2208</v>
      </c>
    </row>
    <row r="2887" ht="13.85" spans="1:6">
      <c r="A2887">
        <f t="shared" si="181"/>
        <v>2886</v>
      </c>
      <c r="B2887" s="24">
        <v>2391054</v>
      </c>
      <c r="C2887" s="11">
        <v>63</v>
      </c>
      <c r="D2887">
        <f t="shared" si="182"/>
        <v>63</v>
      </c>
      <c r="E2887">
        <f t="shared" si="180"/>
        <v>6300</v>
      </c>
      <c r="F2887">
        <f t="shared" si="183"/>
        <v>3024</v>
      </c>
    </row>
    <row r="2888" ht="13.85" spans="1:6">
      <c r="A2888">
        <f t="shared" si="181"/>
        <v>2887</v>
      </c>
      <c r="B2888" s="24">
        <v>2726379</v>
      </c>
      <c r="C2888" s="11">
        <v>78</v>
      </c>
      <c r="D2888">
        <f t="shared" si="182"/>
        <v>78</v>
      </c>
      <c r="E2888">
        <f t="shared" si="180"/>
        <v>7800</v>
      </c>
      <c r="F2888">
        <f t="shared" si="183"/>
        <v>3744</v>
      </c>
    </row>
    <row r="2889" ht="13.85" spans="1:6">
      <c r="A2889">
        <f t="shared" si="181"/>
        <v>2888</v>
      </c>
      <c r="B2889" s="24">
        <v>3706232</v>
      </c>
      <c r="C2889" s="11">
        <v>98</v>
      </c>
      <c r="D2889">
        <f t="shared" si="182"/>
        <v>98</v>
      </c>
      <c r="E2889">
        <f t="shared" si="180"/>
        <v>9800</v>
      </c>
      <c r="F2889">
        <f t="shared" si="183"/>
        <v>4704</v>
      </c>
    </row>
    <row r="2890" ht="13.85" spans="1:6">
      <c r="A2890">
        <f t="shared" si="181"/>
        <v>2889</v>
      </c>
      <c r="B2890" s="24">
        <v>2513442</v>
      </c>
      <c r="C2890" s="11">
        <v>115</v>
      </c>
      <c r="D2890">
        <f t="shared" si="182"/>
        <v>115</v>
      </c>
      <c r="E2890">
        <f t="shared" si="180"/>
        <v>11500</v>
      </c>
      <c r="F2890">
        <f t="shared" si="183"/>
        <v>5520</v>
      </c>
    </row>
    <row r="2891" ht="13.85" spans="1:6">
      <c r="A2891">
        <f t="shared" si="181"/>
        <v>2890</v>
      </c>
      <c r="B2891" s="24">
        <v>2859511</v>
      </c>
      <c r="C2891" s="11">
        <v>129</v>
      </c>
      <c r="D2891">
        <f t="shared" si="182"/>
        <v>129</v>
      </c>
      <c r="E2891">
        <f t="shared" si="180"/>
        <v>12900</v>
      </c>
      <c r="F2891">
        <f t="shared" si="183"/>
        <v>6192</v>
      </c>
    </row>
    <row r="2892" ht="13.85" spans="1:6">
      <c r="A2892">
        <f t="shared" si="181"/>
        <v>2891</v>
      </c>
      <c r="B2892" s="24">
        <v>3853470</v>
      </c>
      <c r="C2892" s="11">
        <v>149</v>
      </c>
      <c r="D2892">
        <f t="shared" si="182"/>
        <v>149</v>
      </c>
      <c r="E2892">
        <f t="shared" si="180"/>
        <v>14900</v>
      </c>
      <c r="F2892">
        <f t="shared" si="183"/>
        <v>7152</v>
      </c>
    </row>
    <row r="2893" ht="13.85" spans="1:6">
      <c r="A2893">
        <f t="shared" si="181"/>
        <v>2892</v>
      </c>
      <c r="B2893" s="24">
        <v>2537037</v>
      </c>
      <c r="C2893" s="11">
        <v>164</v>
      </c>
      <c r="D2893">
        <f t="shared" si="182"/>
        <v>164</v>
      </c>
      <c r="E2893">
        <f t="shared" si="180"/>
        <v>16400</v>
      </c>
      <c r="F2893">
        <f t="shared" si="183"/>
        <v>7872</v>
      </c>
    </row>
    <row r="2894" ht="13.85" spans="1:6">
      <c r="A2894">
        <f t="shared" si="181"/>
        <v>2893</v>
      </c>
      <c r="B2894" s="24">
        <v>2932091</v>
      </c>
      <c r="C2894" s="11">
        <v>178</v>
      </c>
      <c r="D2894">
        <f t="shared" si="182"/>
        <v>178</v>
      </c>
      <c r="E2894">
        <f t="shared" si="180"/>
        <v>17800</v>
      </c>
      <c r="F2894">
        <f t="shared" si="183"/>
        <v>8544</v>
      </c>
    </row>
    <row r="2895" ht="13.85" spans="1:6">
      <c r="A2895">
        <f t="shared" si="181"/>
        <v>2894</v>
      </c>
      <c r="B2895" s="24">
        <v>4056154</v>
      </c>
      <c r="C2895" s="11">
        <v>203</v>
      </c>
      <c r="D2895">
        <f t="shared" si="182"/>
        <v>203</v>
      </c>
      <c r="E2895">
        <f t="shared" si="180"/>
        <v>20300</v>
      </c>
      <c r="F2895">
        <f t="shared" si="183"/>
        <v>9744</v>
      </c>
    </row>
    <row r="2896" ht="13.85" spans="1:6">
      <c r="A2896">
        <f t="shared" si="181"/>
        <v>2895</v>
      </c>
      <c r="B2896" s="24">
        <v>2643638</v>
      </c>
      <c r="C2896" s="11">
        <v>214</v>
      </c>
      <c r="D2896">
        <f t="shared" si="182"/>
        <v>214</v>
      </c>
      <c r="E2896">
        <f t="shared" si="180"/>
        <v>21400</v>
      </c>
      <c r="F2896">
        <f t="shared" si="183"/>
        <v>10272</v>
      </c>
    </row>
    <row r="2897" ht="13.85" spans="1:6">
      <c r="A2897">
        <f t="shared" si="181"/>
        <v>2896</v>
      </c>
      <c r="B2897" s="24">
        <v>2303921</v>
      </c>
      <c r="C2897" s="11">
        <v>20</v>
      </c>
      <c r="D2897">
        <f t="shared" si="182"/>
        <v>20</v>
      </c>
      <c r="E2897">
        <f t="shared" si="180"/>
        <v>2000</v>
      </c>
      <c r="F2897">
        <f t="shared" si="183"/>
        <v>960</v>
      </c>
    </row>
    <row r="2898" ht="13.85" spans="1:6">
      <c r="A2898">
        <f t="shared" si="181"/>
        <v>2897</v>
      </c>
      <c r="B2898" s="24">
        <v>3168160</v>
      </c>
      <c r="C2898" s="11">
        <v>36</v>
      </c>
      <c r="D2898">
        <f t="shared" si="182"/>
        <v>36</v>
      </c>
      <c r="E2898">
        <f t="shared" si="180"/>
        <v>3600</v>
      </c>
      <c r="F2898">
        <f t="shared" si="183"/>
        <v>1728</v>
      </c>
    </row>
    <row r="2899" ht="13.85" spans="1:6">
      <c r="A2899">
        <f t="shared" si="181"/>
        <v>2898</v>
      </c>
      <c r="B2899" s="24">
        <v>2045974</v>
      </c>
      <c r="C2899" s="11">
        <v>47</v>
      </c>
      <c r="D2899">
        <f t="shared" si="182"/>
        <v>47</v>
      </c>
      <c r="E2899">
        <f t="shared" si="180"/>
        <v>4700</v>
      </c>
      <c r="F2899">
        <f t="shared" si="183"/>
        <v>2256</v>
      </c>
    </row>
    <row r="2900" ht="13.85" spans="1:6">
      <c r="A2900">
        <f t="shared" si="181"/>
        <v>2899</v>
      </c>
      <c r="B2900" s="24">
        <v>2356287</v>
      </c>
      <c r="C2900" s="11">
        <v>59</v>
      </c>
      <c r="D2900">
        <f t="shared" si="182"/>
        <v>59</v>
      </c>
      <c r="E2900">
        <f t="shared" si="180"/>
        <v>5900</v>
      </c>
      <c r="F2900">
        <f t="shared" si="183"/>
        <v>2832</v>
      </c>
    </row>
    <row r="2901" ht="13.85" spans="1:6">
      <c r="A2901">
        <f t="shared" si="181"/>
        <v>2900</v>
      </c>
      <c r="B2901" s="24">
        <v>3225496</v>
      </c>
      <c r="C2901" s="11">
        <v>77</v>
      </c>
      <c r="D2901">
        <f t="shared" si="182"/>
        <v>77</v>
      </c>
      <c r="E2901">
        <f t="shared" si="180"/>
        <v>7700</v>
      </c>
      <c r="F2901">
        <f t="shared" si="183"/>
        <v>3696</v>
      </c>
    </row>
    <row r="2902" ht="13.85" spans="1:6">
      <c r="A2902">
        <f t="shared" si="181"/>
        <v>2901</v>
      </c>
      <c r="B2902" s="24">
        <v>2106281</v>
      </c>
      <c r="C2902" s="15">
        <v>88</v>
      </c>
      <c r="D2902">
        <f t="shared" si="182"/>
        <v>88</v>
      </c>
      <c r="E2902">
        <f t="shared" si="180"/>
        <v>8800</v>
      </c>
      <c r="F2902">
        <f t="shared" si="183"/>
        <v>4224</v>
      </c>
    </row>
    <row r="2903" ht="13.85" spans="1:6">
      <c r="A2903">
        <f t="shared" si="181"/>
        <v>2902</v>
      </c>
      <c r="B2903" s="24">
        <v>2482074</v>
      </c>
      <c r="C2903" s="13">
        <v>100</v>
      </c>
      <c r="D2903">
        <f t="shared" si="182"/>
        <v>100</v>
      </c>
      <c r="E2903">
        <f t="shared" si="180"/>
        <v>10000</v>
      </c>
      <c r="F2903">
        <f t="shared" si="183"/>
        <v>4800</v>
      </c>
    </row>
    <row r="2904" ht="13.85" spans="1:6">
      <c r="A2904">
        <f t="shared" si="181"/>
        <v>2903</v>
      </c>
      <c r="B2904" s="24">
        <v>3397105</v>
      </c>
      <c r="C2904" s="11">
        <v>120</v>
      </c>
      <c r="D2904">
        <f t="shared" si="182"/>
        <v>120</v>
      </c>
      <c r="E2904">
        <f t="shared" si="180"/>
        <v>12000</v>
      </c>
      <c r="F2904">
        <f t="shared" si="183"/>
        <v>5760</v>
      </c>
    </row>
    <row r="2905" ht="13.85" spans="1:6">
      <c r="A2905">
        <f t="shared" si="181"/>
        <v>2904</v>
      </c>
      <c r="B2905" s="24">
        <v>2070317</v>
      </c>
      <c r="C2905" s="11">
        <v>131</v>
      </c>
      <c r="D2905">
        <f t="shared" si="182"/>
        <v>131</v>
      </c>
      <c r="E2905">
        <f t="shared" si="180"/>
        <v>13100</v>
      </c>
      <c r="F2905">
        <f t="shared" si="183"/>
        <v>6288</v>
      </c>
    </row>
    <row r="2906" ht="13.85" spans="1:6">
      <c r="A2906">
        <f t="shared" si="181"/>
        <v>2905</v>
      </c>
      <c r="B2906" s="24">
        <v>2583550</v>
      </c>
      <c r="C2906" s="11">
        <v>143</v>
      </c>
      <c r="D2906">
        <f t="shared" si="182"/>
        <v>143</v>
      </c>
      <c r="E2906">
        <f>D2906*100</f>
        <v>14300</v>
      </c>
      <c r="F2906">
        <f t="shared" si="183"/>
        <v>6864</v>
      </c>
    </row>
  </sheetData>
  <sortState ref="A2:F2906">
    <sortCondition ref="A2:A2906" descending="1"/>
  </sortState>
  <hyperlinks>
    <hyperlink ref="C2883" r:id="rId1" display=" 1.325B" tooltip="https://www.lottoreport.com/PB1BillionWin040624.htm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selection activeCell="B4" sqref="B4"/>
    </sheetView>
  </sheetViews>
  <sheetFormatPr defaultColWidth="9.02654867256637" defaultRowHeight="13.5" outlineLevelRow="1"/>
  <cols>
    <col min="2" max="11" width="9.53097345132743"/>
  </cols>
  <sheetData>
    <row r="1" s="1" customFormat="1" spans="1:22">
      <c r="A1" s="2" t="s">
        <v>2001</v>
      </c>
      <c r="B1" s="3" t="str">
        <f>"max_"&amp;[1]Sheet1!C1</f>
        <v>max_e(sum)</v>
      </c>
      <c r="C1" s="3" t="str">
        <f>"min_"&amp;[1]Sheet1!C1</f>
        <v>min_e(sum)</v>
      </c>
      <c r="D1" s="3" t="str">
        <f>"max_"&amp;[1]Sheet1!D1</f>
        <v>max_e(mean)</v>
      </c>
      <c r="E1" s="3" t="str">
        <f>"min_"&amp;[1]Sheet1!D1</f>
        <v>min_e(mean)</v>
      </c>
      <c r="F1" s="2" t="str">
        <f>"max_"&amp;[1]Sheet1!E1</f>
        <v>max_e(sd)</v>
      </c>
      <c r="G1" s="2" t="str">
        <f>"min_"&amp;[1]Sheet1!E1</f>
        <v>min_e(sd)</v>
      </c>
      <c r="H1" s="2" t="str">
        <f>"max_"&amp;[1]Sheet1!F1</f>
        <v>max_e(var)</v>
      </c>
      <c r="I1" s="2" t="str">
        <f>"min_"&amp;[1]Sheet1!F1</f>
        <v>min_e(var)</v>
      </c>
      <c r="J1" s="2" t="str">
        <f>"max_"&amp;[1]Sheet1!G1</f>
        <v>max_e(cv)</v>
      </c>
      <c r="K1" s="2" t="str">
        <f>"min_"&amp;[1]Sheet1!G1</f>
        <v>min_e(cv)</v>
      </c>
      <c r="L1" s="2" t="str">
        <f>"max_"&amp;[1]Sheet1!H1</f>
        <v>max_e(skewn)</v>
      </c>
      <c r="M1" s="2" t="str">
        <f>"min_"&amp;[1]Sheet1!H1</f>
        <v>min_e(skewn)</v>
      </c>
      <c r="N1" s="2" t="str">
        <f>"max_"&amp;[1]Sheet1!I1</f>
        <v>max_e(kurto)</v>
      </c>
      <c r="O1" s="2" t="str">
        <f>"min_"&amp;[1]Sheet1!I1</f>
        <v>min_e(kurto)</v>
      </c>
      <c r="P1" s="2" t="str">
        <f>"max_"&amp;[1]Sheet1!J1</f>
        <v>max_e(p50)</v>
      </c>
      <c r="Q1" s="2" t="str">
        <f>"min_"&amp;[1]Sheet1!J1</f>
        <v>min_e(p50)</v>
      </c>
      <c r="R1" s="2" t="str">
        <f>"max_"&amp;[1]Sheet1!K1</f>
        <v>max_e(p75)</v>
      </c>
      <c r="S1" s="2" t="str">
        <f>"min_"&amp;[1]Sheet1!K1</f>
        <v>min_e(p75)</v>
      </c>
      <c r="T1" s="2" t="str">
        <f>"max_"&amp;[1]Sheet1!L1</f>
        <v>max_e(p95)</v>
      </c>
      <c r="U1" s="2" t="str">
        <f>"min_"&amp;[1]Sheet1!L1</f>
        <v>min_e(p95)</v>
      </c>
      <c r="V1" s="1" t="s">
        <v>2002</v>
      </c>
    </row>
    <row r="2" spans="1:21">
      <c r="A2" t="s">
        <v>2003</v>
      </c>
      <c r="B2" s="4">
        <v>86500000000</v>
      </c>
      <c r="C2" s="4"/>
      <c r="D2" s="4">
        <v>29800000</v>
      </c>
      <c r="E2" s="4"/>
      <c r="F2" s="4">
        <v>44600000</v>
      </c>
      <c r="G2" s="4"/>
      <c r="H2" s="4">
        <v>1990000000000000</v>
      </c>
      <c r="I2" s="4"/>
      <c r="J2" s="5">
        <v>1.497459</v>
      </c>
      <c r="K2" s="5"/>
      <c r="L2" s="5">
        <v>13.41527</v>
      </c>
      <c r="M2" s="5"/>
      <c r="N2" s="5">
        <v>284.8245</v>
      </c>
      <c r="O2" s="5"/>
      <c r="P2" s="4">
        <v>22900000</v>
      </c>
      <c r="Q2" s="4"/>
      <c r="R2" s="4">
        <v>31800000</v>
      </c>
      <c r="S2" s="4"/>
      <c r="T2" s="4">
        <v>66700000</v>
      </c>
      <c r="U2" s="4"/>
    </row>
  </sheetData>
  <mergeCells count="10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Zevy Von</dc:creator>
  <cp:lastModifiedBy>神希加龙</cp:lastModifiedBy>
  <dcterms:created xsi:type="dcterms:W3CDTF">2023-05-12T11:15:00Z</dcterms:created>
  <dcterms:modified xsi:type="dcterms:W3CDTF">2024-12-22T17:51:26Z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E360C689E13C4EF0A58A57E5957C5720_12</vt:lpwstr>
  </property>
</Properties>
</file>